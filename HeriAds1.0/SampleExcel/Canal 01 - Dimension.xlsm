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HeriAds1.0\HeriAds1.0\SampleExcel\"/>
    </mc:Choice>
  </mc:AlternateContent>
  <bookViews>
    <workbookView xWindow="0" yWindow="0" windowWidth="23040" windowHeight="8676"/>
  </bookViews>
  <sheets>
    <sheet name="dim" sheetId="6" r:id="rId1"/>
  </sheets>
  <externalReferences>
    <externalReference r:id="rId2"/>
    <externalReference r:id="rId3"/>
    <externalReference r:id="rId4"/>
  </externalReferences>
  <definedNames>
    <definedName name="_1">#N/A</definedName>
    <definedName name="_a" localSheetId="0">#REF!</definedName>
    <definedName name="_a">#REF!</definedName>
    <definedName name="a">#REF!</definedName>
    <definedName name="AAA" localSheetId="0">#REF!</definedName>
    <definedName name="AAA">#REF!</definedName>
    <definedName name="b" localSheetId="0">dim!#REF!</definedName>
    <definedName name="b">[1]dim!#REF!</definedName>
    <definedName name="Bagi">2</definedName>
    <definedName name="Bendung">1</definedName>
    <definedName name="GHHHH">#REF!</definedName>
    <definedName name="h" localSheetId="0">dim!#REF!</definedName>
    <definedName name="h">[1]dim!#REF!</definedName>
    <definedName name="H24_Formula">IF(ISBLANK(#REF!),"Tidak Ada",#REF!)</definedName>
    <definedName name="JJJ" localSheetId="0">#REF!</definedName>
    <definedName name="JJJ">#REF!</definedName>
    <definedName name="jrk" localSheetId="0">#REF!</definedName>
    <definedName name="jrk">#REF!</definedName>
    <definedName name="m" localSheetId="0">dim!#REF!</definedName>
    <definedName name="m">[1]dim!#REF!</definedName>
    <definedName name="_xlnm.Print_Area" localSheetId="0">#REF!</definedName>
    <definedName name="_xlnm.Print_Area">#REF!</definedName>
    <definedName name="Q">#N/A</definedName>
    <definedName name="ttr" localSheetId="0">#REF!</definedName>
    <definedName name="ttr">#REF!</definedName>
  </definedNames>
  <calcPr calcId="162913" iterateCount="500" iterateDelta="1E-4"/>
</workbook>
</file>

<file path=xl/calcChain.xml><?xml version="1.0" encoding="utf-8"?>
<calcChain xmlns="http://schemas.openxmlformats.org/spreadsheetml/2006/main">
  <c r="AP99" i="6" l="1"/>
  <c r="AO99" i="6"/>
  <c r="K99" i="6"/>
  <c r="E99" i="6"/>
  <c r="AP98" i="6"/>
  <c r="AO98" i="6"/>
  <c r="K98" i="6"/>
  <c r="E98" i="6"/>
  <c r="AP97" i="6"/>
  <c r="AO97" i="6"/>
  <c r="E97" i="6" s="1"/>
  <c r="K97" i="6"/>
  <c r="AP96" i="6"/>
  <c r="AO96" i="6"/>
  <c r="K96" i="6"/>
  <c r="E96" i="6"/>
  <c r="AP95" i="6"/>
  <c r="AO95" i="6"/>
  <c r="E95" i="6" s="1"/>
  <c r="K95" i="6"/>
  <c r="AP94" i="6"/>
  <c r="AO94" i="6"/>
  <c r="E94" i="6" s="1"/>
  <c r="K94" i="6"/>
  <c r="AP93" i="6"/>
  <c r="AO93" i="6"/>
  <c r="K93" i="6"/>
  <c r="E93" i="6"/>
  <c r="AP92" i="6"/>
  <c r="AO92" i="6"/>
  <c r="K92" i="6"/>
  <c r="E92" i="6"/>
  <c r="AP91" i="6"/>
  <c r="AO91" i="6"/>
  <c r="K91" i="6"/>
  <c r="E91" i="6"/>
  <c r="AP90" i="6"/>
  <c r="AO90" i="6"/>
  <c r="K90" i="6"/>
  <c r="E90" i="6"/>
  <c r="AP89" i="6"/>
  <c r="AO89" i="6"/>
  <c r="E89" i="6" s="1"/>
  <c r="K89" i="6"/>
  <c r="AP88" i="6"/>
  <c r="AO88" i="6"/>
  <c r="K88" i="6"/>
  <c r="E88" i="6"/>
  <c r="AP87" i="6"/>
  <c r="AO87" i="6"/>
  <c r="E87" i="6" s="1"/>
  <c r="K87" i="6"/>
  <c r="AP86" i="6"/>
  <c r="AO86" i="6"/>
  <c r="E86" i="6" s="1"/>
  <c r="K86" i="6"/>
  <c r="AP85" i="6"/>
  <c r="AO85" i="6"/>
  <c r="K85" i="6"/>
  <c r="E85" i="6"/>
  <c r="AP84" i="6"/>
  <c r="AO84" i="6"/>
  <c r="K84" i="6"/>
  <c r="E84" i="6"/>
  <c r="AP83" i="6"/>
  <c r="AO83" i="6"/>
  <c r="K83" i="6"/>
  <c r="E83" i="6"/>
  <c r="AP82" i="6"/>
  <c r="AO82" i="6"/>
  <c r="K82" i="6"/>
  <c r="E82" i="6"/>
  <c r="AP81" i="6"/>
  <c r="AO81" i="6"/>
  <c r="E81" i="6" s="1"/>
  <c r="K81" i="6"/>
  <c r="AP80" i="6"/>
  <c r="AO80" i="6"/>
  <c r="K80" i="6"/>
  <c r="E80" i="6"/>
  <c r="AP79" i="6"/>
  <c r="AO79" i="6"/>
  <c r="E79" i="6" s="1"/>
  <c r="K79" i="6"/>
  <c r="AP78" i="6"/>
  <c r="AO78" i="6"/>
  <c r="E78" i="6" s="1"/>
  <c r="K78" i="6"/>
  <c r="AP77" i="6"/>
  <c r="AO77" i="6"/>
  <c r="K77" i="6"/>
  <c r="E77" i="6"/>
  <c r="AP76" i="6"/>
  <c r="AO76" i="6"/>
  <c r="K76" i="6"/>
  <c r="E76" i="6"/>
  <c r="AP75" i="6"/>
  <c r="AO75" i="6"/>
  <c r="K75" i="6"/>
  <c r="E75" i="6"/>
  <c r="AP74" i="6"/>
  <c r="AO74" i="6"/>
  <c r="K74" i="6"/>
  <c r="E74" i="6"/>
  <c r="AP73" i="6"/>
  <c r="AO73" i="6"/>
  <c r="E73" i="6" s="1"/>
  <c r="K73" i="6"/>
  <c r="AP72" i="6"/>
  <c r="AO72" i="6"/>
  <c r="K72" i="6"/>
  <c r="E72" i="6"/>
  <c r="AP71" i="6"/>
  <c r="AO71" i="6"/>
  <c r="E71" i="6" s="1"/>
  <c r="K71" i="6"/>
  <c r="AP70" i="6"/>
  <c r="AO70" i="6"/>
  <c r="E70" i="6" s="1"/>
  <c r="K70" i="6"/>
  <c r="AP69" i="6"/>
  <c r="AO69" i="6"/>
  <c r="K69" i="6"/>
  <c r="E69" i="6"/>
  <c r="AP68" i="6"/>
  <c r="E68" i="6" s="1"/>
  <c r="AO68" i="6"/>
  <c r="K68" i="6"/>
  <c r="AP67" i="6"/>
  <c r="AO67" i="6"/>
  <c r="K67" i="6"/>
  <c r="E67" i="6"/>
  <c r="AP66" i="6"/>
  <c r="AO66" i="6"/>
  <c r="K66" i="6"/>
  <c r="E66" i="6"/>
  <c r="AP65" i="6"/>
  <c r="AO65" i="6"/>
  <c r="E65" i="6" s="1"/>
  <c r="K65" i="6"/>
  <c r="AP64" i="6"/>
  <c r="AO64" i="6"/>
  <c r="K64" i="6"/>
  <c r="E64" i="6"/>
  <c r="AP63" i="6"/>
  <c r="AO63" i="6"/>
  <c r="E63" i="6" s="1"/>
  <c r="K63" i="6"/>
  <c r="AP62" i="6"/>
  <c r="AO62" i="6"/>
  <c r="K62" i="6"/>
  <c r="E62" i="6"/>
  <c r="AP61" i="6"/>
  <c r="E61" i="6" s="1"/>
  <c r="AO61" i="6"/>
  <c r="K61" i="6"/>
  <c r="AP60" i="6"/>
  <c r="E60" i="6" s="1"/>
  <c r="AO60" i="6"/>
  <c r="K60" i="6"/>
  <c r="AP59" i="6"/>
  <c r="AO59" i="6"/>
  <c r="K59" i="6"/>
  <c r="E59" i="6"/>
  <c r="AP58" i="6"/>
  <c r="AO58" i="6"/>
  <c r="E58" i="6" s="1"/>
  <c r="K58" i="6"/>
  <c r="AP57" i="6"/>
  <c r="AO57" i="6"/>
  <c r="E57" i="6" s="1"/>
  <c r="K57" i="6"/>
  <c r="AP56" i="6"/>
  <c r="E56" i="6" s="1"/>
  <c r="AO56" i="6"/>
  <c r="K56" i="6"/>
  <c r="AP55" i="6"/>
  <c r="AO55" i="6"/>
  <c r="E55" i="6" s="1"/>
  <c r="K55" i="6"/>
  <c r="AP54" i="6"/>
  <c r="AO54" i="6"/>
  <c r="E54" i="6" s="1"/>
  <c r="K54" i="6"/>
  <c r="AP53" i="6"/>
  <c r="AO53" i="6"/>
  <c r="K53" i="6"/>
  <c r="E53" i="6"/>
  <c r="AP52" i="6"/>
  <c r="E52" i="6" s="1"/>
  <c r="AO52" i="6"/>
  <c r="K52" i="6"/>
  <c r="AP51" i="6"/>
  <c r="AO51" i="6"/>
  <c r="K51" i="6"/>
  <c r="E51" i="6"/>
  <c r="AP50" i="6"/>
  <c r="AO50" i="6"/>
  <c r="E50" i="6" s="1"/>
  <c r="K50" i="6"/>
  <c r="AP49" i="6"/>
  <c r="AO49" i="6"/>
  <c r="K49" i="6"/>
  <c r="E49" i="6"/>
  <c r="AP48" i="6"/>
  <c r="AO48" i="6"/>
  <c r="K48" i="6"/>
  <c r="E48" i="6"/>
  <c r="AP47" i="6"/>
  <c r="AO47" i="6"/>
  <c r="E47" i="6" s="1"/>
  <c r="K47" i="6"/>
  <c r="AP46" i="6"/>
  <c r="AO46" i="6"/>
  <c r="K46" i="6"/>
  <c r="E46" i="6"/>
  <c r="AP45" i="6"/>
  <c r="E45" i="6" s="1"/>
  <c r="AO45" i="6"/>
  <c r="K45" i="6"/>
  <c r="AP44" i="6"/>
  <c r="AO44" i="6"/>
  <c r="K44" i="6"/>
  <c r="E44" i="6"/>
  <c r="AP43" i="6"/>
  <c r="AO43" i="6"/>
  <c r="K43" i="6"/>
  <c r="E43" i="6"/>
  <c r="AP42" i="6"/>
  <c r="AO42" i="6"/>
  <c r="E42" i="6" s="1"/>
  <c r="K42" i="6"/>
  <c r="AP41" i="6"/>
  <c r="E41" i="6" s="1"/>
  <c r="AO41" i="6"/>
  <c r="K41" i="6"/>
  <c r="AP40" i="6"/>
  <c r="AO40" i="6"/>
  <c r="K40" i="6"/>
  <c r="E40" i="6"/>
  <c r="AP39" i="6"/>
  <c r="AO39" i="6"/>
  <c r="E39" i="6" s="1"/>
  <c r="K39" i="6"/>
  <c r="AP38" i="6"/>
  <c r="AO38" i="6"/>
  <c r="K38" i="6"/>
  <c r="E38" i="6"/>
  <c r="AP37" i="6"/>
  <c r="AO37" i="6"/>
  <c r="K37" i="6"/>
  <c r="AP36" i="6"/>
  <c r="AO36" i="6"/>
  <c r="K36" i="6"/>
  <c r="E36" i="6"/>
  <c r="AP35" i="6"/>
  <c r="AO35" i="6"/>
  <c r="K35" i="6"/>
  <c r="E35" i="6"/>
  <c r="AP34" i="6"/>
  <c r="AO34" i="6"/>
  <c r="E34" i="6" s="1"/>
  <c r="K34" i="6"/>
  <c r="AP33" i="6"/>
  <c r="AO33" i="6"/>
  <c r="K33" i="6"/>
  <c r="E33" i="6"/>
  <c r="AP32" i="6"/>
  <c r="AO32" i="6"/>
  <c r="E32" i="6" s="1"/>
  <c r="K32" i="6"/>
  <c r="AP31" i="6"/>
  <c r="AO31" i="6"/>
  <c r="K31" i="6"/>
  <c r="E31" i="6"/>
  <c r="AP30" i="6"/>
  <c r="AO30" i="6"/>
  <c r="E30" i="6" s="1"/>
  <c r="K30" i="6"/>
  <c r="AP29" i="6"/>
  <c r="AO29" i="6"/>
  <c r="K29" i="6"/>
  <c r="E29" i="6"/>
  <c r="AP28" i="6"/>
  <c r="AO28" i="6"/>
  <c r="K28" i="6"/>
  <c r="E28" i="6"/>
  <c r="AP27" i="6"/>
  <c r="AO27" i="6"/>
  <c r="K27" i="6"/>
  <c r="E27" i="6"/>
  <c r="AP26" i="6"/>
  <c r="AO26" i="6"/>
  <c r="K26" i="6"/>
  <c r="E26" i="6"/>
  <c r="AP25" i="6"/>
  <c r="AO25" i="6"/>
  <c r="K25" i="6"/>
  <c r="E25" i="6"/>
  <c r="AP24" i="6"/>
  <c r="AO24" i="6"/>
  <c r="E24" i="6" s="1"/>
  <c r="K24" i="6"/>
  <c r="AP23" i="6"/>
  <c r="AO23" i="6"/>
  <c r="K23" i="6"/>
  <c r="E23" i="6"/>
  <c r="AP22" i="6"/>
  <c r="AO22" i="6"/>
  <c r="E22" i="6" s="1"/>
  <c r="K22" i="6"/>
  <c r="AP21" i="6"/>
  <c r="AO21" i="6"/>
  <c r="K21" i="6"/>
  <c r="E21" i="6"/>
  <c r="AP20" i="6"/>
  <c r="AO20" i="6"/>
  <c r="E20" i="6" s="1"/>
  <c r="K20" i="6"/>
  <c r="AP19" i="6"/>
  <c r="AO19" i="6"/>
  <c r="K19" i="6"/>
  <c r="E19" i="6"/>
  <c r="AP18" i="6"/>
  <c r="AO18" i="6"/>
  <c r="E18" i="6" s="1"/>
  <c r="K18" i="6"/>
  <c r="AP17" i="6"/>
  <c r="AO17" i="6"/>
  <c r="K17" i="6"/>
  <c r="E17" i="6"/>
  <c r="AP16" i="6"/>
  <c r="AO16" i="6"/>
  <c r="E16" i="6" s="1"/>
  <c r="K16" i="6"/>
  <c r="AP15" i="6"/>
  <c r="AO15" i="6"/>
  <c r="K15" i="6"/>
  <c r="E15" i="6"/>
  <c r="AP14" i="6"/>
  <c r="AO14" i="6"/>
  <c r="E14" i="6" s="1"/>
  <c r="K14" i="6"/>
  <c r="AP13" i="6"/>
  <c r="E13" i="6" s="1"/>
  <c r="AO13" i="6"/>
  <c r="K13" i="6"/>
  <c r="AP12" i="6"/>
  <c r="AO12" i="6"/>
  <c r="E12" i="6" s="1"/>
  <c r="K12" i="6"/>
  <c r="AP11" i="6"/>
  <c r="AO11" i="6"/>
  <c r="E11" i="6" s="1"/>
  <c r="K11" i="6"/>
  <c r="AP10" i="6"/>
  <c r="AO10" i="6"/>
  <c r="E10" i="6" s="1"/>
  <c r="K10" i="6"/>
  <c r="AP9" i="6"/>
  <c r="E9" i="6" s="1"/>
  <c r="AO9" i="6"/>
  <c r="K9" i="6"/>
  <c r="AP8" i="6"/>
  <c r="AO8" i="6"/>
  <c r="E8" i="6" s="1"/>
  <c r="K8" i="6"/>
  <c r="AP7" i="6"/>
  <c r="AO7" i="6"/>
  <c r="E7" i="6" s="1"/>
  <c r="K7" i="6"/>
  <c r="AP6" i="6"/>
  <c r="AO6" i="6"/>
  <c r="E6" i="6" s="1"/>
  <c r="K6" i="6"/>
  <c r="AD99" i="6"/>
  <c r="H98" i="6"/>
  <c r="J96" i="6"/>
  <c r="Q92" i="6"/>
  <c r="AD91" i="6"/>
  <c r="H90" i="6"/>
  <c r="J88" i="6"/>
  <c r="Q84" i="6"/>
  <c r="AD83" i="6"/>
  <c r="H82" i="6"/>
  <c r="J80" i="6"/>
  <c r="Q76" i="6"/>
  <c r="AD75" i="6"/>
  <c r="H74" i="6"/>
  <c r="J72" i="6"/>
  <c r="Q68" i="6"/>
  <c r="AD67" i="6"/>
  <c r="H66" i="6"/>
  <c r="J64" i="6"/>
  <c r="Q60" i="6"/>
  <c r="AD59" i="6"/>
  <c r="H58" i="6"/>
  <c r="J56" i="6"/>
  <c r="Q52" i="6"/>
  <c r="AD51" i="6"/>
  <c r="H50" i="6"/>
  <c r="J48" i="6"/>
  <c r="Q44" i="6"/>
  <c r="AD43" i="6"/>
  <c r="H42" i="6"/>
  <c r="J40" i="6"/>
  <c r="Q36" i="6"/>
  <c r="AD35" i="6"/>
  <c r="Q99" i="6"/>
  <c r="AD98" i="6"/>
  <c r="H97" i="6"/>
  <c r="I97" i="6" s="1"/>
  <c r="J95" i="6"/>
  <c r="Q91" i="6"/>
  <c r="AD90" i="6"/>
  <c r="H89" i="6"/>
  <c r="I89" i="6" s="1"/>
  <c r="J87" i="6"/>
  <c r="Q83" i="6"/>
  <c r="AD82" i="6"/>
  <c r="H81" i="6"/>
  <c r="I81" i="6" s="1"/>
  <c r="J79" i="6"/>
  <c r="Q75" i="6"/>
  <c r="AD74" i="6"/>
  <c r="H73" i="6"/>
  <c r="I73" i="6" s="1"/>
  <c r="J71" i="6"/>
  <c r="Q67" i="6"/>
  <c r="AD66" i="6"/>
  <c r="H65" i="6"/>
  <c r="I65" i="6" s="1"/>
  <c r="J63" i="6"/>
  <c r="Q59" i="6"/>
  <c r="AD58" i="6"/>
  <c r="H57" i="6"/>
  <c r="I57" i="6" s="1"/>
  <c r="J55" i="6"/>
  <c r="Q51" i="6"/>
  <c r="AD50" i="6"/>
  <c r="H49" i="6"/>
  <c r="I49" i="6" s="1"/>
  <c r="J47" i="6"/>
  <c r="Q43" i="6"/>
  <c r="AD42" i="6"/>
  <c r="H41" i="6"/>
  <c r="I41" i="6" s="1"/>
  <c r="J39" i="6"/>
  <c r="Q35" i="6"/>
  <c r="AD34" i="6"/>
  <c r="Q98" i="6"/>
  <c r="AD97" i="6"/>
  <c r="H96" i="6"/>
  <c r="I96" i="6" s="1"/>
  <c r="J94" i="6"/>
  <c r="Q90" i="6"/>
  <c r="AD89" i="6"/>
  <c r="H88" i="6"/>
  <c r="I88" i="6" s="1"/>
  <c r="J86" i="6"/>
  <c r="Q82" i="6"/>
  <c r="AD81" i="6"/>
  <c r="H80" i="6"/>
  <c r="I80" i="6" s="1"/>
  <c r="J78" i="6"/>
  <c r="Q74" i="6"/>
  <c r="AD73" i="6"/>
  <c r="H72" i="6"/>
  <c r="I72" i="6" s="1"/>
  <c r="J70" i="6"/>
  <c r="Q66" i="6"/>
  <c r="AD65" i="6"/>
  <c r="H64" i="6"/>
  <c r="I64" i="6" s="1"/>
  <c r="J62" i="6"/>
  <c r="Q58" i="6"/>
  <c r="AD57" i="6"/>
  <c r="H56" i="6"/>
  <c r="I56" i="6" s="1"/>
  <c r="J54" i="6"/>
  <c r="P98" i="6"/>
  <c r="Q97" i="6"/>
  <c r="AD96" i="6"/>
  <c r="H95" i="6"/>
  <c r="I95" i="6" s="1"/>
  <c r="J93" i="6"/>
  <c r="P97" i="6"/>
  <c r="Q96" i="6"/>
  <c r="AD95" i="6"/>
  <c r="H94" i="6"/>
  <c r="I94" i="6" s="1"/>
  <c r="J92" i="6"/>
  <c r="P89" i="6"/>
  <c r="Q88" i="6"/>
  <c r="AD87" i="6"/>
  <c r="H86" i="6"/>
  <c r="J84" i="6"/>
  <c r="P81" i="6"/>
  <c r="Q80" i="6"/>
  <c r="AD79" i="6"/>
  <c r="H78" i="6"/>
  <c r="J76" i="6"/>
  <c r="P73" i="6"/>
  <c r="Q72" i="6"/>
  <c r="AD71" i="6"/>
  <c r="H70" i="6"/>
  <c r="J68" i="6"/>
  <c r="P65" i="6"/>
  <c r="Q64" i="6"/>
  <c r="AD63" i="6"/>
  <c r="H62" i="6"/>
  <c r="J60" i="6"/>
  <c r="P57" i="6"/>
  <c r="Q56" i="6"/>
  <c r="AD55" i="6"/>
  <c r="H54" i="6"/>
  <c r="J52" i="6"/>
  <c r="P49" i="6"/>
  <c r="Q48" i="6"/>
  <c r="AD47" i="6"/>
  <c r="H46" i="6"/>
  <c r="J44" i="6"/>
  <c r="P41" i="6"/>
  <c r="Q40" i="6"/>
  <c r="AD39" i="6"/>
  <c r="H38" i="6"/>
  <c r="J36" i="6"/>
  <c r="H99" i="6"/>
  <c r="P99" i="6" s="1"/>
  <c r="I98" i="6"/>
  <c r="AG97" i="6"/>
  <c r="J97" i="6"/>
  <c r="P94" i="6"/>
  <c r="Q93" i="6"/>
  <c r="AD92" i="6"/>
  <c r="H91" i="6"/>
  <c r="P91" i="6" s="1"/>
  <c r="I90" i="6"/>
  <c r="AG89" i="6"/>
  <c r="J89" i="6"/>
  <c r="P86" i="6"/>
  <c r="Q85" i="6"/>
  <c r="AD84" i="6"/>
  <c r="H83" i="6"/>
  <c r="P83" i="6" s="1"/>
  <c r="I82" i="6"/>
  <c r="AG81" i="6"/>
  <c r="J81" i="6"/>
  <c r="P78" i="6"/>
  <c r="Q77" i="6"/>
  <c r="AD76" i="6"/>
  <c r="H75" i="6"/>
  <c r="P75" i="6" s="1"/>
  <c r="I74" i="6"/>
  <c r="AG73" i="6"/>
  <c r="J73" i="6"/>
  <c r="P70" i="6"/>
  <c r="Q69" i="6"/>
  <c r="Q95" i="6"/>
  <c r="H87" i="6"/>
  <c r="I87" i="6" s="1"/>
  <c r="H85" i="6"/>
  <c r="I75" i="6"/>
  <c r="AE75" i="6" s="1"/>
  <c r="L73" i="6"/>
  <c r="H67" i="6"/>
  <c r="P67" i="6" s="1"/>
  <c r="P66" i="6"/>
  <c r="P62" i="6"/>
  <c r="AD61" i="6"/>
  <c r="J59" i="6"/>
  <c r="Q54" i="6"/>
  <c r="I50" i="6"/>
  <c r="AE50" i="6" s="1"/>
  <c r="J45" i="6"/>
  <c r="AD38" i="6"/>
  <c r="AD36" i="6"/>
  <c r="J35" i="6"/>
  <c r="AD33" i="6"/>
  <c r="P96" i="6"/>
  <c r="P95" i="6"/>
  <c r="H84" i="6"/>
  <c r="AG82" i="6"/>
  <c r="AD80" i="6"/>
  <c r="AD78" i="6"/>
  <c r="J74" i="6"/>
  <c r="I70" i="6"/>
  <c r="J69" i="6"/>
  <c r="AD68" i="6"/>
  <c r="AG65" i="6"/>
  <c r="H63" i="6"/>
  <c r="I63" i="6" s="1"/>
  <c r="Q61" i="6"/>
  <c r="P54" i="6"/>
  <c r="AD53" i="6"/>
  <c r="AD46" i="6"/>
  <c r="H45" i="6"/>
  <c r="AD44" i="6"/>
  <c r="J43" i="6"/>
  <c r="J41" i="6"/>
  <c r="AD40" i="6"/>
  <c r="Q38" i="6"/>
  <c r="Q33" i="6"/>
  <c r="AD32" i="6"/>
  <c r="H31" i="6"/>
  <c r="J29" i="6"/>
  <c r="Q25" i="6"/>
  <c r="AD24" i="6"/>
  <c r="H23" i="6"/>
  <c r="J21" i="6"/>
  <c r="Q17" i="6"/>
  <c r="AD16" i="6"/>
  <c r="H15" i="6"/>
  <c r="J13" i="6"/>
  <c r="Q9" i="6"/>
  <c r="AD8" i="6"/>
  <c r="H7" i="6"/>
  <c r="AD7" i="6"/>
  <c r="H6" i="6"/>
  <c r="I6" i="6" s="1"/>
  <c r="AF6" i="6" s="1"/>
  <c r="AD93" i="6"/>
  <c r="AD88" i="6"/>
  <c r="I78" i="6"/>
  <c r="AF75" i="6"/>
  <c r="AE63" i="6"/>
  <c r="H61" i="6"/>
  <c r="J58" i="6"/>
  <c r="J53" i="6"/>
  <c r="H51" i="6"/>
  <c r="J83" i="6"/>
  <c r="P82" i="6"/>
  <c r="Q81" i="6"/>
  <c r="P80" i="6"/>
  <c r="Q79" i="6"/>
  <c r="Q78" i="6"/>
  <c r="AD77" i="6"/>
  <c r="H71" i="6"/>
  <c r="H69" i="6"/>
  <c r="J66" i="6"/>
  <c r="Q65" i="6"/>
  <c r="I62" i="6"/>
  <c r="H59" i="6"/>
  <c r="P58" i="6"/>
  <c r="AG57" i="6"/>
  <c r="H55" i="6"/>
  <c r="I55" i="6" s="1"/>
  <c r="Q53" i="6"/>
  <c r="J51" i="6"/>
  <c r="AG50" i="6"/>
  <c r="J49" i="6"/>
  <c r="AD48" i="6"/>
  <c r="Q46" i="6"/>
  <c r="H39" i="6"/>
  <c r="I39" i="6" s="1"/>
  <c r="AG39" i="6" s="1"/>
  <c r="P38" i="6"/>
  <c r="H35" i="6"/>
  <c r="I35" i="6" s="1"/>
  <c r="AG35" i="6" s="1"/>
  <c r="Q34" i="6"/>
  <c r="Q32" i="6"/>
  <c r="AD31" i="6"/>
  <c r="H30" i="6"/>
  <c r="I30" i="6" s="1"/>
  <c r="J28" i="6"/>
  <c r="Q24" i="6"/>
  <c r="AD23" i="6"/>
  <c r="H22" i="6"/>
  <c r="I22" i="6" s="1"/>
  <c r="J20" i="6"/>
  <c r="Q16" i="6"/>
  <c r="AD15" i="6"/>
  <c r="H14" i="6"/>
  <c r="I14" i="6" s="1"/>
  <c r="J12" i="6"/>
  <c r="Q8" i="6"/>
  <c r="AE6" i="6"/>
  <c r="AE87" i="6"/>
  <c r="J82" i="6"/>
  <c r="L82" i="6" s="1"/>
  <c r="AI82" i="6" s="1"/>
  <c r="AG98" i="6"/>
  <c r="L97" i="6"/>
  <c r="AI97" i="6" s="1"/>
  <c r="I83" i="6"/>
  <c r="AE83" i="6" s="1"/>
  <c r="L81" i="6"/>
  <c r="AI81" i="6" s="1"/>
  <c r="AG75" i="6"/>
  <c r="I66" i="6"/>
  <c r="AE66" i="6" s="1"/>
  <c r="AD64" i="6"/>
  <c r="J61" i="6"/>
  <c r="AD60" i="6"/>
  <c r="Q57" i="6"/>
  <c r="I54" i="6"/>
  <c r="I51" i="6"/>
  <c r="AG51" i="6" s="1"/>
  <c r="AF50" i="6"/>
  <c r="H47" i="6"/>
  <c r="I47" i="6" s="1"/>
  <c r="AG47" i="6" s="1"/>
  <c r="P46" i="6"/>
  <c r="H43" i="6"/>
  <c r="I43" i="6" s="1"/>
  <c r="Q42" i="6"/>
  <c r="AF39" i="6"/>
  <c r="AF35" i="6"/>
  <c r="Q31" i="6"/>
  <c r="AD30" i="6"/>
  <c r="H29" i="6"/>
  <c r="I29" i="6" s="1"/>
  <c r="J27" i="6"/>
  <c r="Q23" i="6"/>
  <c r="AD22" i="6"/>
  <c r="H21" i="6"/>
  <c r="I21" i="6" s="1"/>
  <c r="J19" i="6"/>
  <c r="Q15" i="6"/>
  <c r="AD14" i="6"/>
  <c r="H13" i="6"/>
  <c r="I13" i="6" s="1"/>
  <c r="J11" i="6"/>
  <c r="Q7" i="6"/>
  <c r="AD6" i="6"/>
  <c r="AG90" i="6"/>
  <c r="AD86" i="6"/>
  <c r="J77" i="6"/>
  <c r="H68" i="6"/>
  <c r="P64" i="6"/>
  <c r="AD56" i="6"/>
  <c r="AD52" i="6"/>
  <c r="Q50" i="6"/>
  <c r="AF47" i="6"/>
  <c r="J99" i="6"/>
  <c r="J98" i="6"/>
  <c r="L98" i="6" s="1"/>
  <c r="AI98" i="6" s="1"/>
  <c r="AD94" i="6"/>
  <c r="J91" i="6"/>
  <c r="P90" i="6"/>
  <c r="Q89" i="6"/>
  <c r="P88" i="6"/>
  <c r="Q87" i="6"/>
  <c r="Q86" i="6"/>
  <c r="AD85" i="6"/>
  <c r="H79" i="6"/>
  <c r="H77" i="6"/>
  <c r="AI73" i="6"/>
  <c r="AF70" i="6"/>
  <c r="J65" i="6"/>
  <c r="L65" i="6" s="1"/>
  <c r="Q63" i="6"/>
  <c r="AF62" i="6"/>
  <c r="I58" i="6"/>
  <c r="P56" i="6"/>
  <c r="AE55" i="6"/>
  <c r="H53" i="6"/>
  <c r="AF51" i="6"/>
  <c r="P50" i="6"/>
  <c r="AG49" i="6"/>
  <c r="AE47" i="6"/>
  <c r="J46" i="6"/>
  <c r="AD45" i="6"/>
  <c r="P87" i="6"/>
  <c r="H76" i="6"/>
  <c r="Q73" i="6"/>
  <c r="Q70" i="6"/>
  <c r="J67" i="6"/>
  <c r="AD62" i="6"/>
  <c r="AD54" i="6"/>
  <c r="AD49" i="6"/>
  <c r="I42" i="6"/>
  <c r="I31" i="6"/>
  <c r="AE31" i="6" s="1"/>
  <c r="Q30" i="6"/>
  <c r="J26" i="6"/>
  <c r="P22" i="6"/>
  <c r="AD19" i="6"/>
  <c r="J16" i="6"/>
  <c r="AD13" i="6"/>
  <c r="H12" i="6"/>
  <c r="I12" i="6" s="1"/>
  <c r="Q11" i="6"/>
  <c r="H10" i="6"/>
  <c r="P10" i="6" s="1"/>
  <c r="AD9" i="6"/>
  <c r="J6" i="6"/>
  <c r="Q28" i="6"/>
  <c r="L89" i="6"/>
  <c r="AI89" i="6" s="1"/>
  <c r="P51" i="6"/>
  <c r="I10" i="6"/>
  <c r="AG10" i="6" s="1"/>
  <c r="H92" i="6"/>
  <c r="J85" i="6"/>
  <c r="AG74" i="6"/>
  <c r="I67" i="6"/>
  <c r="Q62" i="6"/>
  <c r="Q49" i="6"/>
  <c r="H48" i="6"/>
  <c r="Q45" i="6"/>
  <c r="H44" i="6"/>
  <c r="AE35" i="6"/>
  <c r="P30" i="6"/>
  <c r="AD27" i="6"/>
  <c r="J24" i="6"/>
  <c r="AD21" i="6"/>
  <c r="H20" i="6"/>
  <c r="I20" i="6" s="1"/>
  <c r="Q19" i="6"/>
  <c r="H18" i="6"/>
  <c r="AD17" i="6"/>
  <c r="Q13" i="6"/>
  <c r="AF10" i="6"/>
  <c r="H8" i="6"/>
  <c r="P7" i="6"/>
  <c r="J22" i="6"/>
  <c r="J17" i="6"/>
  <c r="AE51" i="6"/>
  <c r="H25" i="6"/>
  <c r="P25" i="6" s="1"/>
  <c r="I15" i="6"/>
  <c r="J31" i="6"/>
  <c r="AD11" i="6"/>
  <c r="AG83" i="6"/>
  <c r="P74" i="6"/>
  <c r="Q55" i="6"/>
  <c r="AE39" i="6"/>
  <c r="P35" i="6"/>
  <c r="J32" i="6"/>
  <c r="AG31" i="6"/>
  <c r="AD29" i="6"/>
  <c r="H28" i="6"/>
  <c r="Q27" i="6"/>
  <c r="H26" i="6"/>
  <c r="AD25" i="6"/>
  <c r="Q21" i="6"/>
  <c r="H16" i="6"/>
  <c r="P15" i="6"/>
  <c r="J14" i="6"/>
  <c r="P13" i="6"/>
  <c r="AE12" i="6"/>
  <c r="AE10" i="6"/>
  <c r="J9" i="6"/>
  <c r="AE20" i="6"/>
  <c r="AD12" i="6"/>
  <c r="AD10" i="6"/>
  <c r="H27" i="6"/>
  <c r="Q14" i="6"/>
  <c r="Q94" i="6"/>
  <c r="Q22" i="6"/>
  <c r="I99" i="6"/>
  <c r="J90" i="6"/>
  <c r="L90" i="6" s="1"/>
  <c r="AI90" i="6" s="1"/>
  <c r="AF83" i="6"/>
  <c r="Q71" i="6"/>
  <c r="AI65" i="6"/>
  <c r="P63" i="6"/>
  <c r="J57" i="6"/>
  <c r="L57" i="6" s="1"/>
  <c r="AI57" i="6" s="1"/>
  <c r="P55" i="6"/>
  <c r="H52" i="6"/>
  <c r="AG41" i="6"/>
  <c r="Q39" i="6"/>
  <c r="L35" i="6"/>
  <c r="AI35" i="6" s="1"/>
  <c r="J34" i="6"/>
  <c r="AF31" i="6"/>
  <c r="Q29" i="6"/>
  <c r="P27" i="6"/>
  <c r="H24" i="6"/>
  <c r="P23" i="6"/>
  <c r="P21" i="6"/>
  <c r="AG6" i="6"/>
  <c r="P47" i="6"/>
  <c r="AG22" i="6"/>
  <c r="J10" i="6"/>
  <c r="L10" i="6" s="1"/>
  <c r="AI10" i="6" s="1"/>
  <c r="AD70" i="6"/>
  <c r="AG30" i="6"/>
  <c r="H93" i="6"/>
  <c r="AD72" i="6"/>
  <c r="H60" i="6"/>
  <c r="AD41" i="6"/>
  <c r="P39" i="6"/>
  <c r="H32" i="6"/>
  <c r="P31" i="6"/>
  <c r="J30" i="6"/>
  <c r="L30" i="6" s="1"/>
  <c r="P29" i="6"/>
  <c r="J25" i="6"/>
  <c r="AD20" i="6"/>
  <c r="AD18" i="6"/>
  <c r="Q12" i="6"/>
  <c r="H11" i="6"/>
  <c r="Q10" i="6"/>
  <c r="H9" i="6"/>
  <c r="J7" i="6"/>
  <c r="Q6" i="6"/>
  <c r="P6" i="6"/>
  <c r="AF66" i="6"/>
  <c r="H40" i="6"/>
  <c r="I38" i="6"/>
  <c r="Q26" i="6"/>
  <c r="J23" i="6"/>
  <c r="P20" i="6"/>
  <c r="J42" i="6"/>
  <c r="H33" i="6"/>
  <c r="I86" i="6"/>
  <c r="J75" i="6"/>
  <c r="L75" i="6" s="1"/>
  <c r="AI75" i="6" s="1"/>
  <c r="P72" i="6"/>
  <c r="AD69" i="6"/>
  <c r="AG66" i="6"/>
  <c r="J50" i="6"/>
  <c r="L50" i="6" s="1"/>
  <c r="AI50" i="6" s="1"/>
  <c r="Q47" i="6"/>
  <c r="I46" i="6"/>
  <c r="AE43" i="6"/>
  <c r="P42" i="6"/>
  <c r="Q41" i="6"/>
  <c r="L39" i="6"/>
  <c r="AI39" i="6" s="1"/>
  <c r="J38" i="6"/>
  <c r="J37" i="6"/>
  <c r="H36" i="6"/>
  <c r="H34" i="6"/>
  <c r="J33" i="6"/>
  <c r="L31" i="6"/>
  <c r="AI31" i="6" s="1"/>
  <c r="AI30" i="6"/>
  <c r="AD28" i="6"/>
  <c r="I27" i="6"/>
  <c r="AD26" i="6"/>
  <c r="I25" i="6"/>
  <c r="Q20" i="6"/>
  <c r="H19" i="6"/>
  <c r="Q18" i="6"/>
  <c r="H17" i="6"/>
  <c r="J15" i="6"/>
  <c r="AG14" i="6"/>
  <c r="P12" i="6"/>
  <c r="I7" i="6"/>
  <c r="I91" i="6"/>
  <c r="P43" i="6"/>
  <c r="L41" i="6"/>
  <c r="AI41" i="6" s="1"/>
  <c r="AF54" i="6"/>
  <c r="AF27" i="6"/>
  <c r="I23" i="6"/>
  <c r="J18" i="6"/>
  <c r="P14" i="6"/>
  <c r="J8" i="6"/>
  <c r="AE97" i="6"/>
  <c r="AF97" i="6"/>
  <c r="AE89" i="6"/>
  <c r="AF89" i="6"/>
  <c r="AE81" i="6"/>
  <c r="AF81" i="6"/>
  <c r="AE73" i="6"/>
  <c r="AF73" i="6"/>
  <c r="AE65" i="6"/>
  <c r="AF65" i="6"/>
  <c r="AE57" i="6"/>
  <c r="AF57" i="6"/>
  <c r="AE49" i="6"/>
  <c r="AF49" i="6"/>
  <c r="AE41" i="6"/>
  <c r="AF41" i="6"/>
  <c r="AE96" i="6"/>
  <c r="AF96" i="6"/>
  <c r="AG96" i="6"/>
  <c r="AE88" i="6"/>
  <c r="AF88" i="6"/>
  <c r="AG88" i="6"/>
  <c r="AE80" i="6"/>
  <c r="AF80" i="6"/>
  <c r="AG80" i="6"/>
  <c r="AE72" i="6"/>
  <c r="AF72" i="6"/>
  <c r="AG72" i="6"/>
  <c r="AE64" i="6"/>
  <c r="AF64" i="6"/>
  <c r="AG64" i="6"/>
  <c r="AE56" i="6"/>
  <c r="AF56" i="6"/>
  <c r="AG56" i="6"/>
  <c r="AE95" i="6"/>
  <c r="AF95" i="6"/>
  <c r="AG95" i="6"/>
  <c r="AE94" i="6"/>
  <c r="AF94" i="6"/>
  <c r="AG94" i="6"/>
  <c r="AF98" i="6"/>
  <c r="AE98" i="6"/>
  <c r="AF90" i="6"/>
  <c r="AE90" i="6"/>
  <c r="AF82" i="6"/>
  <c r="AE82" i="6"/>
  <c r="AF74" i="6"/>
  <c r="AE74" i="6"/>
  <c r="AF87" i="6"/>
  <c r="AG87" i="6"/>
  <c r="I85" i="6"/>
  <c r="P85" i="6"/>
  <c r="I84" i="6"/>
  <c r="P84" i="6"/>
  <c r="AE70" i="6"/>
  <c r="AG70" i="6"/>
  <c r="AF63" i="6"/>
  <c r="AG63" i="6"/>
  <c r="I45" i="6"/>
  <c r="P45" i="6"/>
  <c r="AF78" i="6"/>
  <c r="AE78" i="6"/>
  <c r="AG78" i="6"/>
  <c r="I61" i="6"/>
  <c r="P61" i="6"/>
  <c r="P71" i="6"/>
  <c r="I71" i="6"/>
  <c r="I69" i="6"/>
  <c r="P69" i="6"/>
  <c r="AE62" i="6"/>
  <c r="AG62" i="6"/>
  <c r="I59" i="6"/>
  <c r="P59" i="6"/>
  <c r="AF55" i="6"/>
  <c r="AG55" i="6"/>
  <c r="AE30" i="6"/>
  <c r="AF30" i="6"/>
  <c r="AE22" i="6"/>
  <c r="AF22" i="6"/>
  <c r="AE14" i="6"/>
  <c r="AF14" i="6"/>
  <c r="AE54" i="6"/>
  <c r="AG54" i="6"/>
  <c r="L51" i="6"/>
  <c r="AI51" i="6" s="1"/>
  <c r="L47" i="6"/>
  <c r="AI47" i="6" s="1"/>
  <c r="AG43" i="6"/>
  <c r="AF43" i="6"/>
  <c r="AE29" i="6"/>
  <c r="AF29" i="6"/>
  <c r="AG29" i="6"/>
  <c r="AE21" i="6"/>
  <c r="AF21" i="6"/>
  <c r="AG21" i="6"/>
  <c r="AE13" i="6"/>
  <c r="AF13" i="6"/>
  <c r="AG13" i="6"/>
  <c r="I68" i="6"/>
  <c r="P68" i="6"/>
  <c r="P79" i="6"/>
  <c r="I79" i="6"/>
  <c r="I77" i="6"/>
  <c r="P77" i="6"/>
  <c r="AF58" i="6"/>
  <c r="AG58" i="6"/>
  <c r="AE58" i="6"/>
  <c r="I53" i="6"/>
  <c r="P53" i="6"/>
  <c r="L49" i="6"/>
  <c r="AI49" i="6" s="1"/>
  <c r="I76" i="6"/>
  <c r="P76" i="6"/>
  <c r="AF42" i="6"/>
  <c r="AG42" i="6"/>
  <c r="AE42" i="6"/>
  <c r="AF12" i="6"/>
  <c r="AG12" i="6"/>
  <c r="I92" i="6"/>
  <c r="P92" i="6"/>
  <c r="L74" i="6"/>
  <c r="AI74" i="6" s="1"/>
  <c r="AE67" i="6"/>
  <c r="AF67" i="6"/>
  <c r="AG67" i="6"/>
  <c r="P48" i="6"/>
  <c r="I48" i="6"/>
  <c r="I44" i="6"/>
  <c r="P44" i="6"/>
  <c r="AF20" i="6"/>
  <c r="AG20" i="6"/>
  <c r="I18" i="6"/>
  <c r="P18" i="6"/>
  <c r="I8" i="6"/>
  <c r="P8" i="6"/>
  <c r="AF15" i="6"/>
  <c r="AG15" i="6"/>
  <c r="AE15" i="6"/>
  <c r="L83" i="6"/>
  <c r="AI83" i="6" s="1"/>
  <c r="P28" i="6"/>
  <c r="I28" i="6"/>
  <c r="I26" i="6"/>
  <c r="P26" i="6"/>
  <c r="I16" i="6"/>
  <c r="P16" i="6"/>
  <c r="AF99" i="6"/>
  <c r="AG99" i="6"/>
  <c r="AE99" i="6"/>
  <c r="I52" i="6"/>
  <c r="P52" i="6"/>
  <c r="I24" i="6"/>
  <c r="P24" i="6"/>
  <c r="L6" i="6"/>
  <c r="AI6" i="6" s="1"/>
  <c r="L22" i="6"/>
  <c r="AI22" i="6" s="1"/>
  <c r="I93" i="6"/>
  <c r="P93" i="6"/>
  <c r="I60" i="6"/>
  <c r="P60" i="6"/>
  <c r="I32" i="6"/>
  <c r="P32" i="6"/>
  <c r="I11" i="6"/>
  <c r="P11" i="6"/>
  <c r="I9" i="6"/>
  <c r="P9" i="6"/>
  <c r="P40" i="6"/>
  <c r="I40" i="6"/>
  <c r="AF38" i="6"/>
  <c r="AG38" i="6"/>
  <c r="AE38" i="6"/>
  <c r="I33" i="6"/>
  <c r="P33" i="6"/>
  <c r="AF86" i="6"/>
  <c r="AE86" i="6"/>
  <c r="AG86" i="6"/>
  <c r="L66" i="6"/>
  <c r="AI66" i="6" s="1"/>
  <c r="AG46" i="6"/>
  <c r="AF46" i="6"/>
  <c r="AE46" i="6"/>
  <c r="I36" i="6"/>
  <c r="P36" i="6"/>
  <c r="I34" i="6"/>
  <c r="P34" i="6"/>
  <c r="AE27" i="6"/>
  <c r="AG27" i="6"/>
  <c r="AG25" i="6"/>
  <c r="AE25" i="6"/>
  <c r="AF25" i="6"/>
  <c r="I19" i="6"/>
  <c r="P19" i="6"/>
  <c r="I17" i="6"/>
  <c r="P17" i="6"/>
  <c r="L14" i="6"/>
  <c r="AI14" i="6" s="1"/>
  <c r="AG7" i="6"/>
  <c r="AF7" i="6"/>
  <c r="AE7" i="6"/>
  <c r="AF91" i="6"/>
  <c r="AG91" i="6"/>
  <c r="AE91" i="6"/>
  <c r="AF23" i="6"/>
  <c r="AG23" i="6"/>
  <c r="AE23" i="6"/>
  <c r="L96" i="6"/>
  <c r="AI96" i="6" s="1"/>
  <c r="L88" i="6"/>
  <c r="AI88" i="6" s="1"/>
  <c r="L80" i="6"/>
  <c r="AI80" i="6" s="1"/>
  <c r="L72" i="6"/>
  <c r="AI72" i="6" s="1"/>
  <c r="L64" i="6"/>
  <c r="AI64" i="6" s="1"/>
  <c r="L56" i="6"/>
  <c r="AI56" i="6" s="1"/>
  <c r="L95" i="6"/>
  <c r="AI95" i="6" s="1"/>
  <c r="L94" i="6"/>
  <c r="AI94" i="6" s="1"/>
  <c r="L87" i="6"/>
  <c r="AI87" i="6" s="1"/>
  <c r="AG85" i="6"/>
  <c r="AE85" i="6"/>
  <c r="AF85" i="6"/>
  <c r="AE84" i="6"/>
  <c r="AF84" i="6"/>
  <c r="AG84" i="6"/>
  <c r="L70" i="6"/>
  <c r="AI70" i="6" s="1"/>
  <c r="L63" i="6"/>
  <c r="AI63" i="6" s="1"/>
  <c r="AG45" i="6"/>
  <c r="AE45" i="6"/>
  <c r="AF45" i="6"/>
  <c r="L78" i="6"/>
  <c r="AI78" i="6" s="1"/>
  <c r="AG61" i="6"/>
  <c r="AE61" i="6"/>
  <c r="AF61" i="6"/>
  <c r="AE71" i="6"/>
  <c r="AF71" i="6"/>
  <c r="AG71" i="6"/>
  <c r="AE69" i="6"/>
  <c r="AG69" i="6"/>
  <c r="AF69" i="6"/>
  <c r="L62" i="6"/>
  <c r="AI62" i="6" s="1"/>
  <c r="AE59" i="6"/>
  <c r="AF59" i="6"/>
  <c r="AG59" i="6"/>
  <c r="L55" i="6"/>
  <c r="AI55" i="6" s="1"/>
  <c r="L54" i="6"/>
  <c r="AI54" i="6" s="1"/>
  <c r="L43" i="6"/>
  <c r="AI43" i="6" s="1"/>
  <c r="L29" i="6"/>
  <c r="AI29" i="6" s="1"/>
  <c r="L21" i="6"/>
  <c r="AI21" i="6" s="1"/>
  <c r="L13" i="6"/>
  <c r="AI13" i="6" s="1"/>
  <c r="AF68" i="6"/>
  <c r="AE68" i="6"/>
  <c r="AG68" i="6"/>
  <c r="AE79" i="6"/>
  <c r="AF79" i="6"/>
  <c r="AG79" i="6"/>
  <c r="AE77" i="6"/>
  <c r="AG77" i="6"/>
  <c r="AF77" i="6"/>
  <c r="L58" i="6"/>
  <c r="AI58" i="6" s="1"/>
  <c r="AG53" i="6"/>
  <c r="AE53" i="6"/>
  <c r="AF53" i="6"/>
  <c r="AE76" i="6"/>
  <c r="AF76" i="6"/>
  <c r="AG76" i="6"/>
  <c r="L42" i="6"/>
  <c r="AI42" i="6" s="1"/>
  <c r="L12" i="6"/>
  <c r="AI12" i="6" s="1"/>
  <c r="AE92" i="6"/>
  <c r="AF92" i="6"/>
  <c r="AG92" i="6"/>
  <c r="L67" i="6"/>
  <c r="AI67" i="6" s="1"/>
  <c r="AE48" i="6"/>
  <c r="AF48" i="6"/>
  <c r="AG48" i="6"/>
  <c r="AF44" i="6"/>
  <c r="AE44" i="6"/>
  <c r="AG44" i="6"/>
  <c r="L20" i="6"/>
  <c r="AI20" i="6" s="1"/>
  <c r="AE18" i="6"/>
  <c r="AF18" i="6"/>
  <c r="AG18" i="6"/>
  <c r="AE8" i="6"/>
  <c r="AF8" i="6"/>
  <c r="AG8" i="6"/>
  <c r="L15" i="6"/>
  <c r="AI15" i="6" s="1"/>
  <c r="AE28" i="6"/>
  <c r="AF28" i="6"/>
  <c r="AG28" i="6"/>
  <c r="AE26" i="6"/>
  <c r="AF26" i="6"/>
  <c r="AG26" i="6"/>
  <c r="AE16" i="6"/>
  <c r="AF16" i="6"/>
  <c r="AG16" i="6"/>
  <c r="L99" i="6"/>
  <c r="AI99" i="6" s="1"/>
  <c r="AE52" i="6"/>
  <c r="AF52" i="6"/>
  <c r="AG52" i="6"/>
  <c r="AE24" i="6"/>
  <c r="AF24" i="6"/>
  <c r="AG24" i="6"/>
  <c r="AE93" i="6"/>
  <c r="AF93" i="6"/>
  <c r="AG93" i="6"/>
  <c r="AE60" i="6"/>
  <c r="AF60" i="6"/>
  <c r="AG60" i="6"/>
  <c r="AG32" i="6"/>
  <c r="AF32" i="6"/>
  <c r="AE32" i="6"/>
  <c r="AF11" i="6"/>
  <c r="AE11" i="6"/>
  <c r="AG11" i="6"/>
  <c r="AG9" i="6"/>
  <c r="AE9" i="6"/>
  <c r="AF9" i="6"/>
  <c r="AE40" i="6"/>
  <c r="AF40" i="6"/>
  <c r="AG40" i="6"/>
  <c r="L38" i="6"/>
  <c r="AI38" i="6" s="1"/>
  <c r="AE33" i="6"/>
  <c r="AF33" i="6"/>
  <c r="AG33" i="6"/>
  <c r="L86" i="6"/>
  <c r="AI86" i="6" s="1"/>
  <c r="L46" i="6"/>
  <c r="AI46" i="6" s="1"/>
  <c r="AE36" i="6"/>
  <c r="AF36" i="6"/>
  <c r="AG36" i="6"/>
  <c r="AF34" i="6"/>
  <c r="AG34" i="6"/>
  <c r="AE34" i="6"/>
  <c r="L27" i="6"/>
  <c r="AI27" i="6" s="1"/>
  <c r="L25" i="6"/>
  <c r="AI25" i="6" s="1"/>
  <c r="AE19" i="6"/>
  <c r="AF19" i="6"/>
  <c r="AG19" i="6"/>
  <c r="AF17" i="6"/>
  <c r="AG17" i="6"/>
  <c r="AE17" i="6"/>
  <c r="L7" i="6"/>
  <c r="AI7" i="6" s="1"/>
  <c r="L91" i="6"/>
  <c r="AI91" i="6" s="1"/>
  <c r="L23" i="6"/>
  <c r="AI23" i="6" s="1"/>
  <c r="L85" i="6"/>
  <c r="AI85" i="6" s="1"/>
  <c r="L84" i="6"/>
  <c r="AI84" i="6" s="1"/>
  <c r="L45" i="6"/>
  <c r="AI45" i="6" s="1"/>
  <c r="L61" i="6"/>
  <c r="AI61" i="6" s="1"/>
  <c r="L71" i="6"/>
  <c r="AI71" i="6" s="1"/>
  <c r="L69" i="6"/>
  <c r="AI69" i="6" s="1"/>
  <c r="L59" i="6"/>
  <c r="AI59" i="6" s="1"/>
  <c r="L68" i="6"/>
  <c r="AI68" i="6" s="1"/>
  <c r="L79" i="6"/>
  <c r="AI79" i="6" s="1"/>
  <c r="L77" i="6"/>
  <c r="AI77" i="6" s="1"/>
  <c r="L53" i="6"/>
  <c r="AI53" i="6" s="1"/>
  <c r="L76" i="6"/>
  <c r="AI76" i="6" s="1"/>
  <c r="L92" i="6"/>
  <c r="AI92" i="6" s="1"/>
  <c r="L48" i="6"/>
  <c r="AI48" i="6" s="1"/>
  <c r="L44" i="6"/>
  <c r="AI44" i="6" s="1"/>
  <c r="L18" i="6"/>
  <c r="AI18" i="6" s="1"/>
  <c r="L8" i="6"/>
  <c r="AI8" i="6" s="1"/>
  <c r="L28" i="6"/>
  <c r="AI28" i="6" s="1"/>
  <c r="L26" i="6"/>
  <c r="AI26" i="6" s="1"/>
  <c r="L16" i="6"/>
  <c r="AI16" i="6" s="1"/>
  <c r="L52" i="6"/>
  <c r="AI52" i="6" s="1"/>
  <c r="L24" i="6"/>
  <c r="AI24" i="6" s="1"/>
  <c r="L93" i="6"/>
  <c r="AI93" i="6" s="1"/>
  <c r="L60" i="6"/>
  <c r="AI60" i="6" s="1"/>
  <c r="L32" i="6"/>
  <c r="AI32" i="6" s="1"/>
  <c r="L11" i="6"/>
  <c r="AI11" i="6" s="1"/>
  <c r="L9" i="6"/>
  <c r="AI9" i="6" s="1"/>
  <c r="L40" i="6"/>
  <c r="AI40" i="6" s="1"/>
  <c r="L33" i="6"/>
  <c r="AI33" i="6" s="1"/>
  <c r="L36" i="6"/>
  <c r="AI36" i="6" s="1"/>
  <c r="L34" i="6"/>
  <c r="AI34" i="6" s="1"/>
  <c r="L19" i="6"/>
  <c r="AI19" i="6" s="1"/>
  <c r="L17" i="6"/>
  <c r="AI17" i="6" s="1"/>
  <c r="AH17" i="6" l="1"/>
  <c r="AJ17" i="6"/>
  <c r="AJ19" i="6"/>
  <c r="AH19" i="6"/>
  <c r="AH34" i="6"/>
  <c r="AJ34" i="6"/>
  <c r="AJ36" i="6"/>
  <c r="AH36" i="6"/>
  <c r="AJ33" i="6"/>
  <c r="AH33" i="6"/>
  <c r="AJ40" i="6"/>
  <c r="AH40" i="6"/>
  <c r="AH9" i="6"/>
  <c r="AJ9" i="6"/>
  <c r="AJ11" i="6"/>
  <c r="AH11" i="6"/>
  <c r="AH32" i="6"/>
  <c r="AJ32" i="6"/>
  <c r="AJ60" i="6"/>
  <c r="AH60" i="6"/>
  <c r="AJ93" i="6"/>
  <c r="AH93" i="6"/>
  <c r="AJ24" i="6"/>
  <c r="AH24" i="6"/>
  <c r="AJ52" i="6"/>
  <c r="AH52" i="6"/>
  <c r="AJ16" i="6"/>
  <c r="AH16" i="6"/>
  <c r="AJ26" i="6"/>
  <c r="AH26" i="6"/>
  <c r="AJ28" i="6"/>
  <c r="AH28" i="6"/>
  <c r="AJ8" i="6"/>
  <c r="AH8" i="6"/>
  <c r="AJ18" i="6"/>
  <c r="AH18" i="6"/>
  <c r="AJ44" i="6"/>
  <c r="AH44" i="6"/>
  <c r="AJ48" i="6"/>
  <c r="AH48" i="6"/>
  <c r="AJ92" i="6"/>
  <c r="AH92" i="6"/>
  <c r="AJ76" i="6"/>
  <c r="AH76" i="6"/>
  <c r="AH53" i="6"/>
  <c r="AJ53" i="6"/>
  <c r="AJ77" i="6"/>
  <c r="AH77" i="6"/>
  <c r="AJ79" i="6"/>
  <c r="AH79" i="6"/>
  <c r="AJ68" i="6"/>
  <c r="AH68" i="6"/>
  <c r="AJ59" i="6"/>
  <c r="AH59" i="6"/>
  <c r="AJ69" i="6"/>
  <c r="AH69" i="6"/>
  <c r="AJ71" i="6"/>
  <c r="AH71" i="6"/>
  <c r="AH61" i="6"/>
  <c r="AJ61" i="6"/>
  <c r="AH45" i="6"/>
  <c r="AJ45" i="6"/>
  <c r="AJ84" i="6"/>
  <c r="AH84" i="6"/>
  <c r="AH85" i="6"/>
  <c r="AJ85" i="6"/>
  <c r="AH23" i="6"/>
  <c r="AJ23" i="6"/>
  <c r="AH91" i="6"/>
  <c r="AJ91" i="6"/>
  <c r="AH7" i="6"/>
  <c r="AJ7" i="6"/>
  <c r="AH25" i="6"/>
  <c r="AJ25" i="6"/>
  <c r="AJ27" i="6"/>
  <c r="AH27" i="6"/>
  <c r="AH46" i="6"/>
  <c r="AJ46" i="6"/>
  <c r="AJ86" i="6"/>
  <c r="AH86" i="6"/>
  <c r="AH38" i="6"/>
  <c r="AJ38" i="6"/>
  <c r="AH99" i="6"/>
  <c r="AJ99" i="6"/>
  <c r="AH15" i="6"/>
  <c r="AJ15" i="6"/>
  <c r="AJ20" i="6"/>
  <c r="AJ67" i="6"/>
  <c r="AH67" i="6"/>
  <c r="AJ12" i="6"/>
  <c r="AH42" i="6"/>
  <c r="AJ42" i="6"/>
  <c r="AH58" i="6"/>
  <c r="AJ58" i="6"/>
  <c r="AJ13" i="6"/>
  <c r="AH13" i="6"/>
  <c r="AJ21" i="6"/>
  <c r="AH21" i="6"/>
  <c r="AJ29" i="6"/>
  <c r="AH29" i="6"/>
  <c r="AJ43" i="6"/>
  <c r="AJ54" i="6"/>
  <c r="AH54" i="6"/>
  <c r="AH14" i="6"/>
  <c r="AH22" i="6"/>
  <c r="AH30" i="6"/>
  <c r="AJ55" i="6"/>
  <c r="AJ62" i="6"/>
  <c r="AH62" i="6"/>
  <c r="AJ78" i="6"/>
  <c r="AH78" i="6"/>
  <c r="AJ63" i="6"/>
  <c r="AJ70" i="6"/>
  <c r="AH70" i="6"/>
  <c r="AJ87" i="6"/>
  <c r="AH74" i="6"/>
  <c r="AH82" i="6"/>
  <c r="AH90" i="6"/>
  <c r="AH98" i="6"/>
  <c r="AJ94" i="6"/>
  <c r="AH94" i="6"/>
  <c r="AJ95" i="6"/>
  <c r="AH95" i="6"/>
  <c r="AJ56" i="6"/>
  <c r="AH56" i="6"/>
  <c r="AJ64" i="6"/>
  <c r="AH64" i="6"/>
  <c r="AJ72" i="6"/>
  <c r="AH72" i="6"/>
  <c r="AJ80" i="6"/>
  <c r="AH80" i="6"/>
  <c r="AJ88" i="6"/>
  <c r="AH88" i="6"/>
  <c r="AJ96" i="6"/>
  <c r="AH96" i="6"/>
  <c r="AH41" i="6"/>
  <c r="AH49" i="6"/>
  <c r="AH57" i="6"/>
  <c r="AH65" i="6"/>
  <c r="AH73" i="6"/>
  <c r="AH81" i="6"/>
  <c r="AH89" i="6"/>
  <c r="AH97" i="6"/>
  <c r="AJ14" i="6"/>
  <c r="AH43" i="6"/>
  <c r="AJ66" i="6"/>
  <c r="AJ30" i="6"/>
  <c r="AJ22" i="6"/>
  <c r="AJ6" i="6"/>
  <c r="AJ41" i="6"/>
  <c r="AH20" i="6"/>
  <c r="AH10" i="6"/>
  <c r="AH12" i="6"/>
  <c r="AJ31" i="6"/>
  <c r="AH39" i="6"/>
  <c r="AJ83" i="6"/>
  <c r="AH51" i="6"/>
  <c r="AH35" i="6"/>
  <c r="AJ74" i="6"/>
  <c r="AJ10" i="6"/>
  <c r="AH31" i="6"/>
  <c r="AH47" i="6"/>
  <c r="AJ49" i="6"/>
  <c r="AH55" i="6"/>
  <c r="AJ90" i="6"/>
  <c r="AJ47" i="6"/>
  <c r="AJ51" i="6"/>
  <c r="AH66" i="6"/>
  <c r="AJ75" i="6"/>
  <c r="AH83" i="6"/>
  <c r="AJ98" i="6"/>
  <c r="AH87" i="6"/>
  <c r="AH6" i="6"/>
  <c r="AJ35" i="6"/>
  <c r="AJ39" i="6"/>
  <c r="AJ50" i="6"/>
  <c r="AJ57" i="6"/>
  <c r="AH63" i="6"/>
  <c r="AJ65" i="6"/>
  <c r="AJ82" i="6"/>
  <c r="AH50" i="6"/>
  <c r="AH75" i="6"/>
  <c r="AJ73" i="6"/>
  <c r="AJ81" i="6"/>
  <c r="AJ89" i="6"/>
  <c r="AJ97" i="6"/>
  <c r="E37" i="6"/>
  <c r="Q37" i="6"/>
  <c r="AD37" i="6"/>
  <c r="H37" i="6"/>
  <c r="I37" i="6"/>
  <c r="P37" i="6"/>
  <c r="AE37" i="6"/>
  <c r="AG37" i="6"/>
  <c r="AF37" i="6"/>
  <c r="L37" i="6"/>
  <c r="AI37" i="6" s="1"/>
  <c r="AJ37" i="6" l="1"/>
  <c r="AH37" i="6"/>
</calcChain>
</file>

<file path=xl/sharedStrings.xml><?xml version="1.0" encoding="utf-8"?>
<sst xmlns="http://schemas.openxmlformats.org/spreadsheetml/2006/main" count="542" uniqueCount="233">
  <si>
    <t>ID</t>
  </si>
  <si>
    <t>Canal 01 - Dimension</t>
  </si>
  <si>
    <t>JackCad Form</t>
  </si>
  <si>
    <t>Petak</t>
  </si>
  <si>
    <t>Saluran</t>
  </si>
  <si>
    <t>A</t>
  </si>
  <si>
    <t>Q</t>
  </si>
  <si>
    <t>b</t>
  </si>
  <si>
    <t>h</t>
  </si>
  <si>
    <t>w</t>
  </si>
  <si>
    <t>m</t>
  </si>
  <si>
    <t>k</t>
  </si>
  <si>
    <t>n</t>
  </si>
  <si>
    <t>V</t>
  </si>
  <si>
    <t>i</t>
  </si>
  <si>
    <t>Lebar</t>
  </si>
  <si>
    <t xml:space="preserve"> Berm</t>
  </si>
  <si>
    <t xml:space="preserve"> Berm W</t>
  </si>
  <si>
    <t xml:space="preserve"> Berm H</t>
  </si>
  <si>
    <t>b jln</t>
  </si>
  <si>
    <t xml:space="preserve"> Pave</t>
  </si>
  <si>
    <t xml:space="preserve"> Slope</t>
  </si>
  <si>
    <t>Lining</t>
  </si>
  <si>
    <t>Kontrol</t>
  </si>
  <si>
    <t>Tersier</t>
  </si>
  <si>
    <t>(ha)</t>
  </si>
  <si>
    <r>
      <t>(lt</t>
    </r>
    <r>
      <rPr>
        <sz val="10"/>
        <rFont val="Arial"/>
        <family val="2"/>
      </rPr>
      <t>/dt)</t>
    </r>
  </si>
  <si>
    <t>(m)</t>
  </si>
  <si>
    <r>
      <t>(m</t>
    </r>
    <r>
      <rPr>
        <vertAlign val="superscript"/>
        <sz val="10"/>
        <rFont val="Arial"/>
        <family val="2"/>
      </rPr>
      <t>1/3</t>
    </r>
    <r>
      <rPr>
        <sz val="10"/>
        <rFont val="Arial"/>
        <family val="2"/>
      </rPr>
      <t>/dt)</t>
    </r>
  </si>
  <si>
    <t>(m/dt)</t>
  </si>
  <si>
    <t>tgl kiri</t>
  </si>
  <si>
    <t>tgl kanan</t>
  </si>
  <si>
    <t>luar</t>
  </si>
  <si>
    <t>lining</t>
  </si>
  <si>
    <t>Thick</t>
  </si>
  <si>
    <t>limit</t>
  </si>
  <si>
    <t>dalam</t>
  </si>
  <si>
    <t>kanan</t>
  </si>
  <si>
    <t>kiri</t>
  </si>
  <si>
    <t>Thicknes</t>
  </si>
  <si>
    <t>jln</t>
  </si>
  <si>
    <t>(E/M/C)</t>
  </si>
  <si>
    <t>P</t>
  </si>
  <si>
    <t>R</t>
  </si>
  <si>
    <t>FR</t>
  </si>
  <si>
    <t>E</t>
  </si>
  <si>
    <t>Lubuk Seberuk</t>
  </si>
  <si>
    <t>DM sawah</t>
  </si>
  <si>
    <t>Others</t>
  </si>
  <si>
    <t>DM pemukiman</t>
  </si>
  <si>
    <t xml:space="preserve"> Lining</t>
  </si>
  <si>
    <t>Kriteria</t>
  </si>
  <si>
    <t>Hidrolis</t>
  </si>
  <si>
    <t>Cathment area</t>
  </si>
  <si>
    <t>Debit</t>
  </si>
  <si>
    <r>
      <rPr>
        <sz val="12"/>
        <rFont val="Times New Roman"/>
        <family val="1"/>
      </rPr>
      <t>IR</t>
    </r>
    <r>
      <rPr>
        <vertAlign val="superscript"/>
        <sz val="12"/>
        <rFont val="Times New Roman"/>
        <family val="1"/>
      </rPr>
      <t>(1/2)</t>
    </r>
  </si>
  <si>
    <t>pemukiman</t>
  </si>
  <si>
    <t>sawah</t>
  </si>
  <si>
    <t>dp2-1</t>
  </si>
  <si>
    <t>DS. Tembesu</t>
  </si>
  <si>
    <t>Tembesu</t>
  </si>
  <si>
    <t>dp2-2</t>
  </si>
  <si>
    <t>dp2-3</t>
  </si>
  <si>
    <t>dp2-4</t>
  </si>
  <si>
    <t>dp2-5</t>
  </si>
  <si>
    <t>dp2-6</t>
  </si>
  <si>
    <t>ds1-1a</t>
  </si>
  <si>
    <t>DS. WS 9</t>
  </si>
  <si>
    <t>ds1-1</t>
  </si>
  <si>
    <t>WS 9</t>
  </si>
  <si>
    <t>ds1-1b</t>
  </si>
  <si>
    <t>ds1-2</t>
  </si>
  <si>
    <t>ds1-3</t>
  </si>
  <si>
    <t>ds1-4</t>
  </si>
  <si>
    <t>ds2-1</t>
  </si>
  <si>
    <t>DS. LMB 7</t>
  </si>
  <si>
    <t>LMB 7</t>
  </si>
  <si>
    <t>ds2-2</t>
  </si>
  <si>
    <t>ds4-1a</t>
  </si>
  <si>
    <t>DS. MJ 1</t>
  </si>
  <si>
    <t>ds4-1</t>
  </si>
  <si>
    <t>MJ 1</t>
  </si>
  <si>
    <t>ds4-1b</t>
  </si>
  <si>
    <t>ds4-2</t>
  </si>
  <si>
    <t>ds5-1</t>
  </si>
  <si>
    <t>DS. Sepungkur</t>
  </si>
  <si>
    <t>Sepungkur</t>
  </si>
  <si>
    <t>ds5-2</t>
  </si>
  <si>
    <t>ds5-3</t>
  </si>
  <si>
    <t>ds5-4</t>
  </si>
  <si>
    <t>ds5-5</t>
  </si>
  <si>
    <t>ds5-6</t>
  </si>
  <si>
    <t>ds5-7</t>
  </si>
  <si>
    <t>ds5-8</t>
  </si>
  <si>
    <t>ds6-1</t>
  </si>
  <si>
    <t>DS. Anak Sepungkur</t>
  </si>
  <si>
    <t>Anak Sepungkur</t>
  </si>
  <si>
    <t>ds6-2a</t>
  </si>
  <si>
    <t>ds6-2</t>
  </si>
  <si>
    <t>ds6-2b</t>
  </si>
  <si>
    <t>ds6-3</t>
  </si>
  <si>
    <t>ds7</t>
  </si>
  <si>
    <t>DS. WS 1</t>
  </si>
  <si>
    <t>WS 1</t>
  </si>
  <si>
    <t>ds8</t>
  </si>
  <si>
    <t>DS. WS 8</t>
  </si>
  <si>
    <t>WS 8</t>
  </si>
  <si>
    <t>ds9-1</t>
  </si>
  <si>
    <t>DS. MJ 2</t>
  </si>
  <si>
    <t>MJ 2</t>
  </si>
  <si>
    <t>ds9-2a</t>
  </si>
  <si>
    <t>ds9-2</t>
  </si>
  <si>
    <t>ds9-2b</t>
  </si>
  <si>
    <t>ds9-3</t>
  </si>
  <si>
    <t>ds10</t>
  </si>
  <si>
    <t>DS. MJ 7kn</t>
  </si>
  <si>
    <t>MJ 7kn</t>
  </si>
  <si>
    <t>ds11-1a</t>
  </si>
  <si>
    <t>DS. Macan Tandan</t>
  </si>
  <si>
    <t>ds11-1</t>
  </si>
  <si>
    <t>Macan Tandan</t>
  </si>
  <si>
    <t>ds11-1b</t>
  </si>
  <si>
    <t>ds11-2</t>
  </si>
  <si>
    <t>ds11-3</t>
  </si>
  <si>
    <t>ds11-4</t>
  </si>
  <si>
    <t>ds12-1</t>
  </si>
  <si>
    <t>DS. LS 3</t>
  </si>
  <si>
    <t>LS 3</t>
  </si>
  <si>
    <t>ds12-2</t>
  </si>
  <si>
    <t>ds12-3</t>
  </si>
  <si>
    <t>ds13-1a</t>
  </si>
  <si>
    <t>DS. TM 1kn</t>
  </si>
  <si>
    <t>ds13-1</t>
  </si>
  <si>
    <t>TM 1kn</t>
  </si>
  <si>
    <t>ds13-1b</t>
  </si>
  <si>
    <t>ds13-2</t>
  </si>
  <si>
    <t>ds14a</t>
  </si>
  <si>
    <t>DS. LMB 3kn</t>
  </si>
  <si>
    <t>ds14</t>
  </si>
  <si>
    <t>LMB 3kn</t>
  </si>
  <si>
    <t>ds14b</t>
  </si>
  <si>
    <t>ds15-1</t>
  </si>
  <si>
    <t>DS. LMT 3</t>
  </si>
  <si>
    <t>LMT 3</t>
  </si>
  <si>
    <t>ds15-2</t>
  </si>
  <si>
    <t>ds16-1</t>
  </si>
  <si>
    <t>DS. LS 4</t>
  </si>
  <si>
    <t>LS 4</t>
  </si>
  <si>
    <t>ds16-2</t>
  </si>
  <si>
    <t>ds17</t>
  </si>
  <si>
    <t>DS. WS 12</t>
  </si>
  <si>
    <t>WS 12</t>
  </si>
  <si>
    <t>ds18-1a</t>
  </si>
  <si>
    <t>DS. Tugu Mulyo</t>
  </si>
  <si>
    <t>ds18-1</t>
  </si>
  <si>
    <t>Tugu Mulyo</t>
  </si>
  <si>
    <t>ds18-1b</t>
  </si>
  <si>
    <t>ds18-2a</t>
  </si>
  <si>
    <t>ds18-2</t>
  </si>
  <si>
    <t>ds18-2b</t>
  </si>
  <si>
    <t>ds18-3</t>
  </si>
  <si>
    <t>ds19-1a</t>
  </si>
  <si>
    <t>DS. WS 2</t>
  </si>
  <si>
    <t>ds19-1</t>
  </si>
  <si>
    <t>WS 2</t>
  </si>
  <si>
    <t>ds19-1b</t>
  </si>
  <si>
    <t>ds19-2</t>
  </si>
  <si>
    <t>ds20-1</t>
  </si>
  <si>
    <t>DS. Lubuk Seberuk</t>
  </si>
  <si>
    <t>ds20-2</t>
  </si>
  <si>
    <t>ds21</t>
  </si>
  <si>
    <t>DS. LS 8</t>
  </si>
  <si>
    <t>LS 8</t>
  </si>
  <si>
    <t>ds22-1</t>
  </si>
  <si>
    <t>DS. Anak Merah</t>
  </si>
  <si>
    <t>Anak Merah</t>
  </si>
  <si>
    <t>ds22-2</t>
  </si>
  <si>
    <t>ds23-1a</t>
  </si>
  <si>
    <t>DS. LMT 1</t>
  </si>
  <si>
    <t>ds23-1</t>
  </si>
  <si>
    <t>LMT 1</t>
  </si>
  <si>
    <t>ds23-1b</t>
  </si>
  <si>
    <t>ds23-2</t>
  </si>
  <si>
    <t>ds23-3</t>
  </si>
  <si>
    <t>ds24-1a</t>
  </si>
  <si>
    <t>DS. MJ 7kr</t>
  </si>
  <si>
    <t>ds24-1</t>
  </si>
  <si>
    <t>MJ 7kr</t>
  </si>
  <si>
    <t>ds24-1b</t>
  </si>
  <si>
    <t>ds24-2</t>
  </si>
  <si>
    <t>ds25</t>
  </si>
  <si>
    <t>DS. WS 3</t>
  </si>
  <si>
    <t>WS 3</t>
  </si>
  <si>
    <t>ds26-1</t>
  </si>
  <si>
    <t>DS. WS II</t>
  </si>
  <si>
    <t>ds26 -1</t>
  </si>
  <si>
    <t>ds26-2</t>
  </si>
  <si>
    <t>WS II</t>
  </si>
  <si>
    <t>ds27-1</t>
  </si>
  <si>
    <t>DS. WS I.1</t>
  </si>
  <si>
    <t>ds27-2</t>
  </si>
  <si>
    <t>WS I.1</t>
  </si>
  <si>
    <t>ds28</t>
  </si>
  <si>
    <t>DS. LS 6</t>
  </si>
  <si>
    <t>LS 6</t>
  </si>
  <si>
    <t>ds29-1a</t>
  </si>
  <si>
    <t>DS. Kubangan</t>
  </si>
  <si>
    <t>ds29-1</t>
  </si>
  <si>
    <t>Kubangan</t>
  </si>
  <si>
    <t>ds29-1b</t>
  </si>
  <si>
    <t>ds29-2</t>
  </si>
  <si>
    <t>ds29-3</t>
  </si>
  <si>
    <t>ds29-4</t>
  </si>
  <si>
    <t>ds29-5</t>
  </si>
  <si>
    <t>ds30</t>
  </si>
  <si>
    <t>DS. LS 7</t>
  </si>
  <si>
    <t>LS 7</t>
  </si>
  <si>
    <t>ds31-1</t>
  </si>
  <si>
    <t>DS. Gerincing</t>
  </si>
  <si>
    <t>Gerincing</t>
  </si>
  <si>
    <t>ds31-2</t>
  </si>
  <si>
    <t>ds31-3</t>
  </si>
  <si>
    <t>ds31-4</t>
  </si>
  <si>
    <t>ds32</t>
  </si>
  <si>
    <t>DS. LMT 2</t>
  </si>
  <si>
    <t>LMT 2</t>
  </si>
  <si>
    <t>ds55-1</t>
  </si>
  <si>
    <t>DS. MJ 4</t>
  </si>
  <si>
    <t>MJ 4</t>
  </si>
  <si>
    <t>ds55-2</t>
  </si>
  <si>
    <t>ds56</t>
  </si>
  <si>
    <t>DS. MJ I.3</t>
  </si>
  <si>
    <t>MJ I.3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</si>
</sst>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00"/>
    <numFmt numFmtId="166" formatCode="0.00000"/>
    <numFmt numFmtId="168" formatCode="0.00_)"/>
  </numFmts>
  <fonts count="10" x14ac:knownFonts="1">
    <font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4"/>
      <name val="Times New Roman"/>
      <family val="1"/>
    </font>
    <font>
      <vertAlign val="superscript"/>
      <sz val="10"/>
      <name val="Arial"/>
      <family val="2"/>
    </font>
    <font>
      <b/>
      <i/>
      <sz val="12"/>
      <color rgb="FF0070C0"/>
      <name val="Arial"/>
      <family val="2"/>
    </font>
    <font>
      <b/>
      <sz val="12"/>
      <name val="Arial"/>
      <family val="2"/>
    </font>
    <font>
      <vertAlign val="superscript"/>
      <sz val="12"/>
      <name val="Times New Roman"/>
      <family val="1"/>
    </font>
    <font>
      <sz val="12"/>
      <color theme="1"/>
      <name val="Times New Roman"/>
      <family val="1"/>
    </font>
    <font>
      <sz val="12"/>
      <color indexed="8"/>
      <name val="Palatino Linotype"/>
      <family val="1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ck">
        <color indexed="64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1" fillId="0" borderId="0"/>
  </cellStyleXfs>
  <cellXfs count="87">
    <xf numFmtId="0" fontId="0" fillId="0" borderId="0" xfId="0"/>
    <xf numFmtId="0" fontId="1" fillId="0" borderId="0" xfId="2"/>
    <xf numFmtId="2" fontId="2" fillId="0" borderId="0" xfId="1" applyNumberFormat="1" applyAlignment="1">
      <alignment horizontal="center"/>
    </xf>
    <xf numFmtId="1" fontId="2" fillId="0" borderId="0" xfId="1" applyNumberFormat="1" applyAlignment="1">
      <alignment horizontal="center"/>
    </xf>
    <xf numFmtId="0" fontId="2" fillId="0" borderId="4" xfId="1" applyBorder="1" applyAlignment="1">
      <alignment horizontal="center"/>
    </xf>
    <xf numFmtId="0" fontId="2" fillId="0" borderId="5" xfId="1" applyBorder="1" applyAlignment="1">
      <alignment horizontal="center"/>
    </xf>
    <xf numFmtId="2" fontId="2" fillId="0" borderId="5" xfId="1" applyNumberFormat="1" applyBorder="1" applyAlignment="1">
      <alignment horizontal="center"/>
    </xf>
    <xf numFmtId="1" fontId="2" fillId="0" borderId="5" xfId="1" applyNumberFormat="1" applyBorder="1" applyAlignment="1">
      <alignment horizontal="center"/>
    </xf>
    <xf numFmtId="164" fontId="2" fillId="0" borderId="5" xfId="1" applyNumberFormat="1" applyBorder="1" applyAlignment="1">
      <alignment horizontal="center"/>
    </xf>
    <xf numFmtId="165" fontId="2" fillId="0" borderId="6" xfId="1" applyNumberFormat="1" applyBorder="1" applyAlignment="1">
      <alignment horizontal="center"/>
    </xf>
    <xf numFmtId="2" fontId="2" fillId="0" borderId="7" xfId="1" applyNumberFormat="1" applyBorder="1" applyAlignment="1">
      <alignment horizontal="center"/>
    </xf>
    <xf numFmtId="2" fontId="2" fillId="0" borderId="8" xfId="1" applyNumberFormat="1" applyBorder="1" applyAlignment="1">
      <alignment horizontal="center"/>
    </xf>
    <xf numFmtId="0" fontId="2" fillId="0" borderId="9" xfId="1" applyBorder="1" applyAlignment="1">
      <alignment horizontal="center"/>
    </xf>
    <xf numFmtId="0" fontId="2" fillId="0" borderId="10" xfId="1" applyBorder="1" applyAlignment="1">
      <alignment horizontal="center"/>
    </xf>
    <xf numFmtId="2" fontId="2" fillId="0" borderId="10" xfId="1" applyNumberFormat="1" applyBorder="1" applyAlignment="1">
      <alignment horizontal="center"/>
    </xf>
    <xf numFmtId="1" fontId="2" fillId="0" borderId="10" xfId="1" applyNumberFormat="1" applyBorder="1" applyAlignment="1">
      <alignment horizontal="center"/>
    </xf>
    <xf numFmtId="164" fontId="2" fillId="0" borderId="10" xfId="1" applyNumberFormat="1" applyBorder="1" applyAlignment="1">
      <alignment horizontal="center"/>
    </xf>
    <xf numFmtId="165" fontId="2" fillId="0" borderId="11" xfId="1" applyNumberFormat="1" applyBorder="1" applyAlignment="1">
      <alignment horizontal="center"/>
    </xf>
    <xf numFmtId="2" fontId="2" fillId="0" borderId="12" xfId="1" applyNumberFormat="1" applyBorder="1" applyAlignment="1">
      <alignment horizontal="center"/>
    </xf>
    <xf numFmtId="2" fontId="2" fillId="0" borderId="11" xfId="1" applyNumberFormat="1" applyBorder="1" applyAlignment="1">
      <alignment horizontal="center"/>
    </xf>
    <xf numFmtId="0" fontId="2" fillId="0" borderId="4" xfId="1" applyBorder="1" applyAlignment="1">
      <alignment horizontal="left"/>
    </xf>
    <xf numFmtId="1" fontId="2" fillId="0" borderId="5" xfId="1" applyNumberFormat="1" applyBorder="1" applyAlignment="1">
      <alignment horizontal="left"/>
    </xf>
    <xf numFmtId="1" fontId="2" fillId="0" borderId="8" xfId="1" applyNumberFormat="1" applyBorder="1" applyAlignment="1">
      <alignment horizontal="left"/>
    </xf>
    <xf numFmtId="1" fontId="2" fillId="0" borderId="7" xfId="1" applyNumberFormat="1" applyBorder="1" applyAlignment="1">
      <alignment horizontal="left"/>
    </xf>
    <xf numFmtId="1" fontId="2" fillId="0" borderId="0" xfId="1" applyNumberFormat="1" applyAlignment="1">
      <alignment horizontal="left"/>
    </xf>
    <xf numFmtId="0" fontId="3" fillId="0" borderId="1" xfId="1" applyFont="1" applyBorder="1" applyAlignment="1">
      <alignment horizontal="center"/>
    </xf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5" fillId="2" borderId="0" xfId="3" applyFont="1" applyFill="1" applyAlignment="1">
      <alignment horizontal="left"/>
    </xf>
    <xf numFmtId="0" fontId="1" fillId="2" borderId="0" xfId="3" applyFill="1"/>
    <xf numFmtId="0" fontId="2" fillId="0" borderId="0" xfId="1"/>
    <xf numFmtId="0" fontId="1" fillId="3" borderId="0" xfId="2" applyFill="1"/>
    <xf numFmtId="0" fontId="6" fillId="0" borderId="1" xfId="2" applyFont="1" applyBorder="1" applyAlignment="1">
      <alignment horizontal="center"/>
    </xf>
    <xf numFmtId="0" fontId="6" fillId="0" borderId="2" xfId="2" applyFont="1" applyBorder="1" applyAlignment="1">
      <alignment horizontal="center"/>
    </xf>
    <xf numFmtId="0" fontId="6" fillId="0" borderId="3" xfId="2" applyFont="1" applyBorder="1" applyAlignment="1">
      <alignment horizontal="center"/>
    </xf>
    <xf numFmtId="2" fontId="2" fillId="0" borderId="14" xfId="1" applyNumberFormat="1" applyBorder="1" applyAlignment="1">
      <alignment horizontal="center"/>
    </xf>
    <xf numFmtId="0" fontId="2" fillId="0" borderId="2" xfId="1" applyBorder="1"/>
    <xf numFmtId="0" fontId="2" fillId="0" borderId="15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7" xfId="1" applyBorder="1" applyAlignment="1">
      <alignment horizontal="center"/>
    </xf>
    <xf numFmtId="2" fontId="2" fillId="0" borderId="15" xfId="1" applyNumberFormat="1" applyBorder="1" applyAlignment="1">
      <alignment horizontal="center"/>
    </xf>
    <xf numFmtId="2" fontId="2" fillId="0" borderId="16" xfId="1" applyNumberFormat="1" applyBorder="1" applyAlignment="1">
      <alignment horizontal="center"/>
    </xf>
    <xf numFmtId="2" fontId="2" fillId="0" borderId="13" xfId="1" applyNumberFormat="1" applyBorder="1" applyAlignment="1">
      <alignment horizontal="center"/>
    </xf>
    <xf numFmtId="0" fontId="1" fillId="0" borderId="18" xfId="2" applyBorder="1" applyAlignment="1">
      <alignment horizontal="center"/>
    </xf>
    <xf numFmtId="0" fontId="1" fillId="0" borderId="19" xfId="2" applyBorder="1" applyAlignment="1">
      <alignment horizontal="center"/>
    </xf>
    <xf numFmtId="0" fontId="1" fillId="0" borderId="20" xfId="2" applyBorder="1" applyAlignment="1">
      <alignment horizontal="center"/>
    </xf>
    <xf numFmtId="0" fontId="1" fillId="0" borderId="21" xfId="2" applyBorder="1" applyAlignment="1">
      <alignment horizontal="center"/>
    </xf>
    <xf numFmtId="0" fontId="1" fillId="0" borderId="9" xfId="2" applyBorder="1"/>
    <xf numFmtId="2" fontId="7" fillId="0" borderId="11" xfId="1" applyNumberFormat="1" applyFont="1" applyBorder="1" applyAlignment="1">
      <alignment horizontal="center"/>
    </xf>
    <xf numFmtId="0" fontId="1" fillId="0" borderId="22" xfId="2" applyBorder="1"/>
    <xf numFmtId="0" fontId="1" fillId="0" borderId="23" xfId="2" applyBorder="1"/>
    <xf numFmtId="0" fontId="1" fillId="0" borderId="24" xfId="2" applyBorder="1"/>
    <xf numFmtId="0" fontId="1" fillId="0" borderId="25" xfId="2" applyBorder="1"/>
    <xf numFmtId="0" fontId="1" fillId="0" borderId="4" xfId="2" applyBorder="1"/>
    <xf numFmtId="0" fontId="2" fillId="0" borderId="5" xfId="1" applyBorder="1" applyAlignment="1">
      <alignment horizontal="left"/>
    </xf>
    <xf numFmtId="0" fontId="2" fillId="0" borderId="8" xfId="1" applyBorder="1" applyAlignment="1">
      <alignment horizontal="left"/>
    </xf>
    <xf numFmtId="0" fontId="1" fillId="0" borderId="26" xfId="2" applyBorder="1"/>
    <xf numFmtId="0" fontId="1" fillId="0" borderId="7" xfId="2" applyBorder="1"/>
    <xf numFmtId="0" fontId="1" fillId="0" borderId="8" xfId="2" applyBorder="1"/>
    <xf numFmtId="49" fontId="1" fillId="4" borderId="4" xfId="2" applyNumberFormat="1" applyFill="1" applyBorder="1"/>
    <xf numFmtId="0" fontId="1" fillId="0" borderId="5" xfId="2" applyBorder="1"/>
    <xf numFmtId="1" fontId="1" fillId="0" borderId="5" xfId="2" applyNumberFormat="1" applyBorder="1"/>
    <xf numFmtId="2" fontId="2" fillId="0" borderId="5" xfId="1" applyNumberFormat="1" applyBorder="1"/>
    <xf numFmtId="2" fontId="2" fillId="5" borderId="5" xfId="1" quotePrefix="1" applyNumberFormat="1" applyFill="1" applyBorder="1"/>
    <xf numFmtId="2" fontId="2" fillId="5" borderId="5" xfId="1" applyNumberFormat="1" applyFill="1" applyBorder="1"/>
    <xf numFmtId="1" fontId="2" fillId="5" borderId="5" xfId="1" quotePrefix="1" applyNumberFormat="1" applyFill="1" applyBorder="1"/>
    <xf numFmtId="164" fontId="2" fillId="5" borderId="5" xfId="1" applyNumberFormat="1" applyFill="1" applyBorder="1"/>
    <xf numFmtId="165" fontId="2" fillId="0" borderId="8" xfId="1" applyNumberFormat="1" applyBorder="1"/>
    <xf numFmtId="2" fontId="2" fillId="5" borderId="7" xfId="1" applyNumberFormat="1" applyFill="1" applyBorder="1"/>
    <xf numFmtId="166" fontId="2" fillId="0" borderId="8" xfId="1" applyNumberFormat="1" applyBorder="1"/>
    <xf numFmtId="0" fontId="1" fillId="0" borderId="4" xfId="2" applyBorder="1" applyAlignment="1">
      <alignment horizontal="center"/>
    </xf>
    <xf numFmtId="0" fontId="2" fillId="5" borderId="5" xfId="1" quotePrefix="1" applyFill="1" applyBorder="1"/>
    <xf numFmtId="168" fontId="8" fillId="5" borderId="27" xfId="1" applyNumberFormat="1" applyFont="1" applyFill="1" applyBorder="1"/>
    <xf numFmtId="0" fontId="2" fillId="5" borderId="5" xfId="1" applyFill="1" applyBorder="1"/>
    <xf numFmtId="0" fontId="2" fillId="0" borderId="5" xfId="1" applyBorder="1"/>
    <xf numFmtId="168" fontId="9" fillId="5" borderId="28" xfId="1" quotePrefix="1" applyNumberFormat="1" applyFont="1" applyFill="1" applyBorder="1"/>
    <xf numFmtId="49" fontId="1" fillId="0" borderId="4" xfId="2" applyNumberFormat="1" applyBorder="1"/>
    <xf numFmtId="2" fontId="2" fillId="0" borderId="5" xfId="1" quotePrefix="1" applyNumberFormat="1" applyBorder="1"/>
    <xf numFmtId="1" fontId="2" fillId="0" borderId="5" xfId="1" quotePrefix="1" applyNumberFormat="1" applyBorder="1"/>
    <xf numFmtId="164" fontId="2" fillId="0" borderId="5" xfId="1" applyNumberFormat="1" applyBorder="1"/>
    <xf numFmtId="2" fontId="2" fillId="0" borderId="7" xfId="1" applyNumberFormat="1" applyBorder="1"/>
    <xf numFmtId="0" fontId="2" fillId="0" borderId="5" xfId="1" quotePrefix="1" applyBorder="1"/>
    <xf numFmtId="168" fontId="8" fillId="0" borderId="27" xfId="1" applyNumberFormat="1" applyFont="1" applyBorder="1"/>
    <xf numFmtId="168" fontId="9" fillId="0" borderId="28" xfId="1" quotePrefix="1" applyNumberFormat="1" applyFont="1" applyBorder="1"/>
    <xf numFmtId="0" fontId="1" fillId="0" borderId="29" xfId="2" applyBorder="1"/>
    <xf numFmtId="0" fontId="1" fillId="0" borderId="12" xfId="2" applyBorder="1"/>
    <xf numFmtId="0" fontId="1" fillId="0" borderId="11" xfId="2" applyBorder="1"/>
  </cellXfs>
  <cellStyles count="4">
    <cellStyle name="Normal" xfId="0" builtinId="0"/>
    <cellStyle name="Normal 11" xfId="1"/>
    <cellStyle name="Normal 2 2" xfId="3"/>
    <cellStyle name="Normal 2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cad2024/TemplateExcel/Dimensi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cad2024/VBA/HeriAds-JackCAD.xla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mp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tungan"/>
      <sheetName val="BM"/>
      <sheetName val="Cros"/>
      <sheetName val="L"/>
      <sheetName val="TM"/>
      <sheetName val="TM4kr"/>
      <sheetName val="WS"/>
      <sheetName val="WS I"/>
      <sheetName val="WS II"/>
      <sheetName val="WS III"/>
      <sheetName val="WS9kn2"/>
      <sheetName val="dim"/>
      <sheetName val="dim (2)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loope crossplan"/>
      <sheetName val="Sheet1"/>
      <sheetName val="LONGSECTION"/>
      <sheetName val="Digitasi"/>
      <sheetName val="List"/>
      <sheetName val="Data Desain Saluran"/>
    </sheetNames>
    <definedNames>
      <definedName name="Acanal"/>
      <definedName name="froud"/>
      <definedName name="Kcanal"/>
      <definedName name="kriterian"/>
      <definedName name="mcanal"/>
      <definedName name="Pcanal"/>
      <definedName name="rcanal"/>
      <definedName name="vcanal"/>
      <definedName name="wcanal"/>
      <definedName name="Wlining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Topo01WPsample"/>
      <sheetName val="Topo02Poligonsample"/>
      <sheetName val="Topo03DataPoligonsample"/>
      <sheetName val="Topo04BMsample"/>
      <sheetName val="Topo05CrossSample"/>
      <sheetName val="Canal01dimsample"/>
      <sheetName val="Struc02BoxSample"/>
      <sheetName val="Struc03VlugterSample"/>
      <sheetName val="Struc04VerticalDropSample"/>
      <sheetName val="Struc05TertiaryDropSamp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00"/>
  <sheetViews>
    <sheetView tabSelected="1" topLeftCell="M1" zoomScale="80" zoomScaleNormal="80" workbookViewId="0">
      <selection activeCell="Q17" sqref="Q17"/>
    </sheetView>
  </sheetViews>
  <sheetFormatPr defaultColWidth="8.88671875" defaultRowHeight="13.2" x14ac:dyDescent="0.25"/>
  <cols>
    <col min="1" max="2" width="9.21875" style="1" customWidth="1"/>
    <col min="3" max="3" width="20.109375" style="1" customWidth="1"/>
    <col min="4" max="5" width="8.88671875" style="1"/>
    <col min="6" max="7" width="6.6640625" style="1" customWidth="1"/>
    <col min="8" max="8" width="9" style="1" customWidth="1"/>
    <col min="9" max="9" width="8.6640625" style="1" customWidth="1"/>
    <col min="10" max="10" width="9.109375" style="1" customWidth="1"/>
    <col min="11" max="11" width="9.5546875" style="1" customWidth="1"/>
    <col min="12" max="12" width="9.77734375" style="1" customWidth="1"/>
    <col min="13" max="13" width="13.109375" style="1" customWidth="1"/>
    <col min="14" max="26" width="9.33203125" style="1" customWidth="1"/>
    <col min="27" max="27" width="15.21875" style="1" customWidth="1"/>
    <col min="28" max="32" width="8.88671875" style="1"/>
    <col min="33" max="33" width="11.33203125" style="1" customWidth="1"/>
    <col min="34" max="34" width="10.5546875" style="1" customWidth="1"/>
    <col min="35" max="35" width="12.44140625" style="1" customWidth="1"/>
    <col min="36" max="36" width="10.5546875" style="1" customWidth="1"/>
    <col min="37" max="38" width="8.88671875" style="1"/>
    <col min="39" max="42" width="10.77734375" style="1" customWidth="1"/>
    <col min="43" max="16384" width="8.88671875" style="1"/>
  </cols>
  <sheetData>
    <row r="1" spans="1:48" ht="16.2" thickBot="1" x14ac:dyDescent="0.35">
      <c r="A1" s="28" t="s">
        <v>1</v>
      </c>
      <c r="B1" s="29"/>
      <c r="C1" s="2"/>
      <c r="D1" s="2"/>
      <c r="E1" s="2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0"/>
      <c r="AF1" s="30"/>
      <c r="AG1" s="30"/>
      <c r="AH1" s="30"/>
      <c r="AI1" s="30"/>
      <c r="AJ1" s="30"/>
      <c r="AM1" s="1" t="s">
        <v>47</v>
      </c>
      <c r="AN1" s="31">
        <v>5.71</v>
      </c>
    </row>
    <row r="2" spans="1:48" ht="18.600000000000001" thickBot="1" x14ac:dyDescent="0.4">
      <c r="A2" s="25" t="s">
        <v>2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7"/>
      <c r="AB2" s="2"/>
      <c r="AC2" s="32" t="s">
        <v>48</v>
      </c>
      <c r="AD2" s="33"/>
      <c r="AE2" s="33"/>
      <c r="AF2" s="33"/>
      <c r="AG2" s="33"/>
      <c r="AH2" s="33"/>
      <c r="AI2" s="33"/>
      <c r="AJ2" s="34"/>
      <c r="AM2" s="1" t="s">
        <v>49</v>
      </c>
      <c r="AN2" s="31">
        <v>8.6999999999999993</v>
      </c>
    </row>
    <row r="3" spans="1:48" ht="16.2" thickBot="1" x14ac:dyDescent="0.35">
      <c r="A3" s="4" t="s">
        <v>0</v>
      </c>
      <c r="B3" s="5" t="s">
        <v>3</v>
      </c>
      <c r="C3" s="5" t="s">
        <v>4</v>
      </c>
      <c r="D3" s="6" t="s">
        <v>5</v>
      </c>
      <c r="E3" s="7" t="s">
        <v>6</v>
      </c>
      <c r="F3" s="6" t="s">
        <v>7</v>
      </c>
      <c r="G3" s="6" t="s">
        <v>8</v>
      </c>
      <c r="H3" s="6" t="s">
        <v>9</v>
      </c>
      <c r="I3" s="6" t="s">
        <v>10</v>
      </c>
      <c r="J3" s="7" t="s">
        <v>11</v>
      </c>
      <c r="K3" s="6" t="s">
        <v>12</v>
      </c>
      <c r="L3" s="8" t="s">
        <v>13</v>
      </c>
      <c r="M3" s="9" t="s">
        <v>14</v>
      </c>
      <c r="N3" s="10" t="s">
        <v>15</v>
      </c>
      <c r="O3" s="6" t="s">
        <v>15</v>
      </c>
      <c r="P3" s="6" t="s">
        <v>10</v>
      </c>
      <c r="Q3" s="6" t="s">
        <v>9</v>
      </c>
      <c r="R3" s="6" t="s">
        <v>50</v>
      </c>
      <c r="S3" s="6" t="s">
        <v>16</v>
      </c>
      <c r="T3" s="6" t="s">
        <v>17</v>
      </c>
      <c r="U3" s="6" t="s">
        <v>18</v>
      </c>
      <c r="V3" s="6" t="s">
        <v>17</v>
      </c>
      <c r="W3" s="6" t="s">
        <v>18</v>
      </c>
      <c r="X3" s="6" t="s">
        <v>19</v>
      </c>
      <c r="Y3" s="6" t="s">
        <v>19</v>
      </c>
      <c r="Z3" s="6" t="s">
        <v>20</v>
      </c>
      <c r="AA3" s="11" t="s">
        <v>21</v>
      </c>
      <c r="AB3" s="2"/>
      <c r="AC3" s="35" t="s">
        <v>22</v>
      </c>
      <c r="AD3" s="36" t="s">
        <v>51</v>
      </c>
      <c r="AE3" s="37" t="s">
        <v>52</v>
      </c>
      <c r="AF3" s="38"/>
      <c r="AG3" s="39"/>
      <c r="AH3" s="40" t="s">
        <v>23</v>
      </c>
      <c r="AI3" s="41"/>
      <c r="AJ3" s="42"/>
      <c r="AM3" s="43" t="s">
        <v>53</v>
      </c>
      <c r="AN3" s="44"/>
      <c r="AO3" s="45" t="s">
        <v>54</v>
      </c>
      <c r="AP3" s="46"/>
    </row>
    <row r="4" spans="1:48" ht="19.2" thickBot="1" x14ac:dyDescent="0.35">
      <c r="A4" s="12"/>
      <c r="B4" s="13" t="s">
        <v>24</v>
      </c>
      <c r="C4" s="13"/>
      <c r="D4" s="14" t="s">
        <v>25</v>
      </c>
      <c r="E4" s="15" t="s">
        <v>26</v>
      </c>
      <c r="F4" s="14" t="s">
        <v>27</v>
      </c>
      <c r="G4" s="14" t="s">
        <v>27</v>
      </c>
      <c r="H4" s="14" t="s">
        <v>27</v>
      </c>
      <c r="I4" s="14"/>
      <c r="J4" s="15" t="s">
        <v>28</v>
      </c>
      <c r="K4" s="14"/>
      <c r="L4" s="16" t="s">
        <v>29</v>
      </c>
      <c r="M4" s="17"/>
      <c r="N4" s="18" t="s">
        <v>30</v>
      </c>
      <c r="O4" s="14" t="s">
        <v>31</v>
      </c>
      <c r="P4" s="14" t="s">
        <v>32</v>
      </c>
      <c r="Q4" s="14" t="s">
        <v>33</v>
      </c>
      <c r="R4" s="14" t="s">
        <v>34</v>
      </c>
      <c r="S4" s="14" t="s">
        <v>35</v>
      </c>
      <c r="T4" s="14" t="s">
        <v>36</v>
      </c>
      <c r="U4" s="14" t="s">
        <v>36</v>
      </c>
      <c r="V4" s="14" t="s">
        <v>32</v>
      </c>
      <c r="W4" s="14" t="s">
        <v>32</v>
      </c>
      <c r="X4" s="14" t="s">
        <v>37</v>
      </c>
      <c r="Y4" s="14" t="s">
        <v>38</v>
      </c>
      <c r="Z4" s="14" t="s">
        <v>39</v>
      </c>
      <c r="AA4" s="19" t="s">
        <v>40</v>
      </c>
      <c r="AB4" s="2"/>
      <c r="AC4" s="47" t="s">
        <v>41</v>
      </c>
      <c r="AD4" s="14" t="s">
        <v>12</v>
      </c>
      <c r="AE4" s="14" t="s">
        <v>5</v>
      </c>
      <c r="AF4" s="14" t="s">
        <v>42</v>
      </c>
      <c r="AG4" s="14" t="s">
        <v>43</v>
      </c>
      <c r="AH4" s="14" t="s">
        <v>6</v>
      </c>
      <c r="AI4" s="14" t="s">
        <v>44</v>
      </c>
      <c r="AJ4" s="48" t="s">
        <v>55</v>
      </c>
      <c r="AM4" s="49" t="s">
        <v>56</v>
      </c>
      <c r="AN4" s="50" t="s">
        <v>57</v>
      </c>
      <c r="AO4" s="51" t="s">
        <v>56</v>
      </c>
      <c r="AP4" s="52" t="s">
        <v>57</v>
      </c>
    </row>
    <row r="5" spans="1:48" ht="15.6" x14ac:dyDescent="0.3">
      <c r="A5" s="20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2"/>
      <c r="N5" s="23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2"/>
      <c r="AB5" s="24"/>
      <c r="AC5" s="53"/>
      <c r="AD5" s="54"/>
      <c r="AE5" s="54"/>
      <c r="AF5" s="54"/>
      <c r="AG5" s="54"/>
      <c r="AH5" s="54"/>
      <c r="AI5" s="54"/>
      <c r="AJ5" s="55"/>
      <c r="AM5" s="53"/>
      <c r="AN5" s="56"/>
      <c r="AO5" s="57"/>
      <c r="AP5" s="58"/>
    </row>
    <row r="6" spans="1:48" ht="17.399999999999999" x14ac:dyDescent="0.4">
      <c r="A6" s="59" t="s">
        <v>58</v>
      </c>
      <c r="B6" s="60"/>
      <c r="C6" s="60" t="s">
        <v>59</v>
      </c>
      <c r="D6" s="60">
        <v>667</v>
      </c>
      <c r="E6" s="61">
        <f t="shared" ref="E6:E69" si="0">AO6+AP6</f>
        <v>3808.5699999999997</v>
      </c>
      <c r="F6" s="62">
        <v>3.1499999999999968</v>
      </c>
      <c r="G6" s="62">
        <v>1.2499999999999987</v>
      </c>
      <c r="H6" s="63">
        <f>[2]!wcanal(E6)</f>
        <v>0.6</v>
      </c>
      <c r="I6" s="64">
        <f>[2]!mcanal(G6,H6)</f>
        <v>1.5</v>
      </c>
      <c r="J6" s="65">
        <f>[2]!Kcanal(AC6)</f>
        <v>35</v>
      </c>
      <c r="K6" s="62">
        <f t="shared" ref="K6:K69" si="1">F6/G6</f>
        <v>2.52</v>
      </c>
      <c r="L6" s="66">
        <f>[2]!vcanal(J6,AG6,M6,AC6)</f>
        <v>0.61342098782040699</v>
      </c>
      <c r="M6" s="67">
        <v>4.0000000000000002E-4</v>
      </c>
      <c r="N6" s="68">
        <v>0</v>
      </c>
      <c r="O6" s="64">
        <v>0</v>
      </c>
      <c r="P6" s="64">
        <f>[2]!mcanal(G6,H6)</f>
        <v>1.5</v>
      </c>
      <c r="Q6" s="63">
        <f>[2]!Wlining(E6)</f>
        <v>0</v>
      </c>
      <c r="R6" s="62">
        <v>0.1</v>
      </c>
      <c r="S6" s="62">
        <v>2</v>
      </c>
      <c r="T6" s="62">
        <v>0</v>
      </c>
      <c r="U6" s="62">
        <v>3</v>
      </c>
      <c r="V6" s="62">
        <v>1</v>
      </c>
      <c r="W6" s="62">
        <v>3</v>
      </c>
      <c r="X6" s="62">
        <v>0</v>
      </c>
      <c r="Y6" s="62">
        <v>0</v>
      </c>
      <c r="Z6" s="62">
        <v>0</v>
      </c>
      <c r="AA6" s="69">
        <v>0</v>
      </c>
      <c r="AC6" s="70" t="s">
        <v>45</v>
      </c>
      <c r="AD6" s="71">
        <f>[2]!kriterian(E6)</f>
        <v>2.5</v>
      </c>
      <c r="AE6" s="72">
        <f>[2]!Acanal(F6,G6,I6)</f>
        <v>6.2812499999999867</v>
      </c>
      <c r="AF6" s="73">
        <f>[2]!Pcanal(F6,G6,I6)</f>
        <v>7.656939094329978</v>
      </c>
      <c r="AG6" s="66">
        <f>[2]!rcanal(F6,G6,I6)</f>
        <v>0.82033432976517995</v>
      </c>
      <c r="AH6" s="74">
        <f t="shared" ref="AH6:AH69" si="2">AE6*L6*1000</f>
        <v>3853.0505797469236</v>
      </c>
      <c r="AI6" s="75">
        <f>[2]!froud(F6,G6,L6)</f>
        <v>0.17447726897045721</v>
      </c>
      <c r="AJ6" s="67">
        <f t="shared" ref="AJ6:AJ69" si="3">M6*AG6^0.5</f>
        <v>3.6228923909278454E-4</v>
      </c>
      <c r="AM6" s="53">
        <v>111</v>
      </c>
      <c r="AN6" s="56">
        <v>556</v>
      </c>
      <c r="AO6" s="57">
        <f t="shared" ref="AO6:AP45" si="4">AM6*$AN$1</f>
        <v>633.80999999999995</v>
      </c>
      <c r="AP6" s="58">
        <f t="shared" si="4"/>
        <v>3174.7599999999998</v>
      </c>
      <c r="AR6" s="1" t="s">
        <v>58</v>
      </c>
      <c r="AS6" s="1">
        <v>111</v>
      </c>
      <c r="AT6" s="1">
        <v>556</v>
      </c>
      <c r="AV6" s="1" t="s">
        <v>60</v>
      </c>
    </row>
    <row r="7" spans="1:48" ht="17.399999999999999" x14ac:dyDescent="0.4">
      <c r="A7" s="59" t="s">
        <v>61</v>
      </c>
      <c r="B7" s="60"/>
      <c r="C7" s="60" t="s">
        <v>59</v>
      </c>
      <c r="D7" s="60">
        <v>838</v>
      </c>
      <c r="E7" s="61">
        <f t="shared" si="0"/>
        <v>4784.9799999999996</v>
      </c>
      <c r="F7" s="62">
        <v>3.6999999999999948</v>
      </c>
      <c r="G7" s="62">
        <v>1.3214285714285696</v>
      </c>
      <c r="H7" s="63">
        <f>[2]!wcanal(E7)</f>
        <v>0.6</v>
      </c>
      <c r="I7" s="64">
        <f>[2]!mcanal(G7,H7)</f>
        <v>1.5</v>
      </c>
      <c r="J7" s="65">
        <f>[2]!Kcanal(AC7)</f>
        <v>35</v>
      </c>
      <c r="K7" s="62">
        <f t="shared" si="1"/>
        <v>2.8</v>
      </c>
      <c r="L7" s="66">
        <f>[2]!vcanal(J7,AG7,M7,AC7)</f>
        <v>0.64625184733211005</v>
      </c>
      <c r="M7" s="67">
        <v>4.0000000000000002E-4</v>
      </c>
      <c r="N7" s="68">
        <v>0</v>
      </c>
      <c r="O7" s="64">
        <v>0</v>
      </c>
      <c r="P7" s="64">
        <f>[2]!mcanal(G7,H7)</f>
        <v>1.5</v>
      </c>
      <c r="Q7" s="63">
        <f>[2]!Wlining(E7)</f>
        <v>0</v>
      </c>
      <c r="R7" s="62">
        <v>0.1</v>
      </c>
      <c r="S7" s="62">
        <v>2</v>
      </c>
      <c r="T7" s="62">
        <v>0</v>
      </c>
      <c r="U7" s="62">
        <v>3</v>
      </c>
      <c r="V7" s="62">
        <v>1</v>
      </c>
      <c r="W7" s="62">
        <v>3</v>
      </c>
      <c r="X7" s="62">
        <v>0</v>
      </c>
      <c r="Y7" s="62">
        <v>0</v>
      </c>
      <c r="Z7" s="62">
        <v>0</v>
      </c>
      <c r="AA7" s="69">
        <v>0</v>
      </c>
      <c r="AC7" s="70" t="s">
        <v>45</v>
      </c>
      <c r="AD7" s="71">
        <f>[2]!kriterian(E7)</f>
        <v>2.8</v>
      </c>
      <c r="AE7" s="72">
        <f>[2]!Acanal(F7,G7,I7)</f>
        <v>7.5085459183673269</v>
      </c>
      <c r="AF7" s="73">
        <f>[2]!Pcanal(F7,G7,I7)</f>
        <v>8.4644784711488299</v>
      </c>
      <c r="AG7" s="66">
        <f>[2]!rcanal(F7,G7,I7)</f>
        <v>0.88706539262403483</v>
      </c>
      <c r="AH7" s="74">
        <f t="shared" si="2"/>
        <v>4852.4116705228598</v>
      </c>
      <c r="AI7" s="75">
        <f>[2]!froud(F7,G7,L7)</f>
        <v>0.17438265116474083</v>
      </c>
      <c r="AJ7" s="67">
        <f t="shared" si="3"/>
        <v>3.7673659607190485E-4</v>
      </c>
      <c r="AM7" s="53">
        <v>143</v>
      </c>
      <c r="AN7" s="56">
        <v>695</v>
      </c>
      <c r="AO7" s="57">
        <f t="shared" si="4"/>
        <v>816.53</v>
      </c>
      <c r="AP7" s="58">
        <f t="shared" si="4"/>
        <v>3968.45</v>
      </c>
      <c r="AR7" s="1" t="s">
        <v>61</v>
      </c>
      <c r="AS7" s="1">
        <v>143</v>
      </c>
      <c r="AT7" s="1">
        <v>695</v>
      </c>
      <c r="AV7" s="1" t="s">
        <v>60</v>
      </c>
    </row>
    <row r="8" spans="1:48" ht="17.399999999999999" x14ac:dyDescent="0.4">
      <c r="A8" s="59" t="s">
        <v>62</v>
      </c>
      <c r="B8" s="60"/>
      <c r="C8" s="60" t="s">
        <v>59</v>
      </c>
      <c r="D8" s="60">
        <v>1075</v>
      </c>
      <c r="E8" s="61">
        <f t="shared" si="0"/>
        <v>6138.25</v>
      </c>
      <c r="F8" s="62">
        <v>4.3999999999999924</v>
      </c>
      <c r="G8" s="62">
        <v>1.333333333333331</v>
      </c>
      <c r="H8" s="63">
        <f>[2]!wcanal(E8)</f>
        <v>0.75</v>
      </c>
      <c r="I8" s="64">
        <f>[2]!mcanal(G8,H8)</f>
        <v>2</v>
      </c>
      <c r="J8" s="65">
        <f>[2]!Kcanal(AC8)</f>
        <v>35</v>
      </c>
      <c r="K8" s="62">
        <f t="shared" si="1"/>
        <v>3.3</v>
      </c>
      <c r="L8" s="66">
        <f>[2]!vcanal(J8,AG8,M8,AC8)</f>
        <v>0.65697299503542894</v>
      </c>
      <c r="M8" s="67">
        <v>4.0000000000000002E-4</v>
      </c>
      <c r="N8" s="68">
        <v>0</v>
      </c>
      <c r="O8" s="64">
        <v>0</v>
      </c>
      <c r="P8" s="64">
        <f>[2]!mcanal(G8,H8)</f>
        <v>2</v>
      </c>
      <c r="Q8" s="63">
        <f>[2]!Wlining(E8)</f>
        <v>0.3</v>
      </c>
      <c r="R8" s="62">
        <v>0.1</v>
      </c>
      <c r="S8" s="62">
        <v>2</v>
      </c>
      <c r="T8" s="62">
        <v>0</v>
      </c>
      <c r="U8" s="62">
        <v>3</v>
      </c>
      <c r="V8" s="62">
        <v>1</v>
      </c>
      <c r="W8" s="62">
        <v>3</v>
      </c>
      <c r="X8" s="62">
        <v>0</v>
      </c>
      <c r="Y8" s="62">
        <v>0</v>
      </c>
      <c r="Z8" s="62">
        <v>0</v>
      </c>
      <c r="AA8" s="69">
        <v>0</v>
      </c>
      <c r="AC8" s="70" t="s">
        <v>45</v>
      </c>
      <c r="AD8" s="71">
        <f>[2]!kriterian(E8)</f>
        <v>3.3</v>
      </c>
      <c r="AE8" s="72">
        <f>[2]!Acanal(F8,G8,I8)</f>
        <v>9.4222222222221887</v>
      </c>
      <c r="AF8" s="73">
        <f>[2]!Pcanal(F8,G8,I8)</f>
        <v>10.362847939999423</v>
      </c>
      <c r="AG8" s="66">
        <f>[2]!rcanal(F8,G8,I8)</f>
        <v>0.90923096399528114</v>
      </c>
      <c r="AH8" s="74">
        <f t="shared" si="2"/>
        <v>6190.1455532226864</v>
      </c>
      <c r="AI8" s="75">
        <f>[2]!froud(F8,G8,L8)</f>
        <v>0.16329430639518813</v>
      </c>
      <c r="AJ8" s="67">
        <f t="shared" si="3"/>
        <v>3.8141441273140819E-4</v>
      </c>
      <c r="AM8" s="53">
        <v>226</v>
      </c>
      <c r="AN8" s="56">
        <v>849</v>
      </c>
      <c r="AO8" s="57">
        <f t="shared" si="4"/>
        <v>1290.46</v>
      </c>
      <c r="AP8" s="58">
        <f t="shared" si="4"/>
        <v>4847.79</v>
      </c>
      <c r="AR8" s="1" t="s">
        <v>62</v>
      </c>
      <c r="AS8" s="1">
        <v>226</v>
      </c>
      <c r="AT8" s="1">
        <v>849</v>
      </c>
      <c r="AV8" s="1" t="s">
        <v>60</v>
      </c>
    </row>
    <row r="9" spans="1:48" ht="17.399999999999999" x14ac:dyDescent="0.4">
      <c r="A9" s="59" t="s">
        <v>63</v>
      </c>
      <c r="B9" s="60"/>
      <c r="C9" s="60" t="s">
        <v>59</v>
      </c>
      <c r="D9" s="60">
        <v>1344</v>
      </c>
      <c r="E9" s="61">
        <f t="shared" si="0"/>
        <v>7674.24</v>
      </c>
      <c r="F9" s="62">
        <v>5.1499999999999897</v>
      </c>
      <c r="G9" s="62">
        <v>1.4205555555555527</v>
      </c>
      <c r="H9" s="63">
        <f>[2]!wcanal(E9)</f>
        <v>0.75</v>
      </c>
      <c r="I9" s="64">
        <f>[2]!mcanal(G9,H9)</f>
        <v>2</v>
      </c>
      <c r="J9" s="65">
        <f>[2]!Kcanal(AC9)</f>
        <v>35</v>
      </c>
      <c r="K9" s="62">
        <f t="shared" si="1"/>
        <v>3.6253421978881502</v>
      </c>
      <c r="L9" s="66">
        <f>[2]!vcanal(J9,AG9,M9,AC9)</f>
        <v>0.67628761195557197</v>
      </c>
      <c r="M9" s="67">
        <v>3.8000000000000002E-4</v>
      </c>
      <c r="N9" s="68">
        <v>0</v>
      </c>
      <c r="O9" s="64">
        <v>0</v>
      </c>
      <c r="P9" s="64">
        <f>[2]!mcanal(G9,H9)</f>
        <v>2</v>
      </c>
      <c r="Q9" s="63">
        <f>[2]!Wlining(E9)</f>
        <v>0.3</v>
      </c>
      <c r="R9" s="62">
        <v>0.1</v>
      </c>
      <c r="S9" s="62">
        <v>2</v>
      </c>
      <c r="T9" s="62">
        <v>0</v>
      </c>
      <c r="U9" s="62">
        <v>3</v>
      </c>
      <c r="V9" s="62">
        <v>1</v>
      </c>
      <c r="W9" s="62">
        <v>3</v>
      </c>
      <c r="X9" s="62">
        <v>0</v>
      </c>
      <c r="Y9" s="62">
        <v>0</v>
      </c>
      <c r="Z9" s="62">
        <v>0</v>
      </c>
      <c r="AA9" s="69">
        <v>0</v>
      </c>
      <c r="AC9" s="70" t="s">
        <v>45</v>
      </c>
      <c r="AD9" s="71">
        <f>[2]!kriterian(E9)</f>
        <v>3.6</v>
      </c>
      <c r="AE9" s="72">
        <f>[2]!Acanal(F9,G9,I9)</f>
        <v>11.351817283950572</v>
      </c>
      <c r="AF9" s="73">
        <f>[2]!Pcanal(F9,G9,I9)</f>
        <v>11.502917576074379</v>
      </c>
      <c r="AG9" s="66">
        <f>[2]!rcanal(F9,G9,I9)</f>
        <v>0.98686417675128868</v>
      </c>
      <c r="AH9" s="74">
        <f t="shared" si="2"/>
        <v>7677.0934023189193</v>
      </c>
      <c r="AI9" s="75">
        <f>[2]!froud(F9,G9,L9)</f>
        <v>0.16037527840383459</v>
      </c>
      <c r="AJ9" s="67">
        <f t="shared" si="3"/>
        <v>3.7749594318732234E-4</v>
      </c>
      <c r="AM9" s="53">
        <v>381</v>
      </c>
      <c r="AN9" s="56">
        <v>963</v>
      </c>
      <c r="AO9" s="57">
        <f t="shared" si="4"/>
        <v>2175.5099999999998</v>
      </c>
      <c r="AP9" s="58">
        <f t="shared" si="4"/>
        <v>5498.73</v>
      </c>
      <c r="AR9" s="1" t="s">
        <v>62</v>
      </c>
      <c r="AS9" s="1">
        <v>226</v>
      </c>
      <c r="AT9" s="1">
        <v>849</v>
      </c>
      <c r="AV9" s="1" t="s">
        <v>60</v>
      </c>
    </row>
    <row r="10" spans="1:48" ht="17.399999999999999" x14ac:dyDescent="0.4">
      <c r="A10" s="59" t="s">
        <v>64</v>
      </c>
      <c r="B10" s="60"/>
      <c r="C10" s="60" t="s">
        <v>59</v>
      </c>
      <c r="D10" s="60">
        <v>1521</v>
      </c>
      <c r="E10" s="61">
        <f t="shared" si="0"/>
        <v>8684.91</v>
      </c>
      <c r="F10" s="62">
        <v>5.4999999999999885</v>
      </c>
      <c r="G10" s="62">
        <v>1.5177777777777746</v>
      </c>
      <c r="H10" s="63">
        <f>[2]!wcanal(E10)</f>
        <v>0.75</v>
      </c>
      <c r="I10" s="64">
        <f>[2]!mcanal(G10,H10)</f>
        <v>2</v>
      </c>
      <c r="J10" s="65">
        <f>[2]!Kcanal(AC10)</f>
        <v>35</v>
      </c>
      <c r="K10" s="62">
        <f t="shared" si="1"/>
        <v>3.6237188872620791</v>
      </c>
      <c r="L10" s="66">
        <f>[2]!vcanal(J10,AG10,M10,AC10)</f>
        <v>0.67828902018827653</v>
      </c>
      <c r="M10" s="67">
        <v>3.5E-4</v>
      </c>
      <c r="N10" s="68">
        <v>0</v>
      </c>
      <c r="O10" s="64">
        <v>0</v>
      </c>
      <c r="P10" s="64">
        <f>[2]!mcanal(G10,H10)</f>
        <v>2</v>
      </c>
      <c r="Q10" s="63">
        <f>[2]!Wlining(E10)</f>
        <v>0.3</v>
      </c>
      <c r="R10" s="62">
        <v>0.1</v>
      </c>
      <c r="S10" s="62">
        <v>2</v>
      </c>
      <c r="T10" s="62">
        <v>0</v>
      </c>
      <c r="U10" s="62">
        <v>3</v>
      </c>
      <c r="V10" s="62">
        <v>1</v>
      </c>
      <c r="W10" s="62">
        <v>3</v>
      </c>
      <c r="X10" s="62">
        <v>0</v>
      </c>
      <c r="Y10" s="62">
        <v>0</v>
      </c>
      <c r="Z10" s="62">
        <v>0</v>
      </c>
      <c r="AA10" s="69">
        <v>0</v>
      </c>
      <c r="AC10" s="70" t="s">
        <v>45</v>
      </c>
      <c r="AD10" s="71">
        <f>[2]!kriterian(E10)</f>
        <v>3.6</v>
      </c>
      <c r="AE10" s="72">
        <f>[2]!Acanal(F10,G10,I10)</f>
        <v>12.955076543209822</v>
      </c>
      <c r="AF10" s="73">
        <f>[2]!Pcanal(F10,G10,I10)</f>
        <v>12.287708571699337</v>
      </c>
      <c r="AG10" s="66">
        <f>[2]!rcanal(F10,G10,I10)</f>
        <v>1.0543118326428693</v>
      </c>
      <c r="AH10" s="74">
        <f t="shared" si="2"/>
        <v>8787.2861749579151</v>
      </c>
      <c r="AI10" s="75">
        <f>[2]!froud(F10,G10,L10)</f>
        <v>0.16088591741710126</v>
      </c>
      <c r="AJ10" s="67">
        <f t="shared" si="3"/>
        <v>3.5937890797701453E-4</v>
      </c>
      <c r="AM10" s="53">
        <v>464</v>
      </c>
      <c r="AN10" s="56">
        <v>1057</v>
      </c>
      <c r="AO10" s="57">
        <f t="shared" si="4"/>
        <v>2649.44</v>
      </c>
      <c r="AP10" s="58">
        <f t="shared" si="4"/>
        <v>6035.47</v>
      </c>
      <c r="AR10" s="1" t="s">
        <v>62</v>
      </c>
      <c r="AS10" s="1">
        <v>226</v>
      </c>
      <c r="AT10" s="1">
        <v>849</v>
      </c>
      <c r="AV10" s="1" t="s">
        <v>60</v>
      </c>
    </row>
    <row r="11" spans="1:48" ht="17.399999999999999" x14ac:dyDescent="0.4">
      <c r="A11" s="59" t="s">
        <v>65</v>
      </c>
      <c r="B11" s="60"/>
      <c r="C11" s="60" t="s">
        <v>59</v>
      </c>
      <c r="D11" s="60">
        <v>1643</v>
      </c>
      <c r="E11" s="61">
        <f t="shared" si="0"/>
        <v>9381.5300000000007</v>
      </c>
      <c r="F11" s="62">
        <v>5.899999999999987</v>
      </c>
      <c r="G11" s="62">
        <v>1.542631578947365</v>
      </c>
      <c r="H11" s="63">
        <f>[2]!wcanal(E11)</f>
        <v>0.75</v>
      </c>
      <c r="I11" s="64">
        <f>[2]!mcanal(G11,H11)</f>
        <v>2</v>
      </c>
      <c r="J11" s="65">
        <f>[2]!Kcanal(AC11)</f>
        <v>35</v>
      </c>
      <c r="K11" s="62">
        <f t="shared" si="1"/>
        <v>3.8246332309791882</v>
      </c>
      <c r="L11" s="66">
        <f>[2]!vcanal(J11,AG11,M11,AC11)</f>
        <v>0.68059491203792699</v>
      </c>
      <c r="M11" s="67">
        <v>3.4000000000000002E-4</v>
      </c>
      <c r="N11" s="68">
        <v>0</v>
      </c>
      <c r="O11" s="64">
        <v>0</v>
      </c>
      <c r="P11" s="64">
        <f>[2]!mcanal(G11,H11)</f>
        <v>2</v>
      </c>
      <c r="Q11" s="63">
        <f>[2]!Wlining(E11)</f>
        <v>0.3</v>
      </c>
      <c r="R11" s="62">
        <v>0.1</v>
      </c>
      <c r="S11" s="62">
        <v>2</v>
      </c>
      <c r="T11" s="62">
        <v>0</v>
      </c>
      <c r="U11" s="62">
        <v>3</v>
      </c>
      <c r="V11" s="62">
        <v>1</v>
      </c>
      <c r="W11" s="62">
        <v>3</v>
      </c>
      <c r="X11" s="62">
        <v>0</v>
      </c>
      <c r="Y11" s="62">
        <v>0</v>
      </c>
      <c r="Z11" s="62">
        <v>0</v>
      </c>
      <c r="AA11" s="69">
        <v>0</v>
      </c>
      <c r="AC11" s="70" t="s">
        <v>45</v>
      </c>
      <c r="AD11" s="71">
        <f>[2]!kriterian(E11)</f>
        <v>3.8</v>
      </c>
      <c r="AE11" s="72">
        <f>[2]!Acanal(F11,G11,I11)</f>
        <v>13.860950692520715</v>
      </c>
      <c r="AF11" s="73">
        <f>[2]!Pcanal(F11,G11,I11)</f>
        <v>12.798858149528272</v>
      </c>
      <c r="AG11" s="66">
        <f>[2]!rcanal(F11,G11,I11)</f>
        <v>1.0829833826255499</v>
      </c>
      <c r="AH11" s="74">
        <f t="shared" si="2"/>
        <v>9433.6925173381806</v>
      </c>
      <c r="AI11" s="75">
        <f>[2]!froud(F11,G11,L11)</f>
        <v>0.15713549398143667</v>
      </c>
      <c r="AJ11" s="67">
        <f t="shared" si="3"/>
        <v>3.5382605759258832E-4</v>
      </c>
      <c r="AM11" s="53">
        <v>465</v>
      </c>
      <c r="AN11" s="56">
        <v>1178</v>
      </c>
      <c r="AO11" s="57">
        <f t="shared" si="4"/>
        <v>2655.15</v>
      </c>
      <c r="AP11" s="58">
        <f t="shared" si="4"/>
        <v>6726.38</v>
      </c>
      <c r="AR11" s="1" t="s">
        <v>62</v>
      </c>
      <c r="AS11" s="1">
        <v>226</v>
      </c>
      <c r="AT11" s="1">
        <v>849</v>
      </c>
      <c r="AV11" s="1" t="s">
        <v>60</v>
      </c>
    </row>
    <row r="12" spans="1:48" ht="17.399999999999999" x14ac:dyDescent="0.4">
      <c r="A12" s="59" t="s">
        <v>66</v>
      </c>
      <c r="B12" s="60"/>
      <c r="C12" s="60" t="s">
        <v>67</v>
      </c>
      <c r="D12" s="60">
        <v>70</v>
      </c>
      <c r="E12" s="61">
        <f t="shared" si="0"/>
        <v>399.70000000000005</v>
      </c>
      <c r="F12" s="62">
        <v>0.70000000000000007</v>
      </c>
      <c r="G12" s="62">
        <v>0.59636363636363632</v>
      </c>
      <c r="H12" s="63">
        <f>[2]!wcanal(E12)</f>
        <v>0.4</v>
      </c>
      <c r="I12" s="64">
        <f>[2]!mcanal(G12,H12)</f>
        <v>1</v>
      </c>
      <c r="J12" s="65">
        <f>[2]!Kcanal(AC12)</f>
        <v>35</v>
      </c>
      <c r="K12" s="62">
        <f t="shared" si="1"/>
        <v>1.1737804878048783</v>
      </c>
      <c r="L12" s="66">
        <f>[2]!vcanal(J12,AG12,M12,AC12)</f>
        <v>0.51940220950122928</v>
      </c>
      <c r="M12" s="67">
        <v>9.8999999999999999E-4</v>
      </c>
      <c r="N12" s="68">
        <v>0</v>
      </c>
      <c r="O12" s="64">
        <v>0</v>
      </c>
      <c r="P12" s="64">
        <f>[2]!mcanal(G12,H12)</f>
        <v>1</v>
      </c>
      <c r="Q12" s="63">
        <f>[2]!Wlining(E12)</f>
        <v>0.2</v>
      </c>
      <c r="R12" s="62">
        <v>0.1</v>
      </c>
      <c r="S12" s="62">
        <v>2</v>
      </c>
      <c r="T12" s="62">
        <v>0</v>
      </c>
      <c r="U12" s="62">
        <v>3</v>
      </c>
      <c r="V12" s="62">
        <v>1</v>
      </c>
      <c r="W12" s="62">
        <v>3</v>
      </c>
      <c r="X12" s="62">
        <v>0</v>
      </c>
      <c r="Y12" s="62">
        <v>0</v>
      </c>
      <c r="Z12" s="62">
        <v>0</v>
      </c>
      <c r="AA12" s="69">
        <v>0</v>
      </c>
      <c r="AC12" s="70" t="s">
        <v>45</v>
      </c>
      <c r="AD12" s="71">
        <f>[2]!kriterian(E12)</f>
        <v>1.1000000000000001</v>
      </c>
      <c r="AE12" s="72">
        <f>[2]!Acanal(F12,G12,I12)</f>
        <v>0.77310413223140495</v>
      </c>
      <c r="AF12" s="73">
        <f>[2]!Pcanal(F12,G12,I12)</f>
        <v>2.3867710853031827</v>
      </c>
      <c r="AG12" s="66">
        <f>[2]!rcanal(F12,G12,I12)</f>
        <v>0.32391214096395021</v>
      </c>
      <c r="AH12" s="74">
        <f t="shared" si="2"/>
        <v>401.55199445552228</v>
      </c>
      <c r="AI12" s="75">
        <f>[2]!froud(F12,G12,L12)</f>
        <v>0.21646657417214851</v>
      </c>
      <c r="AJ12" s="67">
        <f t="shared" si="3"/>
        <v>5.6344146932824145E-4</v>
      </c>
      <c r="AM12" s="53">
        <v>24</v>
      </c>
      <c r="AN12" s="56">
        <v>46</v>
      </c>
      <c r="AO12" s="57">
        <f t="shared" si="4"/>
        <v>137.04</v>
      </c>
      <c r="AP12" s="58">
        <f t="shared" si="4"/>
        <v>262.66000000000003</v>
      </c>
      <c r="AR12" s="1" t="s">
        <v>68</v>
      </c>
      <c r="AS12" s="1">
        <v>24</v>
      </c>
      <c r="AT12" s="1">
        <v>46</v>
      </c>
      <c r="AV12" s="1" t="s">
        <v>69</v>
      </c>
    </row>
    <row r="13" spans="1:48" ht="17.399999999999999" x14ac:dyDescent="0.4">
      <c r="A13" s="59" t="s">
        <v>70</v>
      </c>
      <c r="B13" s="60"/>
      <c r="C13" s="60" t="s">
        <v>67</v>
      </c>
      <c r="D13" s="60">
        <v>70</v>
      </c>
      <c r="E13" s="61">
        <f t="shared" si="0"/>
        <v>399.70000000000005</v>
      </c>
      <c r="F13" s="62">
        <v>0.75000000000000011</v>
      </c>
      <c r="G13" s="62">
        <v>0.64181818181818184</v>
      </c>
      <c r="H13" s="63">
        <f>[2]!wcanal(E13)</f>
        <v>0.4</v>
      </c>
      <c r="I13" s="64">
        <f>[2]!mcanal(G13,H13)</f>
        <v>1.5</v>
      </c>
      <c r="J13" s="65">
        <f>[2]!Kcanal(AC13)</f>
        <v>35</v>
      </c>
      <c r="K13" s="62">
        <f t="shared" si="1"/>
        <v>1.1685552407932012</v>
      </c>
      <c r="L13" s="66">
        <f>[2]!vcanal(J13,AG13,M13,AC13)</f>
        <v>0.3651567959907161</v>
      </c>
      <c r="M13" s="67">
        <v>4.2700000000000002E-4</v>
      </c>
      <c r="N13" s="68">
        <v>0</v>
      </c>
      <c r="O13" s="64">
        <v>0</v>
      </c>
      <c r="P13" s="64">
        <f>[2]!mcanal(G13,H13)</f>
        <v>1.5</v>
      </c>
      <c r="Q13" s="63">
        <f>[2]!Wlining(E13)</f>
        <v>0.2</v>
      </c>
      <c r="R13" s="62">
        <v>0.1</v>
      </c>
      <c r="S13" s="62">
        <v>2</v>
      </c>
      <c r="T13" s="62">
        <v>0</v>
      </c>
      <c r="U13" s="62">
        <v>3</v>
      </c>
      <c r="V13" s="62">
        <v>1</v>
      </c>
      <c r="W13" s="62">
        <v>3</v>
      </c>
      <c r="X13" s="62">
        <v>0</v>
      </c>
      <c r="Y13" s="62">
        <v>0</v>
      </c>
      <c r="Z13" s="62">
        <v>0</v>
      </c>
      <c r="AA13" s="69">
        <v>0</v>
      </c>
      <c r="AC13" s="70" t="s">
        <v>45</v>
      </c>
      <c r="AD13" s="71">
        <f>[2]!kriterian(E13)</f>
        <v>1.1000000000000001</v>
      </c>
      <c r="AE13" s="72">
        <f>[2]!Acanal(F13,G13,I13)</f>
        <v>1.0992595041322315</v>
      </c>
      <c r="AF13" s="73">
        <f>[2]!Pcanal(F13,G13,I13)</f>
        <v>3.064108364070524</v>
      </c>
      <c r="AG13" s="66">
        <f>[2]!rcanal(F13,G13,I13)</f>
        <v>0.35875346871607272</v>
      </c>
      <c r="AH13" s="74">
        <f t="shared" si="2"/>
        <v>401.40207849126904</v>
      </c>
      <c r="AI13" s="75">
        <f>[2]!froud(F13,G13,L13)</f>
        <v>0.15252297164905387</v>
      </c>
      <c r="AJ13" s="67">
        <f t="shared" si="3"/>
        <v>2.5575605798794447E-4</v>
      </c>
      <c r="AM13" s="53">
        <v>24</v>
      </c>
      <c r="AN13" s="56">
        <v>46</v>
      </c>
      <c r="AO13" s="57">
        <f t="shared" si="4"/>
        <v>137.04</v>
      </c>
      <c r="AP13" s="58">
        <f t="shared" si="4"/>
        <v>262.66000000000003</v>
      </c>
      <c r="AR13" s="1" t="s">
        <v>68</v>
      </c>
      <c r="AS13" s="1">
        <v>24</v>
      </c>
      <c r="AT13" s="1">
        <v>46</v>
      </c>
      <c r="AV13" s="1" t="s">
        <v>69</v>
      </c>
    </row>
    <row r="14" spans="1:48" ht="17.399999999999999" x14ac:dyDescent="0.4">
      <c r="A14" s="59" t="s">
        <v>71</v>
      </c>
      <c r="B14" s="60"/>
      <c r="C14" s="60" t="s">
        <v>67</v>
      </c>
      <c r="D14" s="60">
        <v>148</v>
      </c>
      <c r="E14" s="61">
        <f t="shared" si="0"/>
        <v>845.08</v>
      </c>
      <c r="F14" s="62">
        <v>1.1500000000000004</v>
      </c>
      <c r="G14" s="62">
        <v>0.82142857142857173</v>
      </c>
      <c r="H14" s="63">
        <f>[2]!wcanal(E14)</f>
        <v>0.5</v>
      </c>
      <c r="I14" s="64">
        <f>[2]!mcanal(G14,H14)</f>
        <v>1.5</v>
      </c>
      <c r="J14" s="65">
        <f>[2]!Kcanal(AC14)</f>
        <v>35</v>
      </c>
      <c r="K14" s="62">
        <f t="shared" si="1"/>
        <v>1.4</v>
      </c>
      <c r="L14" s="66">
        <f>[2]!vcanal(J14,AG14,M14,AC14)</f>
        <v>0.44085175486654571</v>
      </c>
      <c r="M14" s="67">
        <v>4.2700000000000002E-4</v>
      </c>
      <c r="N14" s="68">
        <v>0</v>
      </c>
      <c r="O14" s="64">
        <v>0</v>
      </c>
      <c r="P14" s="64">
        <f>[2]!mcanal(G14,H14)</f>
        <v>1.5</v>
      </c>
      <c r="Q14" s="63">
        <f>[2]!Wlining(E14)</f>
        <v>0.2</v>
      </c>
      <c r="R14" s="62">
        <v>0.1</v>
      </c>
      <c r="S14" s="62">
        <v>2</v>
      </c>
      <c r="T14" s="62">
        <v>0</v>
      </c>
      <c r="U14" s="62">
        <v>3</v>
      </c>
      <c r="V14" s="62">
        <v>1</v>
      </c>
      <c r="W14" s="62">
        <v>3</v>
      </c>
      <c r="X14" s="62">
        <v>0</v>
      </c>
      <c r="Y14" s="62">
        <v>0</v>
      </c>
      <c r="Z14" s="62">
        <v>0</v>
      </c>
      <c r="AA14" s="69">
        <v>0</v>
      </c>
      <c r="AC14" s="70" t="s">
        <v>45</v>
      </c>
      <c r="AD14" s="71">
        <f>[2]!kriterian(E14)</f>
        <v>1.4</v>
      </c>
      <c r="AE14" s="72">
        <f>[2]!Acanal(F14,G14,I14)</f>
        <v>1.9567602040816341</v>
      </c>
      <c r="AF14" s="73">
        <f>[2]!Pcanal(F14,G14,I14)</f>
        <v>4.1117028334168495</v>
      </c>
      <c r="AG14" s="66">
        <f>[2]!rcanal(F14,G14,I14)</f>
        <v>0.47590020080696221</v>
      </c>
      <c r="AH14" s="74">
        <f t="shared" si="2"/>
        <v>862.64116982240841</v>
      </c>
      <c r="AI14" s="75">
        <f>[2]!froud(F14,G14,L14)</f>
        <v>0.16823217129435042</v>
      </c>
      <c r="AJ14" s="67">
        <f t="shared" si="3"/>
        <v>2.9456817158839924E-4</v>
      </c>
      <c r="AM14" s="53">
        <v>38</v>
      </c>
      <c r="AN14" s="56">
        <v>110</v>
      </c>
      <c r="AO14" s="57">
        <f t="shared" si="4"/>
        <v>216.98</v>
      </c>
      <c r="AP14" s="58">
        <f t="shared" si="4"/>
        <v>628.1</v>
      </c>
      <c r="AR14" s="1" t="s">
        <v>71</v>
      </c>
      <c r="AS14" s="1">
        <v>38</v>
      </c>
      <c r="AT14" s="1">
        <v>110</v>
      </c>
      <c r="AV14" s="1" t="s">
        <v>69</v>
      </c>
    </row>
    <row r="15" spans="1:48" ht="17.399999999999999" x14ac:dyDescent="0.4">
      <c r="A15" s="59" t="s">
        <v>72</v>
      </c>
      <c r="B15" s="60"/>
      <c r="C15" s="60" t="s">
        <v>67</v>
      </c>
      <c r="D15" s="60">
        <v>231</v>
      </c>
      <c r="E15" s="61">
        <f t="shared" si="0"/>
        <v>1319.01</v>
      </c>
      <c r="F15" s="62">
        <v>1.6000000000000008</v>
      </c>
      <c r="G15" s="62">
        <v>0.92117647058823571</v>
      </c>
      <c r="H15" s="63">
        <f>[2]!wcanal(E15)</f>
        <v>0.5</v>
      </c>
      <c r="I15" s="64">
        <f>[2]!mcanal(G15,H15)</f>
        <v>1.5</v>
      </c>
      <c r="J15" s="65">
        <f>[2]!Kcanal(AC15)</f>
        <v>35</v>
      </c>
      <c r="K15" s="62">
        <f t="shared" si="1"/>
        <v>1.7369093231162198</v>
      </c>
      <c r="L15" s="66">
        <f>[2]!vcanal(J15,AG15,M15,AC15)</f>
        <v>0.49027153221207154</v>
      </c>
      <c r="M15" s="67">
        <v>4.2700000000000002E-4</v>
      </c>
      <c r="N15" s="68">
        <v>0</v>
      </c>
      <c r="O15" s="64">
        <v>0</v>
      </c>
      <c r="P15" s="64">
        <f>[2]!mcanal(G15,H15)</f>
        <v>1.5</v>
      </c>
      <c r="Q15" s="63">
        <f>[2]!Wlining(E15)</f>
        <v>0.2</v>
      </c>
      <c r="R15" s="62">
        <v>0.1</v>
      </c>
      <c r="S15" s="62">
        <v>2</v>
      </c>
      <c r="T15" s="62">
        <v>0</v>
      </c>
      <c r="U15" s="62">
        <v>3</v>
      </c>
      <c r="V15" s="62">
        <v>1</v>
      </c>
      <c r="W15" s="62">
        <v>3</v>
      </c>
      <c r="X15" s="62">
        <v>0</v>
      </c>
      <c r="Y15" s="62">
        <v>0</v>
      </c>
      <c r="Z15" s="62">
        <v>0</v>
      </c>
      <c r="AA15" s="69">
        <v>0</v>
      </c>
      <c r="AC15" s="70" t="s">
        <v>45</v>
      </c>
      <c r="AD15" s="71">
        <f>[2]!kriterian(E15)</f>
        <v>1.7</v>
      </c>
      <c r="AE15" s="72">
        <f>[2]!Acanal(F15,G15,I15)</f>
        <v>2.7467314878892761</v>
      </c>
      <c r="AF15" s="73">
        <f>[2]!Pcanal(F15,G15,I15)</f>
        <v>4.9213489984568302</v>
      </c>
      <c r="AG15" s="66">
        <f>[2]!rcanal(F15,G15,I15)</f>
        <v>0.55812572706194152</v>
      </c>
      <c r="AH15" s="74">
        <f t="shared" si="2"/>
        <v>1346.6442551426182</v>
      </c>
      <c r="AI15" s="75">
        <f>[2]!froud(F15,G15,L15)</f>
        <v>0.1679687914746546</v>
      </c>
      <c r="AJ15" s="67">
        <f t="shared" si="3"/>
        <v>3.1900236000612401E-4</v>
      </c>
      <c r="AM15" s="53">
        <v>43</v>
      </c>
      <c r="AN15" s="56">
        <v>188</v>
      </c>
      <c r="AO15" s="57">
        <f t="shared" si="4"/>
        <v>245.53</v>
      </c>
      <c r="AP15" s="58">
        <f t="shared" si="4"/>
        <v>1073.48</v>
      </c>
      <c r="AR15" s="1" t="s">
        <v>72</v>
      </c>
      <c r="AS15" s="1">
        <v>43</v>
      </c>
      <c r="AT15" s="1">
        <v>188</v>
      </c>
      <c r="AV15" s="1" t="s">
        <v>69</v>
      </c>
    </row>
    <row r="16" spans="1:48" ht="17.399999999999999" x14ac:dyDescent="0.4">
      <c r="A16" s="59" t="s">
        <v>73</v>
      </c>
      <c r="B16" s="60"/>
      <c r="C16" s="60" t="s">
        <v>67</v>
      </c>
      <c r="D16" s="60">
        <v>281</v>
      </c>
      <c r="E16" s="61">
        <f t="shared" si="0"/>
        <v>1604.51</v>
      </c>
      <c r="F16" s="62">
        <v>2.0000000000000009</v>
      </c>
      <c r="G16" s="62">
        <v>0.93238095238095275</v>
      </c>
      <c r="H16" s="63">
        <f>[2]!wcanal(E16)</f>
        <v>0.6</v>
      </c>
      <c r="I16" s="64">
        <f>[2]!mcanal(G16,H16)</f>
        <v>1.5</v>
      </c>
      <c r="J16" s="65">
        <f>[2]!Kcanal(AC16)</f>
        <v>35</v>
      </c>
      <c r="K16" s="62">
        <f t="shared" si="1"/>
        <v>2.1450459652706844</v>
      </c>
      <c r="L16" s="66">
        <f>[2]!vcanal(J16,AG16,M16,AC16)</f>
        <v>0.50933589306519389</v>
      </c>
      <c r="M16" s="67">
        <v>4.2700000000000002E-4</v>
      </c>
      <c r="N16" s="68">
        <v>0</v>
      </c>
      <c r="O16" s="64">
        <v>0</v>
      </c>
      <c r="P16" s="64">
        <f>[2]!mcanal(G16,H16)</f>
        <v>1.5</v>
      </c>
      <c r="Q16" s="63">
        <f>[2]!Wlining(E16)</f>
        <v>0</v>
      </c>
      <c r="R16" s="62">
        <v>0.1</v>
      </c>
      <c r="S16" s="62">
        <v>2</v>
      </c>
      <c r="T16" s="62">
        <v>0</v>
      </c>
      <c r="U16" s="62">
        <v>3</v>
      </c>
      <c r="V16" s="62">
        <v>1</v>
      </c>
      <c r="W16" s="62">
        <v>3</v>
      </c>
      <c r="X16" s="62">
        <v>0</v>
      </c>
      <c r="Y16" s="62">
        <v>0</v>
      </c>
      <c r="Z16" s="62">
        <v>0</v>
      </c>
      <c r="AA16" s="69">
        <v>0</v>
      </c>
      <c r="AC16" s="70" t="s">
        <v>45</v>
      </c>
      <c r="AD16" s="71">
        <f>[2]!kriterian(E16)</f>
        <v>2.1</v>
      </c>
      <c r="AE16" s="72">
        <f>[2]!Acanal(F16,G16,I16)</f>
        <v>3.1687632653061248</v>
      </c>
      <c r="AF16" s="73">
        <f>[2]!Pcanal(F16,G16,I16)</f>
        <v>5.361747332075474</v>
      </c>
      <c r="AG16" s="66">
        <f>[2]!rcanal(F16,G16,I16)</f>
        <v>0.59099451523008095</v>
      </c>
      <c r="AH16" s="74">
        <f t="shared" si="2"/>
        <v>1613.9648676468751</v>
      </c>
      <c r="AI16" s="75">
        <f>[2]!froud(F16,G16,L16)</f>
        <v>0.15702415854574123</v>
      </c>
      <c r="AJ16" s="67">
        <f t="shared" si="3"/>
        <v>3.2826123585855431E-4</v>
      </c>
      <c r="AM16" s="53">
        <v>43</v>
      </c>
      <c r="AN16" s="56">
        <v>238</v>
      </c>
      <c r="AO16" s="57">
        <f t="shared" si="4"/>
        <v>245.53</v>
      </c>
      <c r="AP16" s="58">
        <f t="shared" si="4"/>
        <v>1358.98</v>
      </c>
      <c r="AR16" s="1" t="s">
        <v>73</v>
      </c>
      <c r="AS16" s="1">
        <v>43</v>
      </c>
      <c r="AT16" s="1">
        <v>238</v>
      </c>
      <c r="AV16" s="1" t="s">
        <v>69</v>
      </c>
    </row>
    <row r="17" spans="1:48" ht="17.399999999999999" x14ac:dyDescent="0.4">
      <c r="A17" s="59" t="s">
        <v>74</v>
      </c>
      <c r="B17" s="60"/>
      <c r="C17" s="60" t="s">
        <v>75</v>
      </c>
      <c r="D17" s="60">
        <v>122</v>
      </c>
      <c r="E17" s="61">
        <f t="shared" si="0"/>
        <v>696.62</v>
      </c>
      <c r="F17" s="62">
        <v>0.80000000000000016</v>
      </c>
      <c r="G17" s="62">
        <v>0.62000000000000011</v>
      </c>
      <c r="H17" s="63">
        <f>[2]!wcanal(E17)</f>
        <v>0.5</v>
      </c>
      <c r="I17" s="64">
        <f>[2]!mcanal(G17,H17)</f>
        <v>1.5</v>
      </c>
      <c r="J17" s="65">
        <f>[2]!Kcanal(AC17)</f>
        <v>35</v>
      </c>
      <c r="K17" s="62">
        <f t="shared" si="1"/>
        <v>1.2903225806451613</v>
      </c>
      <c r="L17" s="66">
        <f>[2]!vcanal(J17,AG17,M17,AC17)</f>
        <v>0.66498608390137237</v>
      </c>
      <c r="M17" s="67">
        <v>1.4450000000000001E-3</v>
      </c>
      <c r="N17" s="68">
        <v>0</v>
      </c>
      <c r="O17" s="64">
        <v>0</v>
      </c>
      <c r="P17" s="64">
        <f>[2]!mcanal(G17,H17)</f>
        <v>1.5</v>
      </c>
      <c r="Q17" s="63">
        <f>[2]!Wlining(E17)</f>
        <v>0.2</v>
      </c>
      <c r="R17" s="62">
        <v>0.1</v>
      </c>
      <c r="S17" s="62">
        <v>2</v>
      </c>
      <c r="T17" s="62">
        <v>0</v>
      </c>
      <c r="U17" s="62">
        <v>3</v>
      </c>
      <c r="V17" s="62">
        <v>1</v>
      </c>
      <c r="W17" s="62">
        <v>3</v>
      </c>
      <c r="X17" s="62">
        <v>0</v>
      </c>
      <c r="Y17" s="62">
        <v>0</v>
      </c>
      <c r="Z17" s="62">
        <v>0</v>
      </c>
      <c r="AA17" s="69">
        <v>0</v>
      </c>
      <c r="AC17" s="70" t="s">
        <v>45</v>
      </c>
      <c r="AD17" s="71">
        <f>[2]!kriterian(E17)</f>
        <v>1.25</v>
      </c>
      <c r="AE17" s="72">
        <f>[2]!Acanal(F17,G17,I17)</f>
        <v>1.0726000000000004</v>
      </c>
      <c r="AF17" s="73">
        <f>[2]!Pcanal(F17,G17,I17)</f>
        <v>3.0354417907876741</v>
      </c>
      <c r="AG17" s="66">
        <f>[2]!rcanal(F17,G17,I17)</f>
        <v>0.35335877737970683</v>
      </c>
      <c r="AH17" s="74">
        <f t="shared" si="2"/>
        <v>713.26407359261236</v>
      </c>
      <c r="AI17" s="75">
        <f>[2]!froud(F17,G17,L17)</f>
        <v>0.26432844577139131</v>
      </c>
      <c r="AJ17" s="67">
        <f t="shared" si="3"/>
        <v>8.5896563443380123E-4</v>
      </c>
      <c r="AM17" s="53">
        <v>21</v>
      </c>
      <c r="AN17" s="56">
        <v>101</v>
      </c>
      <c r="AO17" s="57">
        <f t="shared" si="4"/>
        <v>119.91</v>
      </c>
      <c r="AP17" s="58">
        <f t="shared" si="4"/>
        <v>576.71</v>
      </c>
      <c r="AR17" s="1" t="s">
        <v>74</v>
      </c>
      <c r="AS17" s="1">
        <v>21</v>
      </c>
      <c r="AT17" s="1">
        <v>101</v>
      </c>
      <c r="AV17" s="1" t="s">
        <v>76</v>
      </c>
    </row>
    <row r="18" spans="1:48" ht="17.399999999999999" x14ac:dyDescent="0.4">
      <c r="A18" s="59" t="s">
        <v>77</v>
      </c>
      <c r="B18" s="60"/>
      <c r="C18" s="60" t="s">
        <v>75</v>
      </c>
      <c r="D18" s="60">
        <v>175</v>
      </c>
      <c r="E18" s="61">
        <f t="shared" si="0"/>
        <v>999.25</v>
      </c>
      <c r="F18" s="62">
        <v>1.1500000000000004</v>
      </c>
      <c r="G18" s="62">
        <v>0.80142857142857171</v>
      </c>
      <c r="H18" s="63">
        <f>[2]!wcanal(E18)</f>
        <v>0.5</v>
      </c>
      <c r="I18" s="64">
        <f>[2]!mcanal(G18,H18)</f>
        <v>1.5</v>
      </c>
      <c r="J18" s="65">
        <f>[2]!Kcanal(AC18)</f>
        <v>35</v>
      </c>
      <c r="K18" s="62">
        <f t="shared" si="1"/>
        <v>1.4349376114081995</v>
      </c>
      <c r="L18" s="66">
        <f>[2]!vcanal(J18,AG18,M18,AC18)</f>
        <v>0.54300799332857608</v>
      </c>
      <c r="M18" s="67">
        <v>6.6500000000000001E-4</v>
      </c>
      <c r="N18" s="68">
        <v>0</v>
      </c>
      <c r="O18" s="64">
        <v>0</v>
      </c>
      <c r="P18" s="64">
        <f>[2]!mcanal(G18,H18)</f>
        <v>1.5</v>
      </c>
      <c r="Q18" s="63">
        <f>[2]!Wlining(E18)</f>
        <v>0.2</v>
      </c>
      <c r="R18" s="62">
        <v>0.1</v>
      </c>
      <c r="S18" s="62">
        <v>2</v>
      </c>
      <c r="T18" s="62">
        <v>0</v>
      </c>
      <c r="U18" s="62">
        <v>3</v>
      </c>
      <c r="V18" s="62">
        <v>1</v>
      </c>
      <c r="W18" s="62">
        <v>3</v>
      </c>
      <c r="X18" s="62">
        <v>0</v>
      </c>
      <c r="Y18" s="62">
        <v>0</v>
      </c>
      <c r="Z18" s="62">
        <v>0</v>
      </c>
      <c r="AA18" s="69">
        <v>0</v>
      </c>
      <c r="AC18" s="70" t="s">
        <v>45</v>
      </c>
      <c r="AD18" s="71">
        <f>[2]!kriterian(E18)</f>
        <v>1.4</v>
      </c>
      <c r="AE18" s="72">
        <f>[2]!Acanal(F18,G18,I18)</f>
        <v>1.8850744897959195</v>
      </c>
      <c r="AF18" s="73">
        <f>[2]!Pcanal(F18,G18,I18)</f>
        <v>4.0395918079075699</v>
      </c>
      <c r="AG18" s="66">
        <f>[2]!rcanal(F18,G18,I18)</f>
        <v>0.46664974567624729</v>
      </c>
      <c r="AH18" s="74">
        <f t="shared" si="2"/>
        <v>1023.6105159789716</v>
      </c>
      <c r="AI18" s="75">
        <f>[2]!froud(F18,G18,L18)</f>
        <v>0.20467754878969202</v>
      </c>
      <c r="AJ18" s="67">
        <f t="shared" si="3"/>
        <v>4.5427324792648581E-4</v>
      </c>
      <c r="AM18" s="53">
        <v>24</v>
      </c>
      <c r="AN18" s="56">
        <v>151</v>
      </c>
      <c r="AO18" s="57">
        <f t="shared" si="4"/>
        <v>137.04</v>
      </c>
      <c r="AP18" s="58">
        <f t="shared" si="4"/>
        <v>862.21</v>
      </c>
      <c r="AR18" s="1" t="s">
        <v>77</v>
      </c>
      <c r="AS18" s="1">
        <v>24</v>
      </c>
      <c r="AT18" s="1">
        <v>151</v>
      </c>
      <c r="AV18" s="1" t="s">
        <v>76</v>
      </c>
    </row>
    <row r="19" spans="1:48" ht="17.399999999999999" x14ac:dyDescent="0.4">
      <c r="A19" s="59" t="s">
        <v>78</v>
      </c>
      <c r="B19" s="60"/>
      <c r="C19" s="60" t="s">
        <v>79</v>
      </c>
      <c r="D19" s="60">
        <v>66</v>
      </c>
      <c r="E19" s="61">
        <f t="shared" si="0"/>
        <v>376.86</v>
      </c>
      <c r="F19" s="62">
        <v>0.6</v>
      </c>
      <c r="G19" s="62">
        <v>0.53545454545454541</v>
      </c>
      <c r="H19" s="63">
        <f>[2]!wcanal(E19)</f>
        <v>0.4</v>
      </c>
      <c r="I19" s="64">
        <f>[2]!mcanal(G19,H19)</f>
        <v>1</v>
      </c>
      <c r="J19" s="65">
        <f>[2]!Kcanal(AC19)</f>
        <v>35</v>
      </c>
      <c r="K19" s="62">
        <f t="shared" si="1"/>
        <v>1.1205432937181665</v>
      </c>
      <c r="L19" s="66">
        <f>[2]!vcanal(J19,AG19,M19,AC19)</f>
        <v>0.63710949745027634</v>
      </c>
      <c r="M19" s="67">
        <v>1.7459999999999999E-3</v>
      </c>
      <c r="N19" s="68">
        <v>0</v>
      </c>
      <c r="O19" s="64">
        <v>0</v>
      </c>
      <c r="P19" s="64">
        <f>[2]!mcanal(G19,H19)</f>
        <v>1</v>
      </c>
      <c r="Q19" s="63">
        <f>[2]!Wlining(E19)</f>
        <v>0.2</v>
      </c>
      <c r="R19" s="62">
        <v>0.1</v>
      </c>
      <c r="S19" s="62">
        <v>2</v>
      </c>
      <c r="T19" s="62">
        <v>0</v>
      </c>
      <c r="U19" s="62">
        <v>3</v>
      </c>
      <c r="V19" s="62">
        <v>1</v>
      </c>
      <c r="W19" s="62">
        <v>3</v>
      </c>
      <c r="X19" s="62">
        <v>0</v>
      </c>
      <c r="Y19" s="62">
        <v>0</v>
      </c>
      <c r="Z19" s="62">
        <v>0</v>
      </c>
      <c r="AA19" s="69">
        <v>0</v>
      </c>
      <c r="AC19" s="70" t="s">
        <v>45</v>
      </c>
      <c r="AD19" s="71">
        <f>[2]!kriterian(E19)</f>
        <v>1.1000000000000001</v>
      </c>
      <c r="AE19" s="72">
        <f>[2]!Acanal(F19,G19,I19)</f>
        <v>0.60798429752066097</v>
      </c>
      <c r="AF19" s="73">
        <f>[2]!Pcanal(F19,G19,I19)</f>
        <v>2.1144941604322782</v>
      </c>
      <c r="AG19" s="66">
        <f>[2]!rcanal(F19,G19,I19)</f>
        <v>0.28753179313409277</v>
      </c>
      <c r="AH19" s="74">
        <f t="shared" si="2"/>
        <v>387.35257025104755</v>
      </c>
      <c r="AI19" s="75">
        <f>[2]!froud(F19,G19,L19)</f>
        <v>0.27175669549478015</v>
      </c>
      <c r="AJ19" s="67">
        <f t="shared" si="3"/>
        <v>9.3623996490107804E-4</v>
      </c>
      <c r="AM19" s="53">
        <v>22</v>
      </c>
      <c r="AN19" s="56">
        <v>44</v>
      </c>
      <c r="AO19" s="57">
        <f t="shared" si="4"/>
        <v>125.62</v>
      </c>
      <c r="AP19" s="58">
        <f t="shared" si="4"/>
        <v>251.24</v>
      </c>
      <c r="AR19" s="1" t="s">
        <v>80</v>
      </c>
      <c r="AS19" s="1">
        <v>22</v>
      </c>
      <c r="AT19" s="1">
        <v>44</v>
      </c>
      <c r="AV19" s="1" t="s">
        <v>81</v>
      </c>
    </row>
    <row r="20" spans="1:48" ht="17.399999999999999" x14ac:dyDescent="0.4">
      <c r="A20" s="59" t="s">
        <v>82</v>
      </c>
      <c r="B20" s="60"/>
      <c r="C20" s="60" t="s">
        <v>79</v>
      </c>
      <c r="D20" s="60">
        <v>66</v>
      </c>
      <c r="E20" s="61">
        <f t="shared" si="0"/>
        <v>376.86</v>
      </c>
      <c r="F20" s="62">
        <v>0.6</v>
      </c>
      <c r="G20" s="62">
        <v>0.53545454545454541</v>
      </c>
      <c r="H20" s="63">
        <f>[2]!wcanal(E20)</f>
        <v>0.4</v>
      </c>
      <c r="I20" s="64">
        <f>[2]!mcanal(G20,H20)</f>
        <v>1</v>
      </c>
      <c r="J20" s="65">
        <f>[2]!Kcanal(AC20)</f>
        <v>35</v>
      </c>
      <c r="K20" s="62">
        <f t="shared" si="1"/>
        <v>1.1205432937181665</v>
      </c>
      <c r="L20" s="66">
        <f>[2]!vcanal(J20,AG20,M20,AC20)</f>
        <v>0.62588120800323976</v>
      </c>
      <c r="M20" s="67">
        <v>1.6850000000000001E-3</v>
      </c>
      <c r="N20" s="68">
        <v>0</v>
      </c>
      <c r="O20" s="64">
        <v>0</v>
      </c>
      <c r="P20" s="64">
        <f>[2]!mcanal(G20,H20)</f>
        <v>1</v>
      </c>
      <c r="Q20" s="63">
        <f>[2]!Wlining(E20)</f>
        <v>0.2</v>
      </c>
      <c r="R20" s="62">
        <v>0.1</v>
      </c>
      <c r="S20" s="62">
        <v>2</v>
      </c>
      <c r="T20" s="62">
        <v>0</v>
      </c>
      <c r="U20" s="62">
        <v>3</v>
      </c>
      <c r="V20" s="62">
        <v>1</v>
      </c>
      <c r="W20" s="62">
        <v>3</v>
      </c>
      <c r="X20" s="62">
        <v>0</v>
      </c>
      <c r="Y20" s="62">
        <v>0</v>
      </c>
      <c r="Z20" s="62">
        <v>0</v>
      </c>
      <c r="AA20" s="69">
        <v>0</v>
      </c>
      <c r="AC20" s="70" t="s">
        <v>45</v>
      </c>
      <c r="AD20" s="71">
        <f>[2]!kriterian(E20)</f>
        <v>1.1000000000000001</v>
      </c>
      <c r="AE20" s="72">
        <f>[2]!Acanal(F20,G20,I20)</f>
        <v>0.60798429752066097</v>
      </c>
      <c r="AF20" s="73">
        <f>[2]!Pcanal(F20,G20,I20)</f>
        <v>2.1144941604322782</v>
      </c>
      <c r="AG20" s="66">
        <f>[2]!rcanal(F20,G20,I20)</f>
        <v>0.28753179313409277</v>
      </c>
      <c r="AH20" s="74">
        <f t="shared" si="2"/>
        <v>380.52594657923237</v>
      </c>
      <c r="AI20" s="75">
        <f>[2]!froud(F20,G20,L20)</f>
        <v>0.26696731023463699</v>
      </c>
      <c r="AJ20" s="67">
        <f t="shared" si="3"/>
        <v>9.0353055031976907E-4</v>
      </c>
      <c r="AM20" s="53">
        <v>22</v>
      </c>
      <c r="AN20" s="56">
        <v>44</v>
      </c>
      <c r="AO20" s="57">
        <f t="shared" si="4"/>
        <v>125.62</v>
      </c>
      <c r="AP20" s="58">
        <f t="shared" si="4"/>
        <v>251.24</v>
      </c>
      <c r="AR20" s="1" t="s">
        <v>80</v>
      </c>
      <c r="AS20" s="1">
        <v>22</v>
      </c>
      <c r="AT20" s="1">
        <v>44</v>
      </c>
      <c r="AV20" s="1" t="s">
        <v>81</v>
      </c>
    </row>
    <row r="21" spans="1:48" ht="17.399999999999999" x14ac:dyDescent="0.4">
      <c r="A21" s="59" t="s">
        <v>83</v>
      </c>
      <c r="B21" s="60"/>
      <c r="C21" s="60" t="s">
        <v>79</v>
      </c>
      <c r="D21" s="60">
        <v>145</v>
      </c>
      <c r="E21" s="61">
        <f t="shared" si="0"/>
        <v>827.95</v>
      </c>
      <c r="F21" s="62">
        <v>1.0500000000000003</v>
      </c>
      <c r="G21" s="62">
        <v>0.7300000000000002</v>
      </c>
      <c r="H21" s="63">
        <f>[2]!wcanal(E21)</f>
        <v>0.5</v>
      </c>
      <c r="I21" s="64">
        <f>[2]!mcanal(G21,H21)</f>
        <v>1.5</v>
      </c>
      <c r="J21" s="65">
        <f>[2]!Kcanal(AC21)</f>
        <v>35</v>
      </c>
      <c r="K21" s="62">
        <f t="shared" si="1"/>
        <v>1.4383561643835616</v>
      </c>
      <c r="L21" s="66">
        <f>[2]!vcanal(J21,AG21,M21,AC21)</f>
        <v>0.52999008833511829</v>
      </c>
      <c r="M21" s="67">
        <v>7.1699999999999997E-4</v>
      </c>
      <c r="N21" s="68">
        <v>0</v>
      </c>
      <c r="O21" s="64">
        <v>0</v>
      </c>
      <c r="P21" s="64">
        <f>[2]!mcanal(G21,H21)</f>
        <v>1.5</v>
      </c>
      <c r="Q21" s="63">
        <f>[2]!Wlining(E21)</f>
        <v>0.2</v>
      </c>
      <c r="R21" s="62">
        <v>0.1</v>
      </c>
      <c r="S21" s="62">
        <v>2</v>
      </c>
      <c r="T21" s="62">
        <v>0</v>
      </c>
      <c r="U21" s="62">
        <v>3</v>
      </c>
      <c r="V21" s="62">
        <v>1</v>
      </c>
      <c r="W21" s="62">
        <v>3</v>
      </c>
      <c r="X21" s="62">
        <v>0</v>
      </c>
      <c r="Y21" s="62">
        <v>0</v>
      </c>
      <c r="Z21" s="62">
        <v>0</v>
      </c>
      <c r="AA21" s="69">
        <v>0</v>
      </c>
      <c r="AC21" s="70" t="s">
        <v>45</v>
      </c>
      <c r="AD21" s="71">
        <f>[2]!kriterian(E21)</f>
        <v>1.4</v>
      </c>
      <c r="AE21" s="72">
        <f>[2]!Acanal(F21,G21,I21)</f>
        <v>1.5658500000000009</v>
      </c>
      <c r="AF21" s="73">
        <f>[2]!Pcanal(F21,G21,I21)</f>
        <v>3.6820524310887133</v>
      </c>
      <c r="AG21" s="66">
        <f>[2]!rcanal(F21,G21,I21)</f>
        <v>0.42526553581340737</v>
      </c>
      <c r="AH21" s="74">
        <f t="shared" si="2"/>
        <v>829.88497981954549</v>
      </c>
      <c r="AI21" s="75">
        <f>[2]!froud(F21,G21,L21)</f>
        <v>0.19953313327195249</v>
      </c>
      <c r="AJ21" s="67">
        <f t="shared" si="3"/>
        <v>4.6757281148584632E-4</v>
      </c>
      <c r="AM21" s="53">
        <v>22</v>
      </c>
      <c r="AN21" s="56">
        <v>123</v>
      </c>
      <c r="AO21" s="57">
        <f t="shared" si="4"/>
        <v>125.62</v>
      </c>
      <c r="AP21" s="58">
        <f t="shared" si="4"/>
        <v>702.33</v>
      </c>
      <c r="AR21" s="1" t="s">
        <v>83</v>
      </c>
      <c r="AS21" s="1">
        <v>22</v>
      </c>
      <c r="AT21" s="1">
        <v>123</v>
      </c>
      <c r="AV21" s="1" t="s">
        <v>81</v>
      </c>
    </row>
    <row r="22" spans="1:48" ht="17.399999999999999" x14ac:dyDescent="0.4">
      <c r="A22" s="59" t="s">
        <v>84</v>
      </c>
      <c r="B22" s="60"/>
      <c r="C22" s="60" t="s">
        <v>85</v>
      </c>
      <c r="D22" s="60">
        <v>246</v>
      </c>
      <c r="E22" s="61">
        <f t="shared" si="0"/>
        <v>1404.6599999999999</v>
      </c>
      <c r="F22" s="62">
        <v>1.5000000000000007</v>
      </c>
      <c r="G22" s="62">
        <v>0.872352941176471</v>
      </c>
      <c r="H22" s="63">
        <f>[2]!wcanal(E22)</f>
        <v>0.5</v>
      </c>
      <c r="I22" s="64">
        <f>[2]!mcanal(G22,H22)</f>
        <v>1.5</v>
      </c>
      <c r="J22" s="65">
        <f>[2]!Kcanal(AC22)</f>
        <v>35</v>
      </c>
      <c r="K22" s="62">
        <f t="shared" si="1"/>
        <v>1.7194875252865811</v>
      </c>
      <c r="L22" s="66">
        <f>[2]!vcanal(J22,AG22,M22,AC22)</f>
        <v>0.57935442798851078</v>
      </c>
      <c r="M22" s="67">
        <v>6.4300000000000002E-4</v>
      </c>
      <c r="N22" s="68">
        <v>0</v>
      </c>
      <c r="O22" s="64">
        <v>0</v>
      </c>
      <c r="P22" s="64">
        <f>[2]!mcanal(G22,H22)</f>
        <v>1.5</v>
      </c>
      <c r="Q22" s="63">
        <f>[2]!Wlining(E22)</f>
        <v>0.2</v>
      </c>
      <c r="R22" s="62">
        <v>0.1</v>
      </c>
      <c r="S22" s="62">
        <v>2</v>
      </c>
      <c r="T22" s="62">
        <v>0</v>
      </c>
      <c r="U22" s="62">
        <v>3</v>
      </c>
      <c r="V22" s="62">
        <v>1</v>
      </c>
      <c r="W22" s="62">
        <v>3</v>
      </c>
      <c r="X22" s="62">
        <v>0</v>
      </c>
      <c r="Y22" s="62">
        <v>0</v>
      </c>
      <c r="Z22" s="62">
        <v>0</v>
      </c>
      <c r="AA22" s="69">
        <v>0</v>
      </c>
      <c r="AC22" s="70" t="s">
        <v>45</v>
      </c>
      <c r="AD22" s="71">
        <f>[2]!kriterian(E22)</f>
        <v>1.7</v>
      </c>
      <c r="AE22" s="72">
        <f>[2]!Acanal(F22,G22,I22)</f>
        <v>2.4500288927335658</v>
      </c>
      <c r="AF22" s="73">
        <f>[2]!Pcanal(F22,G22,I22)</f>
        <v>4.6453132597135882</v>
      </c>
      <c r="AG22" s="66">
        <f>[2]!rcanal(F22,G22,I22)</f>
        <v>0.52741952065566944</v>
      </c>
      <c r="AH22" s="74">
        <f t="shared" si="2"/>
        <v>1419.4350877049794</v>
      </c>
      <c r="AI22" s="75">
        <f>[2]!froud(F22,G22,L22)</f>
        <v>0.19949191993411891</v>
      </c>
      <c r="AJ22" s="67">
        <f t="shared" si="3"/>
        <v>4.6697009903800684E-4</v>
      </c>
      <c r="AM22" s="53">
        <v>141</v>
      </c>
      <c r="AN22" s="56">
        <v>105</v>
      </c>
      <c r="AO22" s="57">
        <f t="shared" si="4"/>
        <v>805.11</v>
      </c>
      <c r="AP22" s="58">
        <f t="shared" si="4"/>
        <v>599.54999999999995</v>
      </c>
      <c r="AR22" s="1" t="s">
        <v>84</v>
      </c>
      <c r="AS22" s="1">
        <v>141</v>
      </c>
      <c r="AT22" s="1">
        <v>105</v>
      </c>
      <c r="AV22" s="1" t="s">
        <v>86</v>
      </c>
    </row>
    <row r="23" spans="1:48" ht="17.399999999999999" x14ac:dyDescent="0.4">
      <c r="A23" s="59" t="s">
        <v>87</v>
      </c>
      <c r="B23" s="60"/>
      <c r="C23" s="60" t="s">
        <v>85</v>
      </c>
      <c r="D23" s="60">
        <v>423</v>
      </c>
      <c r="E23" s="61">
        <f t="shared" si="0"/>
        <v>2415.33</v>
      </c>
      <c r="F23" s="62">
        <v>2.1500000000000004</v>
      </c>
      <c r="G23" s="62">
        <v>1.0138095238095239</v>
      </c>
      <c r="H23" s="63">
        <f>[2]!wcanal(E23)</f>
        <v>0.6</v>
      </c>
      <c r="I23" s="64">
        <f>[2]!mcanal(G23,H23)</f>
        <v>1.5</v>
      </c>
      <c r="J23" s="65">
        <f>[2]!Kcanal(AC23)</f>
        <v>35</v>
      </c>
      <c r="K23" s="62">
        <f t="shared" si="1"/>
        <v>2.1207139502113668</v>
      </c>
      <c r="L23" s="66">
        <f>[2]!vcanal(J23,AG23,M23,AC23)</f>
        <v>0.65982122103478158</v>
      </c>
      <c r="M23" s="67">
        <v>6.4300000000000002E-4</v>
      </c>
      <c r="N23" s="68">
        <v>0</v>
      </c>
      <c r="O23" s="64">
        <v>0</v>
      </c>
      <c r="P23" s="64">
        <f>[2]!mcanal(G23,H23)</f>
        <v>1.5</v>
      </c>
      <c r="Q23" s="63">
        <f>[2]!Wlining(E23)</f>
        <v>0</v>
      </c>
      <c r="R23" s="62">
        <v>0.1</v>
      </c>
      <c r="S23" s="62">
        <v>2</v>
      </c>
      <c r="T23" s="62">
        <v>0</v>
      </c>
      <c r="U23" s="62">
        <v>3</v>
      </c>
      <c r="V23" s="62">
        <v>1</v>
      </c>
      <c r="W23" s="62">
        <v>3</v>
      </c>
      <c r="X23" s="62">
        <v>0</v>
      </c>
      <c r="Y23" s="62">
        <v>0</v>
      </c>
      <c r="Z23" s="62">
        <v>0</v>
      </c>
      <c r="AA23" s="69">
        <v>0</v>
      </c>
      <c r="AC23" s="70" t="s">
        <v>45</v>
      </c>
      <c r="AD23" s="71">
        <f>[2]!kriterian(E23)</f>
        <v>2.1</v>
      </c>
      <c r="AE23" s="72">
        <f>[2]!Acanal(F23,G23,I23)</f>
        <v>3.7214051020408174</v>
      </c>
      <c r="AF23" s="73">
        <f>[2]!Pcanal(F23,G23,I23)</f>
        <v>5.805342221648969</v>
      </c>
      <c r="AG23" s="66">
        <f>[2]!rcanal(F23,G23,I23)</f>
        <v>0.64103113304210635</v>
      </c>
      <c r="AH23" s="74">
        <f t="shared" si="2"/>
        <v>2455.462058393638</v>
      </c>
      <c r="AI23" s="75">
        <f>[2]!froud(F23,G23,L23)</f>
        <v>0.20458120233865751</v>
      </c>
      <c r="AJ23" s="67">
        <f t="shared" si="3"/>
        <v>5.1481421981635841E-4</v>
      </c>
      <c r="AM23" s="53">
        <v>133</v>
      </c>
      <c r="AN23" s="56">
        <v>290</v>
      </c>
      <c r="AO23" s="57">
        <f t="shared" si="4"/>
        <v>759.43</v>
      </c>
      <c r="AP23" s="58">
        <f t="shared" si="4"/>
        <v>1655.9</v>
      </c>
      <c r="AR23" s="1" t="s">
        <v>87</v>
      </c>
      <c r="AS23" s="1">
        <v>133</v>
      </c>
      <c r="AT23" s="1">
        <v>290</v>
      </c>
      <c r="AV23" s="1" t="s">
        <v>86</v>
      </c>
    </row>
    <row r="24" spans="1:48" ht="17.399999999999999" x14ac:dyDescent="0.4">
      <c r="A24" s="59" t="s">
        <v>88</v>
      </c>
      <c r="B24" s="60"/>
      <c r="C24" s="60" t="s">
        <v>85</v>
      </c>
      <c r="D24" s="60">
        <v>606</v>
      </c>
      <c r="E24" s="61">
        <f t="shared" si="0"/>
        <v>3460.2599999999998</v>
      </c>
      <c r="F24" s="62">
        <v>2.8499999999999979</v>
      </c>
      <c r="G24" s="62">
        <v>1.1399999999999992</v>
      </c>
      <c r="H24" s="63">
        <f>[2]!wcanal(E24)</f>
        <v>0.6</v>
      </c>
      <c r="I24" s="64">
        <f>[2]!mcanal(G24,H24)</f>
        <v>1.5</v>
      </c>
      <c r="J24" s="65">
        <f>[2]!Kcanal(AC24)</f>
        <v>35</v>
      </c>
      <c r="K24" s="62">
        <f t="shared" si="1"/>
        <v>2.5</v>
      </c>
      <c r="L24" s="66">
        <f>[2]!vcanal(J24,AG24,M24,AC24)</f>
        <v>0.6744529058069253</v>
      </c>
      <c r="M24" s="67">
        <v>5.4799999999999998E-4</v>
      </c>
      <c r="N24" s="68">
        <v>0</v>
      </c>
      <c r="O24" s="64">
        <v>0</v>
      </c>
      <c r="P24" s="64">
        <f>[2]!mcanal(G24,H24)</f>
        <v>1.5</v>
      </c>
      <c r="Q24" s="63">
        <f>[2]!Wlining(E24)</f>
        <v>0</v>
      </c>
      <c r="R24" s="62">
        <v>0.1</v>
      </c>
      <c r="S24" s="62">
        <v>2</v>
      </c>
      <c r="T24" s="62">
        <v>0</v>
      </c>
      <c r="U24" s="62">
        <v>3</v>
      </c>
      <c r="V24" s="62">
        <v>1</v>
      </c>
      <c r="W24" s="62">
        <v>3</v>
      </c>
      <c r="X24" s="62">
        <v>0</v>
      </c>
      <c r="Y24" s="62">
        <v>0</v>
      </c>
      <c r="Z24" s="62">
        <v>0</v>
      </c>
      <c r="AA24" s="69">
        <v>0</v>
      </c>
      <c r="AC24" s="70" t="s">
        <v>45</v>
      </c>
      <c r="AD24" s="71">
        <f>[2]!kriterian(E24)</f>
        <v>2.5</v>
      </c>
      <c r="AE24" s="72">
        <f>[2]!Acanal(F24,G24,I24)</f>
        <v>5.1983999999999932</v>
      </c>
      <c r="AF24" s="73">
        <f>[2]!Pcanal(F24,G24,I24)</f>
        <v>6.960328454028943</v>
      </c>
      <c r="AG24" s="66">
        <f>[2]!rcanal(F24,G24,I24)</f>
        <v>0.74686130609122792</v>
      </c>
      <c r="AH24" s="74">
        <f t="shared" si="2"/>
        <v>3506.0759855467159</v>
      </c>
      <c r="AI24" s="75">
        <f>[2]!froud(F24,G24,L24)</f>
        <v>0.19260258865891869</v>
      </c>
      <c r="AJ24" s="67">
        <f t="shared" si="3"/>
        <v>4.7358783521583419E-4</v>
      </c>
      <c r="AM24" s="53">
        <v>198</v>
      </c>
      <c r="AN24" s="56">
        <v>408</v>
      </c>
      <c r="AO24" s="57">
        <f t="shared" si="4"/>
        <v>1130.58</v>
      </c>
      <c r="AP24" s="58">
        <f t="shared" si="4"/>
        <v>2329.6799999999998</v>
      </c>
      <c r="AR24" s="1" t="s">
        <v>88</v>
      </c>
      <c r="AS24" s="1">
        <v>198</v>
      </c>
      <c r="AT24" s="1">
        <v>408</v>
      </c>
      <c r="AV24" s="1" t="s">
        <v>86</v>
      </c>
    </row>
    <row r="25" spans="1:48" ht="17.399999999999999" x14ac:dyDescent="0.4">
      <c r="A25" s="59" t="s">
        <v>89</v>
      </c>
      <c r="B25" s="60"/>
      <c r="C25" s="60" t="s">
        <v>85</v>
      </c>
      <c r="D25" s="60">
        <v>733</v>
      </c>
      <c r="E25" s="61">
        <f t="shared" si="0"/>
        <v>4185.43</v>
      </c>
      <c r="F25" s="62">
        <v>3.1999999999999966</v>
      </c>
      <c r="G25" s="62">
        <v>1.2599999999999987</v>
      </c>
      <c r="H25" s="63">
        <f>[2]!wcanal(E25)</f>
        <v>0.6</v>
      </c>
      <c r="I25" s="64">
        <f>[2]!mcanal(G25,H25)</f>
        <v>1.5</v>
      </c>
      <c r="J25" s="65">
        <f>[2]!Kcanal(AC25)</f>
        <v>35</v>
      </c>
      <c r="K25" s="62">
        <f t="shared" si="1"/>
        <v>2.5396825396825395</v>
      </c>
      <c r="L25" s="66">
        <f>[2]!vcanal(J25,AG25,M25,AC25)</f>
        <v>0.65845584391173151</v>
      </c>
      <c r="M25" s="67">
        <v>4.55E-4</v>
      </c>
      <c r="N25" s="68">
        <v>0</v>
      </c>
      <c r="O25" s="64">
        <v>0</v>
      </c>
      <c r="P25" s="64">
        <f>[2]!mcanal(G25,H25)</f>
        <v>1.5</v>
      </c>
      <c r="Q25" s="63">
        <f>[2]!Wlining(E25)</f>
        <v>0</v>
      </c>
      <c r="R25" s="62">
        <v>0.1</v>
      </c>
      <c r="S25" s="62">
        <v>2</v>
      </c>
      <c r="T25" s="62">
        <v>0</v>
      </c>
      <c r="U25" s="62">
        <v>3</v>
      </c>
      <c r="V25" s="62">
        <v>1</v>
      </c>
      <c r="W25" s="62">
        <v>3</v>
      </c>
      <c r="X25" s="62">
        <v>0</v>
      </c>
      <c r="Y25" s="62">
        <v>0</v>
      </c>
      <c r="Z25" s="62">
        <v>0</v>
      </c>
      <c r="AA25" s="69">
        <v>0</v>
      </c>
      <c r="AC25" s="70" t="s">
        <v>45</v>
      </c>
      <c r="AD25" s="71">
        <f>[2]!kriterian(E25)</f>
        <v>2.5</v>
      </c>
      <c r="AE25" s="72">
        <f>[2]!Acanal(F25,G25,I25)</f>
        <v>6.413399999999986</v>
      </c>
      <c r="AF25" s="73">
        <f>[2]!Pcanal(F25,G25,I25)</f>
        <v>7.7429946070846185</v>
      </c>
      <c r="AG25" s="66">
        <f>[2]!rcanal(F25,G25,I25)</f>
        <v>0.82828418789442371</v>
      </c>
      <c r="AH25" s="74">
        <f t="shared" si="2"/>
        <v>4222.9407093434902</v>
      </c>
      <c r="AI25" s="75">
        <f>[2]!froud(F25,G25,L25)</f>
        <v>0.18655952786947849</v>
      </c>
      <c r="AJ25" s="67">
        <f t="shared" si="3"/>
        <v>4.140960444134224E-4</v>
      </c>
      <c r="AM25" s="53">
        <v>216</v>
      </c>
      <c r="AN25" s="56">
        <v>517</v>
      </c>
      <c r="AO25" s="57">
        <f t="shared" si="4"/>
        <v>1233.3599999999999</v>
      </c>
      <c r="AP25" s="58">
        <f t="shared" si="4"/>
        <v>2952.07</v>
      </c>
      <c r="AR25" s="1" t="s">
        <v>89</v>
      </c>
      <c r="AS25" s="1">
        <v>216</v>
      </c>
      <c r="AT25" s="1">
        <v>517</v>
      </c>
      <c r="AV25" s="1" t="s">
        <v>86</v>
      </c>
    </row>
    <row r="26" spans="1:48" ht="17.399999999999999" x14ac:dyDescent="0.4">
      <c r="A26" s="59" t="s">
        <v>90</v>
      </c>
      <c r="B26" s="60"/>
      <c r="C26" s="60" t="s">
        <v>85</v>
      </c>
      <c r="D26" s="60">
        <v>850</v>
      </c>
      <c r="E26" s="61">
        <f t="shared" si="0"/>
        <v>4853.5</v>
      </c>
      <c r="F26" s="62">
        <v>3.649999999999995</v>
      </c>
      <c r="G26" s="62">
        <v>1.2935714285714268</v>
      </c>
      <c r="H26" s="63">
        <f>[2]!wcanal(E26)</f>
        <v>0.6</v>
      </c>
      <c r="I26" s="64">
        <f>[2]!mcanal(G26,H26)</f>
        <v>1.5</v>
      </c>
      <c r="J26" s="65">
        <f>[2]!Kcanal(AC26)</f>
        <v>35</v>
      </c>
      <c r="K26" s="62">
        <f t="shared" si="1"/>
        <v>2.8216454997239095</v>
      </c>
      <c r="L26" s="66">
        <f>[2]!vcanal(J26,AG26,M26,AC26)</f>
        <v>0.68027688482707971</v>
      </c>
      <c r="M26" s="67">
        <v>4.55E-4</v>
      </c>
      <c r="N26" s="68">
        <v>0</v>
      </c>
      <c r="O26" s="64">
        <v>0</v>
      </c>
      <c r="P26" s="64">
        <f>[2]!mcanal(G26,H26)</f>
        <v>1.5</v>
      </c>
      <c r="Q26" s="63">
        <f>[2]!Wlining(E26)</f>
        <v>0</v>
      </c>
      <c r="R26" s="62">
        <v>0.1</v>
      </c>
      <c r="S26" s="62">
        <v>2</v>
      </c>
      <c r="T26" s="62">
        <v>0</v>
      </c>
      <c r="U26" s="62">
        <v>3</v>
      </c>
      <c r="V26" s="62">
        <v>1</v>
      </c>
      <c r="W26" s="62">
        <v>3</v>
      </c>
      <c r="X26" s="62">
        <v>0</v>
      </c>
      <c r="Y26" s="62">
        <v>0</v>
      </c>
      <c r="Z26" s="62">
        <v>0</v>
      </c>
      <c r="AA26" s="69">
        <v>0</v>
      </c>
      <c r="AC26" s="70" t="s">
        <v>45</v>
      </c>
      <c r="AD26" s="71">
        <f>[2]!kriterian(E26)</f>
        <v>2.8</v>
      </c>
      <c r="AE26" s="72">
        <f>[2]!Acanal(F26,G26,I26)</f>
        <v>7.2315262755101841</v>
      </c>
      <c r="AF26" s="73">
        <f>[2]!Pcanal(F26,G26,I26)</f>
        <v>8.3140381141894775</v>
      </c>
      <c r="AG26" s="66">
        <f>[2]!rcanal(F26,G26,I26)</f>
        <v>0.86979710414945266</v>
      </c>
      <c r="AH26" s="74">
        <f t="shared" si="2"/>
        <v>4919.4401672492422</v>
      </c>
      <c r="AI26" s="75">
        <f>[2]!froud(F26,G26,L26)</f>
        <v>0.18285842868355595</v>
      </c>
      <c r="AJ26" s="67">
        <f t="shared" si="3"/>
        <v>4.2434625659541341E-4</v>
      </c>
      <c r="AM26" s="53">
        <v>228</v>
      </c>
      <c r="AN26" s="56">
        <v>622</v>
      </c>
      <c r="AO26" s="57">
        <f t="shared" si="4"/>
        <v>1301.8799999999999</v>
      </c>
      <c r="AP26" s="58">
        <f t="shared" si="4"/>
        <v>3551.62</v>
      </c>
      <c r="AR26" s="1" t="s">
        <v>90</v>
      </c>
      <c r="AS26" s="1">
        <v>228</v>
      </c>
      <c r="AT26" s="1">
        <v>622</v>
      </c>
      <c r="AV26" s="1" t="s">
        <v>86</v>
      </c>
    </row>
    <row r="27" spans="1:48" ht="17.399999999999999" x14ac:dyDescent="0.4">
      <c r="A27" s="59" t="s">
        <v>91</v>
      </c>
      <c r="B27" s="60"/>
      <c r="C27" s="60" t="s">
        <v>85</v>
      </c>
      <c r="D27" s="60">
        <v>1193</v>
      </c>
      <c r="E27" s="61">
        <f t="shared" si="0"/>
        <v>6812.03</v>
      </c>
      <c r="F27" s="62">
        <v>4.8499999999999908</v>
      </c>
      <c r="G27" s="62">
        <v>1.4596969696969671</v>
      </c>
      <c r="H27" s="63">
        <f>[2]!wcanal(E27)</f>
        <v>0.75</v>
      </c>
      <c r="I27" s="64">
        <f>[2]!mcanal(G27,H27)</f>
        <v>2</v>
      </c>
      <c r="J27" s="65">
        <f>[2]!Kcanal(AC27)</f>
        <v>35</v>
      </c>
      <c r="K27" s="62">
        <f t="shared" si="1"/>
        <v>3.3226074320116252</v>
      </c>
      <c r="L27" s="66">
        <f>[2]!vcanal(J27,AG27,M27,AC27)</f>
        <v>0.60490274022430668</v>
      </c>
      <c r="M27" s="67">
        <v>2.9999999999999997E-4</v>
      </c>
      <c r="N27" s="68">
        <v>0</v>
      </c>
      <c r="O27" s="64">
        <v>0</v>
      </c>
      <c r="P27" s="64">
        <f>[2]!mcanal(G27,H27)</f>
        <v>2</v>
      </c>
      <c r="Q27" s="63">
        <f>[2]!Wlining(E27)</f>
        <v>0.3</v>
      </c>
      <c r="R27" s="62">
        <v>0.1</v>
      </c>
      <c r="S27" s="62">
        <v>2</v>
      </c>
      <c r="T27" s="62">
        <v>0</v>
      </c>
      <c r="U27" s="62">
        <v>3</v>
      </c>
      <c r="V27" s="62">
        <v>1</v>
      </c>
      <c r="W27" s="62">
        <v>3</v>
      </c>
      <c r="X27" s="62">
        <v>0</v>
      </c>
      <c r="Y27" s="62">
        <v>0</v>
      </c>
      <c r="Z27" s="62">
        <v>0</v>
      </c>
      <c r="AA27" s="69">
        <v>0</v>
      </c>
      <c r="AC27" s="70" t="s">
        <v>45</v>
      </c>
      <c r="AD27" s="71">
        <f>[2]!kriterian(E27)</f>
        <v>3.3</v>
      </c>
      <c r="AE27" s="72">
        <f>[2]!Acanal(F27,G27,I27)</f>
        <v>11.340960789715295</v>
      </c>
      <c r="AF27" s="73">
        <f>[2]!Pcanal(F27,G27,I27)</f>
        <v>11.37796330158573</v>
      </c>
      <c r="AG27" s="66">
        <f>[2]!rcanal(F27,G27,I27)</f>
        <v>0.99674787913358109</v>
      </c>
      <c r="AH27" s="74">
        <f t="shared" si="2"/>
        <v>6860.1782584751991</v>
      </c>
      <c r="AI27" s="75">
        <f>[2]!froud(F27,G27,L27)</f>
        <v>0.1498395740978441</v>
      </c>
      <c r="AJ27" s="67">
        <f t="shared" si="3"/>
        <v>2.9951178461293021E-4</v>
      </c>
      <c r="AM27" s="53">
        <v>280</v>
      </c>
      <c r="AN27" s="56">
        <v>913</v>
      </c>
      <c r="AO27" s="57">
        <f t="shared" si="4"/>
        <v>1598.8</v>
      </c>
      <c r="AP27" s="58">
        <f t="shared" si="4"/>
        <v>5213.2299999999996</v>
      </c>
      <c r="AR27" s="1" t="s">
        <v>91</v>
      </c>
      <c r="AS27" s="1">
        <v>280</v>
      </c>
      <c r="AT27" s="1">
        <v>913</v>
      </c>
      <c r="AV27" s="1" t="s">
        <v>86</v>
      </c>
    </row>
    <row r="28" spans="1:48" ht="17.399999999999999" x14ac:dyDescent="0.4">
      <c r="A28" s="59" t="s">
        <v>92</v>
      </c>
      <c r="B28" s="60"/>
      <c r="C28" s="60" t="s">
        <v>85</v>
      </c>
      <c r="D28" s="60">
        <v>1413</v>
      </c>
      <c r="E28" s="61">
        <f t="shared" si="0"/>
        <v>8068.23</v>
      </c>
      <c r="F28" s="62">
        <v>5.4999999999999885</v>
      </c>
      <c r="G28" s="62">
        <v>1.5177777777777746</v>
      </c>
      <c r="H28" s="63">
        <f>[2]!wcanal(E28)</f>
        <v>0.75</v>
      </c>
      <c r="I28" s="64">
        <f>[2]!mcanal(G28,H28)</f>
        <v>2</v>
      </c>
      <c r="J28" s="65">
        <f>[2]!Kcanal(AC28)</f>
        <v>35</v>
      </c>
      <c r="K28" s="62">
        <f t="shared" si="1"/>
        <v>3.6237188872620791</v>
      </c>
      <c r="L28" s="66">
        <f>[2]!vcanal(J28,AG28,M28,AC28)</f>
        <v>0.62797360834533633</v>
      </c>
      <c r="M28" s="67">
        <v>2.9999999999999997E-4</v>
      </c>
      <c r="N28" s="68">
        <v>0</v>
      </c>
      <c r="O28" s="64">
        <v>0</v>
      </c>
      <c r="P28" s="64">
        <f>[2]!mcanal(G28,H28)</f>
        <v>2</v>
      </c>
      <c r="Q28" s="63">
        <f>[2]!Wlining(E28)</f>
        <v>0.3</v>
      </c>
      <c r="R28" s="62">
        <v>0.1</v>
      </c>
      <c r="S28" s="62">
        <v>2</v>
      </c>
      <c r="T28" s="62">
        <v>0</v>
      </c>
      <c r="U28" s="62">
        <v>3</v>
      </c>
      <c r="V28" s="62">
        <v>1</v>
      </c>
      <c r="W28" s="62">
        <v>3</v>
      </c>
      <c r="X28" s="62">
        <v>0</v>
      </c>
      <c r="Y28" s="62">
        <v>0</v>
      </c>
      <c r="Z28" s="62">
        <v>0</v>
      </c>
      <c r="AA28" s="69">
        <v>0</v>
      </c>
      <c r="AC28" s="70" t="s">
        <v>45</v>
      </c>
      <c r="AD28" s="71">
        <f>[2]!kriterian(E28)</f>
        <v>3.6</v>
      </c>
      <c r="AE28" s="72">
        <f>[2]!Acanal(F28,G28,I28)</f>
        <v>12.955076543209822</v>
      </c>
      <c r="AF28" s="73">
        <f>[2]!Pcanal(F28,G28,I28)</f>
        <v>12.287708571699337</v>
      </c>
      <c r="AG28" s="66">
        <f>[2]!rcanal(F28,G28,I28)</f>
        <v>1.0543118326428693</v>
      </c>
      <c r="AH28" s="74">
        <f t="shared" si="2"/>
        <v>8135.4461632294988</v>
      </c>
      <c r="AI28" s="75">
        <f>[2]!froud(F28,G28,L28)</f>
        <v>0.14895141611509916</v>
      </c>
      <c r="AJ28" s="67">
        <f t="shared" si="3"/>
        <v>3.0803906398029813E-4</v>
      </c>
      <c r="AM28" s="53">
        <v>312</v>
      </c>
      <c r="AN28" s="56">
        <v>1101</v>
      </c>
      <c r="AO28" s="57">
        <f t="shared" si="4"/>
        <v>1781.52</v>
      </c>
      <c r="AP28" s="58">
        <f t="shared" si="4"/>
        <v>6286.71</v>
      </c>
      <c r="AR28" s="1" t="s">
        <v>92</v>
      </c>
      <c r="AS28" s="1">
        <v>312</v>
      </c>
      <c r="AT28" s="1">
        <v>1101</v>
      </c>
      <c r="AV28" s="1" t="s">
        <v>86</v>
      </c>
    </row>
    <row r="29" spans="1:48" ht="17.399999999999999" x14ac:dyDescent="0.4">
      <c r="A29" s="59" t="s">
        <v>93</v>
      </c>
      <c r="B29" s="60"/>
      <c r="C29" s="60" t="s">
        <v>85</v>
      </c>
      <c r="D29" s="60">
        <v>1455</v>
      </c>
      <c r="E29" s="61">
        <f t="shared" si="0"/>
        <v>8308.0500000000011</v>
      </c>
      <c r="F29" s="62">
        <v>5.5499999999999883</v>
      </c>
      <c r="G29" s="62">
        <v>1.5316666666666634</v>
      </c>
      <c r="H29" s="63">
        <f>[2]!wcanal(E29)</f>
        <v>0.75</v>
      </c>
      <c r="I29" s="64">
        <f>[2]!mcanal(G29,H29)</f>
        <v>2</v>
      </c>
      <c r="J29" s="65">
        <f>[2]!Kcanal(AC29)</f>
        <v>35</v>
      </c>
      <c r="K29" s="62">
        <f t="shared" si="1"/>
        <v>3.6235038084874867</v>
      </c>
      <c r="L29" s="66">
        <f>[2]!vcanal(J29,AG29,M29,AC29)</f>
        <v>0.63179384629044988</v>
      </c>
      <c r="M29" s="67">
        <v>2.9999999999999997E-4</v>
      </c>
      <c r="N29" s="68">
        <v>0</v>
      </c>
      <c r="O29" s="64">
        <v>0</v>
      </c>
      <c r="P29" s="64">
        <f>[2]!mcanal(G29,H29)</f>
        <v>2</v>
      </c>
      <c r="Q29" s="63">
        <f>[2]!Wlining(E29)</f>
        <v>0.3</v>
      </c>
      <c r="R29" s="62">
        <v>0.1</v>
      </c>
      <c r="S29" s="62">
        <v>2</v>
      </c>
      <c r="T29" s="62">
        <v>0</v>
      </c>
      <c r="U29" s="62">
        <v>3</v>
      </c>
      <c r="V29" s="62">
        <v>1</v>
      </c>
      <c r="W29" s="62">
        <v>3</v>
      </c>
      <c r="X29" s="62">
        <v>0</v>
      </c>
      <c r="Y29" s="62">
        <v>0</v>
      </c>
      <c r="Z29" s="62">
        <v>0</v>
      </c>
      <c r="AA29" s="69">
        <v>0</v>
      </c>
      <c r="AC29" s="70" t="s">
        <v>45</v>
      </c>
      <c r="AD29" s="71">
        <f>[2]!kriterian(E29)</f>
        <v>3.6</v>
      </c>
      <c r="AE29" s="72">
        <f>[2]!Acanal(F29,G29,I29)</f>
        <v>13.1927555555555</v>
      </c>
      <c r="AF29" s="73">
        <f>[2]!Pcanal(F29,G29,I29)</f>
        <v>12.39982157107433</v>
      </c>
      <c r="AG29" s="66">
        <f>[2]!rcanal(F29,G29,I29)</f>
        <v>1.0639472092349205</v>
      </c>
      <c r="AH29" s="74">
        <f t="shared" si="2"/>
        <v>8335.10177561411</v>
      </c>
      <c r="AI29" s="75">
        <f>[2]!froud(F29,G29,L29)</f>
        <v>0.14986200013510151</v>
      </c>
      <c r="AJ29" s="67">
        <f t="shared" si="3"/>
        <v>3.0944345013450011E-4</v>
      </c>
      <c r="AM29" s="53">
        <v>320</v>
      </c>
      <c r="AN29" s="56">
        <v>1135</v>
      </c>
      <c r="AO29" s="57">
        <f t="shared" si="4"/>
        <v>1827.2</v>
      </c>
      <c r="AP29" s="58">
        <f t="shared" si="4"/>
        <v>6480.85</v>
      </c>
      <c r="AR29" s="1" t="s">
        <v>93</v>
      </c>
      <c r="AS29" s="1">
        <v>320</v>
      </c>
      <c r="AT29" s="1">
        <v>1135</v>
      </c>
      <c r="AV29" s="1" t="s">
        <v>86</v>
      </c>
    </row>
    <row r="30" spans="1:48" ht="17.399999999999999" x14ac:dyDescent="0.4">
      <c r="A30" s="59" t="s">
        <v>94</v>
      </c>
      <c r="B30" s="60"/>
      <c r="C30" s="60" t="s">
        <v>95</v>
      </c>
      <c r="D30" s="60">
        <v>54</v>
      </c>
      <c r="E30" s="61">
        <f t="shared" si="0"/>
        <v>308.33999999999997</v>
      </c>
      <c r="F30" s="62">
        <v>0.65</v>
      </c>
      <c r="G30" s="62">
        <v>0.58090909090909082</v>
      </c>
      <c r="H30" s="63">
        <f>[2]!wcanal(E30)</f>
        <v>0.4</v>
      </c>
      <c r="I30" s="64">
        <f>[2]!mcanal(G30,H30)</f>
        <v>1</v>
      </c>
      <c r="J30" s="65">
        <f>[2]!Kcanal(AC30)</f>
        <v>35</v>
      </c>
      <c r="K30" s="62">
        <f t="shared" si="1"/>
        <v>1.1189358372456966</v>
      </c>
      <c r="L30" s="66">
        <f>[2]!vcanal(J30,AG30,M30,AC30)</f>
        <v>0.43544789599077149</v>
      </c>
      <c r="M30" s="67">
        <v>7.3200000000000001E-4</v>
      </c>
      <c r="N30" s="68">
        <v>1</v>
      </c>
      <c r="O30" s="64">
        <v>1</v>
      </c>
      <c r="P30" s="64">
        <f>[2]!mcanal(G30,H30)</f>
        <v>1</v>
      </c>
      <c r="Q30" s="63">
        <f>[2]!Wlining(E30)</f>
        <v>0.2</v>
      </c>
      <c r="R30" s="62">
        <v>0.1</v>
      </c>
      <c r="S30" s="62">
        <v>2</v>
      </c>
      <c r="T30" s="62">
        <v>0</v>
      </c>
      <c r="U30" s="62">
        <v>3</v>
      </c>
      <c r="V30" s="62">
        <v>1</v>
      </c>
      <c r="W30" s="62">
        <v>3</v>
      </c>
      <c r="X30" s="62">
        <v>0</v>
      </c>
      <c r="Y30" s="62">
        <v>0</v>
      </c>
      <c r="Z30" s="62">
        <v>0</v>
      </c>
      <c r="AA30" s="69">
        <v>0</v>
      </c>
      <c r="AC30" s="70" t="s">
        <v>45</v>
      </c>
      <c r="AD30" s="71">
        <f>[2]!kriterian(E30)</f>
        <v>1.1000000000000001</v>
      </c>
      <c r="AE30" s="72">
        <f>[2]!Acanal(F30,G30,I30)</f>
        <v>0.71504628099173551</v>
      </c>
      <c r="AF30" s="73">
        <f>[2]!Pcanal(F30,G30,I30)</f>
        <v>2.2930590297389228</v>
      </c>
      <c r="AG30" s="66">
        <f>[2]!rcanal(F30,G30,I30)</f>
        <v>0.31183073428037628</v>
      </c>
      <c r="AH30" s="74">
        <f t="shared" si="2"/>
        <v>311.36539859387716</v>
      </c>
      <c r="AI30" s="75">
        <f>[2]!froud(F30,G30,L30)</f>
        <v>0.18587205425319175</v>
      </c>
      <c r="AJ30" s="67">
        <f t="shared" si="3"/>
        <v>4.0876202289969209E-4</v>
      </c>
      <c r="AM30" s="53">
        <v>3</v>
      </c>
      <c r="AN30" s="56">
        <v>51</v>
      </c>
      <c r="AO30" s="57">
        <f t="shared" si="4"/>
        <v>17.13</v>
      </c>
      <c r="AP30" s="58">
        <f t="shared" si="4"/>
        <v>291.20999999999998</v>
      </c>
      <c r="AR30" s="1" t="s">
        <v>94</v>
      </c>
      <c r="AS30" s="1">
        <v>3</v>
      </c>
      <c r="AT30" s="1">
        <v>51</v>
      </c>
      <c r="AV30" s="1" t="s">
        <v>96</v>
      </c>
    </row>
    <row r="31" spans="1:48" ht="17.399999999999999" x14ac:dyDescent="0.4">
      <c r="A31" s="59" t="s">
        <v>97</v>
      </c>
      <c r="B31" s="60"/>
      <c r="C31" s="60" t="s">
        <v>95</v>
      </c>
      <c r="D31" s="60">
        <v>91</v>
      </c>
      <c r="E31" s="61">
        <f t="shared" si="0"/>
        <v>519.61</v>
      </c>
      <c r="F31" s="62">
        <v>0.80000000000000016</v>
      </c>
      <c r="G31" s="62">
        <v>0.63000000000000012</v>
      </c>
      <c r="H31" s="63">
        <f>[2]!wcanal(E31)</f>
        <v>0.5</v>
      </c>
      <c r="I31" s="64">
        <f>[2]!mcanal(G31,H31)</f>
        <v>1.5</v>
      </c>
      <c r="J31" s="65">
        <f>[2]!Kcanal(AC31)</f>
        <v>35</v>
      </c>
      <c r="K31" s="62">
        <f t="shared" si="1"/>
        <v>1.2698412698412698</v>
      </c>
      <c r="L31" s="66">
        <f>[2]!vcanal(J31,AG31,M31,AC31)</f>
        <v>0.47736159922766586</v>
      </c>
      <c r="M31" s="67">
        <v>7.3200000000000001E-4</v>
      </c>
      <c r="N31" s="68">
        <v>1</v>
      </c>
      <c r="O31" s="64">
        <v>1</v>
      </c>
      <c r="P31" s="64">
        <f>[2]!mcanal(G31,H31)</f>
        <v>1.5</v>
      </c>
      <c r="Q31" s="63">
        <f>[2]!Wlining(E31)</f>
        <v>0.2</v>
      </c>
      <c r="R31" s="62">
        <v>0.1</v>
      </c>
      <c r="S31" s="62">
        <v>2</v>
      </c>
      <c r="T31" s="62">
        <v>0</v>
      </c>
      <c r="U31" s="62">
        <v>3</v>
      </c>
      <c r="V31" s="62">
        <v>1</v>
      </c>
      <c r="W31" s="62">
        <v>3</v>
      </c>
      <c r="X31" s="62">
        <v>0</v>
      </c>
      <c r="Y31" s="62">
        <v>0</v>
      </c>
      <c r="Z31" s="62">
        <v>0</v>
      </c>
      <c r="AA31" s="69">
        <v>0</v>
      </c>
      <c r="AC31" s="70" t="s">
        <v>45</v>
      </c>
      <c r="AD31" s="71">
        <f>[2]!kriterian(E31)</f>
        <v>1.25</v>
      </c>
      <c r="AE31" s="72">
        <f>[2]!Acanal(F31,G31,I31)</f>
        <v>1.0993500000000005</v>
      </c>
      <c r="AF31" s="73">
        <f>[2]!Pcanal(F31,G31,I31)</f>
        <v>3.0714973035423139</v>
      </c>
      <c r="AG31" s="66">
        <f>[2]!rcanal(F31,G31,I31)</f>
        <v>0.35791989748196618</v>
      </c>
      <c r="AH31" s="74">
        <f t="shared" si="2"/>
        <v>524.78747411093468</v>
      </c>
      <c r="AI31" s="75">
        <f>[2]!froud(F31,G31,L31)</f>
        <v>0.19127281748639202</v>
      </c>
      <c r="AJ31" s="67">
        <f t="shared" si="3"/>
        <v>4.3792929925774211E-4</v>
      </c>
      <c r="AM31" s="53">
        <v>12</v>
      </c>
      <c r="AN31" s="56">
        <v>79</v>
      </c>
      <c r="AO31" s="57">
        <f t="shared" si="4"/>
        <v>68.52</v>
      </c>
      <c r="AP31" s="58">
        <f t="shared" si="4"/>
        <v>451.09</v>
      </c>
      <c r="AR31" s="1" t="s">
        <v>98</v>
      </c>
      <c r="AS31" s="1">
        <v>12</v>
      </c>
      <c r="AT31" s="1">
        <v>79</v>
      </c>
      <c r="AV31" s="1" t="s">
        <v>96</v>
      </c>
    </row>
    <row r="32" spans="1:48" ht="17.399999999999999" x14ac:dyDescent="0.4">
      <c r="A32" s="59" t="s">
        <v>99</v>
      </c>
      <c r="B32" s="60"/>
      <c r="C32" s="60" t="s">
        <v>95</v>
      </c>
      <c r="D32" s="60">
        <v>91</v>
      </c>
      <c r="E32" s="61">
        <f t="shared" si="0"/>
        <v>519.61</v>
      </c>
      <c r="F32" s="62">
        <v>0.80000000000000016</v>
      </c>
      <c r="G32" s="62">
        <v>0.60000000000000009</v>
      </c>
      <c r="H32" s="63">
        <f>[2]!wcanal(E32)</f>
        <v>0.5</v>
      </c>
      <c r="I32" s="64">
        <f>[2]!mcanal(G32,H32)</f>
        <v>1.5</v>
      </c>
      <c r="J32" s="65">
        <f>[2]!Kcanal(AC32)</f>
        <v>35</v>
      </c>
      <c r="K32" s="62">
        <f t="shared" si="1"/>
        <v>1.3333333333333335</v>
      </c>
      <c r="L32" s="66">
        <f>[2]!vcanal(J32,AG32,M32,AC32)</f>
        <v>0.5148463369147106</v>
      </c>
      <c r="M32" s="67">
        <v>8.9700000000000001E-4</v>
      </c>
      <c r="N32" s="68">
        <v>1</v>
      </c>
      <c r="O32" s="64">
        <v>1</v>
      </c>
      <c r="P32" s="64">
        <f>[2]!mcanal(G32,H32)</f>
        <v>1.5</v>
      </c>
      <c r="Q32" s="63">
        <f>[2]!Wlining(E32)</f>
        <v>0.2</v>
      </c>
      <c r="R32" s="62">
        <v>0.1</v>
      </c>
      <c r="S32" s="62">
        <v>2</v>
      </c>
      <c r="T32" s="62">
        <v>0</v>
      </c>
      <c r="U32" s="62">
        <v>3</v>
      </c>
      <c r="V32" s="62">
        <v>1</v>
      </c>
      <c r="W32" s="62">
        <v>3</v>
      </c>
      <c r="X32" s="62">
        <v>0</v>
      </c>
      <c r="Y32" s="62">
        <v>0</v>
      </c>
      <c r="Z32" s="62">
        <v>0</v>
      </c>
      <c r="AA32" s="69">
        <v>0</v>
      </c>
      <c r="AC32" s="70" t="s">
        <v>45</v>
      </c>
      <c r="AD32" s="71">
        <f>[2]!kriterian(E32)</f>
        <v>1.25</v>
      </c>
      <c r="AE32" s="72">
        <f>[2]!Acanal(F32,G32,I32)</f>
        <v>1.0200000000000002</v>
      </c>
      <c r="AF32" s="73">
        <f>[2]!Pcanal(F32,G32,I32)</f>
        <v>2.963330765278394</v>
      </c>
      <c r="AG32" s="66">
        <f>[2]!rcanal(F32,G32,I32)</f>
        <v>0.34420727242177268</v>
      </c>
      <c r="AH32" s="74">
        <f t="shared" si="2"/>
        <v>525.14326365300485</v>
      </c>
      <c r="AI32" s="75">
        <f>[2]!froud(F32,G32,L32)</f>
        <v>0.20132084888276477</v>
      </c>
      <c r="AJ32" s="67">
        <f t="shared" si="3"/>
        <v>5.2626254783711345E-4</v>
      </c>
      <c r="AM32" s="53">
        <v>12</v>
      </c>
      <c r="AN32" s="56">
        <v>79</v>
      </c>
      <c r="AO32" s="57">
        <f t="shared" si="4"/>
        <v>68.52</v>
      </c>
      <c r="AP32" s="58">
        <f t="shared" si="4"/>
        <v>451.09</v>
      </c>
      <c r="AR32" s="1" t="s">
        <v>98</v>
      </c>
      <c r="AS32" s="1">
        <v>12</v>
      </c>
      <c r="AT32" s="1">
        <v>79</v>
      </c>
      <c r="AV32" s="1" t="s">
        <v>96</v>
      </c>
    </row>
    <row r="33" spans="1:48" ht="17.399999999999999" x14ac:dyDescent="0.4">
      <c r="A33" s="59" t="s">
        <v>100</v>
      </c>
      <c r="B33" s="60"/>
      <c r="C33" s="60" t="s">
        <v>95</v>
      </c>
      <c r="D33" s="60">
        <v>155</v>
      </c>
      <c r="E33" s="61">
        <f t="shared" si="0"/>
        <v>885.05</v>
      </c>
      <c r="F33" s="62">
        <v>1.0500000000000003</v>
      </c>
      <c r="G33" s="62">
        <v>0.7200000000000002</v>
      </c>
      <c r="H33" s="63">
        <f>[2]!wcanal(E33)</f>
        <v>0.5</v>
      </c>
      <c r="I33" s="64">
        <f>[2]!mcanal(G33,H33)</f>
        <v>1.5</v>
      </c>
      <c r="J33" s="65">
        <f>[2]!Kcanal(AC33)</f>
        <v>35</v>
      </c>
      <c r="K33" s="62">
        <f t="shared" si="1"/>
        <v>1.4583333333333333</v>
      </c>
      <c r="L33" s="66">
        <f>[2]!vcanal(J33,AG33,M33,AC33)</f>
        <v>0.58847515814997731</v>
      </c>
      <c r="M33" s="67">
        <v>8.9700000000000001E-4</v>
      </c>
      <c r="N33" s="68">
        <v>1</v>
      </c>
      <c r="O33" s="64">
        <v>1</v>
      </c>
      <c r="P33" s="64">
        <f>[2]!mcanal(G33,H33)</f>
        <v>1.5</v>
      </c>
      <c r="Q33" s="63">
        <f>[2]!Wlining(E33)</f>
        <v>0.2</v>
      </c>
      <c r="R33" s="62">
        <v>0.1</v>
      </c>
      <c r="S33" s="62">
        <v>2</v>
      </c>
      <c r="T33" s="62">
        <v>0</v>
      </c>
      <c r="U33" s="62">
        <v>3</v>
      </c>
      <c r="V33" s="62">
        <v>1</v>
      </c>
      <c r="W33" s="62">
        <v>3</v>
      </c>
      <c r="X33" s="62">
        <v>0</v>
      </c>
      <c r="Y33" s="62">
        <v>0</v>
      </c>
      <c r="Z33" s="62">
        <v>0</v>
      </c>
      <c r="AA33" s="69">
        <v>0</v>
      </c>
      <c r="AC33" s="70" t="s">
        <v>45</v>
      </c>
      <c r="AD33" s="71">
        <f>[2]!kriterian(E33)</f>
        <v>1.4</v>
      </c>
      <c r="AE33" s="72">
        <f>[2]!Acanal(F33,G33,I33)</f>
        <v>1.533600000000001</v>
      </c>
      <c r="AF33" s="73">
        <f>[2]!Pcanal(F33,G33,I33)</f>
        <v>3.645996918334073</v>
      </c>
      <c r="AG33" s="66">
        <f>[2]!rcanal(F33,G33,I33)</f>
        <v>0.42062569836200869</v>
      </c>
      <c r="AH33" s="74">
        <f t="shared" si="2"/>
        <v>902.4855025388058</v>
      </c>
      <c r="AI33" s="75">
        <f>[2]!froud(F33,G33,L33)</f>
        <v>0.22002915308159479</v>
      </c>
      <c r="AJ33" s="67">
        <f t="shared" si="3"/>
        <v>5.8175529437501242E-4</v>
      </c>
      <c r="AM33" s="53">
        <v>21</v>
      </c>
      <c r="AN33" s="56">
        <v>134</v>
      </c>
      <c r="AO33" s="57">
        <f t="shared" si="4"/>
        <v>119.91</v>
      </c>
      <c r="AP33" s="58">
        <f t="shared" si="4"/>
        <v>765.14</v>
      </c>
      <c r="AR33" s="1" t="s">
        <v>100</v>
      </c>
      <c r="AS33" s="1">
        <v>21</v>
      </c>
      <c r="AT33" s="1">
        <v>134</v>
      </c>
      <c r="AV33" s="1" t="s">
        <v>96</v>
      </c>
    </row>
    <row r="34" spans="1:48" ht="17.399999999999999" x14ac:dyDescent="0.4">
      <c r="A34" s="59" t="s">
        <v>101</v>
      </c>
      <c r="B34" s="60"/>
      <c r="C34" s="60" t="s">
        <v>102</v>
      </c>
      <c r="D34" s="60">
        <v>192</v>
      </c>
      <c r="E34" s="61">
        <f t="shared" si="0"/>
        <v>1096.32</v>
      </c>
      <c r="F34" s="62">
        <v>1.6000000000000008</v>
      </c>
      <c r="G34" s="62">
        <v>0.9111764705882357</v>
      </c>
      <c r="H34" s="63">
        <f>[2]!wcanal(E34)</f>
        <v>0.5</v>
      </c>
      <c r="I34" s="64">
        <f>[2]!mcanal(G34,H34)</f>
        <v>1.5</v>
      </c>
      <c r="J34" s="65">
        <f>[2]!Kcanal(AC34)</f>
        <v>35</v>
      </c>
      <c r="K34" s="62">
        <f t="shared" si="1"/>
        <v>1.7559715945771466</v>
      </c>
      <c r="L34" s="66">
        <f>[2]!vcanal(J34,AG34,M34,AC34)</f>
        <v>0.40859398186416351</v>
      </c>
      <c r="M34" s="67">
        <v>2.9999999999999997E-4</v>
      </c>
      <c r="N34" s="68">
        <v>0</v>
      </c>
      <c r="O34" s="64">
        <v>0</v>
      </c>
      <c r="P34" s="64">
        <f>[2]!mcanal(G34,H34)</f>
        <v>1.5</v>
      </c>
      <c r="Q34" s="63">
        <f>[2]!Wlining(E34)</f>
        <v>0.2</v>
      </c>
      <c r="R34" s="62">
        <v>0.1</v>
      </c>
      <c r="S34" s="62">
        <v>2</v>
      </c>
      <c r="T34" s="62">
        <v>0</v>
      </c>
      <c r="U34" s="62">
        <v>3</v>
      </c>
      <c r="V34" s="62">
        <v>1</v>
      </c>
      <c r="W34" s="62">
        <v>3</v>
      </c>
      <c r="X34" s="62">
        <v>0</v>
      </c>
      <c r="Y34" s="62">
        <v>0</v>
      </c>
      <c r="Z34" s="62">
        <v>0</v>
      </c>
      <c r="AA34" s="69">
        <v>0</v>
      </c>
      <c r="AC34" s="70" t="s">
        <v>45</v>
      </c>
      <c r="AD34" s="71">
        <f>[2]!kriterian(E34)</f>
        <v>1.7</v>
      </c>
      <c r="AE34" s="72">
        <f>[2]!Acanal(F34,G34,I34)</f>
        <v>2.7032461937716286</v>
      </c>
      <c r="AF34" s="73">
        <f>[2]!Pcanal(F34,G34,I34)</f>
        <v>4.8852934857021904</v>
      </c>
      <c r="AG34" s="66">
        <f>[2]!rcanal(F34,G34,I34)</f>
        <v>0.55334366331996854</v>
      </c>
      <c r="AH34" s="74">
        <f t="shared" si="2"/>
        <v>1104.5301262722937</v>
      </c>
      <c r="AI34" s="75">
        <f>[2]!froud(F34,G34,L34)</f>
        <v>0.13922387481328979</v>
      </c>
      <c r="AJ34" s="67">
        <f t="shared" si="3"/>
        <v>2.2316121907445561E-4</v>
      </c>
      <c r="AM34" s="53">
        <v>59</v>
      </c>
      <c r="AN34" s="56">
        <v>133</v>
      </c>
      <c r="AO34" s="57">
        <f t="shared" si="4"/>
        <v>336.89</v>
      </c>
      <c r="AP34" s="58">
        <f t="shared" si="4"/>
        <v>759.43</v>
      </c>
      <c r="AR34" s="1" t="s">
        <v>101</v>
      </c>
      <c r="AS34" s="1">
        <v>59</v>
      </c>
      <c r="AT34" s="1">
        <v>133</v>
      </c>
      <c r="AV34" s="1" t="s">
        <v>103</v>
      </c>
    </row>
    <row r="35" spans="1:48" ht="17.399999999999999" x14ac:dyDescent="0.4">
      <c r="A35" s="59" t="s">
        <v>104</v>
      </c>
      <c r="B35" s="60"/>
      <c r="C35" s="60" t="s">
        <v>105</v>
      </c>
      <c r="D35" s="60">
        <v>37</v>
      </c>
      <c r="E35" s="61">
        <f t="shared" si="0"/>
        <v>211.27</v>
      </c>
      <c r="F35" s="62">
        <v>0.49999999999999994</v>
      </c>
      <c r="G35" s="62">
        <v>0.47999999999999993</v>
      </c>
      <c r="H35" s="63">
        <f>[2]!wcanal(E35)</f>
        <v>0.4</v>
      </c>
      <c r="I35" s="64">
        <f>[2]!mcanal(G35,H35)</f>
        <v>1</v>
      </c>
      <c r="J35" s="65">
        <f>[2]!Kcanal(AC35)</f>
        <v>35</v>
      </c>
      <c r="K35" s="62">
        <f t="shared" si="1"/>
        <v>1.0416666666666667</v>
      </c>
      <c r="L35" s="66">
        <f>[2]!vcanal(J35,AG35,M35,AC35)</f>
        <v>0.46271844302406223</v>
      </c>
      <c r="M35" s="67">
        <v>1.091E-3</v>
      </c>
      <c r="N35" s="68">
        <v>0</v>
      </c>
      <c r="O35" s="64">
        <v>0</v>
      </c>
      <c r="P35" s="64">
        <f>[2]!mcanal(G35,H35)</f>
        <v>1</v>
      </c>
      <c r="Q35" s="63">
        <f>[2]!Wlining(E35)</f>
        <v>0.2</v>
      </c>
      <c r="R35" s="62">
        <v>0.1</v>
      </c>
      <c r="S35" s="62">
        <v>2</v>
      </c>
      <c r="T35" s="62">
        <v>0</v>
      </c>
      <c r="U35" s="62">
        <v>3</v>
      </c>
      <c r="V35" s="62">
        <v>1</v>
      </c>
      <c r="W35" s="62">
        <v>3</v>
      </c>
      <c r="X35" s="62">
        <v>0</v>
      </c>
      <c r="Y35" s="62">
        <v>0</v>
      </c>
      <c r="Z35" s="62">
        <v>0</v>
      </c>
      <c r="AA35" s="69">
        <v>0</v>
      </c>
      <c r="AC35" s="70" t="s">
        <v>45</v>
      </c>
      <c r="AD35" s="71">
        <f>[2]!kriterian(E35)</f>
        <v>1</v>
      </c>
      <c r="AE35" s="72">
        <f>[2]!Acanal(F35,G35,I35)</f>
        <v>0.47039999999999987</v>
      </c>
      <c r="AF35" s="73">
        <f>[2]!Pcanal(F35,G35,I35)</f>
        <v>1.8576450198781711</v>
      </c>
      <c r="AG35" s="66">
        <f>[2]!rcanal(F35,G35,I35)</f>
        <v>0.25322383715207863</v>
      </c>
      <c r="AH35" s="74">
        <f t="shared" si="2"/>
        <v>217.6627555985188</v>
      </c>
      <c r="AI35" s="75">
        <f>[2]!froud(F35,G35,L35)</f>
        <v>0.2047071069501189</v>
      </c>
      <c r="AJ35" s="67">
        <f t="shared" si="3"/>
        <v>5.4900593995804215E-4</v>
      </c>
      <c r="AM35" s="53"/>
      <c r="AN35" s="56">
        <v>37</v>
      </c>
      <c r="AO35" s="57">
        <f t="shared" si="4"/>
        <v>0</v>
      </c>
      <c r="AP35" s="58">
        <f t="shared" si="4"/>
        <v>211.27</v>
      </c>
      <c r="AR35" s="1" t="s">
        <v>104</v>
      </c>
      <c r="AT35" s="1">
        <v>37</v>
      </c>
      <c r="AV35" s="1" t="s">
        <v>106</v>
      </c>
    </row>
    <row r="36" spans="1:48" ht="17.399999999999999" x14ac:dyDescent="0.4">
      <c r="A36" s="59" t="s">
        <v>107</v>
      </c>
      <c r="B36" s="60"/>
      <c r="C36" s="60" t="s">
        <v>108</v>
      </c>
      <c r="D36" s="60">
        <v>75</v>
      </c>
      <c r="E36" s="61">
        <f t="shared" si="0"/>
        <v>428.25</v>
      </c>
      <c r="F36" s="62">
        <v>0.65</v>
      </c>
      <c r="G36" s="62">
        <v>0.59090909090909083</v>
      </c>
      <c r="H36" s="63">
        <f>[2]!wcanal(E36)</f>
        <v>0.4</v>
      </c>
      <c r="I36" s="64">
        <f>[2]!mcanal(G36,H36)</f>
        <v>1</v>
      </c>
      <c r="J36" s="65">
        <f>[2]!Kcanal(AC36)</f>
        <v>35</v>
      </c>
      <c r="K36" s="62">
        <f t="shared" si="1"/>
        <v>1.1000000000000001</v>
      </c>
      <c r="L36" s="66">
        <f>[2]!vcanal(J36,AG36,M36,AC36)</f>
        <v>0.59998570628256465</v>
      </c>
      <c r="M36" s="67">
        <v>1.366E-3</v>
      </c>
      <c r="N36" s="68">
        <v>1</v>
      </c>
      <c r="O36" s="64">
        <v>1</v>
      </c>
      <c r="P36" s="64">
        <f>[2]!mcanal(G36,H36)</f>
        <v>1</v>
      </c>
      <c r="Q36" s="63">
        <f>[2]!Wlining(E36)</f>
        <v>0.2</v>
      </c>
      <c r="R36" s="62">
        <v>0.1</v>
      </c>
      <c r="S36" s="62">
        <v>2</v>
      </c>
      <c r="T36" s="62">
        <v>0</v>
      </c>
      <c r="U36" s="62">
        <v>3</v>
      </c>
      <c r="V36" s="62">
        <v>1</v>
      </c>
      <c r="W36" s="62">
        <v>3</v>
      </c>
      <c r="X36" s="62">
        <v>0</v>
      </c>
      <c r="Y36" s="62">
        <v>0</v>
      </c>
      <c r="Z36" s="62">
        <v>0</v>
      </c>
      <c r="AA36" s="69">
        <v>0</v>
      </c>
      <c r="AC36" s="70" t="s">
        <v>45</v>
      </c>
      <c r="AD36" s="71">
        <f>[2]!kriterian(E36)</f>
        <v>1.1000000000000001</v>
      </c>
      <c r="AE36" s="72">
        <f>[2]!Acanal(F36,G36,I36)</f>
        <v>0.73326446280991719</v>
      </c>
      <c r="AF36" s="73">
        <f>[2]!Pcanal(F36,G36,I36)</f>
        <v>2.3213433009863849</v>
      </c>
      <c r="AG36" s="66">
        <f>[2]!rcanal(F36,G36,I36)</f>
        <v>0.31587937143908812</v>
      </c>
      <c r="AH36" s="74">
        <f t="shared" si="2"/>
        <v>439.9481966109135</v>
      </c>
      <c r="AI36" s="75">
        <f>[2]!froud(F36,G36,L36)</f>
        <v>0.2583003863027562</v>
      </c>
      <c r="AJ36" s="67">
        <f t="shared" si="3"/>
        <v>7.6773498579457418E-4</v>
      </c>
      <c r="AM36" s="53">
        <v>24</v>
      </c>
      <c r="AN36" s="56">
        <v>51</v>
      </c>
      <c r="AO36" s="57">
        <f t="shared" si="4"/>
        <v>137.04</v>
      </c>
      <c r="AP36" s="58">
        <f t="shared" si="4"/>
        <v>291.20999999999998</v>
      </c>
      <c r="AR36" s="1" t="s">
        <v>107</v>
      </c>
      <c r="AS36" s="1">
        <v>24</v>
      </c>
      <c r="AT36" s="1">
        <v>51</v>
      </c>
      <c r="AV36" s="1" t="s">
        <v>109</v>
      </c>
    </row>
    <row r="37" spans="1:48" ht="17.399999999999999" x14ac:dyDescent="0.4">
      <c r="A37" s="59" t="s">
        <v>110</v>
      </c>
      <c r="B37" s="60"/>
      <c r="C37" s="60" t="s">
        <v>108</v>
      </c>
      <c r="D37" s="60">
        <v>130</v>
      </c>
      <c r="E37" s="61">
        <f t="shared" si="0"/>
        <v>742.3</v>
      </c>
      <c r="F37" s="62">
        <v>0.8500000000000002</v>
      </c>
      <c r="G37" s="62">
        <v>0.63000000000000012</v>
      </c>
      <c r="H37" s="63">
        <f>[2]!wcanal(E37)</f>
        <v>0.5</v>
      </c>
      <c r="I37" s="64">
        <f>[2]!mcanal(G37,H37)</f>
        <v>1.5</v>
      </c>
      <c r="J37" s="65">
        <f>[2]!Kcanal(AC37)</f>
        <v>35</v>
      </c>
      <c r="K37" s="62">
        <f t="shared" si="1"/>
        <v>1.3492063492063493</v>
      </c>
      <c r="L37" s="66">
        <f>[2]!vcanal(J37,AG37,M37,AC37)</f>
        <v>0.65738746619478328</v>
      </c>
      <c r="M37" s="67">
        <v>1.366E-3</v>
      </c>
      <c r="N37" s="68">
        <v>1</v>
      </c>
      <c r="O37" s="64">
        <v>1</v>
      </c>
      <c r="P37" s="64">
        <f>[2]!mcanal(G37,H37)</f>
        <v>1.5</v>
      </c>
      <c r="Q37" s="63">
        <f>[2]!Wlining(E37)</f>
        <v>0.2</v>
      </c>
      <c r="R37" s="62">
        <v>0.1</v>
      </c>
      <c r="S37" s="62">
        <v>2</v>
      </c>
      <c r="T37" s="62">
        <v>0</v>
      </c>
      <c r="U37" s="62">
        <v>3</v>
      </c>
      <c r="V37" s="62">
        <v>1</v>
      </c>
      <c r="W37" s="62">
        <v>3</v>
      </c>
      <c r="X37" s="62">
        <v>0</v>
      </c>
      <c r="Y37" s="62">
        <v>0</v>
      </c>
      <c r="Z37" s="62">
        <v>0</v>
      </c>
      <c r="AA37" s="69">
        <v>0</v>
      </c>
      <c r="AC37" s="70" t="s">
        <v>45</v>
      </c>
      <c r="AD37" s="71">
        <f>[2]!kriterian(E37)</f>
        <v>1.25</v>
      </c>
      <c r="AE37" s="72">
        <f>[2]!Acanal(F37,G37,I37)</f>
        <v>1.1308500000000004</v>
      </c>
      <c r="AF37" s="73">
        <f>[2]!Pcanal(F37,G37,I37)</f>
        <v>3.1214973035423137</v>
      </c>
      <c r="AG37" s="66">
        <f>[2]!rcanal(F37,G37,I37)</f>
        <v>0.36227806402930346</v>
      </c>
      <c r="AH37" s="74">
        <f t="shared" si="2"/>
        <v>743.40661614637088</v>
      </c>
      <c r="AI37" s="75">
        <f>[2]!froud(F37,G37,L37)</f>
        <v>0.25554225658296492</v>
      </c>
      <c r="AJ37" s="67">
        <f t="shared" si="3"/>
        <v>8.2218910674118216E-4</v>
      </c>
      <c r="AM37" s="53">
        <v>25</v>
      </c>
      <c r="AN37" s="56">
        <v>105</v>
      </c>
      <c r="AO37" s="57">
        <f t="shared" si="4"/>
        <v>142.75</v>
      </c>
      <c r="AP37" s="58">
        <f t="shared" si="4"/>
        <v>599.54999999999995</v>
      </c>
      <c r="AR37" s="1" t="s">
        <v>111</v>
      </c>
      <c r="AS37" s="1">
        <v>25</v>
      </c>
      <c r="AT37" s="1">
        <v>105</v>
      </c>
      <c r="AV37" s="1" t="s">
        <v>109</v>
      </c>
    </row>
    <row r="38" spans="1:48" ht="17.399999999999999" x14ac:dyDescent="0.4">
      <c r="A38" s="59" t="s">
        <v>112</v>
      </c>
      <c r="B38" s="60"/>
      <c r="C38" s="60" t="s">
        <v>108</v>
      </c>
      <c r="D38" s="60">
        <v>130</v>
      </c>
      <c r="E38" s="61">
        <f t="shared" si="0"/>
        <v>742.3</v>
      </c>
      <c r="F38" s="62">
        <v>1.0000000000000002</v>
      </c>
      <c r="G38" s="62">
        <v>0.78000000000000014</v>
      </c>
      <c r="H38" s="63">
        <f>[2]!wcanal(E38)</f>
        <v>0.5</v>
      </c>
      <c r="I38" s="64">
        <f>[2]!mcanal(G38,H38)</f>
        <v>1.5</v>
      </c>
      <c r="J38" s="65">
        <f>[2]!Kcanal(AC38)</f>
        <v>35</v>
      </c>
      <c r="K38" s="62">
        <f t="shared" si="1"/>
        <v>1.2820512820512822</v>
      </c>
      <c r="L38" s="66">
        <f>[2]!vcanal(J38,AG38,M38,AC38)</f>
        <v>0.44719897258509878</v>
      </c>
      <c r="M38" s="67">
        <v>4.8200000000000001E-4</v>
      </c>
      <c r="N38" s="68">
        <v>1</v>
      </c>
      <c r="O38" s="64">
        <v>1</v>
      </c>
      <c r="P38" s="64">
        <f>[2]!mcanal(G38,H38)</f>
        <v>1.5</v>
      </c>
      <c r="Q38" s="63">
        <f>[2]!Wlining(E38)</f>
        <v>0.2</v>
      </c>
      <c r="R38" s="62">
        <v>0.1</v>
      </c>
      <c r="S38" s="62">
        <v>2</v>
      </c>
      <c r="T38" s="62">
        <v>0</v>
      </c>
      <c r="U38" s="62">
        <v>3</v>
      </c>
      <c r="V38" s="62">
        <v>1</v>
      </c>
      <c r="W38" s="62">
        <v>3</v>
      </c>
      <c r="X38" s="62">
        <v>0</v>
      </c>
      <c r="Y38" s="62">
        <v>0</v>
      </c>
      <c r="Z38" s="62">
        <v>0</v>
      </c>
      <c r="AA38" s="69">
        <v>0</v>
      </c>
      <c r="AC38" s="70" t="s">
        <v>45</v>
      </c>
      <c r="AD38" s="71">
        <f>[2]!kriterian(E38)</f>
        <v>1.25</v>
      </c>
      <c r="AE38" s="72">
        <f>[2]!Acanal(F38,G38,I38)</f>
        <v>1.6926000000000005</v>
      </c>
      <c r="AF38" s="73">
        <f>[2]!Pcanal(F38,G38,I38)</f>
        <v>3.812329994861912</v>
      </c>
      <c r="AG38" s="66">
        <f>[2]!rcanal(F38,G38,I38)</f>
        <v>0.44398045349726051</v>
      </c>
      <c r="AH38" s="74">
        <f t="shared" si="2"/>
        <v>756.92898099753847</v>
      </c>
      <c r="AI38" s="75">
        <f>[2]!froud(F38,G38,L38)</f>
        <v>0.17833171764297731</v>
      </c>
      <c r="AJ38" s="67">
        <f t="shared" si="3"/>
        <v>3.2116555680567236E-4</v>
      </c>
      <c r="AM38" s="53">
        <v>25</v>
      </c>
      <c r="AN38" s="56">
        <v>105</v>
      </c>
      <c r="AO38" s="57">
        <f t="shared" si="4"/>
        <v>142.75</v>
      </c>
      <c r="AP38" s="58">
        <f t="shared" si="4"/>
        <v>599.54999999999995</v>
      </c>
      <c r="AR38" s="1" t="s">
        <v>111</v>
      </c>
      <c r="AS38" s="1">
        <v>25</v>
      </c>
      <c r="AT38" s="1">
        <v>105</v>
      </c>
      <c r="AV38" s="1" t="s">
        <v>109</v>
      </c>
    </row>
    <row r="39" spans="1:48" ht="17.399999999999999" x14ac:dyDescent="0.4">
      <c r="A39" s="59" t="s">
        <v>113</v>
      </c>
      <c r="B39" s="60"/>
      <c r="C39" s="60" t="s">
        <v>108</v>
      </c>
      <c r="D39" s="60">
        <v>205</v>
      </c>
      <c r="E39" s="61">
        <f t="shared" si="0"/>
        <v>1170.55</v>
      </c>
      <c r="F39" s="62">
        <v>1.5000000000000007</v>
      </c>
      <c r="G39" s="62">
        <v>0.85235294117647098</v>
      </c>
      <c r="H39" s="63">
        <f>[2]!wcanal(E39)</f>
        <v>0.5</v>
      </c>
      <c r="I39" s="64">
        <f>[2]!mcanal(G39,H39)</f>
        <v>1.5</v>
      </c>
      <c r="J39" s="65">
        <f>[2]!Kcanal(AC39)</f>
        <v>35</v>
      </c>
      <c r="K39" s="62">
        <f t="shared" si="1"/>
        <v>1.7598343685300206</v>
      </c>
      <c r="L39" s="66">
        <f>[2]!vcanal(J39,AG39,M39,AC39)</f>
        <v>0.49552731645555631</v>
      </c>
      <c r="M39" s="67">
        <v>4.8200000000000001E-4</v>
      </c>
      <c r="N39" s="68">
        <v>1</v>
      </c>
      <c r="O39" s="64">
        <v>1</v>
      </c>
      <c r="P39" s="64">
        <f>[2]!mcanal(G39,H39)</f>
        <v>1.5</v>
      </c>
      <c r="Q39" s="63">
        <f>[2]!Wlining(E39)</f>
        <v>0.2</v>
      </c>
      <c r="R39" s="62">
        <v>0.1</v>
      </c>
      <c r="S39" s="62">
        <v>2</v>
      </c>
      <c r="T39" s="62">
        <v>0</v>
      </c>
      <c r="U39" s="62">
        <v>3</v>
      </c>
      <c r="V39" s="62">
        <v>1</v>
      </c>
      <c r="W39" s="62">
        <v>3</v>
      </c>
      <c r="X39" s="62">
        <v>0</v>
      </c>
      <c r="Y39" s="62">
        <v>0</v>
      </c>
      <c r="Z39" s="62">
        <v>0</v>
      </c>
      <c r="AA39" s="69">
        <v>0</v>
      </c>
      <c r="AC39" s="70" t="s">
        <v>45</v>
      </c>
      <c r="AD39" s="71">
        <f>[2]!kriterian(E39)</f>
        <v>1.7</v>
      </c>
      <c r="AE39" s="72">
        <f>[2]!Acanal(F39,G39,I39)</f>
        <v>2.3682877162629783</v>
      </c>
      <c r="AF39" s="73">
        <f>[2]!Pcanal(F39,G39,I39)</f>
        <v>4.5732022342043077</v>
      </c>
      <c r="AG39" s="66">
        <f>[2]!rcanal(F39,G39,I39)</f>
        <v>0.51786201330653314</v>
      </c>
      <c r="AH39" s="74">
        <f t="shared" si="2"/>
        <v>1173.5512566344516</v>
      </c>
      <c r="AI39" s="75">
        <f>[2]!froud(F39,G39,L39)</f>
        <v>0.16866003925599149</v>
      </c>
      <c r="AJ39" s="67">
        <f t="shared" si="3"/>
        <v>3.4685987715420044E-4</v>
      </c>
      <c r="AM39" s="53">
        <v>25</v>
      </c>
      <c r="AN39" s="56">
        <v>180</v>
      </c>
      <c r="AO39" s="57">
        <f t="shared" si="4"/>
        <v>142.75</v>
      </c>
      <c r="AP39" s="58">
        <f t="shared" si="4"/>
        <v>1027.8</v>
      </c>
      <c r="AR39" s="1" t="s">
        <v>113</v>
      </c>
      <c r="AS39" s="1">
        <v>25</v>
      </c>
      <c r="AT39" s="1">
        <v>180</v>
      </c>
      <c r="AV39" s="1" t="s">
        <v>109</v>
      </c>
    </row>
    <row r="40" spans="1:48" ht="17.399999999999999" x14ac:dyDescent="0.4">
      <c r="A40" s="59" t="s">
        <v>114</v>
      </c>
      <c r="B40" s="60"/>
      <c r="C40" s="60" t="s">
        <v>115</v>
      </c>
      <c r="D40" s="60">
        <v>73</v>
      </c>
      <c r="E40" s="61">
        <f t="shared" si="0"/>
        <v>416.83000000000004</v>
      </c>
      <c r="F40" s="62">
        <v>0.70000000000000007</v>
      </c>
      <c r="G40" s="62">
        <v>0.62636363636363634</v>
      </c>
      <c r="H40" s="63">
        <f>[2]!wcanal(E40)</f>
        <v>0.4</v>
      </c>
      <c r="I40" s="64">
        <f>[2]!mcanal(G40,H40)</f>
        <v>1.5</v>
      </c>
      <c r="J40" s="65">
        <f>[2]!Kcanal(AC40)</f>
        <v>35</v>
      </c>
      <c r="K40" s="62">
        <f t="shared" si="1"/>
        <v>1.1175616835994195</v>
      </c>
      <c r="L40" s="66">
        <f>[2]!vcanal(J40,AG40,M40,AC40)</f>
        <v>0.41091849389806645</v>
      </c>
      <c r="M40" s="67">
        <v>5.6499999999999996E-4</v>
      </c>
      <c r="N40" s="68">
        <v>1</v>
      </c>
      <c r="O40" s="64">
        <v>1</v>
      </c>
      <c r="P40" s="64">
        <f>[2]!mcanal(G40,H40)</f>
        <v>1.5</v>
      </c>
      <c r="Q40" s="63">
        <f>[2]!Wlining(E40)</f>
        <v>0.2</v>
      </c>
      <c r="R40" s="62">
        <v>0.1</v>
      </c>
      <c r="S40" s="62">
        <v>2</v>
      </c>
      <c r="T40" s="62">
        <v>0</v>
      </c>
      <c r="U40" s="62">
        <v>3</v>
      </c>
      <c r="V40" s="62">
        <v>1</v>
      </c>
      <c r="W40" s="62">
        <v>3</v>
      </c>
      <c r="X40" s="62">
        <v>0</v>
      </c>
      <c r="Y40" s="62">
        <v>0</v>
      </c>
      <c r="Z40" s="62">
        <v>0</v>
      </c>
      <c r="AA40" s="69">
        <v>0</v>
      </c>
      <c r="AC40" s="70" t="s">
        <v>45</v>
      </c>
      <c r="AD40" s="71">
        <f>[2]!kriterian(E40)</f>
        <v>1.1000000000000001</v>
      </c>
      <c r="AE40" s="72">
        <f>[2]!Acanal(F40,G40,I40)</f>
        <v>1.026951652892562</v>
      </c>
      <c r="AF40" s="73">
        <f>[2]!Pcanal(F40,G40,I40)</f>
        <v>2.9583862079951713</v>
      </c>
      <c r="AG40" s="66">
        <f>[2]!rcanal(F40,G40,I40)</f>
        <v>0.34713238255275092</v>
      </c>
      <c r="AH40" s="74">
        <f t="shared" si="2"/>
        <v>421.99342651274145</v>
      </c>
      <c r="AI40" s="75">
        <f>[2]!froud(F40,G40,L40)</f>
        <v>0.17550941965626554</v>
      </c>
      <c r="AJ40" s="67">
        <f t="shared" si="3"/>
        <v>3.3288636923190759E-4</v>
      </c>
      <c r="AM40" s="53">
        <v>10</v>
      </c>
      <c r="AN40" s="56">
        <v>63</v>
      </c>
      <c r="AO40" s="57">
        <f t="shared" si="4"/>
        <v>57.1</v>
      </c>
      <c r="AP40" s="58">
        <f t="shared" si="4"/>
        <v>359.73</v>
      </c>
      <c r="AR40" s="1" t="s">
        <v>114</v>
      </c>
      <c r="AS40" s="1">
        <v>10</v>
      </c>
      <c r="AT40" s="1">
        <v>63</v>
      </c>
      <c r="AV40" s="1" t="s">
        <v>116</v>
      </c>
    </row>
    <row r="41" spans="1:48" ht="17.399999999999999" x14ac:dyDescent="0.4">
      <c r="A41" s="59" t="s">
        <v>117</v>
      </c>
      <c r="B41" s="60"/>
      <c r="C41" s="60" t="s">
        <v>118</v>
      </c>
      <c r="D41" s="60">
        <v>66</v>
      </c>
      <c r="E41" s="61">
        <f t="shared" si="0"/>
        <v>376.86</v>
      </c>
      <c r="F41" s="62">
        <v>0.6</v>
      </c>
      <c r="G41" s="62">
        <v>0.51545454545454539</v>
      </c>
      <c r="H41" s="63">
        <f>[2]!wcanal(E41)</f>
        <v>0.4</v>
      </c>
      <c r="I41" s="64">
        <f>[2]!mcanal(G41,H41)</f>
        <v>1</v>
      </c>
      <c r="J41" s="65">
        <f>[2]!Kcanal(AC41)</f>
        <v>35</v>
      </c>
      <c r="K41" s="62">
        <f t="shared" si="1"/>
        <v>1.1640211640211642</v>
      </c>
      <c r="L41" s="66">
        <f>[2]!vcanal(J41,AG41,M41,AC41)</f>
        <v>0.65662480810283441</v>
      </c>
      <c r="M41" s="67">
        <v>1.9269999999999999E-3</v>
      </c>
      <c r="N41" s="68">
        <v>1</v>
      </c>
      <c r="O41" s="64">
        <v>1</v>
      </c>
      <c r="P41" s="64">
        <f>[2]!mcanal(G41,H41)</f>
        <v>1</v>
      </c>
      <c r="Q41" s="63">
        <f>[2]!Wlining(E41)</f>
        <v>0.2</v>
      </c>
      <c r="R41" s="62">
        <v>0.1</v>
      </c>
      <c r="S41" s="62">
        <v>2</v>
      </c>
      <c r="T41" s="62">
        <v>0</v>
      </c>
      <c r="U41" s="62">
        <v>3</v>
      </c>
      <c r="V41" s="62">
        <v>1</v>
      </c>
      <c r="W41" s="62">
        <v>3</v>
      </c>
      <c r="X41" s="62">
        <v>0</v>
      </c>
      <c r="Y41" s="62">
        <v>0</v>
      </c>
      <c r="Z41" s="62">
        <v>0</v>
      </c>
      <c r="AA41" s="69">
        <v>0</v>
      </c>
      <c r="AC41" s="70" t="s">
        <v>45</v>
      </c>
      <c r="AD41" s="71">
        <f>[2]!kriterian(E41)</f>
        <v>1.1000000000000001</v>
      </c>
      <c r="AE41" s="72">
        <f>[2]!Acanal(F41,G41,I41)</f>
        <v>0.57496611570247913</v>
      </c>
      <c r="AF41" s="73">
        <f>[2]!Pcanal(F41,G41,I41)</f>
        <v>2.0579256179373542</v>
      </c>
      <c r="AG41" s="66">
        <f>[2]!rcanal(F41,G41,I41)</f>
        <v>0.27939110660314537</v>
      </c>
      <c r="AH41" s="74">
        <f t="shared" si="2"/>
        <v>377.53701538877243</v>
      </c>
      <c r="AI41" s="75">
        <f>[2]!froud(F41,G41,L41)</f>
        <v>0.27480038871123269</v>
      </c>
      <c r="AJ41" s="67">
        <f t="shared" si="3"/>
        <v>1.0185632520818486E-3</v>
      </c>
      <c r="AM41" s="53"/>
      <c r="AN41" s="56">
        <v>66</v>
      </c>
      <c r="AO41" s="57">
        <f t="shared" si="4"/>
        <v>0</v>
      </c>
      <c r="AP41" s="58">
        <f t="shared" si="4"/>
        <v>376.86</v>
      </c>
      <c r="AR41" s="1" t="s">
        <v>119</v>
      </c>
      <c r="AT41" s="1">
        <v>66</v>
      </c>
      <c r="AV41" s="1" t="s">
        <v>120</v>
      </c>
    </row>
    <row r="42" spans="1:48" ht="17.399999999999999" x14ac:dyDescent="0.4">
      <c r="A42" s="59" t="s">
        <v>121</v>
      </c>
      <c r="B42" s="60"/>
      <c r="C42" s="60" t="s">
        <v>118</v>
      </c>
      <c r="D42" s="60">
        <v>66</v>
      </c>
      <c r="E42" s="61">
        <f t="shared" si="0"/>
        <v>376.86</v>
      </c>
      <c r="F42" s="62">
        <v>0.65</v>
      </c>
      <c r="G42" s="62">
        <v>0.57090909090909081</v>
      </c>
      <c r="H42" s="63">
        <f>[2]!wcanal(E42)</f>
        <v>0.4</v>
      </c>
      <c r="I42" s="64">
        <f>[2]!mcanal(G42,H42)</f>
        <v>1</v>
      </c>
      <c r="J42" s="65">
        <f>[2]!Kcanal(AC42)</f>
        <v>35</v>
      </c>
      <c r="K42" s="62">
        <f t="shared" si="1"/>
        <v>1.1385350318471339</v>
      </c>
      <c r="L42" s="66">
        <f>[2]!vcanal(J42,AG42,M42,AC42)</f>
        <v>0.54712750989228021</v>
      </c>
      <c r="M42" s="67">
        <v>1.176E-3</v>
      </c>
      <c r="N42" s="68">
        <v>1</v>
      </c>
      <c r="O42" s="64">
        <v>1</v>
      </c>
      <c r="P42" s="64">
        <f>[2]!mcanal(G42,H42)</f>
        <v>1</v>
      </c>
      <c r="Q42" s="63">
        <f>[2]!Wlining(E42)</f>
        <v>0.2</v>
      </c>
      <c r="R42" s="62">
        <v>0.1</v>
      </c>
      <c r="S42" s="62">
        <v>2</v>
      </c>
      <c r="T42" s="62">
        <v>0</v>
      </c>
      <c r="U42" s="62">
        <v>3</v>
      </c>
      <c r="V42" s="62">
        <v>1</v>
      </c>
      <c r="W42" s="62">
        <v>3</v>
      </c>
      <c r="X42" s="62">
        <v>0</v>
      </c>
      <c r="Y42" s="62">
        <v>0</v>
      </c>
      <c r="Z42" s="62">
        <v>0</v>
      </c>
      <c r="AA42" s="69">
        <v>0</v>
      </c>
      <c r="AC42" s="70" t="s">
        <v>45</v>
      </c>
      <c r="AD42" s="71">
        <f>[2]!kriterian(E42)</f>
        <v>1.1000000000000001</v>
      </c>
      <c r="AE42" s="72">
        <f>[2]!Acanal(F42,G42,I42)</f>
        <v>0.69702809917355346</v>
      </c>
      <c r="AF42" s="73">
        <f>[2]!Pcanal(F42,G42,I42)</f>
        <v>2.2647747584914613</v>
      </c>
      <c r="AG42" s="66">
        <f>[2]!rcanal(F42,G42,I42)</f>
        <v>0.30776928105549684</v>
      </c>
      <c r="AH42" s="74">
        <f t="shared" si="2"/>
        <v>381.36324822577569</v>
      </c>
      <c r="AI42" s="75">
        <f>[2]!froud(F42,G42,L42)</f>
        <v>0.23152390934451811</v>
      </c>
      <c r="AJ42" s="67">
        <f t="shared" si="3"/>
        <v>6.5240901989243433E-4</v>
      </c>
      <c r="AM42" s="53"/>
      <c r="AN42" s="56">
        <v>66</v>
      </c>
      <c r="AO42" s="57">
        <f t="shared" si="4"/>
        <v>0</v>
      </c>
      <c r="AP42" s="58">
        <f t="shared" si="4"/>
        <v>376.86</v>
      </c>
      <c r="AR42" s="1" t="s">
        <v>119</v>
      </c>
      <c r="AT42" s="1">
        <v>66</v>
      </c>
      <c r="AV42" s="1" t="s">
        <v>120</v>
      </c>
    </row>
    <row r="43" spans="1:48" ht="17.399999999999999" x14ac:dyDescent="0.4">
      <c r="A43" s="59" t="s">
        <v>122</v>
      </c>
      <c r="B43" s="60"/>
      <c r="C43" s="60" t="s">
        <v>118</v>
      </c>
      <c r="D43" s="60">
        <v>312</v>
      </c>
      <c r="E43" s="61">
        <f t="shared" si="0"/>
        <v>1781.52</v>
      </c>
      <c r="F43" s="62">
        <v>2.0500000000000007</v>
      </c>
      <c r="G43" s="62">
        <v>0.96619047619047649</v>
      </c>
      <c r="H43" s="63">
        <f>[2]!wcanal(E43)</f>
        <v>0.6</v>
      </c>
      <c r="I43" s="64">
        <f>[2]!mcanal(G43,H43)</f>
        <v>1.5</v>
      </c>
      <c r="J43" s="65">
        <f>[2]!Kcanal(AC43)</f>
        <v>35</v>
      </c>
      <c r="K43" s="62">
        <f t="shared" si="1"/>
        <v>2.1217348447511091</v>
      </c>
      <c r="L43" s="66">
        <f>[2]!vcanal(J43,AG43,M43,AC43)</f>
        <v>0.5298255060795376</v>
      </c>
      <c r="M43" s="67">
        <v>4.4200000000000001E-4</v>
      </c>
      <c r="N43" s="68">
        <v>1</v>
      </c>
      <c r="O43" s="64">
        <v>1</v>
      </c>
      <c r="P43" s="64">
        <f>[2]!mcanal(G43,H43)</f>
        <v>1.5</v>
      </c>
      <c r="Q43" s="63">
        <f>[2]!Wlining(E43)</f>
        <v>0</v>
      </c>
      <c r="R43" s="62">
        <v>0.1</v>
      </c>
      <c r="S43" s="62">
        <v>2</v>
      </c>
      <c r="T43" s="62">
        <v>0</v>
      </c>
      <c r="U43" s="62">
        <v>3</v>
      </c>
      <c r="V43" s="62">
        <v>1</v>
      </c>
      <c r="W43" s="62">
        <v>3</v>
      </c>
      <c r="X43" s="62">
        <v>0</v>
      </c>
      <c r="Y43" s="62">
        <v>0</v>
      </c>
      <c r="Z43" s="62">
        <v>0</v>
      </c>
      <c r="AA43" s="69">
        <v>0</v>
      </c>
      <c r="AC43" s="70" t="s">
        <v>45</v>
      </c>
      <c r="AD43" s="71">
        <f>[2]!kriterian(E43)</f>
        <v>2.1</v>
      </c>
      <c r="AE43" s="72">
        <f>[2]!Acanal(F43,G43,I43)</f>
        <v>3.380976530612247</v>
      </c>
      <c r="AF43" s="73">
        <f>[2]!Pcanal(F43,G43,I43)</f>
        <v>5.5336493037697316</v>
      </c>
      <c r="AG43" s="66">
        <f>[2]!rcanal(F43,G43,I43)</f>
        <v>0.61098496579987416</v>
      </c>
      <c r="AH43" s="74">
        <f t="shared" si="2"/>
        <v>1791.3276013746731</v>
      </c>
      <c r="AI43" s="75">
        <f>[2]!froud(F43,G43,L43)</f>
        <v>0.16423578906968467</v>
      </c>
      <c r="AJ43" s="67">
        <f t="shared" si="3"/>
        <v>3.4549163066350337E-4</v>
      </c>
      <c r="AM43" s="53">
        <v>20</v>
      </c>
      <c r="AN43" s="56">
        <v>292</v>
      </c>
      <c r="AO43" s="57">
        <f t="shared" si="4"/>
        <v>114.2</v>
      </c>
      <c r="AP43" s="58">
        <f t="shared" si="4"/>
        <v>1667.32</v>
      </c>
      <c r="AR43" s="1" t="s">
        <v>122</v>
      </c>
      <c r="AS43" s="1">
        <v>20</v>
      </c>
      <c r="AT43" s="1">
        <v>292</v>
      </c>
      <c r="AV43" s="1" t="s">
        <v>120</v>
      </c>
    </row>
    <row r="44" spans="1:48" ht="17.399999999999999" x14ac:dyDescent="0.4">
      <c r="A44" s="59" t="s">
        <v>123</v>
      </c>
      <c r="B44" s="60"/>
      <c r="C44" s="60" t="s">
        <v>118</v>
      </c>
      <c r="D44" s="60">
        <v>431</v>
      </c>
      <c r="E44" s="61">
        <f t="shared" si="0"/>
        <v>2461.0099999999998</v>
      </c>
      <c r="F44" s="62">
        <v>2.2999999999999998</v>
      </c>
      <c r="G44" s="62">
        <v>1.0952380952380951</v>
      </c>
      <c r="H44" s="63">
        <f>[2]!wcanal(E44)</f>
        <v>0.6</v>
      </c>
      <c r="I44" s="64">
        <f>[2]!mcanal(G44,H44)</f>
        <v>1.5</v>
      </c>
      <c r="J44" s="65">
        <f>[2]!Kcanal(AC44)</f>
        <v>35</v>
      </c>
      <c r="K44" s="62">
        <f t="shared" si="1"/>
        <v>2.1</v>
      </c>
      <c r="L44" s="66">
        <f>[2]!vcanal(J44,AG44,M44,AC44)</f>
        <v>0.57515928072257527</v>
      </c>
      <c r="M44" s="67">
        <v>4.4200000000000001E-4</v>
      </c>
      <c r="N44" s="68">
        <v>1</v>
      </c>
      <c r="O44" s="64">
        <v>1</v>
      </c>
      <c r="P44" s="64">
        <f>[2]!mcanal(G44,H44)</f>
        <v>1.5</v>
      </c>
      <c r="Q44" s="63">
        <f>[2]!Wlining(E44)</f>
        <v>0</v>
      </c>
      <c r="R44" s="62">
        <v>0.1</v>
      </c>
      <c r="S44" s="62">
        <v>2</v>
      </c>
      <c r="T44" s="62">
        <v>0</v>
      </c>
      <c r="U44" s="62">
        <v>3</v>
      </c>
      <c r="V44" s="62">
        <v>1</v>
      </c>
      <c r="W44" s="62">
        <v>3</v>
      </c>
      <c r="X44" s="62">
        <v>0</v>
      </c>
      <c r="Y44" s="62">
        <v>0</v>
      </c>
      <c r="Z44" s="62">
        <v>0</v>
      </c>
      <c r="AA44" s="69">
        <v>0</v>
      </c>
      <c r="AC44" s="70" t="s">
        <v>45</v>
      </c>
      <c r="AD44" s="71">
        <f>[2]!kriterian(E44)</f>
        <v>2.1</v>
      </c>
      <c r="AE44" s="72">
        <f>[2]!Acanal(F44,G44,I44)</f>
        <v>4.3183673469387749</v>
      </c>
      <c r="AF44" s="73">
        <f>[2]!Pcanal(F44,G44,I44)</f>
        <v>6.2489371112224639</v>
      </c>
      <c r="AG44" s="66">
        <f>[2]!rcanal(F44,G44,I44)</f>
        <v>0.69105629806762181</v>
      </c>
      <c r="AH44" s="74">
        <f t="shared" si="2"/>
        <v>2483.7490571611615</v>
      </c>
      <c r="AI44" s="75">
        <f>[2]!froud(F44,G44,L44)</f>
        <v>0.17920865431014335</v>
      </c>
      <c r="AJ44" s="67">
        <f t="shared" si="3"/>
        <v>3.6743369825817948E-4</v>
      </c>
      <c r="AM44" s="53">
        <v>61</v>
      </c>
      <c r="AN44" s="56">
        <v>370</v>
      </c>
      <c r="AO44" s="57">
        <f t="shared" si="4"/>
        <v>348.31</v>
      </c>
      <c r="AP44" s="58">
        <f t="shared" si="4"/>
        <v>2112.6999999999998</v>
      </c>
      <c r="AR44" s="1" t="s">
        <v>123</v>
      </c>
      <c r="AS44" s="1">
        <v>61</v>
      </c>
      <c r="AT44" s="1">
        <v>370</v>
      </c>
      <c r="AV44" s="1" t="s">
        <v>120</v>
      </c>
    </row>
    <row r="45" spans="1:48" ht="17.399999999999999" x14ac:dyDescent="0.4">
      <c r="A45" s="59" t="s">
        <v>124</v>
      </c>
      <c r="B45" s="60"/>
      <c r="C45" s="60" t="s">
        <v>118</v>
      </c>
      <c r="D45" s="60">
        <v>482</v>
      </c>
      <c r="E45" s="61">
        <f t="shared" si="0"/>
        <v>2752.22</v>
      </c>
      <c r="F45" s="62">
        <v>2.3999999999999995</v>
      </c>
      <c r="G45" s="62">
        <v>1.1428571428571426</v>
      </c>
      <c r="H45" s="63">
        <f>[2]!wcanal(E45)</f>
        <v>0.6</v>
      </c>
      <c r="I45" s="64">
        <f>[2]!mcanal(G45,H45)</f>
        <v>1.5</v>
      </c>
      <c r="J45" s="65">
        <f>[2]!Kcanal(AC45)</f>
        <v>35</v>
      </c>
      <c r="K45" s="62">
        <f t="shared" si="1"/>
        <v>2.1</v>
      </c>
      <c r="L45" s="66">
        <f>[2]!vcanal(J45,AG45,M45,AC45)</f>
        <v>0.59171203470042122</v>
      </c>
      <c r="M45" s="67">
        <v>4.4200000000000001E-4</v>
      </c>
      <c r="N45" s="68">
        <v>1</v>
      </c>
      <c r="O45" s="64">
        <v>1</v>
      </c>
      <c r="P45" s="64">
        <f>[2]!mcanal(G45,H45)</f>
        <v>1.5</v>
      </c>
      <c r="Q45" s="63">
        <f>[2]!Wlining(E45)</f>
        <v>0</v>
      </c>
      <c r="R45" s="62">
        <v>0.1</v>
      </c>
      <c r="S45" s="62">
        <v>2</v>
      </c>
      <c r="T45" s="62">
        <v>0</v>
      </c>
      <c r="U45" s="62">
        <v>3</v>
      </c>
      <c r="V45" s="62">
        <v>1</v>
      </c>
      <c r="W45" s="62">
        <v>3</v>
      </c>
      <c r="X45" s="62">
        <v>0</v>
      </c>
      <c r="Y45" s="62">
        <v>0</v>
      </c>
      <c r="Z45" s="62">
        <v>0</v>
      </c>
      <c r="AA45" s="69">
        <v>0</v>
      </c>
      <c r="AC45" s="70" t="s">
        <v>45</v>
      </c>
      <c r="AD45" s="71">
        <f>[2]!kriterian(E45)</f>
        <v>2.1</v>
      </c>
      <c r="AE45" s="72">
        <f>[2]!Acanal(F45,G45,I45)</f>
        <v>4.7020408163265293</v>
      </c>
      <c r="AF45" s="73">
        <f>[2]!Pcanal(F45,G45,I45)</f>
        <v>6.5206300291017003</v>
      </c>
      <c r="AG45" s="66">
        <f>[2]!rcanal(F45,G45,I45)</f>
        <v>0.72110222407056201</v>
      </c>
      <c r="AH45" s="74">
        <f t="shared" si="2"/>
        <v>2782.2541386730004</v>
      </c>
      <c r="AI45" s="75">
        <f>[2]!froud(F45,G45,L45)</f>
        <v>0.18436617652167742</v>
      </c>
      <c r="AJ45" s="67">
        <f t="shared" si="3"/>
        <v>3.7533640231573768E-4</v>
      </c>
      <c r="AM45" s="53">
        <v>61</v>
      </c>
      <c r="AN45" s="56">
        <v>421</v>
      </c>
      <c r="AO45" s="57">
        <f t="shared" si="4"/>
        <v>348.31</v>
      </c>
      <c r="AP45" s="58">
        <f t="shared" si="4"/>
        <v>2403.91</v>
      </c>
      <c r="AR45" s="1" t="s">
        <v>124</v>
      </c>
      <c r="AS45" s="1">
        <v>61</v>
      </c>
      <c r="AT45" s="1">
        <v>421</v>
      </c>
      <c r="AV45" s="1" t="s">
        <v>120</v>
      </c>
    </row>
    <row r="46" spans="1:48" ht="17.399999999999999" x14ac:dyDescent="0.4">
      <c r="A46" s="59" t="s">
        <v>125</v>
      </c>
      <c r="B46" s="60"/>
      <c r="C46" s="60" t="s">
        <v>126</v>
      </c>
      <c r="D46" s="60">
        <v>66</v>
      </c>
      <c r="E46" s="61">
        <f t="shared" si="0"/>
        <v>376.86</v>
      </c>
      <c r="F46" s="62">
        <v>0.70000000000000007</v>
      </c>
      <c r="G46" s="62">
        <v>0.59636363636363632</v>
      </c>
      <c r="H46" s="63">
        <f>[2]!wcanal(E46)</f>
        <v>0.4</v>
      </c>
      <c r="I46" s="64">
        <f>[2]!mcanal(G46,H46)</f>
        <v>1</v>
      </c>
      <c r="J46" s="65">
        <f>[2]!Kcanal(AC46)</f>
        <v>35</v>
      </c>
      <c r="K46" s="62">
        <f t="shared" si="1"/>
        <v>1.1737804878048783</v>
      </c>
      <c r="L46" s="66">
        <f>[2]!vcanal(J46,AG46,M46,AC46)</f>
        <v>0.49108631375588657</v>
      </c>
      <c r="M46" s="67">
        <v>8.8500000000000004E-4</v>
      </c>
      <c r="N46" s="68">
        <v>0</v>
      </c>
      <c r="O46" s="64">
        <v>0</v>
      </c>
      <c r="P46" s="64">
        <f>[2]!mcanal(G46,H46)</f>
        <v>1</v>
      </c>
      <c r="Q46" s="63">
        <f>[2]!Wlining(E46)</f>
        <v>0.2</v>
      </c>
      <c r="R46" s="62">
        <v>0.1</v>
      </c>
      <c r="S46" s="62">
        <v>2</v>
      </c>
      <c r="T46" s="62">
        <v>0</v>
      </c>
      <c r="U46" s="62">
        <v>3</v>
      </c>
      <c r="V46" s="62">
        <v>1</v>
      </c>
      <c r="W46" s="62">
        <v>3</v>
      </c>
      <c r="X46" s="62">
        <v>0</v>
      </c>
      <c r="Y46" s="62">
        <v>0</v>
      </c>
      <c r="Z46" s="62">
        <v>0</v>
      </c>
      <c r="AA46" s="69">
        <v>0</v>
      </c>
      <c r="AC46" s="70" t="s">
        <v>45</v>
      </c>
      <c r="AD46" s="71">
        <f>[2]!kriterian(E46)</f>
        <v>1.1000000000000001</v>
      </c>
      <c r="AE46" s="72">
        <f>[2]!Acanal(F46,G46,I46)</f>
        <v>0.77310413223140495</v>
      </c>
      <c r="AF46" s="73">
        <f>[2]!Pcanal(F46,G46,I46)</f>
        <v>2.3867710853031827</v>
      </c>
      <c r="AG46" s="66">
        <f>[2]!rcanal(F46,G46,I46)</f>
        <v>0.32391214096395021</v>
      </c>
      <c r="AH46" s="74">
        <f t="shared" si="2"/>
        <v>379.6608584469642</v>
      </c>
      <c r="AI46" s="75">
        <f>[2]!froud(F46,G46,L46)</f>
        <v>0.20466561369395564</v>
      </c>
      <c r="AJ46" s="67">
        <f t="shared" si="3"/>
        <v>5.0368252561160977E-4</v>
      </c>
      <c r="AM46" s="53">
        <v>14</v>
      </c>
      <c r="AN46" s="56">
        <v>52</v>
      </c>
      <c r="AO46" s="57">
        <f t="shared" ref="AO46:AP85" si="5">AM46*$AN$1</f>
        <v>79.94</v>
      </c>
      <c r="AP46" s="58">
        <f t="shared" si="5"/>
        <v>296.92</v>
      </c>
      <c r="AR46" s="1" t="s">
        <v>125</v>
      </c>
      <c r="AS46" s="1">
        <v>14</v>
      </c>
      <c r="AT46" s="1">
        <v>52</v>
      </c>
      <c r="AV46" s="1" t="s">
        <v>127</v>
      </c>
    </row>
    <row r="47" spans="1:48" ht="17.399999999999999" x14ac:dyDescent="0.4">
      <c r="A47" s="59" t="s">
        <v>128</v>
      </c>
      <c r="B47" s="60"/>
      <c r="C47" s="60" t="s">
        <v>126</v>
      </c>
      <c r="D47" s="60">
        <v>99</v>
      </c>
      <c r="E47" s="61">
        <f t="shared" si="0"/>
        <v>565.29</v>
      </c>
      <c r="F47" s="62">
        <v>0.8500000000000002</v>
      </c>
      <c r="G47" s="62">
        <v>0.65000000000000013</v>
      </c>
      <c r="H47" s="63">
        <f>[2]!wcanal(E47)</f>
        <v>0.5</v>
      </c>
      <c r="I47" s="64">
        <f>[2]!mcanal(G47,H47)</f>
        <v>1.5</v>
      </c>
      <c r="J47" s="65">
        <f>[2]!Kcanal(AC47)</f>
        <v>35</v>
      </c>
      <c r="K47" s="62">
        <f t="shared" si="1"/>
        <v>1.3076923076923077</v>
      </c>
      <c r="L47" s="66">
        <f>[2]!vcanal(J47,AG47,M47,AC47)</f>
        <v>0.4846110529514458</v>
      </c>
      <c r="M47" s="67">
        <v>7.18E-4</v>
      </c>
      <c r="N47" s="68">
        <v>0</v>
      </c>
      <c r="O47" s="64">
        <v>0</v>
      </c>
      <c r="P47" s="64">
        <f>[2]!mcanal(G47,H47)</f>
        <v>1.5</v>
      </c>
      <c r="Q47" s="63">
        <f>[2]!Wlining(E47)</f>
        <v>0.2</v>
      </c>
      <c r="R47" s="62">
        <v>0.1</v>
      </c>
      <c r="S47" s="62">
        <v>2</v>
      </c>
      <c r="T47" s="62">
        <v>0</v>
      </c>
      <c r="U47" s="62">
        <v>3</v>
      </c>
      <c r="V47" s="62">
        <v>1</v>
      </c>
      <c r="W47" s="62">
        <v>3</v>
      </c>
      <c r="X47" s="62">
        <v>0</v>
      </c>
      <c r="Y47" s="62">
        <v>0</v>
      </c>
      <c r="Z47" s="62">
        <v>0</v>
      </c>
      <c r="AA47" s="69">
        <v>0</v>
      </c>
      <c r="AC47" s="70" t="s">
        <v>45</v>
      </c>
      <c r="AD47" s="71">
        <f>[2]!kriterian(E47)</f>
        <v>1.25</v>
      </c>
      <c r="AE47" s="72">
        <f>[2]!Acanal(F47,G47,I47)</f>
        <v>1.1862500000000005</v>
      </c>
      <c r="AF47" s="73">
        <f>[2]!Pcanal(F47,G47,I47)</f>
        <v>3.1936083290515933</v>
      </c>
      <c r="AG47" s="66">
        <f>[2]!rcanal(F47,G47,I47)</f>
        <v>0.37144504828877417</v>
      </c>
      <c r="AH47" s="74">
        <f t="shared" si="2"/>
        <v>574.86986156365288</v>
      </c>
      <c r="AI47" s="75">
        <f>[2]!froud(F47,G47,L47)</f>
        <v>0.19134672121642438</v>
      </c>
      <c r="AJ47" s="67">
        <f t="shared" si="3"/>
        <v>4.3759437504842545E-4</v>
      </c>
      <c r="AM47" s="53">
        <v>21</v>
      </c>
      <c r="AN47" s="56">
        <v>78</v>
      </c>
      <c r="AO47" s="57">
        <f t="shared" si="5"/>
        <v>119.91</v>
      </c>
      <c r="AP47" s="58">
        <f t="shared" si="5"/>
        <v>445.38</v>
      </c>
      <c r="AR47" s="1" t="s">
        <v>128</v>
      </c>
      <c r="AS47" s="1">
        <v>21</v>
      </c>
      <c r="AT47" s="1">
        <v>78</v>
      </c>
      <c r="AV47" s="1" t="s">
        <v>127</v>
      </c>
    </row>
    <row r="48" spans="1:48" ht="17.399999999999999" x14ac:dyDescent="0.4">
      <c r="A48" s="59" t="s">
        <v>129</v>
      </c>
      <c r="B48" s="60"/>
      <c r="C48" s="60" t="s">
        <v>126</v>
      </c>
      <c r="D48" s="60">
        <v>105</v>
      </c>
      <c r="E48" s="61">
        <f t="shared" si="0"/>
        <v>599.54999999999995</v>
      </c>
      <c r="F48" s="62">
        <v>0.8500000000000002</v>
      </c>
      <c r="G48" s="62">
        <v>0.64000000000000012</v>
      </c>
      <c r="H48" s="63">
        <f>[2]!wcanal(E48)</f>
        <v>0.5</v>
      </c>
      <c r="I48" s="64">
        <f>[2]!mcanal(G48,H48)</f>
        <v>1.5</v>
      </c>
      <c r="J48" s="65">
        <f>[2]!Kcanal(AC48)</f>
        <v>35</v>
      </c>
      <c r="K48" s="62">
        <f t="shared" si="1"/>
        <v>1.328125</v>
      </c>
      <c r="L48" s="66">
        <f>[2]!vcanal(J48,AG48,M48,AC48)</f>
        <v>0.5183024147217421</v>
      </c>
      <c r="M48" s="67">
        <v>8.3500000000000002E-4</v>
      </c>
      <c r="N48" s="68">
        <v>0</v>
      </c>
      <c r="O48" s="64">
        <v>0</v>
      </c>
      <c r="P48" s="64">
        <f>[2]!mcanal(G48,H48)</f>
        <v>1.5</v>
      </c>
      <c r="Q48" s="63">
        <f>[2]!Wlining(E48)</f>
        <v>0.2</v>
      </c>
      <c r="R48" s="62">
        <v>0.1</v>
      </c>
      <c r="S48" s="62">
        <v>2</v>
      </c>
      <c r="T48" s="62">
        <v>0</v>
      </c>
      <c r="U48" s="62">
        <v>3</v>
      </c>
      <c r="V48" s="62">
        <v>1</v>
      </c>
      <c r="W48" s="62">
        <v>3</v>
      </c>
      <c r="X48" s="62">
        <v>0</v>
      </c>
      <c r="Y48" s="62">
        <v>0</v>
      </c>
      <c r="Z48" s="62">
        <v>0</v>
      </c>
      <c r="AA48" s="69">
        <v>0</v>
      </c>
      <c r="AC48" s="70" t="s">
        <v>45</v>
      </c>
      <c r="AD48" s="71">
        <f>[2]!kriterian(E48)</f>
        <v>1.25</v>
      </c>
      <c r="AE48" s="72">
        <f>[2]!Acanal(F48,G48,I48)</f>
        <v>1.1584000000000005</v>
      </c>
      <c r="AF48" s="73">
        <f>[2]!Pcanal(F48,G48,I48)</f>
        <v>3.1575528162969535</v>
      </c>
      <c r="AG48" s="66">
        <f>[2]!rcanal(F48,G48,I48)</f>
        <v>0.36686638906598684</v>
      </c>
      <c r="AH48" s="74">
        <f t="shared" si="2"/>
        <v>600.40151721366635</v>
      </c>
      <c r="AI48" s="75">
        <f>[2]!froud(F48,G48,L48)</f>
        <v>0.20306929003784963</v>
      </c>
      <c r="AJ48" s="67">
        <f t="shared" si="3"/>
        <v>5.0575529469945515E-4</v>
      </c>
      <c r="AM48" s="53">
        <v>21</v>
      </c>
      <c r="AN48" s="56">
        <v>84</v>
      </c>
      <c r="AO48" s="57">
        <f t="shared" si="5"/>
        <v>119.91</v>
      </c>
      <c r="AP48" s="58">
        <f t="shared" si="5"/>
        <v>479.64</v>
      </c>
      <c r="AR48" s="1" t="s">
        <v>129</v>
      </c>
      <c r="AS48" s="1">
        <v>21</v>
      </c>
      <c r="AT48" s="1">
        <v>84</v>
      </c>
      <c r="AV48" s="1" t="s">
        <v>127</v>
      </c>
    </row>
    <row r="49" spans="1:48" ht="17.399999999999999" x14ac:dyDescent="0.4">
      <c r="A49" s="59" t="s">
        <v>130</v>
      </c>
      <c r="B49" s="60"/>
      <c r="C49" s="60" t="s">
        <v>131</v>
      </c>
      <c r="D49" s="60">
        <v>25</v>
      </c>
      <c r="E49" s="61">
        <f t="shared" si="0"/>
        <v>142.75</v>
      </c>
      <c r="F49" s="62">
        <v>0.44999999999999996</v>
      </c>
      <c r="G49" s="62">
        <v>0.39999999999999991</v>
      </c>
      <c r="H49" s="63">
        <f>[2]!wcanal(E49)</f>
        <v>0.4</v>
      </c>
      <c r="I49" s="64">
        <f>[2]!mcanal(G49,H49)</f>
        <v>1</v>
      </c>
      <c r="J49" s="65">
        <f>[2]!Kcanal(AC49)</f>
        <v>35</v>
      </c>
      <c r="K49" s="62">
        <f t="shared" si="1"/>
        <v>1.1250000000000002</v>
      </c>
      <c r="L49" s="66">
        <f>[2]!vcanal(J49,AG49,M49,AC49)</f>
        <v>0.43549556528489292</v>
      </c>
      <c r="M49" s="67">
        <v>1.2019999999999999E-3</v>
      </c>
      <c r="N49" s="68">
        <v>1</v>
      </c>
      <c r="O49" s="64">
        <v>1</v>
      </c>
      <c r="P49" s="64">
        <f>[2]!mcanal(G49,H49)</f>
        <v>1</v>
      </c>
      <c r="Q49" s="63">
        <f>[2]!Wlining(E49)</f>
        <v>0.2</v>
      </c>
      <c r="R49" s="62">
        <v>0.1</v>
      </c>
      <c r="S49" s="62">
        <v>2</v>
      </c>
      <c r="T49" s="62">
        <v>0</v>
      </c>
      <c r="U49" s="62">
        <v>3</v>
      </c>
      <c r="V49" s="62">
        <v>1</v>
      </c>
      <c r="W49" s="62">
        <v>3</v>
      </c>
      <c r="X49" s="62">
        <v>0</v>
      </c>
      <c r="Y49" s="62">
        <v>0</v>
      </c>
      <c r="Z49" s="62">
        <v>0</v>
      </c>
      <c r="AA49" s="69">
        <v>0</v>
      </c>
      <c r="AC49" s="70" t="s">
        <v>45</v>
      </c>
      <c r="AD49" s="71">
        <f>[2]!kriterian(E49)</f>
        <v>1</v>
      </c>
      <c r="AE49" s="72">
        <f>[2]!Acanal(F49,G49,I49)</f>
        <v>0.33999999999999986</v>
      </c>
      <c r="AF49" s="73">
        <f>[2]!Pcanal(F49,G49,I49)</f>
        <v>1.5813708498984758</v>
      </c>
      <c r="AG49" s="66">
        <f>[2]!rcanal(F49,G49,I49)</f>
        <v>0.21500333082643322</v>
      </c>
      <c r="AH49" s="74">
        <f t="shared" si="2"/>
        <v>148.06849219686353</v>
      </c>
      <c r="AI49" s="75">
        <f>[2]!froud(F49,G49,L49)</f>
        <v>0.1853907109009397</v>
      </c>
      <c r="AJ49" s="67">
        <f t="shared" si="3"/>
        <v>5.5734878881303219E-4</v>
      </c>
      <c r="AM49" s="53">
        <v>10</v>
      </c>
      <c r="AN49" s="56">
        <v>15</v>
      </c>
      <c r="AO49" s="57">
        <f t="shared" si="5"/>
        <v>57.1</v>
      </c>
      <c r="AP49" s="58">
        <f t="shared" si="5"/>
        <v>85.65</v>
      </c>
      <c r="AR49" s="1" t="s">
        <v>132</v>
      </c>
      <c r="AS49" s="1">
        <v>10</v>
      </c>
      <c r="AT49" s="1">
        <v>15</v>
      </c>
      <c r="AV49" s="1" t="s">
        <v>133</v>
      </c>
    </row>
    <row r="50" spans="1:48" ht="17.399999999999999" x14ac:dyDescent="0.4">
      <c r="A50" s="59" t="s">
        <v>134</v>
      </c>
      <c r="B50" s="60"/>
      <c r="C50" s="60" t="s">
        <v>131</v>
      </c>
      <c r="D50" s="60">
        <v>25</v>
      </c>
      <c r="E50" s="61">
        <f t="shared" si="0"/>
        <v>142.75</v>
      </c>
      <c r="F50" s="62">
        <v>0.44999999999999996</v>
      </c>
      <c r="G50" s="62">
        <v>0.44999999999999996</v>
      </c>
      <c r="H50" s="63">
        <f>[2]!wcanal(E50)</f>
        <v>0.4</v>
      </c>
      <c r="I50" s="64">
        <f>[2]!mcanal(G50,H50)</f>
        <v>1</v>
      </c>
      <c r="J50" s="65">
        <f>[2]!Kcanal(AC50)</f>
        <v>35</v>
      </c>
      <c r="K50" s="62">
        <f t="shared" si="1"/>
        <v>1</v>
      </c>
      <c r="L50" s="66">
        <f>[2]!vcanal(J50,AG50,M50,AC50)</f>
        <v>0.3611859301541126</v>
      </c>
      <c r="M50" s="67">
        <v>7.3399999999999995E-4</v>
      </c>
      <c r="N50" s="68">
        <v>1</v>
      </c>
      <c r="O50" s="64">
        <v>1</v>
      </c>
      <c r="P50" s="64">
        <f>[2]!mcanal(G50,H50)</f>
        <v>1</v>
      </c>
      <c r="Q50" s="63">
        <f>[2]!Wlining(E50)</f>
        <v>0.2</v>
      </c>
      <c r="R50" s="62">
        <v>0.1</v>
      </c>
      <c r="S50" s="62">
        <v>2</v>
      </c>
      <c r="T50" s="62">
        <v>0</v>
      </c>
      <c r="U50" s="62">
        <v>3</v>
      </c>
      <c r="V50" s="62">
        <v>1</v>
      </c>
      <c r="W50" s="62">
        <v>3</v>
      </c>
      <c r="X50" s="62">
        <v>0</v>
      </c>
      <c r="Y50" s="62">
        <v>0</v>
      </c>
      <c r="Z50" s="62">
        <v>0</v>
      </c>
      <c r="AA50" s="69">
        <v>0</v>
      </c>
      <c r="AC50" s="70" t="s">
        <v>45</v>
      </c>
      <c r="AD50" s="71">
        <f>[2]!kriterian(E50)</f>
        <v>1</v>
      </c>
      <c r="AE50" s="72">
        <f>[2]!Acanal(F50,G50,I50)</f>
        <v>0.40499999999999992</v>
      </c>
      <c r="AF50" s="73">
        <f>[2]!Pcanal(F50,G50,I50)</f>
        <v>1.7227922061357854</v>
      </c>
      <c r="AG50" s="66">
        <f>[2]!rcanal(F50,G50,I50)</f>
        <v>0.23508348746736726</v>
      </c>
      <c r="AH50" s="74">
        <f t="shared" si="2"/>
        <v>146.28030171241556</v>
      </c>
      <c r="AI50" s="75">
        <f>[2]!froud(F50,G50,L50)</f>
        <v>0.16308398625600282</v>
      </c>
      <c r="AJ50" s="67">
        <f t="shared" si="3"/>
        <v>3.558829012104528E-4</v>
      </c>
      <c r="AM50" s="53">
        <v>10</v>
      </c>
      <c r="AN50" s="56">
        <v>15</v>
      </c>
      <c r="AO50" s="57">
        <f t="shared" si="5"/>
        <v>57.1</v>
      </c>
      <c r="AP50" s="58">
        <f t="shared" si="5"/>
        <v>85.65</v>
      </c>
      <c r="AR50" s="1" t="s">
        <v>132</v>
      </c>
      <c r="AS50" s="1">
        <v>10</v>
      </c>
      <c r="AT50" s="1">
        <v>15</v>
      </c>
      <c r="AV50" s="1" t="s">
        <v>133</v>
      </c>
    </row>
    <row r="51" spans="1:48" ht="17.399999999999999" x14ac:dyDescent="0.4">
      <c r="A51" s="59" t="s">
        <v>135</v>
      </c>
      <c r="B51" s="60"/>
      <c r="C51" s="60" t="s">
        <v>131</v>
      </c>
      <c r="D51" s="60">
        <v>101</v>
      </c>
      <c r="E51" s="61">
        <f t="shared" si="0"/>
        <v>576.71</v>
      </c>
      <c r="F51" s="62">
        <v>0.80000000000000016</v>
      </c>
      <c r="G51" s="62">
        <v>0.62000000000000011</v>
      </c>
      <c r="H51" s="63">
        <f>[2]!wcanal(E51)</f>
        <v>0.5</v>
      </c>
      <c r="I51" s="64">
        <f>[2]!mcanal(G51,H51)</f>
        <v>1.5</v>
      </c>
      <c r="J51" s="65">
        <f>[2]!Kcanal(AC51)</f>
        <v>35</v>
      </c>
      <c r="K51" s="62">
        <f t="shared" si="1"/>
        <v>1.2903225806451613</v>
      </c>
      <c r="L51" s="66">
        <f>[2]!vcanal(J51,AG51,M51,AC51)</f>
        <v>0.55208799372327699</v>
      </c>
      <c r="M51" s="67">
        <v>9.9599999999999992E-4</v>
      </c>
      <c r="N51" s="68">
        <v>1</v>
      </c>
      <c r="O51" s="64">
        <v>1</v>
      </c>
      <c r="P51" s="64">
        <f>[2]!mcanal(G51,H51)</f>
        <v>1.5</v>
      </c>
      <c r="Q51" s="63">
        <f>[2]!Wlining(E51)</f>
        <v>0.2</v>
      </c>
      <c r="R51" s="62">
        <v>0.1</v>
      </c>
      <c r="S51" s="62">
        <v>2</v>
      </c>
      <c r="T51" s="62">
        <v>0</v>
      </c>
      <c r="U51" s="62">
        <v>3</v>
      </c>
      <c r="V51" s="62">
        <v>1</v>
      </c>
      <c r="W51" s="62">
        <v>3</v>
      </c>
      <c r="X51" s="62">
        <v>0</v>
      </c>
      <c r="Y51" s="62">
        <v>0</v>
      </c>
      <c r="Z51" s="62">
        <v>0</v>
      </c>
      <c r="AA51" s="69">
        <v>0</v>
      </c>
      <c r="AC51" s="70" t="s">
        <v>45</v>
      </c>
      <c r="AD51" s="71">
        <f>[2]!kriterian(E51)</f>
        <v>1.25</v>
      </c>
      <c r="AE51" s="72">
        <f>[2]!Acanal(F51,G51,I51)</f>
        <v>1.0726000000000004</v>
      </c>
      <c r="AF51" s="73">
        <f>[2]!Pcanal(F51,G51,I51)</f>
        <v>3.0354417907876741</v>
      </c>
      <c r="AG51" s="66">
        <f>[2]!rcanal(F51,G51,I51)</f>
        <v>0.35335877737970683</v>
      </c>
      <c r="AH51" s="74">
        <f t="shared" si="2"/>
        <v>592.16958206758716</v>
      </c>
      <c r="AI51" s="75">
        <f>[2]!froud(F51,G51,L51)</f>
        <v>0.21945205297192877</v>
      </c>
      <c r="AJ51" s="67">
        <f t="shared" si="3"/>
        <v>5.9206212587963037E-4</v>
      </c>
      <c r="AM51" s="53">
        <v>23</v>
      </c>
      <c r="AN51" s="56">
        <v>78</v>
      </c>
      <c r="AO51" s="57">
        <f t="shared" si="5"/>
        <v>131.33000000000001</v>
      </c>
      <c r="AP51" s="58">
        <f t="shared" si="5"/>
        <v>445.38</v>
      </c>
      <c r="AR51" s="1" t="s">
        <v>132</v>
      </c>
      <c r="AS51" s="1">
        <v>10</v>
      </c>
      <c r="AT51" s="1">
        <v>15</v>
      </c>
      <c r="AV51" s="1" t="s">
        <v>133</v>
      </c>
    </row>
    <row r="52" spans="1:48" ht="17.399999999999999" x14ac:dyDescent="0.4">
      <c r="A52" s="59" t="s">
        <v>136</v>
      </c>
      <c r="B52" s="60"/>
      <c r="C52" s="60" t="s">
        <v>137</v>
      </c>
      <c r="D52" s="60">
        <v>75</v>
      </c>
      <c r="E52" s="61">
        <f t="shared" si="0"/>
        <v>428.25</v>
      </c>
      <c r="F52" s="62">
        <v>0.70000000000000007</v>
      </c>
      <c r="G52" s="62">
        <v>0.60636363636363633</v>
      </c>
      <c r="H52" s="63">
        <f>[2]!wcanal(E52)</f>
        <v>0.4</v>
      </c>
      <c r="I52" s="64">
        <f>[2]!mcanal(G52,H52)</f>
        <v>1.5</v>
      </c>
      <c r="J52" s="65">
        <f>[2]!Kcanal(AC52)</f>
        <v>35</v>
      </c>
      <c r="K52" s="62">
        <f t="shared" si="1"/>
        <v>1.1544227886056972</v>
      </c>
      <c r="L52" s="66">
        <f>[2]!vcanal(J52,AG52,M52,AC52)</f>
        <v>0.54067780259409781</v>
      </c>
      <c r="M52" s="67">
        <v>1.013E-3</v>
      </c>
      <c r="N52" s="68">
        <v>0</v>
      </c>
      <c r="O52" s="64">
        <v>0</v>
      </c>
      <c r="P52" s="64">
        <f>[2]!mcanal(G52,H52)</f>
        <v>1.5</v>
      </c>
      <c r="Q52" s="63">
        <f>[2]!Wlining(E52)</f>
        <v>0.2</v>
      </c>
      <c r="R52" s="62">
        <v>0.1</v>
      </c>
      <c r="S52" s="62">
        <v>2</v>
      </c>
      <c r="T52" s="62">
        <v>0</v>
      </c>
      <c r="U52" s="62">
        <v>3</v>
      </c>
      <c r="V52" s="62">
        <v>1</v>
      </c>
      <c r="W52" s="62">
        <v>3</v>
      </c>
      <c r="X52" s="62">
        <v>0</v>
      </c>
      <c r="Y52" s="62">
        <v>0</v>
      </c>
      <c r="Z52" s="62">
        <v>0</v>
      </c>
      <c r="AA52" s="69">
        <v>0</v>
      </c>
      <c r="AC52" s="70" t="s">
        <v>45</v>
      </c>
      <c r="AD52" s="71">
        <f>[2]!kriterian(E52)</f>
        <v>1.1000000000000001</v>
      </c>
      <c r="AE52" s="72">
        <f>[2]!Acanal(F52,G52,I52)</f>
        <v>0.97596983471074361</v>
      </c>
      <c r="AF52" s="73">
        <f>[2]!Pcanal(F52,G52,I52)</f>
        <v>2.8862751824858917</v>
      </c>
      <c r="AG52" s="66">
        <f>[2]!rcanal(F52,G52,I52)</f>
        <v>0.33814164381587486</v>
      </c>
      <c r="AH52" s="74">
        <f t="shared" si="2"/>
        <v>527.68522562952967</v>
      </c>
      <c r="AI52" s="75">
        <f>[2]!froud(F52,G52,L52)</f>
        <v>0.22721478543775633</v>
      </c>
      <c r="AJ52" s="67">
        <f t="shared" si="3"/>
        <v>5.8905897199931735E-4</v>
      </c>
      <c r="AM52" s="53"/>
      <c r="AN52" s="56">
        <v>75</v>
      </c>
      <c r="AO52" s="57">
        <f t="shared" si="5"/>
        <v>0</v>
      </c>
      <c r="AP52" s="58">
        <f t="shared" si="5"/>
        <v>428.25</v>
      </c>
      <c r="AR52" s="1" t="s">
        <v>138</v>
      </c>
      <c r="AT52" s="1">
        <v>75</v>
      </c>
      <c r="AV52" s="1" t="s">
        <v>139</v>
      </c>
    </row>
    <row r="53" spans="1:48" ht="17.399999999999999" x14ac:dyDescent="0.4">
      <c r="A53" s="59" t="s">
        <v>140</v>
      </c>
      <c r="B53" s="60"/>
      <c r="C53" s="60" t="s">
        <v>137</v>
      </c>
      <c r="D53" s="60">
        <v>75</v>
      </c>
      <c r="E53" s="61">
        <f t="shared" si="0"/>
        <v>428.25</v>
      </c>
      <c r="F53" s="62">
        <v>0.70000000000000007</v>
      </c>
      <c r="G53" s="62">
        <v>0.60636363636363633</v>
      </c>
      <c r="H53" s="63">
        <f>[2]!wcanal(E53)</f>
        <v>0.4</v>
      </c>
      <c r="I53" s="64">
        <f>[2]!mcanal(G53,H53)</f>
        <v>1.5</v>
      </c>
      <c r="J53" s="65">
        <f>[2]!Kcanal(AC53)</f>
        <v>35</v>
      </c>
      <c r="K53" s="62">
        <f t="shared" si="1"/>
        <v>1.1544227886056972</v>
      </c>
      <c r="L53" s="66">
        <f>[2]!vcanal(J53,AG53,M53,AC53)</f>
        <v>0.46893354728058795</v>
      </c>
      <c r="M53" s="67">
        <v>7.6199999999999998E-4</v>
      </c>
      <c r="N53" s="68">
        <v>0</v>
      </c>
      <c r="O53" s="64">
        <v>0</v>
      </c>
      <c r="P53" s="64">
        <f>[2]!mcanal(G53,H53)</f>
        <v>1.5</v>
      </c>
      <c r="Q53" s="63">
        <f>[2]!Wlining(E53)</f>
        <v>0.2</v>
      </c>
      <c r="R53" s="62">
        <v>0.1</v>
      </c>
      <c r="S53" s="62">
        <v>2</v>
      </c>
      <c r="T53" s="62">
        <v>0</v>
      </c>
      <c r="U53" s="62">
        <v>3</v>
      </c>
      <c r="V53" s="62">
        <v>1</v>
      </c>
      <c r="W53" s="62">
        <v>3</v>
      </c>
      <c r="X53" s="62">
        <v>0</v>
      </c>
      <c r="Y53" s="62">
        <v>0</v>
      </c>
      <c r="Z53" s="62">
        <v>0</v>
      </c>
      <c r="AA53" s="69">
        <v>0</v>
      </c>
      <c r="AC53" s="70" t="s">
        <v>45</v>
      </c>
      <c r="AD53" s="71">
        <f>[2]!kriterian(E53)</f>
        <v>1.1000000000000001</v>
      </c>
      <c r="AE53" s="72">
        <f>[2]!Acanal(F53,G53,I53)</f>
        <v>0.97596983471074361</v>
      </c>
      <c r="AF53" s="73">
        <f>[2]!Pcanal(F53,G53,I53)</f>
        <v>2.8862751824858917</v>
      </c>
      <c r="AG53" s="66">
        <f>[2]!rcanal(F53,G53,I53)</f>
        <v>0.33814164381587486</v>
      </c>
      <c r="AH53" s="74">
        <f t="shared" si="2"/>
        <v>457.66499662975809</v>
      </c>
      <c r="AI53" s="75">
        <f>[2]!froud(F53,G53,L53)</f>
        <v>0.19706493371601172</v>
      </c>
      <c r="AJ53" s="67">
        <f t="shared" si="3"/>
        <v>4.4310260282673229E-4</v>
      </c>
      <c r="AM53" s="53"/>
      <c r="AN53" s="56">
        <v>75</v>
      </c>
      <c r="AO53" s="57">
        <f t="shared" si="5"/>
        <v>0</v>
      </c>
      <c r="AP53" s="58">
        <f t="shared" si="5"/>
        <v>428.25</v>
      </c>
      <c r="AR53" s="1" t="s">
        <v>138</v>
      </c>
      <c r="AT53" s="1">
        <v>75</v>
      </c>
      <c r="AV53" s="1" t="s">
        <v>139</v>
      </c>
    </row>
    <row r="54" spans="1:48" ht="17.399999999999999" x14ac:dyDescent="0.4">
      <c r="A54" s="59" t="s">
        <v>141</v>
      </c>
      <c r="B54" s="60"/>
      <c r="C54" s="60" t="s">
        <v>142</v>
      </c>
      <c r="D54" s="60">
        <v>30</v>
      </c>
      <c r="E54" s="61">
        <f t="shared" si="0"/>
        <v>171.3</v>
      </c>
      <c r="F54" s="62">
        <v>0.44999999999999996</v>
      </c>
      <c r="G54" s="62">
        <v>0.44999999999999996</v>
      </c>
      <c r="H54" s="63">
        <f>[2]!wcanal(E54)</f>
        <v>0.4</v>
      </c>
      <c r="I54" s="64">
        <f>[2]!mcanal(G54,H54)</f>
        <v>1</v>
      </c>
      <c r="J54" s="65">
        <f>[2]!Kcanal(AC54)</f>
        <v>35</v>
      </c>
      <c r="K54" s="62">
        <f t="shared" si="1"/>
        <v>1</v>
      </c>
      <c r="L54" s="66">
        <f>[2]!vcanal(J54,AG54,M54,AC54)</f>
        <v>0.43832439418205199</v>
      </c>
      <c r="M54" s="67">
        <v>1.0809999999999999E-3</v>
      </c>
      <c r="N54" s="68">
        <v>0</v>
      </c>
      <c r="O54" s="64">
        <v>0</v>
      </c>
      <c r="P54" s="64">
        <f>[2]!mcanal(G54,H54)</f>
        <v>1</v>
      </c>
      <c r="Q54" s="63">
        <f>[2]!Wlining(E54)</f>
        <v>0.2</v>
      </c>
      <c r="R54" s="62">
        <v>0.1</v>
      </c>
      <c r="S54" s="62">
        <v>2</v>
      </c>
      <c r="T54" s="62">
        <v>0</v>
      </c>
      <c r="U54" s="62">
        <v>3</v>
      </c>
      <c r="V54" s="62">
        <v>1</v>
      </c>
      <c r="W54" s="62">
        <v>3</v>
      </c>
      <c r="X54" s="62">
        <v>0</v>
      </c>
      <c r="Y54" s="62">
        <v>0</v>
      </c>
      <c r="Z54" s="62">
        <v>0</v>
      </c>
      <c r="AA54" s="69">
        <v>0</v>
      </c>
      <c r="AC54" s="70" t="s">
        <v>45</v>
      </c>
      <c r="AD54" s="71">
        <f>[2]!kriterian(E54)</f>
        <v>1</v>
      </c>
      <c r="AE54" s="72">
        <f>[2]!Acanal(F54,G54,I54)</f>
        <v>0.40499999999999992</v>
      </c>
      <c r="AF54" s="73">
        <f>[2]!Pcanal(F54,G54,I54)</f>
        <v>1.7227922061357854</v>
      </c>
      <c r="AG54" s="66">
        <f>[2]!rcanal(F54,G54,I54)</f>
        <v>0.23508348746736726</v>
      </c>
      <c r="AH54" s="74">
        <f t="shared" si="2"/>
        <v>177.52137964373102</v>
      </c>
      <c r="AI54" s="75">
        <f>[2]!froud(F54,G54,L54)</f>
        <v>0.19791382639394484</v>
      </c>
      <c r="AJ54" s="67">
        <f t="shared" si="3"/>
        <v>5.2412727003882755E-4</v>
      </c>
      <c r="AM54" s="53"/>
      <c r="AN54" s="56">
        <v>30</v>
      </c>
      <c r="AO54" s="57">
        <f t="shared" si="5"/>
        <v>0</v>
      </c>
      <c r="AP54" s="58">
        <f t="shared" si="5"/>
        <v>171.3</v>
      </c>
      <c r="AR54" s="1" t="s">
        <v>141</v>
      </c>
      <c r="AT54" s="1">
        <v>30</v>
      </c>
      <c r="AV54" s="1" t="s">
        <v>143</v>
      </c>
    </row>
    <row r="55" spans="1:48" ht="17.399999999999999" x14ac:dyDescent="0.4">
      <c r="A55" s="59" t="s">
        <v>144</v>
      </c>
      <c r="B55" s="60"/>
      <c r="C55" s="60" t="s">
        <v>142</v>
      </c>
      <c r="D55" s="60">
        <v>65</v>
      </c>
      <c r="E55" s="61">
        <f t="shared" si="0"/>
        <v>371.15000000000003</v>
      </c>
      <c r="F55" s="62">
        <v>0.6</v>
      </c>
      <c r="G55" s="62">
        <v>0.5254545454545454</v>
      </c>
      <c r="H55" s="63">
        <f>[2]!wcanal(E55)</f>
        <v>0.4</v>
      </c>
      <c r="I55" s="64">
        <f>[2]!mcanal(G55,H55)</f>
        <v>1</v>
      </c>
      <c r="J55" s="65">
        <f>[2]!Kcanal(AC55)</f>
        <v>35</v>
      </c>
      <c r="K55" s="62">
        <f t="shared" si="1"/>
        <v>1.1418685121107268</v>
      </c>
      <c r="L55" s="66">
        <f>[2]!vcanal(J55,AG55,M55,AC55)</f>
        <v>0.63828138732756889</v>
      </c>
      <c r="M55" s="67">
        <v>1.786E-3</v>
      </c>
      <c r="N55" s="68">
        <v>0</v>
      </c>
      <c r="O55" s="64">
        <v>0</v>
      </c>
      <c r="P55" s="64">
        <f>[2]!mcanal(G55,H55)</f>
        <v>1</v>
      </c>
      <c r="Q55" s="63">
        <f>[2]!Wlining(E55)</f>
        <v>0.2</v>
      </c>
      <c r="R55" s="62">
        <v>0.1</v>
      </c>
      <c r="S55" s="62">
        <v>2</v>
      </c>
      <c r="T55" s="62">
        <v>0</v>
      </c>
      <c r="U55" s="62">
        <v>3</v>
      </c>
      <c r="V55" s="62">
        <v>1</v>
      </c>
      <c r="W55" s="62">
        <v>3</v>
      </c>
      <c r="X55" s="62">
        <v>0</v>
      </c>
      <c r="Y55" s="62">
        <v>0</v>
      </c>
      <c r="Z55" s="62">
        <v>0</v>
      </c>
      <c r="AA55" s="69">
        <v>0</v>
      </c>
      <c r="AC55" s="70" t="s">
        <v>45</v>
      </c>
      <c r="AD55" s="71">
        <f>[2]!kriterian(E55)</f>
        <v>1.1000000000000001</v>
      </c>
      <c r="AE55" s="72">
        <f>[2]!Acanal(F55,G55,I55)</f>
        <v>0.59137520661157017</v>
      </c>
      <c r="AF55" s="73">
        <f>[2]!Pcanal(F55,G55,I55)</f>
        <v>2.0862098891848162</v>
      </c>
      <c r="AG55" s="66">
        <f>[2]!rcanal(F55,G55,I55)</f>
        <v>0.28346870066973429</v>
      </c>
      <c r="AH55" s="74">
        <f t="shared" si="2"/>
        <v>377.46378730716066</v>
      </c>
      <c r="AI55" s="75">
        <f>[2]!froud(F55,G55,L55)</f>
        <v>0.26970228497609428</v>
      </c>
      <c r="AJ55" s="67">
        <f t="shared" si="3"/>
        <v>9.5089816884959646E-4</v>
      </c>
      <c r="AM55" s="53">
        <v>10</v>
      </c>
      <c r="AN55" s="56">
        <v>55</v>
      </c>
      <c r="AO55" s="57">
        <f t="shared" si="5"/>
        <v>57.1</v>
      </c>
      <c r="AP55" s="58">
        <f t="shared" si="5"/>
        <v>314.05</v>
      </c>
      <c r="AR55" s="1" t="s">
        <v>144</v>
      </c>
      <c r="AS55" s="1">
        <v>10</v>
      </c>
      <c r="AT55" s="1">
        <v>55</v>
      </c>
      <c r="AV55" s="1" t="s">
        <v>143</v>
      </c>
    </row>
    <row r="56" spans="1:48" ht="17.399999999999999" x14ac:dyDescent="0.4">
      <c r="A56" s="59" t="s">
        <v>145</v>
      </c>
      <c r="B56" s="60"/>
      <c r="C56" s="60" t="s">
        <v>146</v>
      </c>
      <c r="D56" s="60">
        <v>29</v>
      </c>
      <c r="E56" s="61">
        <f t="shared" si="0"/>
        <v>165.59</v>
      </c>
      <c r="F56" s="62">
        <v>0.44999999999999996</v>
      </c>
      <c r="G56" s="62">
        <v>0.43999999999999995</v>
      </c>
      <c r="H56" s="63">
        <f>[2]!wcanal(E56)</f>
        <v>0.4</v>
      </c>
      <c r="I56" s="64">
        <f>[2]!mcanal(G56,H56)</f>
        <v>1</v>
      </c>
      <c r="J56" s="65">
        <f>[2]!Kcanal(AC56)</f>
        <v>35</v>
      </c>
      <c r="K56" s="62">
        <f t="shared" si="1"/>
        <v>1.0227272727272727</v>
      </c>
      <c r="L56" s="66">
        <f>[2]!vcanal(J56,AG56,M56,AC56)</f>
        <v>0.43054277425078097</v>
      </c>
      <c r="M56" s="67">
        <v>1.067E-3</v>
      </c>
      <c r="N56" s="68">
        <v>1</v>
      </c>
      <c r="O56" s="64">
        <v>1</v>
      </c>
      <c r="P56" s="64">
        <f>[2]!mcanal(G56,H56)</f>
        <v>1</v>
      </c>
      <c r="Q56" s="63">
        <f>[2]!Wlining(E56)</f>
        <v>0.2</v>
      </c>
      <c r="R56" s="62">
        <v>0.1</v>
      </c>
      <c r="S56" s="62">
        <v>2</v>
      </c>
      <c r="T56" s="62">
        <v>0</v>
      </c>
      <c r="U56" s="62">
        <v>3</v>
      </c>
      <c r="V56" s="62">
        <v>1</v>
      </c>
      <c r="W56" s="62">
        <v>3</v>
      </c>
      <c r="X56" s="62">
        <v>0</v>
      </c>
      <c r="Y56" s="62">
        <v>0</v>
      </c>
      <c r="Z56" s="62">
        <v>0</v>
      </c>
      <c r="AA56" s="69">
        <v>0</v>
      </c>
      <c r="AC56" s="70" t="s">
        <v>45</v>
      </c>
      <c r="AD56" s="71">
        <f>[2]!kriterian(E56)</f>
        <v>1</v>
      </c>
      <c r="AE56" s="72">
        <f>[2]!Acanal(F56,G56,I56)</f>
        <v>0.39159999999999989</v>
      </c>
      <c r="AF56" s="73">
        <f>[2]!Pcanal(F56,G56,I56)</f>
        <v>1.6945079348883236</v>
      </c>
      <c r="AG56" s="66">
        <f>[2]!rcanal(F56,G56,I56)</f>
        <v>0.23109953747475856</v>
      </c>
      <c r="AH56" s="74">
        <f t="shared" si="2"/>
        <v>168.6005503966058</v>
      </c>
      <c r="AI56" s="75">
        <f>[2]!froud(F56,G56,L56)</f>
        <v>0.19222810312217475</v>
      </c>
      <c r="AJ56" s="67">
        <f t="shared" si="3"/>
        <v>5.1293691748605932E-4</v>
      </c>
      <c r="AM56" s="53"/>
      <c r="AN56" s="56">
        <v>29</v>
      </c>
      <c r="AO56" s="57">
        <f t="shared" si="5"/>
        <v>0</v>
      </c>
      <c r="AP56" s="58">
        <f t="shared" si="5"/>
        <v>165.59</v>
      </c>
      <c r="AR56" s="1" t="s">
        <v>145</v>
      </c>
      <c r="AT56" s="1">
        <v>29</v>
      </c>
      <c r="AV56" s="1" t="s">
        <v>147</v>
      </c>
    </row>
    <row r="57" spans="1:48" ht="17.399999999999999" x14ac:dyDescent="0.4">
      <c r="A57" s="59" t="s">
        <v>148</v>
      </c>
      <c r="B57" s="60"/>
      <c r="C57" s="60" t="s">
        <v>146</v>
      </c>
      <c r="D57" s="60">
        <v>61</v>
      </c>
      <c r="E57" s="61">
        <f t="shared" si="0"/>
        <v>348.31</v>
      </c>
      <c r="F57" s="62">
        <v>0.6</v>
      </c>
      <c r="G57" s="62">
        <v>0.5254545454545454</v>
      </c>
      <c r="H57" s="63">
        <f>[2]!wcanal(E57)</f>
        <v>0.4</v>
      </c>
      <c r="I57" s="64">
        <f>[2]!mcanal(G57,H57)</f>
        <v>1</v>
      </c>
      <c r="J57" s="65">
        <f>[2]!Kcanal(AC57)</f>
        <v>35</v>
      </c>
      <c r="K57" s="62">
        <f t="shared" si="1"/>
        <v>1.1418685121107268</v>
      </c>
      <c r="L57" s="66">
        <f>[2]!vcanal(J57,AG57,M57,AC57)</f>
        <v>0.59404125906088567</v>
      </c>
      <c r="M57" s="67">
        <v>1.547E-3</v>
      </c>
      <c r="N57" s="68">
        <v>1</v>
      </c>
      <c r="O57" s="64">
        <v>1</v>
      </c>
      <c r="P57" s="64">
        <f>[2]!mcanal(G57,H57)</f>
        <v>1</v>
      </c>
      <c r="Q57" s="63">
        <f>[2]!Wlining(E57)</f>
        <v>0.2</v>
      </c>
      <c r="R57" s="62">
        <v>0.1</v>
      </c>
      <c r="S57" s="62">
        <v>2</v>
      </c>
      <c r="T57" s="62">
        <v>0</v>
      </c>
      <c r="U57" s="62">
        <v>3</v>
      </c>
      <c r="V57" s="62">
        <v>1</v>
      </c>
      <c r="W57" s="62">
        <v>3</v>
      </c>
      <c r="X57" s="62">
        <v>0</v>
      </c>
      <c r="Y57" s="62">
        <v>0</v>
      </c>
      <c r="Z57" s="62">
        <v>0</v>
      </c>
      <c r="AA57" s="69">
        <v>0</v>
      </c>
      <c r="AC57" s="70" t="s">
        <v>45</v>
      </c>
      <c r="AD57" s="71">
        <f>[2]!kriterian(E57)</f>
        <v>1.1000000000000001</v>
      </c>
      <c r="AE57" s="72">
        <f>[2]!Acanal(F57,G57,I57)</f>
        <v>0.59137520661157017</v>
      </c>
      <c r="AF57" s="73">
        <f>[2]!Pcanal(F57,G57,I57)</f>
        <v>2.0862098891848162</v>
      </c>
      <c r="AG57" s="66">
        <f>[2]!rcanal(F57,G57,I57)</f>
        <v>0.28346870066973429</v>
      </c>
      <c r="AH57" s="74">
        <f t="shared" si="2"/>
        <v>351.30127231292857</v>
      </c>
      <c r="AI57" s="75">
        <f>[2]!froud(F57,G57,L57)</f>
        <v>0.25100886242288956</v>
      </c>
      <c r="AJ57" s="67">
        <f t="shared" si="3"/>
        <v>8.2365031758696854E-4</v>
      </c>
      <c r="AM57" s="53"/>
      <c r="AN57" s="56">
        <v>61</v>
      </c>
      <c r="AO57" s="57">
        <f t="shared" si="5"/>
        <v>0</v>
      </c>
      <c r="AP57" s="58">
        <f t="shared" si="5"/>
        <v>348.31</v>
      </c>
      <c r="AR57" s="1" t="s">
        <v>148</v>
      </c>
      <c r="AT57" s="1">
        <v>61</v>
      </c>
      <c r="AV57" s="1" t="s">
        <v>147</v>
      </c>
    </row>
    <row r="58" spans="1:48" ht="17.399999999999999" x14ac:dyDescent="0.4">
      <c r="A58" s="59" t="s">
        <v>149</v>
      </c>
      <c r="B58" s="60"/>
      <c r="C58" s="60" t="s">
        <v>150</v>
      </c>
      <c r="D58" s="60">
        <v>53</v>
      </c>
      <c r="E58" s="61">
        <f t="shared" si="0"/>
        <v>302.63</v>
      </c>
      <c r="F58" s="62">
        <v>0.65</v>
      </c>
      <c r="G58" s="62">
        <v>0.55090909090909079</v>
      </c>
      <c r="H58" s="63">
        <f>[2]!wcanal(E58)</f>
        <v>0.4</v>
      </c>
      <c r="I58" s="64">
        <f>[2]!mcanal(G58,H58)</f>
        <v>1</v>
      </c>
      <c r="J58" s="65">
        <f>[2]!Kcanal(AC58)</f>
        <v>35</v>
      </c>
      <c r="K58" s="62">
        <f t="shared" si="1"/>
        <v>1.1798679867986801</v>
      </c>
      <c r="L58" s="66">
        <f>[2]!vcanal(J58,AG58,M58,AC58)</f>
        <v>0.46223337458672425</v>
      </c>
      <c r="M58" s="67">
        <v>8.7000000000000001E-4</v>
      </c>
      <c r="N58" s="68">
        <v>0</v>
      </c>
      <c r="O58" s="64">
        <v>0</v>
      </c>
      <c r="P58" s="64">
        <f>[2]!mcanal(G58,H58)</f>
        <v>1</v>
      </c>
      <c r="Q58" s="63">
        <f>[2]!Wlining(E58)</f>
        <v>0.2</v>
      </c>
      <c r="R58" s="62">
        <v>0.1</v>
      </c>
      <c r="S58" s="62">
        <v>2</v>
      </c>
      <c r="T58" s="62">
        <v>0</v>
      </c>
      <c r="U58" s="62">
        <v>3</v>
      </c>
      <c r="V58" s="62">
        <v>1</v>
      </c>
      <c r="W58" s="62">
        <v>3</v>
      </c>
      <c r="X58" s="62">
        <v>0</v>
      </c>
      <c r="Y58" s="62">
        <v>0</v>
      </c>
      <c r="Z58" s="62">
        <v>0</v>
      </c>
      <c r="AA58" s="69">
        <v>0</v>
      </c>
      <c r="AC58" s="70" t="s">
        <v>45</v>
      </c>
      <c r="AD58" s="71">
        <f>[2]!kriterian(E58)</f>
        <v>1.1000000000000001</v>
      </c>
      <c r="AE58" s="72">
        <f>[2]!Acanal(F58,G58,I58)</f>
        <v>0.66159173553718986</v>
      </c>
      <c r="AF58" s="73">
        <f>[2]!Pcanal(F58,G58,I58)</f>
        <v>2.2082062159965372</v>
      </c>
      <c r="AG58" s="66">
        <f>[2]!rcanal(F58,G58,I58)</f>
        <v>0.29960595652006233</v>
      </c>
      <c r="AH58" s="74">
        <f t="shared" si="2"/>
        <v>305.80978051604291</v>
      </c>
      <c r="AI58" s="75">
        <f>[2]!froud(F58,G58,L58)</f>
        <v>0.19214322904302772</v>
      </c>
      <c r="AJ58" s="67">
        <f t="shared" si="3"/>
        <v>4.7620557377044126E-4</v>
      </c>
      <c r="AM58" s="53"/>
      <c r="AN58" s="56">
        <v>53</v>
      </c>
      <c r="AO58" s="57">
        <f t="shared" si="5"/>
        <v>0</v>
      </c>
      <c r="AP58" s="58">
        <f t="shared" si="5"/>
        <v>302.63</v>
      </c>
      <c r="AR58" s="1" t="s">
        <v>149</v>
      </c>
      <c r="AT58" s="1">
        <v>53</v>
      </c>
      <c r="AV58" s="1" t="s">
        <v>151</v>
      </c>
    </row>
    <row r="59" spans="1:48" ht="17.399999999999999" x14ac:dyDescent="0.4">
      <c r="A59" s="59" t="s">
        <v>152</v>
      </c>
      <c r="B59" s="60"/>
      <c r="C59" s="60" t="s">
        <v>153</v>
      </c>
      <c r="D59" s="60">
        <v>109</v>
      </c>
      <c r="E59" s="61">
        <f t="shared" si="0"/>
        <v>622.39</v>
      </c>
      <c r="F59" s="62">
        <v>0.80000000000000016</v>
      </c>
      <c r="G59" s="62">
        <v>0.63000000000000012</v>
      </c>
      <c r="H59" s="63">
        <f>[2]!wcanal(E59)</f>
        <v>0.5</v>
      </c>
      <c r="I59" s="64">
        <f>[2]!mcanal(G59,H59)</f>
        <v>1.5</v>
      </c>
      <c r="J59" s="65">
        <f>[2]!Kcanal(AC59)</f>
        <v>35</v>
      </c>
      <c r="K59" s="62">
        <f t="shared" si="1"/>
        <v>1.2698412698412698</v>
      </c>
      <c r="L59" s="66">
        <f>[2]!vcanal(J59,AG59,M59,AC59)</f>
        <v>0.58117484485352089</v>
      </c>
      <c r="M59" s="67">
        <v>1.085E-3</v>
      </c>
      <c r="N59" s="68">
        <v>0</v>
      </c>
      <c r="O59" s="64">
        <v>0</v>
      </c>
      <c r="P59" s="64">
        <f>[2]!mcanal(G59,H59)</f>
        <v>1.5</v>
      </c>
      <c r="Q59" s="63">
        <f>[2]!Wlining(E59)</f>
        <v>0.2</v>
      </c>
      <c r="R59" s="62">
        <v>0.1</v>
      </c>
      <c r="S59" s="62">
        <v>2</v>
      </c>
      <c r="T59" s="62">
        <v>0</v>
      </c>
      <c r="U59" s="62">
        <v>3</v>
      </c>
      <c r="V59" s="62">
        <v>1</v>
      </c>
      <c r="W59" s="62">
        <v>3</v>
      </c>
      <c r="X59" s="62">
        <v>0</v>
      </c>
      <c r="Y59" s="62">
        <v>0</v>
      </c>
      <c r="Z59" s="62">
        <v>0</v>
      </c>
      <c r="AA59" s="69">
        <v>0</v>
      </c>
      <c r="AC59" s="70" t="s">
        <v>45</v>
      </c>
      <c r="AD59" s="71">
        <f>[2]!kriterian(E59)</f>
        <v>1.25</v>
      </c>
      <c r="AE59" s="72">
        <f>[2]!Acanal(F59,G59,I59)</f>
        <v>1.0993500000000005</v>
      </c>
      <c r="AF59" s="73">
        <f>[2]!Pcanal(F59,G59,I59)</f>
        <v>3.0714973035423139</v>
      </c>
      <c r="AG59" s="66">
        <f>[2]!rcanal(F59,G59,I59)</f>
        <v>0.35791989748196618</v>
      </c>
      <c r="AH59" s="74">
        <f t="shared" si="2"/>
        <v>638.91456568971853</v>
      </c>
      <c r="AI59" s="75">
        <f>[2]!froud(F59,G59,L59)</f>
        <v>0.2328694855371751</v>
      </c>
      <c r="AJ59" s="67">
        <f t="shared" si="3"/>
        <v>6.4911651597629808E-4</v>
      </c>
      <c r="AM59" s="53">
        <v>22</v>
      </c>
      <c r="AN59" s="56">
        <v>87</v>
      </c>
      <c r="AO59" s="57">
        <f t="shared" si="5"/>
        <v>125.62</v>
      </c>
      <c r="AP59" s="58">
        <f t="shared" si="5"/>
        <v>496.77</v>
      </c>
      <c r="AR59" s="1" t="s">
        <v>154</v>
      </c>
      <c r="AS59" s="1">
        <v>22</v>
      </c>
      <c r="AT59" s="1">
        <v>87</v>
      </c>
      <c r="AV59" s="1" t="s">
        <v>155</v>
      </c>
    </row>
    <row r="60" spans="1:48" ht="17.399999999999999" x14ac:dyDescent="0.4">
      <c r="A60" s="59" t="s">
        <v>156</v>
      </c>
      <c r="B60" s="60"/>
      <c r="C60" s="60" t="s">
        <v>153</v>
      </c>
      <c r="D60" s="60">
        <v>109</v>
      </c>
      <c r="E60" s="61">
        <f t="shared" si="0"/>
        <v>622.39</v>
      </c>
      <c r="F60" s="62">
        <v>0.90000000000000024</v>
      </c>
      <c r="G60" s="62">
        <v>0.68000000000000016</v>
      </c>
      <c r="H60" s="63">
        <f>[2]!wcanal(E60)</f>
        <v>0.5</v>
      </c>
      <c r="I60" s="64">
        <f>[2]!mcanal(G60,H60)</f>
        <v>1.5</v>
      </c>
      <c r="J60" s="65">
        <f>[2]!Kcanal(AC60)</f>
        <v>35</v>
      </c>
      <c r="K60" s="62">
        <f t="shared" si="1"/>
        <v>1.3235294117647058</v>
      </c>
      <c r="L60" s="66">
        <f>[2]!vcanal(J60,AG60,M60,AC60)</f>
        <v>0.48428287348729393</v>
      </c>
      <c r="M60" s="67">
        <v>6.7299999999999999E-4</v>
      </c>
      <c r="N60" s="68">
        <v>0</v>
      </c>
      <c r="O60" s="64">
        <v>0</v>
      </c>
      <c r="P60" s="64">
        <f>[2]!mcanal(G60,H60)</f>
        <v>1.5</v>
      </c>
      <c r="Q60" s="63">
        <f>[2]!Wlining(E60)</f>
        <v>0.2</v>
      </c>
      <c r="R60" s="62">
        <v>0.1</v>
      </c>
      <c r="S60" s="62">
        <v>2</v>
      </c>
      <c r="T60" s="62">
        <v>0</v>
      </c>
      <c r="U60" s="62">
        <v>3</v>
      </c>
      <c r="V60" s="62">
        <v>1</v>
      </c>
      <c r="W60" s="62">
        <v>3</v>
      </c>
      <c r="X60" s="62">
        <v>0</v>
      </c>
      <c r="Y60" s="62">
        <v>0</v>
      </c>
      <c r="Z60" s="62">
        <v>0</v>
      </c>
      <c r="AA60" s="69">
        <v>0</v>
      </c>
      <c r="AC60" s="70" t="s">
        <v>45</v>
      </c>
      <c r="AD60" s="71">
        <f>[2]!kriterian(E60)</f>
        <v>1.25</v>
      </c>
      <c r="AE60" s="72">
        <f>[2]!Acanal(F60,G60,I60)</f>
        <v>1.3056000000000005</v>
      </c>
      <c r="AF60" s="73">
        <f>[2]!Pcanal(F60,G60,I60)</f>
        <v>3.3517748673155134</v>
      </c>
      <c r="AG60" s="66">
        <f>[2]!rcanal(F60,G60,I60)</f>
        <v>0.38952496861630659</v>
      </c>
      <c r="AH60" s="74">
        <f t="shared" si="2"/>
        <v>632.27971962501113</v>
      </c>
      <c r="AI60" s="75">
        <f>[2]!froud(F60,G60,L60)</f>
        <v>0.19006966374708958</v>
      </c>
      <c r="AJ60" s="67">
        <f t="shared" si="3"/>
        <v>4.2003232555413533E-4</v>
      </c>
      <c r="AM60" s="53">
        <v>22</v>
      </c>
      <c r="AN60" s="56">
        <v>87</v>
      </c>
      <c r="AO60" s="57">
        <f t="shared" si="5"/>
        <v>125.62</v>
      </c>
      <c r="AP60" s="58">
        <f t="shared" si="5"/>
        <v>496.77</v>
      </c>
      <c r="AR60" s="1" t="s">
        <v>154</v>
      </c>
      <c r="AS60" s="1">
        <v>22</v>
      </c>
      <c r="AT60" s="1">
        <v>87</v>
      </c>
      <c r="AV60" s="1" t="s">
        <v>155</v>
      </c>
    </row>
    <row r="61" spans="1:48" ht="17.399999999999999" x14ac:dyDescent="0.4">
      <c r="A61" s="59" t="s">
        <v>157</v>
      </c>
      <c r="B61" s="60"/>
      <c r="C61" s="60" t="s">
        <v>153</v>
      </c>
      <c r="D61" s="60">
        <v>146</v>
      </c>
      <c r="E61" s="61">
        <f t="shared" si="0"/>
        <v>833.66</v>
      </c>
      <c r="F61" s="62">
        <v>1.0500000000000003</v>
      </c>
      <c r="G61" s="62">
        <v>0.75000000000000022</v>
      </c>
      <c r="H61" s="63">
        <f>[2]!wcanal(E61)</f>
        <v>0.5</v>
      </c>
      <c r="I61" s="64">
        <f>[2]!mcanal(G61,H61)</f>
        <v>1.5</v>
      </c>
      <c r="J61" s="65">
        <f>[2]!Kcanal(AC61)</f>
        <v>35</v>
      </c>
      <c r="K61" s="62">
        <f t="shared" si="1"/>
        <v>1.4</v>
      </c>
      <c r="L61" s="66">
        <f>[2]!vcanal(J61,AG61,M61,AC61)</f>
        <v>0.52089134453083585</v>
      </c>
      <c r="M61" s="67">
        <v>6.7299999999999999E-4</v>
      </c>
      <c r="N61" s="68">
        <v>0</v>
      </c>
      <c r="O61" s="64">
        <v>0</v>
      </c>
      <c r="P61" s="64">
        <f>[2]!mcanal(G61,H61)</f>
        <v>1.5</v>
      </c>
      <c r="Q61" s="63">
        <f>[2]!Wlining(E61)</f>
        <v>0.2</v>
      </c>
      <c r="R61" s="62">
        <v>0.1</v>
      </c>
      <c r="S61" s="62">
        <v>2</v>
      </c>
      <c r="T61" s="62">
        <v>0</v>
      </c>
      <c r="U61" s="62">
        <v>3</v>
      </c>
      <c r="V61" s="62">
        <v>1</v>
      </c>
      <c r="W61" s="62">
        <v>3</v>
      </c>
      <c r="X61" s="62">
        <v>0</v>
      </c>
      <c r="Y61" s="62">
        <v>0</v>
      </c>
      <c r="Z61" s="62">
        <v>0</v>
      </c>
      <c r="AA61" s="69">
        <v>0</v>
      </c>
      <c r="AC61" s="70" t="s">
        <v>45</v>
      </c>
      <c r="AD61" s="71">
        <f>[2]!kriterian(E61)</f>
        <v>1.4</v>
      </c>
      <c r="AE61" s="72">
        <f>[2]!Acanal(F61,G61,I61)</f>
        <v>1.631250000000001</v>
      </c>
      <c r="AF61" s="73">
        <f>[2]!Pcanal(F61,G61,I61)</f>
        <v>3.7541634565979929</v>
      </c>
      <c r="AG61" s="66">
        <f>[2]!rcanal(F61,G61,I61)</f>
        <v>0.43451757464983498</v>
      </c>
      <c r="AH61" s="74">
        <f t="shared" si="2"/>
        <v>849.70400576592658</v>
      </c>
      <c r="AI61" s="75">
        <f>[2]!froud(F61,G61,L61)</f>
        <v>0.19877584909553908</v>
      </c>
      <c r="AJ61" s="67">
        <f t="shared" si="3"/>
        <v>4.4362778381045419E-4</v>
      </c>
      <c r="AM61" s="53">
        <v>22</v>
      </c>
      <c r="AN61" s="56">
        <v>124</v>
      </c>
      <c r="AO61" s="57">
        <f t="shared" si="5"/>
        <v>125.62</v>
      </c>
      <c r="AP61" s="58">
        <f t="shared" si="5"/>
        <v>708.04</v>
      </c>
      <c r="AR61" s="1" t="s">
        <v>158</v>
      </c>
      <c r="AS61" s="1">
        <v>22</v>
      </c>
      <c r="AT61" s="1">
        <v>124</v>
      </c>
      <c r="AV61" s="1" t="s">
        <v>155</v>
      </c>
    </row>
    <row r="62" spans="1:48" ht="17.399999999999999" x14ac:dyDescent="0.4">
      <c r="A62" s="59" t="s">
        <v>159</v>
      </c>
      <c r="B62" s="60"/>
      <c r="C62" s="60" t="s">
        <v>153</v>
      </c>
      <c r="D62" s="60">
        <v>146</v>
      </c>
      <c r="E62" s="61">
        <f t="shared" si="0"/>
        <v>833.66</v>
      </c>
      <c r="F62" s="62">
        <v>1.2500000000000004</v>
      </c>
      <c r="G62" s="62">
        <v>0.8528571428571432</v>
      </c>
      <c r="H62" s="63">
        <f>[2]!wcanal(E62)</f>
        <v>0.5</v>
      </c>
      <c r="I62" s="64">
        <f>[2]!mcanal(G62,H62)</f>
        <v>1.5</v>
      </c>
      <c r="J62" s="65">
        <f>[2]!Kcanal(AC62)</f>
        <v>35</v>
      </c>
      <c r="K62" s="62">
        <f t="shared" si="1"/>
        <v>1.4656616415410384</v>
      </c>
      <c r="L62" s="66">
        <f>[2]!vcanal(J62,AG62,M62,AC62)</f>
        <v>0.39005294905124371</v>
      </c>
      <c r="M62" s="67">
        <v>3.1399999999999999E-4</v>
      </c>
      <c r="N62" s="68">
        <v>0</v>
      </c>
      <c r="O62" s="64">
        <v>0</v>
      </c>
      <c r="P62" s="64">
        <f>[2]!mcanal(G62,H62)</f>
        <v>1.5</v>
      </c>
      <c r="Q62" s="63">
        <f>[2]!Wlining(E62)</f>
        <v>0.2</v>
      </c>
      <c r="R62" s="62">
        <v>0.1</v>
      </c>
      <c r="S62" s="62">
        <v>2</v>
      </c>
      <c r="T62" s="62">
        <v>0</v>
      </c>
      <c r="U62" s="62">
        <v>3</v>
      </c>
      <c r="V62" s="62">
        <v>1</v>
      </c>
      <c r="W62" s="62">
        <v>3</v>
      </c>
      <c r="X62" s="62">
        <v>0</v>
      </c>
      <c r="Y62" s="62">
        <v>0</v>
      </c>
      <c r="Z62" s="62">
        <v>0</v>
      </c>
      <c r="AA62" s="69">
        <v>0</v>
      </c>
      <c r="AC62" s="70" t="s">
        <v>45</v>
      </c>
      <c r="AD62" s="71">
        <f>[2]!kriterian(E62)</f>
        <v>1.4</v>
      </c>
      <c r="AE62" s="72">
        <f>[2]!Acanal(F62,G62,I62)</f>
        <v>2.1571193877551038</v>
      </c>
      <c r="AF62" s="73">
        <f>[2]!Pcanal(F62,G62,I62)</f>
        <v>4.3250201592171464</v>
      </c>
      <c r="AG62" s="66">
        <f>[2]!rcanal(F62,G62,I62)</f>
        <v>0.49875360306888256</v>
      </c>
      <c r="AH62" s="74">
        <f t="shared" si="2"/>
        <v>841.39077864949149</v>
      </c>
      <c r="AI62" s="75">
        <f>[2]!froud(F62,G62,L62)</f>
        <v>0.14547460913427596</v>
      </c>
      <c r="AJ62" s="67">
        <f t="shared" si="3"/>
        <v>2.2175461719698092E-4</v>
      </c>
      <c r="AM62" s="53">
        <v>22</v>
      </c>
      <c r="AN62" s="56">
        <v>124</v>
      </c>
      <c r="AO62" s="57">
        <f t="shared" si="5"/>
        <v>125.62</v>
      </c>
      <c r="AP62" s="58">
        <f t="shared" si="5"/>
        <v>708.04</v>
      </c>
      <c r="AR62" s="1" t="s">
        <v>158</v>
      </c>
      <c r="AS62" s="1">
        <v>22</v>
      </c>
      <c r="AT62" s="1">
        <v>124</v>
      </c>
      <c r="AV62" s="1" t="s">
        <v>155</v>
      </c>
    </row>
    <row r="63" spans="1:48" ht="17.399999999999999" x14ac:dyDescent="0.4">
      <c r="A63" s="59" t="s">
        <v>160</v>
      </c>
      <c r="B63" s="60"/>
      <c r="C63" s="60" t="s">
        <v>153</v>
      </c>
      <c r="D63" s="60">
        <v>193</v>
      </c>
      <c r="E63" s="61">
        <f t="shared" si="0"/>
        <v>1102.03</v>
      </c>
      <c r="F63" s="62">
        <v>1.5500000000000007</v>
      </c>
      <c r="G63" s="62">
        <v>0.91176470588235337</v>
      </c>
      <c r="H63" s="63">
        <f>[2]!wcanal(E63)</f>
        <v>0.5</v>
      </c>
      <c r="I63" s="64">
        <f>[2]!mcanal(G63,H63)</f>
        <v>1.5</v>
      </c>
      <c r="J63" s="65">
        <f>[2]!Kcanal(AC63)</f>
        <v>35</v>
      </c>
      <c r="K63" s="62">
        <f t="shared" si="1"/>
        <v>1.7</v>
      </c>
      <c r="L63" s="66">
        <f>[2]!vcanal(J63,AG63,M63,AC63)</f>
        <v>0.41629483990112198</v>
      </c>
      <c r="M63" s="67">
        <v>3.1399999999999999E-4</v>
      </c>
      <c r="N63" s="68">
        <v>0</v>
      </c>
      <c r="O63" s="64">
        <v>0</v>
      </c>
      <c r="P63" s="64">
        <f>[2]!mcanal(G63,H63)</f>
        <v>1.5</v>
      </c>
      <c r="Q63" s="63">
        <f>[2]!Wlining(E63)</f>
        <v>0.2</v>
      </c>
      <c r="R63" s="62">
        <v>0.1</v>
      </c>
      <c r="S63" s="62">
        <v>2</v>
      </c>
      <c r="T63" s="62">
        <v>0</v>
      </c>
      <c r="U63" s="62">
        <v>3</v>
      </c>
      <c r="V63" s="62">
        <v>1</v>
      </c>
      <c r="W63" s="62">
        <v>3</v>
      </c>
      <c r="X63" s="62">
        <v>0</v>
      </c>
      <c r="Y63" s="62">
        <v>0</v>
      </c>
      <c r="Z63" s="62">
        <v>0</v>
      </c>
      <c r="AA63" s="69">
        <v>0</v>
      </c>
      <c r="AC63" s="70" t="s">
        <v>45</v>
      </c>
      <c r="AD63" s="71">
        <f>[2]!kriterian(E63)</f>
        <v>1.7</v>
      </c>
      <c r="AE63" s="72">
        <f>[2]!Acanal(F63,G63,I63)</f>
        <v>2.6602076124567495</v>
      </c>
      <c r="AF63" s="73">
        <f>[2]!Pcanal(F63,G63,I63)</f>
        <v>4.8374143982171685</v>
      </c>
      <c r="AG63" s="66">
        <f>[2]!rcanal(F63,G63,I63)</f>
        <v>0.54992344948515681</v>
      </c>
      <c r="AH63" s="74">
        <f t="shared" si="2"/>
        <v>1107.4307021314285</v>
      </c>
      <c r="AI63" s="75">
        <f>[2]!froud(F63,G63,L63)</f>
        <v>0.1441640787880121</v>
      </c>
      <c r="AJ63" s="67">
        <f t="shared" si="3"/>
        <v>2.3285242628205211E-4</v>
      </c>
      <c r="AM63" s="53">
        <v>22</v>
      </c>
      <c r="AN63" s="56">
        <v>171</v>
      </c>
      <c r="AO63" s="57">
        <f t="shared" si="5"/>
        <v>125.62</v>
      </c>
      <c r="AP63" s="58">
        <f t="shared" si="5"/>
        <v>976.41</v>
      </c>
      <c r="AR63" s="1" t="s">
        <v>160</v>
      </c>
      <c r="AS63" s="1">
        <v>22</v>
      </c>
      <c r="AT63" s="1">
        <v>171</v>
      </c>
      <c r="AV63" s="1" t="s">
        <v>155</v>
      </c>
    </row>
    <row r="64" spans="1:48" ht="17.399999999999999" x14ac:dyDescent="0.4">
      <c r="A64" s="59" t="s">
        <v>161</v>
      </c>
      <c r="B64" s="60"/>
      <c r="C64" s="60" t="s">
        <v>162</v>
      </c>
      <c r="D64" s="60">
        <v>46</v>
      </c>
      <c r="E64" s="61">
        <f t="shared" si="0"/>
        <v>262.66000000000003</v>
      </c>
      <c r="F64" s="62">
        <v>0.44999999999999996</v>
      </c>
      <c r="G64" s="62">
        <v>0.43999999999999995</v>
      </c>
      <c r="H64" s="63">
        <f>[2]!wcanal(E64)</f>
        <v>0.4</v>
      </c>
      <c r="I64" s="64">
        <f>[2]!mcanal(G64,H64)</f>
        <v>1</v>
      </c>
      <c r="J64" s="65">
        <f>[2]!Kcanal(AC64)</f>
        <v>35</v>
      </c>
      <c r="K64" s="62">
        <f t="shared" si="1"/>
        <v>1.0227272727272727</v>
      </c>
      <c r="L64" s="66">
        <f>[2]!vcanal(J64,AG64,M64,AC64)</f>
        <v>0.69182284156471019</v>
      </c>
      <c r="M64" s="67">
        <v>2.7550000000000001E-3</v>
      </c>
      <c r="N64" s="68">
        <v>0</v>
      </c>
      <c r="O64" s="64">
        <v>0</v>
      </c>
      <c r="P64" s="64">
        <f>[2]!mcanal(G64,H64)</f>
        <v>1</v>
      </c>
      <c r="Q64" s="63">
        <f>[2]!Wlining(E64)</f>
        <v>0.2</v>
      </c>
      <c r="R64" s="62">
        <v>0.1</v>
      </c>
      <c r="S64" s="62">
        <v>2</v>
      </c>
      <c r="T64" s="62">
        <v>0</v>
      </c>
      <c r="U64" s="62">
        <v>3</v>
      </c>
      <c r="V64" s="62">
        <v>1</v>
      </c>
      <c r="W64" s="62">
        <v>3</v>
      </c>
      <c r="X64" s="62">
        <v>0</v>
      </c>
      <c r="Y64" s="62">
        <v>0</v>
      </c>
      <c r="Z64" s="62">
        <v>0</v>
      </c>
      <c r="AA64" s="69">
        <v>0</v>
      </c>
      <c r="AC64" s="70" t="s">
        <v>45</v>
      </c>
      <c r="AD64" s="71">
        <f>[2]!kriterian(E64)</f>
        <v>1</v>
      </c>
      <c r="AE64" s="72">
        <f>[2]!Acanal(F64,G64,I64)</f>
        <v>0.39159999999999989</v>
      </c>
      <c r="AF64" s="73">
        <f>[2]!Pcanal(F64,G64,I64)</f>
        <v>1.6945079348883236</v>
      </c>
      <c r="AG64" s="66">
        <f>[2]!rcanal(F64,G64,I64)</f>
        <v>0.23109953747475856</v>
      </c>
      <c r="AH64" s="74">
        <f t="shared" si="2"/>
        <v>270.9178247567404</v>
      </c>
      <c r="AI64" s="75">
        <f>[2]!froud(F64,G64,L64)</f>
        <v>0.30888404238579753</v>
      </c>
      <c r="AJ64" s="67">
        <f t="shared" si="3"/>
        <v>1.3244060053178006E-3</v>
      </c>
      <c r="AM64" s="53"/>
      <c r="AN64" s="56">
        <v>46</v>
      </c>
      <c r="AO64" s="57">
        <f t="shared" si="5"/>
        <v>0</v>
      </c>
      <c r="AP64" s="58">
        <f t="shared" si="5"/>
        <v>262.66000000000003</v>
      </c>
      <c r="AR64" s="1" t="s">
        <v>163</v>
      </c>
      <c r="AT64" s="1">
        <v>46</v>
      </c>
      <c r="AV64" s="1" t="s">
        <v>164</v>
      </c>
    </row>
    <row r="65" spans="1:48" ht="17.399999999999999" x14ac:dyDescent="0.4">
      <c r="A65" s="59" t="s">
        <v>165</v>
      </c>
      <c r="B65" s="60"/>
      <c r="C65" s="60" t="s">
        <v>162</v>
      </c>
      <c r="D65" s="60">
        <v>46</v>
      </c>
      <c r="E65" s="61">
        <f t="shared" si="0"/>
        <v>262.66000000000003</v>
      </c>
      <c r="F65" s="62">
        <v>0.54999999999999993</v>
      </c>
      <c r="G65" s="62">
        <v>0.52999999999999992</v>
      </c>
      <c r="H65" s="63">
        <f>[2]!wcanal(E65)</f>
        <v>0.4</v>
      </c>
      <c r="I65" s="64">
        <f>[2]!mcanal(G65,H65)</f>
        <v>1</v>
      </c>
      <c r="J65" s="65">
        <f>[2]!Kcanal(AC65)</f>
        <v>35</v>
      </c>
      <c r="K65" s="62">
        <f t="shared" si="1"/>
        <v>1.0377358490566038</v>
      </c>
      <c r="L65" s="66">
        <f>[2]!vcanal(J65,AG65,M65,AC65)</f>
        <v>0.46533757448853508</v>
      </c>
      <c r="M65" s="67">
        <v>9.68E-4</v>
      </c>
      <c r="N65" s="68">
        <v>0</v>
      </c>
      <c r="O65" s="64">
        <v>0</v>
      </c>
      <c r="P65" s="64">
        <f>[2]!mcanal(G65,H65)</f>
        <v>1</v>
      </c>
      <c r="Q65" s="63">
        <f>[2]!Wlining(E65)</f>
        <v>0.2</v>
      </c>
      <c r="R65" s="62">
        <v>0.1</v>
      </c>
      <c r="S65" s="62">
        <v>2</v>
      </c>
      <c r="T65" s="62">
        <v>0</v>
      </c>
      <c r="U65" s="62">
        <v>3</v>
      </c>
      <c r="V65" s="62">
        <v>1</v>
      </c>
      <c r="W65" s="62">
        <v>3</v>
      </c>
      <c r="X65" s="62">
        <v>0</v>
      </c>
      <c r="Y65" s="62">
        <v>0</v>
      </c>
      <c r="Z65" s="62">
        <v>0</v>
      </c>
      <c r="AA65" s="69">
        <v>0</v>
      </c>
      <c r="AC65" s="70" t="s">
        <v>45</v>
      </c>
      <c r="AD65" s="71">
        <f>[2]!kriterian(E65)</f>
        <v>1</v>
      </c>
      <c r="AE65" s="72">
        <f>[2]!Acanal(F65,G65,I65)</f>
        <v>0.5723999999999998</v>
      </c>
      <c r="AF65" s="73">
        <f>[2]!Pcanal(F65,G65,I65)</f>
        <v>2.0490663761154804</v>
      </c>
      <c r="AG65" s="66">
        <f>[2]!rcanal(F65,G65,I65)</f>
        <v>0.2793467340404695</v>
      </c>
      <c r="AH65" s="74">
        <f t="shared" si="2"/>
        <v>266.35922763723738</v>
      </c>
      <c r="AI65" s="75">
        <f>[2]!froud(F65,G65,L65)</f>
        <v>0.20625534220806549</v>
      </c>
      <c r="AJ65" s="67">
        <f t="shared" si="3"/>
        <v>5.1161957949001212E-4</v>
      </c>
      <c r="AM65" s="53"/>
      <c r="AN65" s="56">
        <v>46</v>
      </c>
      <c r="AO65" s="57">
        <f t="shared" si="5"/>
        <v>0</v>
      </c>
      <c r="AP65" s="58">
        <f t="shared" si="5"/>
        <v>262.66000000000003</v>
      </c>
      <c r="AR65" s="1" t="s">
        <v>163</v>
      </c>
      <c r="AT65" s="1">
        <v>46</v>
      </c>
      <c r="AV65" s="1" t="s">
        <v>164</v>
      </c>
    </row>
    <row r="66" spans="1:48" ht="17.399999999999999" x14ac:dyDescent="0.4">
      <c r="A66" s="59" t="s">
        <v>166</v>
      </c>
      <c r="B66" s="60"/>
      <c r="C66" s="60" t="s">
        <v>162</v>
      </c>
      <c r="D66" s="60">
        <v>97</v>
      </c>
      <c r="E66" s="61">
        <f t="shared" si="0"/>
        <v>553.87</v>
      </c>
      <c r="F66" s="62">
        <v>1.0000000000000002</v>
      </c>
      <c r="G66" s="62">
        <v>0.75000000000000011</v>
      </c>
      <c r="H66" s="63">
        <f>[2]!wcanal(E66)</f>
        <v>0.5</v>
      </c>
      <c r="I66" s="64">
        <f>[2]!mcanal(G66,H66)</f>
        <v>1.5</v>
      </c>
      <c r="J66" s="65">
        <f>[2]!Kcanal(AC66)</f>
        <v>35</v>
      </c>
      <c r="K66" s="62">
        <f t="shared" si="1"/>
        <v>1.3333333333333335</v>
      </c>
      <c r="L66" s="66">
        <f>[2]!vcanal(J66,AG66,M66,AC66)</f>
        <v>0.34836779576072963</v>
      </c>
      <c r="M66" s="67">
        <v>3.0499999999999999E-4</v>
      </c>
      <c r="N66" s="68">
        <v>0</v>
      </c>
      <c r="O66" s="64">
        <v>0</v>
      </c>
      <c r="P66" s="64">
        <f>[2]!mcanal(G66,H66)</f>
        <v>1.5</v>
      </c>
      <c r="Q66" s="63">
        <f>[2]!Wlining(E66)</f>
        <v>0.2</v>
      </c>
      <c r="R66" s="62">
        <v>0.1</v>
      </c>
      <c r="S66" s="62">
        <v>2</v>
      </c>
      <c r="T66" s="62">
        <v>0</v>
      </c>
      <c r="U66" s="62">
        <v>3</v>
      </c>
      <c r="V66" s="62">
        <v>1</v>
      </c>
      <c r="W66" s="62">
        <v>3</v>
      </c>
      <c r="X66" s="62">
        <v>0</v>
      </c>
      <c r="Y66" s="62">
        <v>0</v>
      </c>
      <c r="Z66" s="62">
        <v>0</v>
      </c>
      <c r="AA66" s="69">
        <v>0</v>
      </c>
      <c r="AC66" s="70" t="s">
        <v>45</v>
      </c>
      <c r="AD66" s="71">
        <f>[2]!kriterian(E66)</f>
        <v>1.25</v>
      </c>
      <c r="AE66" s="72">
        <f>[2]!Acanal(F66,G66,I66)</f>
        <v>1.5937500000000007</v>
      </c>
      <c r="AF66" s="73">
        <f>[2]!Pcanal(F66,G66,I66)</f>
        <v>3.7041634565979926</v>
      </c>
      <c r="AG66" s="66">
        <f>[2]!rcanal(F66,G66,I66)</f>
        <v>0.43025909052721589</v>
      </c>
      <c r="AH66" s="74">
        <f t="shared" si="2"/>
        <v>555.21117449366307</v>
      </c>
      <c r="AI66" s="75">
        <f>[2]!froud(F66,G66,L66)</f>
        <v>0.13622258786233932</v>
      </c>
      <c r="AJ66" s="67">
        <f t="shared" si="3"/>
        <v>2.0006212009347061E-4</v>
      </c>
      <c r="AM66" s="53">
        <v>16</v>
      </c>
      <c r="AN66" s="56">
        <v>81</v>
      </c>
      <c r="AO66" s="57">
        <f t="shared" si="5"/>
        <v>91.36</v>
      </c>
      <c r="AP66" s="58">
        <f t="shared" si="5"/>
        <v>462.51</v>
      </c>
      <c r="AR66" s="1" t="s">
        <v>166</v>
      </c>
      <c r="AS66" s="1">
        <v>16</v>
      </c>
      <c r="AT66" s="1">
        <v>81</v>
      </c>
      <c r="AV66" s="1" t="s">
        <v>164</v>
      </c>
    </row>
    <row r="67" spans="1:48" ht="17.399999999999999" x14ac:dyDescent="0.4">
      <c r="A67" s="59" t="s">
        <v>167</v>
      </c>
      <c r="B67" s="60"/>
      <c r="C67" s="60" t="s">
        <v>168</v>
      </c>
      <c r="D67" s="60">
        <v>58</v>
      </c>
      <c r="E67" s="61">
        <f t="shared" si="0"/>
        <v>331.18</v>
      </c>
      <c r="F67" s="62">
        <v>0.70000000000000007</v>
      </c>
      <c r="G67" s="62">
        <v>0.58636363636363631</v>
      </c>
      <c r="H67" s="63">
        <f>[2]!wcanal(E67)</f>
        <v>0.4</v>
      </c>
      <c r="I67" s="64">
        <f>[2]!mcanal(G67,H67)</f>
        <v>1</v>
      </c>
      <c r="J67" s="65">
        <f>[2]!Kcanal(AC67)</f>
        <v>35</v>
      </c>
      <c r="K67" s="62">
        <f t="shared" si="1"/>
        <v>1.1937984496124032</v>
      </c>
      <c r="L67" s="66">
        <f>[2]!vcanal(J67,AG67,M67,AC67)</f>
        <v>0.44102977337778881</v>
      </c>
      <c r="M67" s="67">
        <v>7.2599999999999997E-4</v>
      </c>
      <c r="N67" s="68">
        <v>0</v>
      </c>
      <c r="O67" s="64">
        <v>0</v>
      </c>
      <c r="P67" s="64">
        <f>[2]!mcanal(G67,H67)</f>
        <v>1</v>
      </c>
      <c r="Q67" s="63">
        <f>[2]!Wlining(E67)</f>
        <v>0.2</v>
      </c>
      <c r="R67" s="62">
        <v>0.1</v>
      </c>
      <c r="S67" s="62">
        <v>2</v>
      </c>
      <c r="T67" s="62">
        <v>0</v>
      </c>
      <c r="U67" s="62">
        <v>3</v>
      </c>
      <c r="V67" s="62">
        <v>1</v>
      </c>
      <c r="W67" s="62">
        <v>3</v>
      </c>
      <c r="X67" s="62">
        <v>0</v>
      </c>
      <c r="Y67" s="62">
        <v>0</v>
      </c>
      <c r="Z67" s="62">
        <v>0</v>
      </c>
      <c r="AA67" s="69">
        <v>0</v>
      </c>
      <c r="AC67" s="70" t="s">
        <v>45</v>
      </c>
      <c r="AD67" s="71">
        <f>[2]!kriterian(E67)</f>
        <v>1.1000000000000001</v>
      </c>
      <c r="AE67" s="72">
        <f>[2]!Acanal(F67,G67,I67)</f>
        <v>0.75427685950413215</v>
      </c>
      <c r="AF67" s="73">
        <f>[2]!Pcanal(F67,G67,I67)</f>
        <v>2.3584868140557207</v>
      </c>
      <c r="AG67" s="66">
        <f>[2]!rcanal(F67,G67,I67)</f>
        <v>0.319813897202612</v>
      </c>
      <c r="AH67" s="74">
        <f t="shared" si="2"/>
        <v>332.65855241121767</v>
      </c>
      <c r="AI67" s="75">
        <f>[2]!froud(F67,G67,L67)</f>
        <v>0.18225644630977653</v>
      </c>
      <c r="AJ67" s="67">
        <f t="shared" si="3"/>
        <v>4.1056817909083493E-4</v>
      </c>
      <c r="AM67" s="53">
        <v>45</v>
      </c>
      <c r="AN67" s="56">
        <v>13</v>
      </c>
      <c r="AO67" s="57">
        <f t="shared" si="5"/>
        <v>256.95</v>
      </c>
      <c r="AP67" s="58">
        <f t="shared" si="5"/>
        <v>74.23</v>
      </c>
      <c r="AR67" s="1" t="s">
        <v>167</v>
      </c>
      <c r="AS67" s="1">
        <v>45</v>
      </c>
      <c r="AT67" s="1">
        <v>13</v>
      </c>
      <c r="AV67" s="1" t="s">
        <v>46</v>
      </c>
    </row>
    <row r="68" spans="1:48" ht="17.399999999999999" x14ac:dyDescent="0.4">
      <c r="A68" s="59" t="s">
        <v>169</v>
      </c>
      <c r="B68" s="60"/>
      <c r="C68" s="60" t="s">
        <v>168</v>
      </c>
      <c r="D68" s="60">
        <v>230</v>
      </c>
      <c r="E68" s="61">
        <f t="shared" si="0"/>
        <v>1313.3000000000002</v>
      </c>
      <c r="F68" s="62">
        <v>1.4500000000000006</v>
      </c>
      <c r="G68" s="62">
        <v>0.83294117647058863</v>
      </c>
      <c r="H68" s="63">
        <f>[2]!wcanal(E68)</f>
        <v>0.5</v>
      </c>
      <c r="I68" s="64">
        <f>[2]!mcanal(G68,H68)</f>
        <v>1.5</v>
      </c>
      <c r="J68" s="65">
        <f>[2]!Kcanal(AC68)</f>
        <v>35</v>
      </c>
      <c r="K68" s="62">
        <f t="shared" si="1"/>
        <v>1.740819209039548</v>
      </c>
      <c r="L68" s="66">
        <f>[2]!vcanal(J68,AG68,M68,AC68)</f>
        <v>0.59796589113565657</v>
      </c>
      <c r="M68" s="67">
        <v>7.2599999999999997E-4</v>
      </c>
      <c r="N68" s="68">
        <v>0</v>
      </c>
      <c r="O68" s="64">
        <v>0</v>
      </c>
      <c r="P68" s="64">
        <f>[2]!mcanal(G68,H68)</f>
        <v>1.5</v>
      </c>
      <c r="Q68" s="63">
        <f>[2]!Wlining(E68)</f>
        <v>0.2</v>
      </c>
      <c r="R68" s="62">
        <v>0.1</v>
      </c>
      <c r="S68" s="62">
        <v>2</v>
      </c>
      <c r="T68" s="62">
        <v>0</v>
      </c>
      <c r="U68" s="62">
        <v>3</v>
      </c>
      <c r="V68" s="62">
        <v>1</v>
      </c>
      <c r="W68" s="62">
        <v>3</v>
      </c>
      <c r="X68" s="62">
        <v>0</v>
      </c>
      <c r="Y68" s="62">
        <v>0</v>
      </c>
      <c r="Z68" s="62">
        <v>0</v>
      </c>
      <c r="AA68" s="69">
        <v>0</v>
      </c>
      <c r="AC68" s="70" t="s">
        <v>45</v>
      </c>
      <c r="AD68" s="71">
        <f>[2]!kriterian(E68)</f>
        <v>1.7</v>
      </c>
      <c r="AE68" s="72">
        <f>[2]!Acanal(F68,G68,I68)</f>
        <v>2.2484512110726662</v>
      </c>
      <c r="AF68" s="73">
        <f>[2]!Pcanal(F68,G68,I68)</f>
        <v>4.4532121212100071</v>
      </c>
      <c r="AG68" s="66">
        <f>[2]!rcanal(F68,G68,I68)</f>
        <v>0.50490548167773486</v>
      </c>
      <c r="AH68" s="74">
        <f t="shared" si="2"/>
        <v>1344.497132104113</v>
      </c>
      <c r="AI68" s="75">
        <f>[2]!froud(F68,G68,L68)</f>
        <v>0.20463507307268253</v>
      </c>
      <c r="AJ68" s="67">
        <f t="shared" si="3"/>
        <v>5.158716523136097E-4</v>
      </c>
      <c r="AM68" s="53">
        <v>46</v>
      </c>
      <c r="AN68" s="56">
        <v>184</v>
      </c>
      <c r="AO68" s="57">
        <f t="shared" si="5"/>
        <v>262.66000000000003</v>
      </c>
      <c r="AP68" s="58">
        <f t="shared" si="5"/>
        <v>1050.6400000000001</v>
      </c>
      <c r="AR68" s="1" t="s">
        <v>169</v>
      </c>
      <c r="AS68" s="1">
        <v>46</v>
      </c>
      <c r="AT68" s="1">
        <v>184</v>
      </c>
      <c r="AV68" s="1" t="s">
        <v>46</v>
      </c>
    </row>
    <row r="69" spans="1:48" ht="17.399999999999999" x14ac:dyDescent="0.4">
      <c r="A69" s="59" t="s">
        <v>170</v>
      </c>
      <c r="B69" s="60"/>
      <c r="C69" s="60" t="s">
        <v>171</v>
      </c>
      <c r="D69" s="60">
        <v>271</v>
      </c>
      <c r="E69" s="61">
        <f t="shared" si="0"/>
        <v>1547.41</v>
      </c>
      <c r="F69" s="62">
        <v>2.0000000000000009</v>
      </c>
      <c r="G69" s="62">
        <v>0.95238095238095277</v>
      </c>
      <c r="H69" s="63">
        <f>[2]!wcanal(E69)</f>
        <v>0.6</v>
      </c>
      <c r="I69" s="64">
        <f>[2]!mcanal(G69,H69)</f>
        <v>1.5</v>
      </c>
      <c r="J69" s="65">
        <f>[2]!Kcanal(AC69)</f>
        <v>35</v>
      </c>
      <c r="K69" s="62">
        <f t="shared" si="1"/>
        <v>2.1</v>
      </c>
      <c r="L69" s="66">
        <f>[2]!vcanal(J69,AG69,M69,AC69)</f>
        <v>0.47616580332445468</v>
      </c>
      <c r="M69" s="67">
        <v>3.6499999999999998E-4</v>
      </c>
      <c r="N69" s="68">
        <v>0</v>
      </c>
      <c r="O69" s="64">
        <v>0</v>
      </c>
      <c r="P69" s="64">
        <f>[2]!mcanal(G69,H69)</f>
        <v>1.5</v>
      </c>
      <c r="Q69" s="63">
        <f>[2]!Wlining(E69)</f>
        <v>0</v>
      </c>
      <c r="R69" s="62">
        <v>0.1</v>
      </c>
      <c r="S69" s="62">
        <v>2</v>
      </c>
      <c r="T69" s="62">
        <v>0</v>
      </c>
      <c r="U69" s="62">
        <v>3</v>
      </c>
      <c r="V69" s="62">
        <v>1</v>
      </c>
      <c r="W69" s="62">
        <v>3</v>
      </c>
      <c r="X69" s="62">
        <v>0</v>
      </c>
      <c r="Y69" s="62">
        <v>0</v>
      </c>
      <c r="Z69" s="62">
        <v>0</v>
      </c>
      <c r="AA69" s="69">
        <v>0</v>
      </c>
      <c r="AC69" s="70" t="s">
        <v>45</v>
      </c>
      <c r="AD69" s="71">
        <f>[2]!kriterian(E69)</f>
        <v>2.1</v>
      </c>
      <c r="AE69" s="72">
        <f>[2]!Acanal(F69,G69,I69)</f>
        <v>3.2653061224489823</v>
      </c>
      <c r="AF69" s="73">
        <f>[2]!Pcanal(F69,G69,I69)</f>
        <v>5.4338583575847537</v>
      </c>
      <c r="AG69" s="66">
        <f>[2]!rcanal(F69,G69,I69)</f>
        <v>0.60091852005880197</v>
      </c>
      <c r="AH69" s="74">
        <f t="shared" si="2"/>
        <v>1554.8271128961799</v>
      </c>
      <c r="AI69" s="75">
        <f>[2]!froud(F69,G69,L69)</f>
        <v>0.14836417615495939</v>
      </c>
      <c r="AJ69" s="67">
        <f t="shared" si="3"/>
        <v>2.8294411079722776E-4</v>
      </c>
      <c r="AM69" s="53">
        <v>31</v>
      </c>
      <c r="AN69" s="56">
        <v>240</v>
      </c>
      <c r="AO69" s="57">
        <f t="shared" si="5"/>
        <v>177.01</v>
      </c>
      <c r="AP69" s="58">
        <f t="shared" si="5"/>
        <v>1370.4</v>
      </c>
      <c r="AR69" s="1" t="s">
        <v>170</v>
      </c>
      <c r="AS69" s="1">
        <v>31</v>
      </c>
      <c r="AT69" s="1">
        <v>240</v>
      </c>
      <c r="AV69" s="1" t="s">
        <v>172</v>
      </c>
    </row>
    <row r="70" spans="1:48" ht="17.399999999999999" x14ac:dyDescent="0.4">
      <c r="A70" s="59" t="s">
        <v>173</v>
      </c>
      <c r="B70" s="60"/>
      <c r="C70" s="60" t="s">
        <v>174</v>
      </c>
      <c r="D70" s="60">
        <v>55</v>
      </c>
      <c r="E70" s="61">
        <f t="shared" ref="E70:E99" si="6">AO70+AP70</f>
        <v>314.04999999999995</v>
      </c>
      <c r="F70" s="62">
        <v>0.70000000000000007</v>
      </c>
      <c r="G70" s="62">
        <v>0.59636363636363632</v>
      </c>
      <c r="H70" s="63">
        <f>[2]!wcanal(E70)</f>
        <v>0.4</v>
      </c>
      <c r="I70" s="64">
        <f>[2]!mcanal(G70,H70)</f>
        <v>1</v>
      </c>
      <c r="J70" s="65">
        <f>[2]!Kcanal(AC70)</f>
        <v>35</v>
      </c>
      <c r="K70" s="62">
        <f t="shared" ref="K70:K99" si="7">F70/G70</f>
        <v>1.1737804878048783</v>
      </c>
      <c r="L70" s="66">
        <f>[2]!vcanal(J70,AG70,M70,AC70)</f>
        <v>0.4149967872680409</v>
      </c>
      <c r="M70" s="67">
        <v>6.3199999999999997E-4</v>
      </c>
      <c r="N70" s="68">
        <v>1</v>
      </c>
      <c r="O70" s="64">
        <v>1</v>
      </c>
      <c r="P70" s="64">
        <f>[2]!mcanal(G70,H70)</f>
        <v>1</v>
      </c>
      <c r="Q70" s="63">
        <f>[2]!Wlining(E70)</f>
        <v>0.2</v>
      </c>
      <c r="R70" s="62">
        <v>0.1</v>
      </c>
      <c r="S70" s="62">
        <v>2</v>
      </c>
      <c r="T70" s="62">
        <v>0</v>
      </c>
      <c r="U70" s="62">
        <v>3</v>
      </c>
      <c r="V70" s="62">
        <v>1</v>
      </c>
      <c r="W70" s="62">
        <v>3</v>
      </c>
      <c r="X70" s="62">
        <v>0</v>
      </c>
      <c r="Y70" s="62">
        <v>0</v>
      </c>
      <c r="Z70" s="62">
        <v>0</v>
      </c>
      <c r="AA70" s="69">
        <v>0</v>
      </c>
      <c r="AC70" s="70" t="s">
        <v>45</v>
      </c>
      <c r="AD70" s="71">
        <f>[2]!kriterian(E70)</f>
        <v>1.1000000000000001</v>
      </c>
      <c r="AE70" s="72">
        <f>[2]!Acanal(F70,G70,I70)</f>
        <v>0.77310413223140495</v>
      </c>
      <c r="AF70" s="73">
        <f>[2]!Pcanal(F70,G70,I70)</f>
        <v>2.3867710853031827</v>
      </c>
      <c r="AG70" s="66">
        <f>[2]!rcanal(F70,G70,I70)</f>
        <v>0.32391214096395021</v>
      </c>
      <c r="AH70" s="74">
        <f t="shared" ref="AH70:AH99" si="8">AE70*L70*1000</f>
        <v>320.83573109967972</v>
      </c>
      <c r="AI70" s="75">
        <f>[2]!froud(F70,G70,L70)</f>
        <v>0.17295446801935119</v>
      </c>
      <c r="AJ70" s="67">
        <f t="shared" ref="AJ70:AJ99" si="9">M70*AG70^0.5</f>
        <v>3.5969192789439249E-4</v>
      </c>
      <c r="AM70" s="53">
        <v>4</v>
      </c>
      <c r="AN70" s="56">
        <v>51</v>
      </c>
      <c r="AO70" s="57">
        <f t="shared" si="5"/>
        <v>22.84</v>
      </c>
      <c r="AP70" s="58">
        <f t="shared" si="5"/>
        <v>291.20999999999998</v>
      </c>
      <c r="AR70" s="1" t="s">
        <v>173</v>
      </c>
      <c r="AS70" s="1">
        <v>4</v>
      </c>
      <c r="AT70" s="1">
        <v>51</v>
      </c>
      <c r="AV70" s="1" t="s">
        <v>175</v>
      </c>
    </row>
    <row r="71" spans="1:48" ht="17.399999999999999" x14ac:dyDescent="0.4">
      <c r="A71" s="59" t="s">
        <v>176</v>
      </c>
      <c r="B71" s="60"/>
      <c r="C71" s="60" t="s">
        <v>174</v>
      </c>
      <c r="D71" s="60">
        <v>97</v>
      </c>
      <c r="E71" s="61">
        <f t="shared" si="6"/>
        <v>553.87</v>
      </c>
      <c r="F71" s="62">
        <v>0.8500000000000002</v>
      </c>
      <c r="G71" s="62">
        <v>0.66000000000000014</v>
      </c>
      <c r="H71" s="63">
        <f>[2]!wcanal(E71)</f>
        <v>0.5</v>
      </c>
      <c r="I71" s="64">
        <f>[2]!mcanal(G71,H71)</f>
        <v>1.5</v>
      </c>
      <c r="J71" s="65">
        <f>[2]!Kcanal(AC71)</f>
        <v>35</v>
      </c>
      <c r="K71" s="62">
        <f t="shared" si="7"/>
        <v>1.2878787878787878</v>
      </c>
      <c r="L71" s="66">
        <f>[2]!vcanal(J71,AG71,M71,AC71)</f>
        <v>0.45838409664662844</v>
      </c>
      <c r="M71" s="67">
        <v>6.3199999999999997E-4</v>
      </c>
      <c r="N71" s="68">
        <v>1</v>
      </c>
      <c r="O71" s="64">
        <v>1</v>
      </c>
      <c r="P71" s="64">
        <f>[2]!mcanal(G71,H71)</f>
        <v>1.5</v>
      </c>
      <c r="Q71" s="63">
        <f>[2]!Wlining(E71)</f>
        <v>0.2</v>
      </c>
      <c r="R71" s="62">
        <v>0.1</v>
      </c>
      <c r="S71" s="62">
        <v>2</v>
      </c>
      <c r="T71" s="62">
        <v>0</v>
      </c>
      <c r="U71" s="62">
        <v>3</v>
      </c>
      <c r="V71" s="62">
        <v>1</v>
      </c>
      <c r="W71" s="62">
        <v>3</v>
      </c>
      <c r="X71" s="62">
        <v>0</v>
      </c>
      <c r="Y71" s="62">
        <v>0</v>
      </c>
      <c r="Z71" s="62">
        <v>0</v>
      </c>
      <c r="AA71" s="69">
        <v>0</v>
      </c>
      <c r="AC71" s="70" t="s">
        <v>45</v>
      </c>
      <c r="AD71" s="71">
        <f>[2]!kriterian(E71)</f>
        <v>1.25</v>
      </c>
      <c r="AE71" s="72">
        <f>[2]!Acanal(F71,G71,I71)</f>
        <v>1.2144000000000004</v>
      </c>
      <c r="AF71" s="73">
        <f>[2]!Pcanal(F71,G71,I71)</f>
        <v>3.2296638418062336</v>
      </c>
      <c r="AG71" s="66">
        <f>[2]!rcanal(F71,G71,I71)</f>
        <v>0.37601436542102495</v>
      </c>
      <c r="AH71" s="74">
        <f t="shared" si="8"/>
        <v>556.66164696766577</v>
      </c>
      <c r="AI71" s="75">
        <f>[2]!froud(F71,G71,L71)</f>
        <v>0.18237803858173365</v>
      </c>
      <c r="AJ71" s="67">
        <f t="shared" si="9"/>
        <v>3.8754246463313855E-4</v>
      </c>
      <c r="AM71" s="53">
        <v>7</v>
      </c>
      <c r="AN71" s="56">
        <v>90</v>
      </c>
      <c r="AO71" s="57">
        <f t="shared" si="5"/>
        <v>39.97</v>
      </c>
      <c r="AP71" s="58">
        <f t="shared" si="5"/>
        <v>513.9</v>
      </c>
      <c r="AR71" s="1" t="s">
        <v>176</v>
      </c>
      <c r="AS71" s="1">
        <v>7</v>
      </c>
      <c r="AT71" s="1">
        <v>90</v>
      </c>
      <c r="AV71" s="1" t="s">
        <v>175</v>
      </c>
    </row>
    <row r="72" spans="1:48" ht="17.399999999999999" x14ac:dyDescent="0.4">
      <c r="A72" s="59" t="s">
        <v>177</v>
      </c>
      <c r="B72" s="60"/>
      <c r="C72" s="60" t="s">
        <v>178</v>
      </c>
      <c r="D72" s="60">
        <v>67</v>
      </c>
      <c r="E72" s="61">
        <f t="shared" si="6"/>
        <v>382.57</v>
      </c>
      <c r="F72" s="62">
        <v>0.65</v>
      </c>
      <c r="G72" s="62">
        <v>0.5609090909090908</v>
      </c>
      <c r="H72" s="63">
        <f>[2]!wcanal(E72)</f>
        <v>0.4</v>
      </c>
      <c r="I72" s="64">
        <f>[2]!mcanal(G72,H72)</f>
        <v>1</v>
      </c>
      <c r="J72" s="65">
        <f>[2]!Kcanal(AC72)</f>
        <v>35</v>
      </c>
      <c r="K72" s="62">
        <f t="shared" si="7"/>
        <v>1.1588330632090764</v>
      </c>
      <c r="L72" s="66">
        <f>[2]!vcanal(J72,AG72,M72,AC72)</f>
        <v>0.58166765991092506</v>
      </c>
      <c r="M72" s="67">
        <v>1.353E-3</v>
      </c>
      <c r="N72" s="68">
        <v>0</v>
      </c>
      <c r="O72" s="64">
        <v>0</v>
      </c>
      <c r="P72" s="64">
        <f>[2]!mcanal(G72,H72)</f>
        <v>1</v>
      </c>
      <c r="Q72" s="63">
        <f>[2]!Wlining(E72)</f>
        <v>0.2</v>
      </c>
      <c r="R72" s="62">
        <v>0.1</v>
      </c>
      <c r="S72" s="62">
        <v>2</v>
      </c>
      <c r="T72" s="62">
        <v>0</v>
      </c>
      <c r="U72" s="62">
        <v>3</v>
      </c>
      <c r="V72" s="62">
        <v>1</v>
      </c>
      <c r="W72" s="62">
        <v>3</v>
      </c>
      <c r="X72" s="62">
        <v>0</v>
      </c>
      <c r="Y72" s="62">
        <v>0</v>
      </c>
      <c r="Z72" s="62">
        <v>0</v>
      </c>
      <c r="AA72" s="69">
        <v>0</v>
      </c>
      <c r="AC72" s="70" t="s">
        <v>45</v>
      </c>
      <c r="AD72" s="71">
        <f>[2]!kriterian(E72)</f>
        <v>1.1000000000000001</v>
      </c>
      <c r="AE72" s="72">
        <f>[2]!Acanal(F72,G72,I72)</f>
        <v>0.67920991735537184</v>
      </c>
      <c r="AF72" s="73">
        <f>[2]!Pcanal(F72,G72,I72)</f>
        <v>2.2364904872439992</v>
      </c>
      <c r="AG72" s="66">
        <f>[2]!rcanal(F72,G72,I72)</f>
        <v>0.30369452552081017</v>
      </c>
      <c r="AH72" s="74">
        <f t="shared" si="8"/>
        <v>395.07444321639196</v>
      </c>
      <c r="AI72" s="75">
        <f>[2]!froud(F72,G72,L72)</f>
        <v>0.24397480155562545</v>
      </c>
      <c r="AJ72" s="67">
        <f t="shared" si="9"/>
        <v>7.4561781877120184E-4</v>
      </c>
      <c r="AM72" s="53">
        <v>12</v>
      </c>
      <c r="AN72" s="56">
        <v>55</v>
      </c>
      <c r="AO72" s="57">
        <f t="shared" si="5"/>
        <v>68.52</v>
      </c>
      <c r="AP72" s="58">
        <f t="shared" si="5"/>
        <v>314.05</v>
      </c>
      <c r="AR72" s="1" t="s">
        <v>179</v>
      </c>
      <c r="AS72" s="1">
        <v>12</v>
      </c>
      <c r="AT72" s="1">
        <v>55</v>
      </c>
      <c r="AV72" s="1" t="s">
        <v>180</v>
      </c>
    </row>
    <row r="73" spans="1:48" ht="17.399999999999999" x14ac:dyDescent="0.4">
      <c r="A73" s="59" t="s">
        <v>181</v>
      </c>
      <c r="B73" s="60"/>
      <c r="C73" s="60" t="s">
        <v>178</v>
      </c>
      <c r="D73" s="60">
        <v>67</v>
      </c>
      <c r="E73" s="61">
        <f t="shared" si="6"/>
        <v>382.57</v>
      </c>
      <c r="F73" s="62">
        <v>0.75000000000000011</v>
      </c>
      <c r="G73" s="62">
        <v>0.65181818181818185</v>
      </c>
      <c r="H73" s="63">
        <f>[2]!wcanal(E73)</f>
        <v>0.4</v>
      </c>
      <c r="I73" s="64">
        <f>[2]!mcanal(G73,H73)</f>
        <v>1.5</v>
      </c>
      <c r="J73" s="65">
        <f>[2]!Kcanal(AC73)</f>
        <v>35</v>
      </c>
      <c r="K73" s="62">
        <f t="shared" si="7"/>
        <v>1.1506276150627617</v>
      </c>
      <c r="L73" s="66">
        <f>[2]!vcanal(J73,AG73,M73,AC73)</f>
        <v>0.34135983110093238</v>
      </c>
      <c r="M73" s="67">
        <v>3.6699999999999998E-4</v>
      </c>
      <c r="N73" s="68">
        <v>0</v>
      </c>
      <c r="O73" s="64">
        <v>0</v>
      </c>
      <c r="P73" s="64">
        <f>[2]!mcanal(G73,H73)</f>
        <v>1.5</v>
      </c>
      <c r="Q73" s="63">
        <f>[2]!Wlining(E73)</f>
        <v>0.2</v>
      </c>
      <c r="R73" s="62">
        <v>0.1</v>
      </c>
      <c r="S73" s="62">
        <v>2</v>
      </c>
      <c r="T73" s="62">
        <v>0</v>
      </c>
      <c r="U73" s="62">
        <v>3</v>
      </c>
      <c r="V73" s="62">
        <v>1</v>
      </c>
      <c r="W73" s="62">
        <v>3</v>
      </c>
      <c r="X73" s="62">
        <v>0</v>
      </c>
      <c r="Y73" s="62">
        <v>0</v>
      </c>
      <c r="Z73" s="62">
        <v>0</v>
      </c>
      <c r="AA73" s="69">
        <v>0</v>
      </c>
      <c r="AC73" s="70" t="s">
        <v>45</v>
      </c>
      <c r="AD73" s="71">
        <f>[2]!kriterian(E73)</f>
        <v>1.1000000000000001</v>
      </c>
      <c r="AE73" s="72">
        <f>[2]!Acanal(F73,G73,I73)</f>
        <v>1.1261640495867771</v>
      </c>
      <c r="AF73" s="73">
        <f>[2]!Pcanal(F73,G73,I73)</f>
        <v>3.1001638768251638</v>
      </c>
      <c r="AG73" s="66">
        <f>[2]!rcanal(F73,G73,I73)</f>
        <v>0.36325952250629617</v>
      </c>
      <c r="AH73" s="74">
        <f t="shared" si="8"/>
        <v>384.42716975888425</v>
      </c>
      <c r="AI73" s="75">
        <f>[2]!froud(F73,G73,L73)</f>
        <v>0.14368965851817239</v>
      </c>
      <c r="AJ73" s="67">
        <f t="shared" si="9"/>
        <v>2.2119462431725262E-4</v>
      </c>
      <c r="AM73" s="53">
        <v>12</v>
      </c>
      <c r="AN73" s="56">
        <v>55</v>
      </c>
      <c r="AO73" s="57">
        <f t="shared" si="5"/>
        <v>68.52</v>
      </c>
      <c r="AP73" s="58">
        <f t="shared" si="5"/>
        <v>314.05</v>
      </c>
      <c r="AR73" s="1" t="s">
        <v>179</v>
      </c>
      <c r="AS73" s="1">
        <v>12</v>
      </c>
      <c r="AT73" s="1">
        <v>55</v>
      </c>
      <c r="AV73" s="1" t="s">
        <v>180</v>
      </c>
    </row>
    <row r="74" spans="1:48" ht="17.399999999999999" x14ac:dyDescent="0.4">
      <c r="A74" s="59" t="s">
        <v>182</v>
      </c>
      <c r="B74" s="60"/>
      <c r="C74" s="60" t="s">
        <v>178</v>
      </c>
      <c r="D74" s="60">
        <v>100</v>
      </c>
      <c r="E74" s="61">
        <f t="shared" si="6"/>
        <v>571</v>
      </c>
      <c r="F74" s="62">
        <v>0.80000000000000016</v>
      </c>
      <c r="G74" s="62">
        <v>0.60000000000000009</v>
      </c>
      <c r="H74" s="63">
        <f>[2]!wcanal(E74)</f>
        <v>0.5</v>
      </c>
      <c r="I74" s="64">
        <f>[2]!mcanal(G74,H74)</f>
        <v>1.5</v>
      </c>
      <c r="J74" s="65">
        <f>[2]!Kcanal(AC74)</f>
        <v>35</v>
      </c>
      <c r="K74" s="62">
        <f t="shared" si="7"/>
        <v>1.3333333333333335</v>
      </c>
      <c r="L74" s="66">
        <f>[2]!vcanal(J74,AG74,M74,AC74)</f>
        <v>0.57606472694909661</v>
      </c>
      <c r="M74" s="67">
        <v>1.1230000000000001E-3</v>
      </c>
      <c r="N74" s="68">
        <v>0</v>
      </c>
      <c r="O74" s="64">
        <v>0</v>
      </c>
      <c r="P74" s="64">
        <f>[2]!mcanal(G74,H74)</f>
        <v>1.5</v>
      </c>
      <c r="Q74" s="63">
        <f>[2]!Wlining(E74)</f>
        <v>0.2</v>
      </c>
      <c r="R74" s="62">
        <v>0.1</v>
      </c>
      <c r="S74" s="62">
        <v>2</v>
      </c>
      <c r="T74" s="62">
        <v>0</v>
      </c>
      <c r="U74" s="62">
        <v>3</v>
      </c>
      <c r="V74" s="62">
        <v>1</v>
      </c>
      <c r="W74" s="62">
        <v>3</v>
      </c>
      <c r="X74" s="62">
        <v>0</v>
      </c>
      <c r="Y74" s="62">
        <v>0</v>
      </c>
      <c r="Z74" s="62">
        <v>0</v>
      </c>
      <c r="AA74" s="69">
        <v>0</v>
      </c>
      <c r="AC74" s="70" t="s">
        <v>45</v>
      </c>
      <c r="AD74" s="71">
        <f>[2]!kriterian(E74)</f>
        <v>1.25</v>
      </c>
      <c r="AE74" s="72">
        <f>[2]!Acanal(F74,G74,I74)</f>
        <v>1.0200000000000002</v>
      </c>
      <c r="AF74" s="73">
        <f>[2]!Pcanal(F74,G74,I74)</f>
        <v>2.963330765278394</v>
      </c>
      <c r="AG74" s="66">
        <f>[2]!rcanal(F74,G74,I74)</f>
        <v>0.34420727242177268</v>
      </c>
      <c r="AH74" s="74">
        <f t="shared" si="8"/>
        <v>587.5860214880787</v>
      </c>
      <c r="AI74" s="75">
        <f>[2]!froud(F74,G74,L74)</f>
        <v>0.2252591336976385</v>
      </c>
      <c r="AJ74" s="67">
        <f t="shared" si="9"/>
        <v>6.5885489545270727E-4</v>
      </c>
      <c r="AM74" s="53">
        <v>13</v>
      </c>
      <c r="AN74" s="56">
        <v>87</v>
      </c>
      <c r="AO74" s="57">
        <f t="shared" si="5"/>
        <v>74.23</v>
      </c>
      <c r="AP74" s="58">
        <f t="shared" si="5"/>
        <v>496.77</v>
      </c>
      <c r="AR74" s="1" t="s">
        <v>182</v>
      </c>
      <c r="AS74" s="1">
        <v>13</v>
      </c>
      <c r="AT74" s="1">
        <v>87</v>
      </c>
      <c r="AV74" s="1" t="s">
        <v>180</v>
      </c>
    </row>
    <row r="75" spans="1:48" ht="17.399999999999999" x14ac:dyDescent="0.4">
      <c r="A75" s="59" t="s">
        <v>183</v>
      </c>
      <c r="B75" s="60"/>
      <c r="C75" s="60" t="s">
        <v>178</v>
      </c>
      <c r="D75" s="60">
        <v>224</v>
      </c>
      <c r="E75" s="61">
        <f t="shared" si="6"/>
        <v>1279.04</v>
      </c>
      <c r="F75" s="62">
        <v>1.3500000000000005</v>
      </c>
      <c r="G75" s="62">
        <v>0.7741176470588238</v>
      </c>
      <c r="H75" s="63">
        <f>[2]!wcanal(E75)</f>
        <v>0.5</v>
      </c>
      <c r="I75" s="64">
        <f>[2]!mcanal(G75,H75)</f>
        <v>1.5</v>
      </c>
      <c r="J75" s="65">
        <f>[2]!Kcanal(AC75)</f>
        <v>35</v>
      </c>
      <c r="K75" s="62">
        <f t="shared" si="7"/>
        <v>1.743920972644377</v>
      </c>
      <c r="L75" s="66">
        <f>[2]!vcanal(J75,AG75,M75,AC75)</f>
        <v>0.66449346321273395</v>
      </c>
      <c r="M75" s="67">
        <v>9.8799999999999995E-4</v>
      </c>
      <c r="N75" s="68">
        <v>0</v>
      </c>
      <c r="O75" s="64">
        <v>0</v>
      </c>
      <c r="P75" s="64">
        <f>[2]!mcanal(G75,H75)</f>
        <v>1.5</v>
      </c>
      <c r="Q75" s="63">
        <f>[2]!Wlining(E75)</f>
        <v>0.2</v>
      </c>
      <c r="R75" s="62">
        <v>0.1</v>
      </c>
      <c r="S75" s="62">
        <v>2</v>
      </c>
      <c r="T75" s="62">
        <v>0</v>
      </c>
      <c r="U75" s="62">
        <v>3</v>
      </c>
      <c r="V75" s="62">
        <v>1</v>
      </c>
      <c r="W75" s="62">
        <v>3</v>
      </c>
      <c r="X75" s="62">
        <v>0</v>
      </c>
      <c r="Y75" s="62">
        <v>0</v>
      </c>
      <c r="Z75" s="62">
        <v>0</v>
      </c>
      <c r="AA75" s="69">
        <v>0</v>
      </c>
      <c r="AC75" s="70" t="s">
        <v>45</v>
      </c>
      <c r="AD75" s="71">
        <f>[2]!kriterian(E75)</f>
        <v>1.7</v>
      </c>
      <c r="AE75" s="72">
        <f>[2]!Acanal(F75,G75,I75)</f>
        <v>1.9439460207612471</v>
      </c>
      <c r="AF75" s="73">
        <f>[2]!Pcanal(F75,G75,I75)</f>
        <v>4.1411208697121253</v>
      </c>
      <c r="AG75" s="66">
        <f>[2]!rcanal(F75,G75,I75)</f>
        <v>0.46942508608699041</v>
      </c>
      <c r="AH75" s="74">
        <f t="shared" si="8"/>
        <v>1291.7394236342543</v>
      </c>
      <c r="AI75" s="75">
        <f>[2]!froud(F75,G75,L75)</f>
        <v>0.22719972788111481</v>
      </c>
      <c r="AJ75" s="67">
        <f t="shared" si="9"/>
        <v>6.7692428028051936E-4</v>
      </c>
      <c r="AM75" s="53">
        <v>20</v>
      </c>
      <c r="AN75" s="56">
        <v>204</v>
      </c>
      <c r="AO75" s="57">
        <f t="shared" si="5"/>
        <v>114.2</v>
      </c>
      <c r="AP75" s="58">
        <f t="shared" si="5"/>
        <v>1164.8399999999999</v>
      </c>
      <c r="AR75" s="1" t="s">
        <v>183</v>
      </c>
      <c r="AS75" s="1">
        <v>20</v>
      </c>
      <c r="AT75" s="1">
        <v>204</v>
      </c>
      <c r="AV75" s="1" t="s">
        <v>180</v>
      </c>
    </row>
    <row r="76" spans="1:48" ht="17.399999999999999" x14ac:dyDescent="0.4">
      <c r="A76" s="59" t="s">
        <v>184</v>
      </c>
      <c r="B76" s="60"/>
      <c r="C76" s="60" t="s">
        <v>185</v>
      </c>
      <c r="D76" s="60">
        <v>45</v>
      </c>
      <c r="E76" s="61">
        <f t="shared" si="6"/>
        <v>256.95</v>
      </c>
      <c r="F76" s="62">
        <v>0.54999999999999993</v>
      </c>
      <c r="G76" s="62">
        <v>0.52999999999999992</v>
      </c>
      <c r="H76" s="63">
        <f>[2]!wcanal(E76)</f>
        <v>0.4</v>
      </c>
      <c r="I76" s="64">
        <f>[2]!mcanal(G76,H76)</f>
        <v>1</v>
      </c>
      <c r="J76" s="65">
        <f>[2]!Kcanal(AC76)</f>
        <v>35</v>
      </c>
      <c r="K76" s="62">
        <f t="shared" si="7"/>
        <v>1.0377358490566038</v>
      </c>
      <c r="L76" s="66">
        <f>[2]!vcanal(J76,AG76,M76,AC76)</f>
        <v>0.45118134993254871</v>
      </c>
      <c r="M76" s="67">
        <v>9.1E-4</v>
      </c>
      <c r="N76" s="68">
        <v>1</v>
      </c>
      <c r="O76" s="64">
        <v>1</v>
      </c>
      <c r="P76" s="64">
        <f>[2]!mcanal(G76,H76)</f>
        <v>1</v>
      </c>
      <c r="Q76" s="63">
        <f>[2]!Wlining(E76)</f>
        <v>0.2</v>
      </c>
      <c r="R76" s="62">
        <v>0.1</v>
      </c>
      <c r="S76" s="62">
        <v>2</v>
      </c>
      <c r="T76" s="62">
        <v>0</v>
      </c>
      <c r="U76" s="62">
        <v>3</v>
      </c>
      <c r="V76" s="62">
        <v>1</v>
      </c>
      <c r="W76" s="62">
        <v>3</v>
      </c>
      <c r="X76" s="62">
        <v>0</v>
      </c>
      <c r="Y76" s="62">
        <v>0</v>
      </c>
      <c r="Z76" s="62">
        <v>0</v>
      </c>
      <c r="AA76" s="69">
        <v>0</v>
      </c>
      <c r="AC76" s="70" t="s">
        <v>45</v>
      </c>
      <c r="AD76" s="71">
        <f>[2]!kriterian(E76)</f>
        <v>1</v>
      </c>
      <c r="AE76" s="72">
        <f>[2]!Acanal(F76,G76,I76)</f>
        <v>0.5723999999999998</v>
      </c>
      <c r="AF76" s="73">
        <f>[2]!Pcanal(F76,G76,I76)</f>
        <v>2.0490663761154804</v>
      </c>
      <c r="AG76" s="66">
        <f>[2]!rcanal(F76,G76,I76)</f>
        <v>0.2793467340404695</v>
      </c>
      <c r="AH76" s="74">
        <f t="shared" si="8"/>
        <v>258.25620470139074</v>
      </c>
      <c r="AI76" s="75">
        <f>[2]!froud(F76,G76,L76)</f>
        <v>0.1999807641377723</v>
      </c>
      <c r="AJ76" s="67">
        <f t="shared" si="9"/>
        <v>4.8096468733048665E-4</v>
      </c>
      <c r="AM76" s="53">
        <v>8</v>
      </c>
      <c r="AN76" s="56">
        <v>37</v>
      </c>
      <c r="AO76" s="57">
        <f t="shared" si="5"/>
        <v>45.68</v>
      </c>
      <c r="AP76" s="58">
        <f t="shared" si="5"/>
        <v>211.27</v>
      </c>
      <c r="AR76" s="1" t="s">
        <v>186</v>
      </c>
      <c r="AS76" s="1">
        <v>8</v>
      </c>
      <c r="AT76" s="1">
        <v>37</v>
      </c>
      <c r="AV76" s="1" t="s">
        <v>187</v>
      </c>
    </row>
    <row r="77" spans="1:48" ht="17.399999999999999" x14ac:dyDescent="0.4">
      <c r="A77" s="59" t="s">
        <v>188</v>
      </c>
      <c r="B77" s="60"/>
      <c r="C77" s="60" t="s">
        <v>185</v>
      </c>
      <c r="D77" s="60">
        <v>45</v>
      </c>
      <c r="E77" s="61">
        <f t="shared" si="6"/>
        <v>256.95</v>
      </c>
      <c r="F77" s="62">
        <v>0.6</v>
      </c>
      <c r="G77" s="62">
        <v>0.55999999999999994</v>
      </c>
      <c r="H77" s="63">
        <f>[2]!wcanal(E77)</f>
        <v>0.4</v>
      </c>
      <c r="I77" s="64">
        <f>[2]!mcanal(G77,H77)</f>
        <v>1</v>
      </c>
      <c r="J77" s="65">
        <f>[2]!Kcanal(AC77)</f>
        <v>35</v>
      </c>
      <c r="K77" s="62">
        <f t="shared" si="7"/>
        <v>1.0714285714285714</v>
      </c>
      <c r="L77" s="66">
        <f>[2]!vcanal(J77,AG77,M77,AC77)</f>
        <v>0.40005585022248064</v>
      </c>
      <c r="M77" s="67">
        <v>6.5799999999999995E-4</v>
      </c>
      <c r="N77" s="68">
        <v>1</v>
      </c>
      <c r="O77" s="64">
        <v>1</v>
      </c>
      <c r="P77" s="64">
        <f>[2]!mcanal(G77,H77)</f>
        <v>1</v>
      </c>
      <c r="Q77" s="63">
        <f>[2]!Wlining(E77)</f>
        <v>0.2</v>
      </c>
      <c r="R77" s="62">
        <v>0.1</v>
      </c>
      <c r="S77" s="62">
        <v>2</v>
      </c>
      <c r="T77" s="62">
        <v>0</v>
      </c>
      <c r="U77" s="62">
        <v>3</v>
      </c>
      <c r="V77" s="62">
        <v>1</v>
      </c>
      <c r="W77" s="62">
        <v>3</v>
      </c>
      <c r="X77" s="62">
        <v>0</v>
      </c>
      <c r="Y77" s="62">
        <v>0</v>
      </c>
      <c r="Z77" s="62">
        <v>0</v>
      </c>
      <c r="AA77" s="69">
        <v>0</v>
      </c>
      <c r="AC77" s="70" t="s">
        <v>45</v>
      </c>
      <c r="AD77" s="71">
        <f>[2]!kriterian(E77)</f>
        <v>1</v>
      </c>
      <c r="AE77" s="72">
        <f>[2]!Acanal(F77,G77,I77)</f>
        <v>0.64959999999999984</v>
      </c>
      <c r="AF77" s="73">
        <f>[2]!Pcanal(F77,G77,I77)</f>
        <v>2.1839191898578663</v>
      </c>
      <c r="AG77" s="66">
        <f>[2]!rcanal(F77,G77,I77)</f>
        <v>0.29744690326306306</v>
      </c>
      <c r="AH77" s="74">
        <f t="shared" si="8"/>
        <v>259.87628030452339</v>
      </c>
      <c r="AI77" s="75">
        <f>[2]!froud(F77,G77,L77)</f>
        <v>0.174509674377649</v>
      </c>
      <c r="AJ77" s="67">
        <f t="shared" si="9"/>
        <v>3.5886459984845088E-4</v>
      </c>
      <c r="AM77" s="53">
        <v>8</v>
      </c>
      <c r="AN77" s="56">
        <v>37</v>
      </c>
      <c r="AO77" s="57">
        <f t="shared" si="5"/>
        <v>45.68</v>
      </c>
      <c r="AP77" s="58">
        <f t="shared" si="5"/>
        <v>211.27</v>
      </c>
      <c r="AR77" s="1" t="s">
        <v>186</v>
      </c>
      <c r="AS77" s="1">
        <v>8</v>
      </c>
      <c r="AT77" s="1">
        <v>37</v>
      </c>
      <c r="AV77" s="1" t="s">
        <v>187</v>
      </c>
    </row>
    <row r="78" spans="1:48" ht="17.399999999999999" x14ac:dyDescent="0.4">
      <c r="A78" s="59" t="s">
        <v>189</v>
      </c>
      <c r="B78" s="60"/>
      <c r="C78" s="60" t="s">
        <v>185</v>
      </c>
      <c r="D78" s="60">
        <v>78</v>
      </c>
      <c r="E78" s="61">
        <f t="shared" si="6"/>
        <v>445.38</v>
      </c>
      <c r="F78" s="62">
        <v>0.70000000000000007</v>
      </c>
      <c r="G78" s="62">
        <v>0.62636363636363634</v>
      </c>
      <c r="H78" s="63">
        <f>[2]!wcanal(E78)</f>
        <v>0.4</v>
      </c>
      <c r="I78" s="64">
        <f>[2]!mcanal(G78,H78)</f>
        <v>1.5</v>
      </c>
      <c r="J78" s="65">
        <f>[2]!Kcanal(AC78)</f>
        <v>35</v>
      </c>
      <c r="K78" s="62">
        <f t="shared" si="7"/>
        <v>1.1175616835994195</v>
      </c>
      <c r="L78" s="66">
        <f>[2]!vcanal(J78,AG78,M78,AC78)</f>
        <v>0.44344974608650622</v>
      </c>
      <c r="M78" s="67">
        <v>6.5799999999999995E-4</v>
      </c>
      <c r="N78" s="68">
        <v>1</v>
      </c>
      <c r="O78" s="64">
        <v>1</v>
      </c>
      <c r="P78" s="64">
        <f>[2]!mcanal(G78,H78)</f>
        <v>1.5</v>
      </c>
      <c r="Q78" s="63">
        <f>[2]!Wlining(E78)</f>
        <v>0.2</v>
      </c>
      <c r="R78" s="62">
        <v>0.1</v>
      </c>
      <c r="S78" s="62">
        <v>2</v>
      </c>
      <c r="T78" s="62">
        <v>0</v>
      </c>
      <c r="U78" s="62">
        <v>3</v>
      </c>
      <c r="V78" s="62">
        <v>1</v>
      </c>
      <c r="W78" s="62">
        <v>3</v>
      </c>
      <c r="X78" s="62">
        <v>0</v>
      </c>
      <c r="Y78" s="62">
        <v>0</v>
      </c>
      <c r="Z78" s="62">
        <v>0</v>
      </c>
      <c r="AA78" s="69">
        <v>0</v>
      </c>
      <c r="AC78" s="70" t="s">
        <v>45</v>
      </c>
      <c r="AD78" s="71">
        <f>[2]!kriterian(E78)</f>
        <v>1.1000000000000001</v>
      </c>
      <c r="AE78" s="72">
        <f>[2]!Acanal(F78,G78,I78)</f>
        <v>1.026951652892562</v>
      </c>
      <c r="AF78" s="73">
        <f>[2]!Pcanal(F78,G78,I78)</f>
        <v>2.9583862079951713</v>
      </c>
      <c r="AG78" s="66">
        <f>[2]!rcanal(F78,G78,I78)</f>
        <v>0.34713238255275092</v>
      </c>
      <c r="AH78" s="74">
        <f t="shared" si="8"/>
        <v>455.40144971832444</v>
      </c>
      <c r="AI78" s="75">
        <f>[2]!froud(F78,G78,L78)</f>
        <v>0.18940400283290154</v>
      </c>
      <c r="AJ78" s="67">
        <f t="shared" si="9"/>
        <v>3.8768005478689415E-4</v>
      </c>
      <c r="AM78" s="53">
        <v>13</v>
      </c>
      <c r="AN78" s="56">
        <v>65</v>
      </c>
      <c r="AO78" s="57">
        <f t="shared" si="5"/>
        <v>74.23</v>
      </c>
      <c r="AP78" s="58">
        <f t="shared" si="5"/>
        <v>371.15</v>
      </c>
      <c r="AR78" s="1" t="s">
        <v>189</v>
      </c>
      <c r="AS78" s="1">
        <v>13</v>
      </c>
      <c r="AT78" s="1">
        <v>65</v>
      </c>
      <c r="AV78" s="1" t="s">
        <v>187</v>
      </c>
    </row>
    <row r="79" spans="1:48" ht="17.399999999999999" x14ac:dyDescent="0.4">
      <c r="A79" s="59" t="s">
        <v>190</v>
      </c>
      <c r="B79" s="60"/>
      <c r="C79" s="60" t="s">
        <v>191</v>
      </c>
      <c r="D79" s="60">
        <v>95</v>
      </c>
      <c r="E79" s="61">
        <f t="shared" si="6"/>
        <v>542.45000000000005</v>
      </c>
      <c r="F79" s="62">
        <v>0.8500000000000002</v>
      </c>
      <c r="G79" s="62">
        <v>0.67000000000000015</v>
      </c>
      <c r="H79" s="63">
        <f>[2]!wcanal(E79)</f>
        <v>0.5</v>
      </c>
      <c r="I79" s="64">
        <f>[2]!mcanal(G79,H79)</f>
        <v>1.5</v>
      </c>
      <c r="J79" s="65">
        <f>[2]!Kcanal(AC79)</f>
        <v>35</v>
      </c>
      <c r="K79" s="62">
        <f t="shared" si="7"/>
        <v>1.2686567164179106</v>
      </c>
      <c r="L79" s="66">
        <f>[2]!vcanal(J79,AG79,M79,AC79)</f>
        <v>0.44797574926517358</v>
      </c>
      <c r="M79" s="67">
        <v>5.9400000000000002E-4</v>
      </c>
      <c r="N79" s="68">
        <v>0</v>
      </c>
      <c r="O79" s="64">
        <v>0</v>
      </c>
      <c r="P79" s="64">
        <f>[2]!mcanal(G79,H79)</f>
        <v>1.5</v>
      </c>
      <c r="Q79" s="63">
        <f>[2]!Wlining(E79)</f>
        <v>0.2</v>
      </c>
      <c r="R79" s="62">
        <v>0.1</v>
      </c>
      <c r="S79" s="62">
        <v>2</v>
      </c>
      <c r="T79" s="62">
        <v>0</v>
      </c>
      <c r="U79" s="62">
        <v>3</v>
      </c>
      <c r="V79" s="62">
        <v>1</v>
      </c>
      <c r="W79" s="62">
        <v>3</v>
      </c>
      <c r="X79" s="62">
        <v>0</v>
      </c>
      <c r="Y79" s="62">
        <v>0</v>
      </c>
      <c r="Z79" s="62">
        <v>0</v>
      </c>
      <c r="AA79" s="69">
        <v>0</v>
      </c>
      <c r="AC79" s="70" t="s">
        <v>45</v>
      </c>
      <c r="AD79" s="71">
        <f>[2]!kriterian(E79)</f>
        <v>1.25</v>
      </c>
      <c r="AE79" s="72">
        <f>[2]!Acanal(F79,G79,I79)</f>
        <v>1.2428500000000007</v>
      </c>
      <c r="AF79" s="73">
        <f>[2]!Pcanal(F79,G79,I79)</f>
        <v>3.2657193545608734</v>
      </c>
      <c r="AG79" s="66">
        <f>[2]!rcanal(F79,G79,I79)</f>
        <v>0.38057464988969364</v>
      </c>
      <c r="AH79" s="74">
        <f t="shared" si="8"/>
        <v>556.76665997422128</v>
      </c>
      <c r="AI79" s="75">
        <f>[2]!froud(F79,G79,L79)</f>
        <v>0.17958205507038472</v>
      </c>
      <c r="AJ79" s="67">
        <f t="shared" si="9"/>
        <v>3.6644295213372562E-4</v>
      </c>
      <c r="AM79" s="53">
        <v>4</v>
      </c>
      <c r="AN79" s="56">
        <v>91</v>
      </c>
      <c r="AO79" s="57">
        <f t="shared" si="5"/>
        <v>22.84</v>
      </c>
      <c r="AP79" s="58">
        <f t="shared" si="5"/>
        <v>519.61</v>
      </c>
      <c r="AR79" s="1" t="s">
        <v>190</v>
      </c>
      <c r="AS79" s="1">
        <v>4</v>
      </c>
      <c r="AT79" s="1">
        <v>91</v>
      </c>
      <c r="AV79" s="1" t="s">
        <v>192</v>
      </c>
    </row>
    <row r="80" spans="1:48" ht="17.399999999999999" x14ac:dyDescent="0.4">
      <c r="A80" s="59" t="s">
        <v>193</v>
      </c>
      <c r="B80" s="60"/>
      <c r="C80" s="60" t="s">
        <v>194</v>
      </c>
      <c r="D80" s="60">
        <v>64</v>
      </c>
      <c r="E80" s="61">
        <f t="shared" si="6"/>
        <v>365.44</v>
      </c>
      <c r="F80" s="62">
        <v>0.70000000000000007</v>
      </c>
      <c r="G80" s="62">
        <v>0.60636363636363633</v>
      </c>
      <c r="H80" s="63">
        <f>[2]!wcanal(E80)</f>
        <v>0.4</v>
      </c>
      <c r="I80" s="64">
        <f>[2]!mcanal(G80,H80)</f>
        <v>1.5</v>
      </c>
      <c r="J80" s="65">
        <f>[2]!Kcanal(AC80)</f>
        <v>35</v>
      </c>
      <c r="K80" s="62">
        <f t="shared" si="7"/>
        <v>1.1544227886056972</v>
      </c>
      <c r="L80" s="66">
        <f>[2]!vcanal(J80,AG80,M80,AC80)</f>
        <v>0.46398424199530236</v>
      </c>
      <c r="M80" s="67">
        <v>7.4600000000000003E-4</v>
      </c>
      <c r="N80" s="68">
        <v>0</v>
      </c>
      <c r="O80" s="64">
        <v>0</v>
      </c>
      <c r="P80" s="64">
        <f>[2]!mcanal(G80,H80)</f>
        <v>1.5</v>
      </c>
      <c r="Q80" s="63">
        <f>[2]!Wlining(E80)</f>
        <v>0.2</v>
      </c>
      <c r="R80" s="62">
        <v>0.1</v>
      </c>
      <c r="S80" s="62">
        <v>2</v>
      </c>
      <c r="T80" s="62">
        <v>0</v>
      </c>
      <c r="U80" s="62">
        <v>3</v>
      </c>
      <c r="V80" s="62">
        <v>1</v>
      </c>
      <c r="W80" s="62">
        <v>3</v>
      </c>
      <c r="X80" s="62">
        <v>0</v>
      </c>
      <c r="Y80" s="62">
        <v>0</v>
      </c>
      <c r="Z80" s="62">
        <v>0</v>
      </c>
      <c r="AA80" s="69">
        <v>0</v>
      </c>
      <c r="AC80" s="70" t="s">
        <v>45</v>
      </c>
      <c r="AD80" s="71">
        <f>[2]!kriterian(E80)</f>
        <v>1.1000000000000001</v>
      </c>
      <c r="AE80" s="72">
        <f>[2]!Acanal(F80,G80,I80)</f>
        <v>0.97596983471074361</v>
      </c>
      <c r="AF80" s="73">
        <f>[2]!Pcanal(F80,G80,I80)</f>
        <v>2.8862751824858917</v>
      </c>
      <c r="AG80" s="66">
        <f>[2]!rcanal(F80,G80,I80)</f>
        <v>0.33814164381587486</v>
      </c>
      <c r="AH80" s="74">
        <f t="shared" si="8"/>
        <v>452.83462396854492</v>
      </c>
      <c r="AI80" s="75">
        <f>[2]!froud(F80,G80,L80)</f>
        <v>0.19498503449864665</v>
      </c>
      <c r="AJ80" s="67">
        <f t="shared" si="9"/>
        <v>4.3379861116632848E-4</v>
      </c>
      <c r="AM80" s="53">
        <v>4</v>
      </c>
      <c r="AN80" s="56">
        <v>60</v>
      </c>
      <c r="AO80" s="57">
        <f t="shared" si="5"/>
        <v>22.84</v>
      </c>
      <c r="AP80" s="58">
        <f t="shared" si="5"/>
        <v>342.6</v>
      </c>
      <c r="AR80" s="1" t="s">
        <v>195</v>
      </c>
      <c r="AS80" s="1">
        <v>4</v>
      </c>
      <c r="AT80" s="1">
        <v>60</v>
      </c>
      <c r="AV80" s="1" t="s">
        <v>192</v>
      </c>
    </row>
    <row r="81" spans="1:48" ht="17.399999999999999" x14ac:dyDescent="0.4">
      <c r="A81" s="59" t="s">
        <v>196</v>
      </c>
      <c r="B81" s="60"/>
      <c r="C81" s="60" t="s">
        <v>194</v>
      </c>
      <c r="D81" s="60">
        <v>121</v>
      </c>
      <c r="E81" s="61">
        <f t="shared" si="6"/>
        <v>690.91</v>
      </c>
      <c r="F81" s="62">
        <v>0.90000000000000024</v>
      </c>
      <c r="G81" s="62">
        <v>0.70000000000000018</v>
      </c>
      <c r="H81" s="63">
        <f>[2]!wcanal(E81)</f>
        <v>0.5</v>
      </c>
      <c r="I81" s="64">
        <f>[2]!mcanal(G81,H81)</f>
        <v>1.5</v>
      </c>
      <c r="J81" s="65">
        <f>[2]!Kcanal(AC81)</f>
        <v>35</v>
      </c>
      <c r="K81" s="62">
        <f t="shared" si="7"/>
        <v>1.2857142857142858</v>
      </c>
      <c r="L81" s="66">
        <f>[2]!vcanal(J81,AG81,M81,AC81)</f>
        <v>0.51782105349154506</v>
      </c>
      <c r="M81" s="67">
        <v>7.4600000000000003E-4</v>
      </c>
      <c r="N81" s="68">
        <v>0</v>
      </c>
      <c r="O81" s="64">
        <v>0</v>
      </c>
      <c r="P81" s="64">
        <f>[2]!mcanal(G81,H81)</f>
        <v>1.5</v>
      </c>
      <c r="Q81" s="63">
        <f>[2]!Wlining(E81)</f>
        <v>0.2</v>
      </c>
      <c r="R81" s="62">
        <v>0.1</v>
      </c>
      <c r="S81" s="62">
        <v>2</v>
      </c>
      <c r="T81" s="62">
        <v>0</v>
      </c>
      <c r="U81" s="62">
        <v>3</v>
      </c>
      <c r="V81" s="62">
        <v>1</v>
      </c>
      <c r="W81" s="62">
        <v>3</v>
      </c>
      <c r="X81" s="62">
        <v>0</v>
      </c>
      <c r="Y81" s="62">
        <v>0</v>
      </c>
      <c r="Z81" s="62">
        <v>0</v>
      </c>
      <c r="AA81" s="69">
        <v>0</v>
      </c>
      <c r="AC81" s="70" t="s">
        <v>45</v>
      </c>
      <c r="AD81" s="71">
        <f>[2]!kriterian(E81)</f>
        <v>1.25</v>
      </c>
      <c r="AE81" s="72">
        <f>[2]!Acanal(F81,G81,I81)</f>
        <v>1.3650000000000009</v>
      </c>
      <c r="AF81" s="73">
        <f>[2]!Pcanal(F81,G81,I81)</f>
        <v>3.4238858928247935</v>
      </c>
      <c r="AG81" s="66">
        <f>[2]!rcanal(F81,G81,I81)</f>
        <v>0.39866982800464795</v>
      </c>
      <c r="AH81" s="74">
        <f t="shared" si="8"/>
        <v>706.82573801595947</v>
      </c>
      <c r="AI81" s="75">
        <f>[2]!froud(F81,G81,L81)</f>
        <v>0.206199668794322</v>
      </c>
      <c r="AJ81" s="67">
        <f t="shared" si="9"/>
        <v>4.7102668502095997E-4</v>
      </c>
      <c r="AM81" s="53">
        <v>5</v>
      </c>
      <c r="AN81" s="56">
        <v>116</v>
      </c>
      <c r="AO81" s="57">
        <f t="shared" si="5"/>
        <v>28.55</v>
      </c>
      <c r="AP81" s="58">
        <f t="shared" si="5"/>
        <v>662.36</v>
      </c>
      <c r="AR81" s="1" t="s">
        <v>196</v>
      </c>
      <c r="AS81" s="1">
        <v>5</v>
      </c>
      <c r="AT81" s="1">
        <v>116</v>
      </c>
      <c r="AV81" s="1" t="s">
        <v>197</v>
      </c>
    </row>
    <row r="82" spans="1:48" ht="17.399999999999999" x14ac:dyDescent="0.4">
      <c r="A82" s="59" t="s">
        <v>198</v>
      </c>
      <c r="B82" s="60"/>
      <c r="C82" s="60" t="s">
        <v>199</v>
      </c>
      <c r="D82" s="60">
        <v>56</v>
      </c>
      <c r="E82" s="61">
        <f t="shared" si="6"/>
        <v>319.76</v>
      </c>
      <c r="F82" s="62">
        <v>0.70000000000000007</v>
      </c>
      <c r="G82" s="62">
        <v>0.58636363636363631</v>
      </c>
      <c r="H82" s="63">
        <f>[2]!wcanal(E82)</f>
        <v>0.4</v>
      </c>
      <c r="I82" s="64">
        <f>[2]!mcanal(G82,H82)</f>
        <v>1</v>
      </c>
      <c r="J82" s="65">
        <f>[2]!Kcanal(AC82)</f>
        <v>35</v>
      </c>
      <c r="K82" s="62">
        <f t="shared" si="7"/>
        <v>1.1937984496124032</v>
      </c>
      <c r="L82" s="66">
        <f>[2]!vcanal(J82,AG82,M82,AC82)</f>
        <v>0.43460443844802493</v>
      </c>
      <c r="M82" s="67">
        <v>7.0500000000000001E-4</v>
      </c>
      <c r="N82" s="68">
        <v>1</v>
      </c>
      <c r="O82" s="64">
        <v>1</v>
      </c>
      <c r="P82" s="64">
        <f>[2]!mcanal(G82,H82)</f>
        <v>1</v>
      </c>
      <c r="Q82" s="63">
        <f>[2]!Wlining(E82)</f>
        <v>0.2</v>
      </c>
      <c r="R82" s="62">
        <v>0.1</v>
      </c>
      <c r="S82" s="62">
        <v>2</v>
      </c>
      <c r="T82" s="62">
        <v>0</v>
      </c>
      <c r="U82" s="62">
        <v>3</v>
      </c>
      <c r="V82" s="62">
        <v>1</v>
      </c>
      <c r="W82" s="62">
        <v>3</v>
      </c>
      <c r="X82" s="62">
        <v>0</v>
      </c>
      <c r="Y82" s="62">
        <v>0</v>
      </c>
      <c r="Z82" s="62">
        <v>0</v>
      </c>
      <c r="AA82" s="69">
        <v>0</v>
      </c>
      <c r="AC82" s="70" t="s">
        <v>45</v>
      </c>
      <c r="AD82" s="71">
        <f>[2]!kriterian(E82)</f>
        <v>1.1000000000000001</v>
      </c>
      <c r="AE82" s="72">
        <f>[2]!Acanal(F82,G82,I82)</f>
        <v>0.75427685950413215</v>
      </c>
      <c r="AF82" s="73">
        <f>[2]!Pcanal(F82,G82,I82)</f>
        <v>2.3584868140557207</v>
      </c>
      <c r="AG82" s="66">
        <f>[2]!rcanal(F82,G82,I82)</f>
        <v>0.319813897202612</v>
      </c>
      <c r="AH82" s="74">
        <f t="shared" si="8"/>
        <v>327.81207095913317</v>
      </c>
      <c r="AI82" s="75">
        <f>[2]!froud(F82,G82,L82)</f>
        <v>0.17960116364783771</v>
      </c>
      <c r="AJ82" s="67">
        <f t="shared" si="9"/>
        <v>3.9869224002622402E-4</v>
      </c>
      <c r="AM82" s="53">
        <v>1</v>
      </c>
      <c r="AN82" s="56">
        <v>55</v>
      </c>
      <c r="AO82" s="57">
        <f t="shared" si="5"/>
        <v>5.71</v>
      </c>
      <c r="AP82" s="58">
        <f t="shared" si="5"/>
        <v>314.05</v>
      </c>
      <c r="AR82" s="1" t="s">
        <v>200</v>
      </c>
      <c r="AS82" s="1">
        <v>1</v>
      </c>
      <c r="AT82" s="1">
        <v>192</v>
      </c>
      <c r="AV82" s="1" t="s">
        <v>201</v>
      </c>
    </row>
    <row r="83" spans="1:48" ht="17.399999999999999" x14ac:dyDescent="0.4">
      <c r="A83" s="59" t="s">
        <v>200</v>
      </c>
      <c r="B83" s="60"/>
      <c r="C83" s="60" t="s">
        <v>199</v>
      </c>
      <c r="D83" s="60">
        <v>193</v>
      </c>
      <c r="E83" s="61">
        <f t="shared" si="6"/>
        <v>1102.03</v>
      </c>
      <c r="F83" s="62">
        <v>1.3500000000000005</v>
      </c>
      <c r="G83" s="62">
        <v>0.76411764705882379</v>
      </c>
      <c r="H83" s="63">
        <f>[2]!wcanal(E83)</f>
        <v>0.5</v>
      </c>
      <c r="I83" s="64">
        <f>[2]!mcanal(G83,H83)</f>
        <v>1.5</v>
      </c>
      <c r="J83" s="65">
        <f>[2]!Kcanal(AC83)</f>
        <v>35</v>
      </c>
      <c r="K83" s="62">
        <f t="shared" si="7"/>
        <v>1.7667436489607391</v>
      </c>
      <c r="L83" s="66">
        <f>[2]!vcanal(J83,AG83,M83,AC83)</f>
        <v>0.59014475179037451</v>
      </c>
      <c r="M83" s="67">
        <v>7.9000000000000001E-4</v>
      </c>
      <c r="N83" s="68">
        <v>1</v>
      </c>
      <c r="O83" s="64">
        <v>1</v>
      </c>
      <c r="P83" s="64">
        <f>[2]!mcanal(G83,H83)</f>
        <v>1.5</v>
      </c>
      <c r="Q83" s="63">
        <f>[2]!Wlining(E83)</f>
        <v>0.2</v>
      </c>
      <c r="R83" s="62">
        <v>0.1</v>
      </c>
      <c r="S83" s="62">
        <v>2</v>
      </c>
      <c r="T83" s="62">
        <v>0</v>
      </c>
      <c r="U83" s="62">
        <v>3</v>
      </c>
      <c r="V83" s="62">
        <v>1</v>
      </c>
      <c r="W83" s="62">
        <v>3</v>
      </c>
      <c r="X83" s="62">
        <v>0</v>
      </c>
      <c r="Y83" s="62">
        <v>0</v>
      </c>
      <c r="Z83" s="62">
        <v>0</v>
      </c>
      <c r="AA83" s="69">
        <v>0</v>
      </c>
      <c r="AC83" s="70" t="s">
        <v>45</v>
      </c>
      <c r="AD83" s="71">
        <f>[2]!kriterian(E83)</f>
        <v>1.7</v>
      </c>
      <c r="AE83" s="72">
        <f>[2]!Acanal(F83,G83,I83)</f>
        <v>1.9073724913494823</v>
      </c>
      <c r="AF83" s="73">
        <f>[2]!Pcanal(F83,G83,I83)</f>
        <v>4.1050653569574855</v>
      </c>
      <c r="AG83" s="66">
        <f>[2]!rcanal(F83,G83,I83)</f>
        <v>0.4646387634527584</v>
      </c>
      <c r="AH83" s="74">
        <f t="shared" si="8"/>
        <v>1125.6258654792284</v>
      </c>
      <c r="AI83" s="75">
        <f>[2]!froud(F83,G83,L83)</f>
        <v>0.2004713310828892</v>
      </c>
      <c r="AJ83" s="67">
        <f t="shared" si="9"/>
        <v>5.3849888790123473E-4</v>
      </c>
      <c r="AM83" s="53">
        <v>1</v>
      </c>
      <c r="AN83" s="56">
        <v>192</v>
      </c>
      <c r="AO83" s="57">
        <f t="shared" si="5"/>
        <v>5.71</v>
      </c>
      <c r="AP83" s="58">
        <f t="shared" si="5"/>
        <v>1096.32</v>
      </c>
      <c r="AR83" s="1" t="s">
        <v>200</v>
      </c>
      <c r="AS83" s="1">
        <v>1</v>
      </c>
      <c r="AT83" s="1">
        <v>192</v>
      </c>
      <c r="AV83" s="1" t="s">
        <v>201</v>
      </c>
    </row>
    <row r="84" spans="1:48" ht="17.399999999999999" x14ac:dyDescent="0.4">
      <c r="A84" s="59" t="s">
        <v>202</v>
      </c>
      <c r="B84" s="60"/>
      <c r="C84" s="60" t="s">
        <v>203</v>
      </c>
      <c r="D84" s="60">
        <v>129</v>
      </c>
      <c r="E84" s="61">
        <f t="shared" si="6"/>
        <v>736.59</v>
      </c>
      <c r="F84" s="62">
        <v>0.95000000000000029</v>
      </c>
      <c r="G84" s="62">
        <v>0.7200000000000002</v>
      </c>
      <c r="H84" s="63">
        <f>[2]!wcanal(E84)</f>
        <v>0.5</v>
      </c>
      <c r="I84" s="64">
        <f>[2]!mcanal(G84,H84)</f>
        <v>1.5</v>
      </c>
      <c r="J84" s="65">
        <f>[2]!Kcanal(AC84)</f>
        <v>35</v>
      </c>
      <c r="K84" s="62">
        <f t="shared" si="7"/>
        <v>1.3194444444444444</v>
      </c>
      <c r="L84" s="66">
        <f>[2]!vcanal(J84,AG84,M84,AC84)</f>
        <v>0.50882812552486179</v>
      </c>
      <c r="M84" s="67">
        <v>6.8900000000000005E-4</v>
      </c>
      <c r="N84" s="68">
        <v>1</v>
      </c>
      <c r="O84" s="64">
        <v>1</v>
      </c>
      <c r="P84" s="64">
        <f>[2]!mcanal(G84,H84)</f>
        <v>1.5</v>
      </c>
      <c r="Q84" s="63">
        <f>[2]!Wlining(E84)</f>
        <v>0.2</v>
      </c>
      <c r="R84" s="62">
        <v>0.1</v>
      </c>
      <c r="S84" s="62">
        <v>2</v>
      </c>
      <c r="T84" s="62">
        <v>0</v>
      </c>
      <c r="U84" s="62">
        <v>3</v>
      </c>
      <c r="V84" s="62">
        <v>1</v>
      </c>
      <c r="W84" s="62">
        <v>3</v>
      </c>
      <c r="X84" s="62">
        <v>0</v>
      </c>
      <c r="Y84" s="62">
        <v>0</v>
      </c>
      <c r="Z84" s="62">
        <v>0</v>
      </c>
      <c r="AA84" s="69">
        <v>0</v>
      </c>
      <c r="AC84" s="70" t="s">
        <v>45</v>
      </c>
      <c r="AD84" s="71">
        <f>[2]!kriterian(E84)</f>
        <v>1.25</v>
      </c>
      <c r="AE84" s="72">
        <f>[2]!Acanal(F84,G84,I84)</f>
        <v>1.4616000000000009</v>
      </c>
      <c r="AF84" s="73">
        <f>[2]!Pcanal(F84,G84,I84)</f>
        <v>3.5459969183340729</v>
      </c>
      <c r="AG84" s="66">
        <f>[2]!rcanal(F84,G84,I84)</f>
        <v>0.41218309932617425</v>
      </c>
      <c r="AH84" s="74">
        <f t="shared" si="8"/>
        <v>743.70318826713844</v>
      </c>
      <c r="AI84" s="75">
        <f>[2]!froud(F84,G84,L84)</f>
        <v>0.20001199822055854</v>
      </c>
      <c r="AJ84" s="67">
        <f t="shared" si="9"/>
        <v>4.4234824866299716E-4</v>
      </c>
      <c r="AM84" s="53">
        <v>19</v>
      </c>
      <c r="AN84" s="56">
        <v>110</v>
      </c>
      <c r="AO84" s="57">
        <f t="shared" si="5"/>
        <v>108.49</v>
      </c>
      <c r="AP84" s="58">
        <f t="shared" si="5"/>
        <v>628.1</v>
      </c>
      <c r="AR84" s="1" t="s">
        <v>202</v>
      </c>
      <c r="AS84" s="1">
        <v>19</v>
      </c>
      <c r="AT84" s="1">
        <v>110</v>
      </c>
      <c r="AV84" s="1" t="s">
        <v>204</v>
      </c>
    </row>
    <row r="85" spans="1:48" ht="17.399999999999999" x14ac:dyDescent="0.4">
      <c r="A85" s="59" t="s">
        <v>205</v>
      </c>
      <c r="B85" s="60"/>
      <c r="C85" s="60" t="s">
        <v>206</v>
      </c>
      <c r="D85" s="60">
        <v>125</v>
      </c>
      <c r="E85" s="61">
        <f t="shared" si="6"/>
        <v>713.75</v>
      </c>
      <c r="F85" s="62">
        <v>0.8500000000000002</v>
      </c>
      <c r="G85" s="62">
        <v>0.64000000000000012</v>
      </c>
      <c r="H85" s="63">
        <f>[2]!wcanal(E85)</f>
        <v>0.5</v>
      </c>
      <c r="I85" s="64">
        <f>[2]!mcanal(G85,H85)</f>
        <v>1.5</v>
      </c>
      <c r="J85" s="65">
        <f>[2]!Kcanal(AC85)</f>
        <v>35</v>
      </c>
      <c r="K85" s="62">
        <f t="shared" si="7"/>
        <v>1.328125</v>
      </c>
      <c r="L85" s="66">
        <f>[2]!vcanal(J85,AG85,M85,AC85)</f>
        <v>0.6298273746008658</v>
      </c>
      <c r="M85" s="67">
        <v>1.2329999999999999E-3</v>
      </c>
      <c r="N85" s="68">
        <v>0</v>
      </c>
      <c r="O85" s="64">
        <v>0</v>
      </c>
      <c r="P85" s="64">
        <f>[2]!mcanal(G85,H85)</f>
        <v>1.5</v>
      </c>
      <c r="Q85" s="63">
        <f>[2]!Wlining(E85)</f>
        <v>0.2</v>
      </c>
      <c r="R85" s="62">
        <v>0.1</v>
      </c>
      <c r="S85" s="62">
        <v>2</v>
      </c>
      <c r="T85" s="62">
        <v>0</v>
      </c>
      <c r="U85" s="62">
        <v>3</v>
      </c>
      <c r="V85" s="62">
        <v>1</v>
      </c>
      <c r="W85" s="62">
        <v>3</v>
      </c>
      <c r="X85" s="62">
        <v>0</v>
      </c>
      <c r="Y85" s="62">
        <v>0</v>
      </c>
      <c r="Z85" s="62">
        <v>0</v>
      </c>
      <c r="AA85" s="69">
        <v>0</v>
      </c>
      <c r="AC85" s="70" t="s">
        <v>45</v>
      </c>
      <c r="AD85" s="71">
        <f>[2]!kriterian(E85)</f>
        <v>1.25</v>
      </c>
      <c r="AE85" s="72">
        <f>[2]!Acanal(F85,G85,I85)</f>
        <v>1.1584000000000005</v>
      </c>
      <c r="AF85" s="73">
        <f>[2]!Pcanal(F85,G85,I85)</f>
        <v>3.1575528162969535</v>
      </c>
      <c r="AG85" s="66">
        <f>[2]!rcanal(F85,G85,I85)</f>
        <v>0.36686638906598684</v>
      </c>
      <c r="AH85" s="74">
        <f t="shared" si="8"/>
        <v>729.5920307376432</v>
      </c>
      <c r="AI85" s="75">
        <f>[2]!froud(F85,G85,L85)</f>
        <v>0.24676442589075093</v>
      </c>
      <c r="AJ85" s="67">
        <f t="shared" si="9"/>
        <v>7.4682189025680019E-4</v>
      </c>
      <c r="AM85" s="53">
        <v>8</v>
      </c>
      <c r="AN85" s="56">
        <v>117</v>
      </c>
      <c r="AO85" s="57">
        <f t="shared" si="5"/>
        <v>45.68</v>
      </c>
      <c r="AP85" s="58">
        <f t="shared" si="5"/>
        <v>668.07</v>
      </c>
      <c r="AR85" s="1" t="s">
        <v>207</v>
      </c>
      <c r="AS85" s="1">
        <v>8</v>
      </c>
      <c r="AT85" s="1">
        <v>117</v>
      </c>
      <c r="AV85" s="1" t="s">
        <v>208</v>
      </c>
    </row>
    <row r="86" spans="1:48" ht="17.399999999999999" x14ac:dyDescent="0.4">
      <c r="A86" s="59" t="s">
        <v>209</v>
      </c>
      <c r="B86" s="60"/>
      <c r="C86" s="60" t="s">
        <v>206</v>
      </c>
      <c r="D86" s="60">
        <v>125</v>
      </c>
      <c r="E86" s="61">
        <f t="shared" si="6"/>
        <v>713.75</v>
      </c>
      <c r="F86" s="62">
        <v>0.90000000000000024</v>
      </c>
      <c r="G86" s="62">
        <v>0.71000000000000019</v>
      </c>
      <c r="H86" s="63">
        <f>[2]!wcanal(E86)</f>
        <v>0.5</v>
      </c>
      <c r="I86" s="64">
        <f>[2]!mcanal(G86,H86)</f>
        <v>1.5</v>
      </c>
      <c r="J86" s="65">
        <f>[2]!Kcanal(AC86)</f>
        <v>35</v>
      </c>
      <c r="K86" s="62">
        <f t="shared" si="7"/>
        <v>1.267605633802817</v>
      </c>
      <c r="L86" s="66">
        <f>[2]!vcanal(J86,AG86,M86,AC86)</f>
        <v>0.51719557987404485</v>
      </c>
      <c r="M86" s="67">
        <v>7.3300000000000004E-4</v>
      </c>
      <c r="N86" s="68">
        <v>0</v>
      </c>
      <c r="O86" s="64">
        <v>0</v>
      </c>
      <c r="P86" s="64">
        <f>[2]!mcanal(G86,H86)</f>
        <v>1.5</v>
      </c>
      <c r="Q86" s="63">
        <f>[2]!Wlining(E86)</f>
        <v>0.2</v>
      </c>
      <c r="R86" s="62">
        <v>0.1</v>
      </c>
      <c r="S86" s="62">
        <v>2</v>
      </c>
      <c r="T86" s="62">
        <v>0</v>
      </c>
      <c r="U86" s="62">
        <v>3</v>
      </c>
      <c r="V86" s="62">
        <v>1</v>
      </c>
      <c r="W86" s="62">
        <v>3</v>
      </c>
      <c r="X86" s="62">
        <v>0</v>
      </c>
      <c r="Y86" s="62">
        <v>0</v>
      </c>
      <c r="Z86" s="62">
        <v>0</v>
      </c>
      <c r="AA86" s="69">
        <v>0</v>
      </c>
      <c r="AC86" s="70" t="s">
        <v>45</v>
      </c>
      <c r="AD86" s="71">
        <f>[2]!kriterian(E86)</f>
        <v>1.25</v>
      </c>
      <c r="AE86" s="72">
        <f>[2]!Acanal(F86,G86,I86)</f>
        <v>1.395150000000001</v>
      </c>
      <c r="AF86" s="73">
        <f>[2]!Pcanal(F86,G86,I86)</f>
        <v>3.4599414055794333</v>
      </c>
      <c r="AG86" s="66">
        <f>[2]!rcanal(F86,G86,I86)</f>
        <v>0.40322937196283432</v>
      </c>
      <c r="AH86" s="74">
        <f t="shared" si="8"/>
        <v>721.56541326127422</v>
      </c>
      <c r="AI86" s="75">
        <f>[2]!froud(F86,G86,L86)</f>
        <v>0.20741646025978747</v>
      </c>
      <c r="AJ86" s="67">
        <f t="shared" si="9"/>
        <v>4.6545752333863866E-4</v>
      </c>
      <c r="AM86" s="53">
        <v>8</v>
      </c>
      <c r="AN86" s="56">
        <v>117</v>
      </c>
      <c r="AO86" s="57">
        <f t="shared" ref="AO86:AP99" si="10">AM86*$AN$1</f>
        <v>45.68</v>
      </c>
      <c r="AP86" s="58">
        <f t="shared" si="10"/>
        <v>668.07</v>
      </c>
      <c r="AR86" s="1" t="s">
        <v>207</v>
      </c>
      <c r="AS86" s="1">
        <v>8</v>
      </c>
      <c r="AT86" s="1">
        <v>117</v>
      </c>
      <c r="AV86" s="1" t="s">
        <v>208</v>
      </c>
    </row>
    <row r="87" spans="1:48" ht="17.399999999999999" x14ac:dyDescent="0.4">
      <c r="A87" s="59" t="s">
        <v>210</v>
      </c>
      <c r="B87" s="60"/>
      <c r="C87" s="60" t="s">
        <v>206</v>
      </c>
      <c r="D87" s="60">
        <v>262</v>
      </c>
      <c r="E87" s="61">
        <f t="shared" si="6"/>
        <v>1496.02</v>
      </c>
      <c r="F87" s="62">
        <v>1.5000000000000007</v>
      </c>
      <c r="G87" s="62">
        <v>0.872352941176471</v>
      </c>
      <c r="H87" s="63">
        <f>[2]!wcanal(E87)</f>
        <v>0.5</v>
      </c>
      <c r="I87" s="64">
        <f>[2]!mcanal(G87,H87)</f>
        <v>1.5</v>
      </c>
      <c r="J87" s="65">
        <f>[2]!Kcanal(AC87)</f>
        <v>35</v>
      </c>
      <c r="K87" s="62">
        <f t="shared" si="7"/>
        <v>1.7194875252865811</v>
      </c>
      <c r="L87" s="66">
        <f>[2]!vcanal(J87,AG87,M87,AC87)</f>
        <v>0.61857281746723325</v>
      </c>
      <c r="M87" s="67">
        <v>7.3300000000000004E-4</v>
      </c>
      <c r="N87" s="68">
        <v>0</v>
      </c>
      <c r="O87" s="64">
        <v>0</v>
      </c>
      <c r="P87" s="64">
        <f>[2]!mcanal(G87,H87)</f>
        <v>1.5</v>
      </c>
      <c r="Q87" s="63">
        <f>[2]!Wlining(E87)</f>
        <v>0.2</v>
      </c>
      <c r="R87" s="62">
        <v>0.1</v>
      </c>
      <c r="S87" s="62">
        <v>2</v>
      </c>
      <c r="T87" s="62">
        <v>0</v>
      </c>
      <c r="U87" s="62">
        <v>3</v>
      </c>
      <c r="V87" s="62">
        <v>1</v>
      </c>
      <c r="W87" s="62">
        <v>3</v>
      </c>
      <c r="X87" s="62">
        <v>0</v>
      </c>
      <c r="Y87" s="62">
        <v>0</v>
      </c>
      <c r="Z87" s="62">
        <v>0</v>
      </c>
      <c r="AA87" s="69">
        <v>0</v>
      </c>
      <c r="AC87" s="70" t="s">
        <v>45</v>
      </c>
      <c r="AD87" s="71">
        <f>[2]!kriterian(E87)</f>
        <v>1.7</v>
      </c>
      <c r="AE87" s="72">
        <f>[2]!Acanal(F87,G87,I87)</f>
        <v>2.4500288927335658</v>
      </c>
      <c r="AF87" s="73">
        <f>[2]!Pcanal(F87,G87,I87)</f>
        <v>4.6453132597135882</v>
      </c>
      <c r="AG87" s="66">
        <f>[2]!rcanal(F87,G87,I87)</f>
        <v>0.52741952065566944</v>
      </c>
      <c r="AH87" s="74">
        <f t="shared" si="8"/>
        <v>1515.5212750543276</v>
      </c>
      <c r="AI87" s="75">
        <f>[2]!froud(F87,G87,L87)</f>
        <v>0.2129961781841129</v>
      </c>
      <c r="AJ87" s="67">
        <f t="shared" si="9"/>
        <v>5.3233138817240907E-4</v>
      </c>
      <c r="AM87" s="53">
        <v>8</v>
      </c>
      <c r="AN87" s="56">
        <v>254</v>
      </c>
      <c r="AO87" s="57">
        <f t="shared" si="10"/>
        <v>45.68</v>
      </c>
      <c r="AP87" s="58">
        <f t="shared" si="10"/>
        <v>1450.34</v>
      </c>
      <c r="AR87" s="1" t="s">
        <v>210</v>
      </c>
      <c r="AS87" s="1">
        <v>8</v>
      </c>
      <c r="AT87" s="1">
        <v>254</v>
      </c>
      <c r="AV87" s="1" t="s">
        <v>208</v>
      </c>
    </row>
    <row r="88" spans="1:48" ht="17.399999999999999" x14ac:dyDescent="0.4">
      <c r="A88" s="59" t="s">
        <v>211</v>
      </c>
      <c r="B88" s="60"/>
      <c r="C88" s="60" t="s">
        <v>206</v>
      </c>
      <c r="D88" s="60">
        <v>463</v>
      </c>
      <c r="E88" s="61">
        <f t="shared" si="6"/>
        <v>2643.73</v>
      </c>
      <c r="F88" s="62">
        <v>2.2999999999999998</v>
      </c>
      <c r="G88" s="62">
        <v>1.0952380952380951</v>
      </c>
      <c r="H88" s="63">
        <f>[2]!wcanal(E88)</f>
        <v>0.6</v>
      </c>
      <c r="I88" s="64">
        <f>[2]!mcanal(G88,H88)</f>
        <v>1.5</v>
      </c>
      <c r="J88" s="65">
        <f>[2]!Kcanal(AC88)</f>
        <v>35</v>
      </c>
      <c r="K88" s="62">
        <f t="shared" si="7"/>
        <v>2.1</v>
      </c>
      <c r="L88" s="66">
        <f>[2]!vcanal(J88,AG88,M88,AC88)</f>
        <v>0.62084131736149417</v>
      </c>
      <c r="M88" s="67">
        <v>5.1500000000000005E-4</v>
      </c>
      <c r="N88" s="68">
        <v>0</v>
      </c>
      <c r="O88" s="64">
        <v>0</v>
      </c>
      <c r="P88" s="64">
        <f>[2]!mcanal(G88,H88)</f>
        <v>1.5</v>
      </c>
      <c r="Q88" s="63">
        <f>[2]!Wlining(E88)</f>
        <v>0</v>
      </c>
      <c r="R88" s="62">
        <v>0.1</v>
      </c>
      <c r="S88" s="62">
        <v>2</v>
      </c>
      <c r="T88" s="62">
        <v>0</v>
      </c>
      <c r="U88" s="62">
        <v>3</v>
      </c>
      <c r="V88" s="62">
        <v>1</v>
      </c>
      <c r="W88" s="62">
        <v>3</v>
      </c>
      <c r="X88" s="62">
        <v>0</v>
      </c>
      <c r="Y88" s="62">
        <v>0</v>
      </c>
      <c r="Z88" s="62">
        <v>0</v>
      </c>
      <c r="AA88" s="69">
        <v>0</v>
      </c>
      <c r="AC88" s="70" t="s">
        <v>45</v>
      </c>
      <c r="AD88" s="71">
        <f>[2]!kriterian(E88)</f>
        <v>2.1</v>
      </c>
      <c r="AE88" s="72">
        <f>[2]!Acanal(F88,G88,I88)</f>
        <v>4.3183673469387749</v>
      </c>
      <c r="AF88" s="73">
        <f>[2]!Pcanal(F88,G88,I88)</f>
        <v>6.2489371112224639</v>
      </c>
      <c r="AG88" s="66">
        <f>[2]!rcanal(F88,G88,I88)</f>
        <v>0.69105629806762181</v>
      </c>
      <c r="AH88" s="74">
        <f t="shared" si="8"/>
        <v>2681.0208725243292</v>
      </c>
      <c r="AI88" s="75">
        <f>[2]!froud(F88,G88,L88)</f>
        <v>0.19344230503368282</v>
      </c>
      <c r="AJ88" s="67">
        <f t="shared" si="9"/>
        <v>4.2811844932796932E-4</v>
      </c>
      <c r="AM88" s="53">
        <v>27</v>
      </c>
      <c r="AN88" s="56">
        <v>436</v>
      </c>
      <c r="AO88" s="57">
        <f t="shared" si="10"/>
        <v>154.16999999999999</v>
      </c>
      <c r="AP88" s="58">
        <f t="shared" si="10"/>
        <v>2489.56</v>
      </c>
      <c r="AR88" s="1" t="s">
        <v>211</v>
      </c>
      <c r="AS88" s="1">
        <v>27</v>
      </c>
      <c r="AT88" s="1">
        <v>436</v>
      </c>
      <c r="AV88" s="1" t="s">
        <v>208</v>
      </c>
    </row>
    <row r="89" spans="1:48" ht="17.399999999999999" x14ac:dyDescent="0.4">
      <c r="A89" s="59" t="s">
        <v>212</v>
      </c>
      <c r="B89" s="60"/>
      <c r="C89" s="60" t="s">
        <v>206</v>
      </c>
      <c r="D89" s="60">
        <v>535</v>
      </c>
      <c r="E89" s="61">
        <f t="shared" si="6"/>
        <v>3054.85</v>
      </c>
      <c r="F89" s="62">
        <v>2.7499999999999982</v>
      </c>
      <c r="G89" s="62">
        <v>1.0999999999999992</v>
      </c>
      <c r="H89" s="63">
        <f>[2]!wcanal(E89)</f>
        <v>0.6</v>
      </c>
      <c r="I89" s="64">
        <f>[2]!mcanal(G89,H89)</f>
        <v>1.5</v>
      </c>
      <c r="J89" s="65">
        <f>[2]!Kcanal(AC89)</f>
        <v>35</v>
      </c>
      <c r="K89" s="62">
        <f t="shared" si="7"/>
        <v>2.5</v>
      </c>
      <c r="L89" s="66">
        <f>[2]!vcanal(J89,AG89,M89,AC89)</f>
        <v>0.63844504579740391</v>
      </c>
      <c r="M89" s="67">
        <v>5.1500000000000005E-4</v>
      </c>
      <c r="N89" s="68">
        <v>0</v>
      </c>
      <c r="O89" s="64">
        <v>0</v>
      </c>
      <c r="P89" s="64">
        <f>[2]!mcanal(G89,H89)</f>
        <v>1.5</v>
      </c>
      <c r="Q89" s="63">
        <f>[2]!Wlining(E89)</f>
        <v>0</v>
      </c>
      <c r="R89" s="62">
        <v>0.1</v>
      </c>
      <c r="S89" s="62">
        <v>2</v>
      </c>
      <c r="T89" s="62">
        <v>0</v>
      </c>
      <c r="U89" s="62">
        <v>3</v>
      </c>
      <c r="V89" s="62">
        <v>1</v>
      </c>
      <c r="W89" s="62">
        <v>3</v>
      </c>
      <c r="X89" s="62">
        <v>0</v>
      </c>
      <c r="Y89" s="62">
        <v>0</v>
      </c>
      <c r="Z89" s="62">
        <v>0</v>
      </c>
      <c r="AA89" s="69">
        <v>0</v>
      </c>
      <c r="AC89" s="70" t="s">
        <v>45</v>
      </c>
      <c r="AD89" s="71">
        <f>[2]!kriterian(E89)</f>
        <v>2.5</v>
      </c>
      <c r="AE89" s="72">
        <f>[2]!Acanal(F89,G89,I89)</f>
        <v>4.8399999999999928</v>
      </c>
      <c r="AF89" s="73">
        <f>[2]!Pcanal(F89,G89,I89)</f>
        <v>6.7161064030103832</v>
      </c>
      <c r="AG89" s="66">
        <f>[2]!rcanal(F89,G89,I89)</f>
        <v>0.72065564622837763</v>
      </c>
      <c r="AH89" s="74">
        <f t="shared" si="8"/>
        <v>3090.0740216594304</v>
      </c>
      <c r="AI89" s="75">
        <f>[2]!froud(F89,G89,L89)</f>
        <v>0.18231987360173557</v>
      </c>
      <c r="AJ89" s="67">
        <f t="shared" si="9"/>
        <v>4.3719091226936715E-4</v>
      </c>
      <c r="AM89" s="53">
        <v>27</v>
      </c>
      <c r="AN89" s="56">
        <v>508</v>
      </c>
      <c r="AO89" s="57">
        <f t="shared" si="10"/>
        <v>154.16999999999999</v>
      </c>
      <c r="AP89" s="58">
        <f t="shared" si="10"/>
        <v>2900.68</v>
      </c>
      <c r="AR89" s="1" t="s">
        <v>212</v>
      </c>
      <c r="AS89" s="1">
        <v>27</v>
      </c>
      <c r="AT89" s="1">
        <v>508</v>
      </c>
      <c r="AV89" s="1" t="s">
        <v>208</v>
      </c>
    </row>
    <row r="90" spans="1:48" ht="17.399999999999999" x14ac:dyDescent="0.4">
      <c r="A90" s="59" t="s">
        <v>213</v>
      </c>
      <c r="B90" s="60"/>
      <c r="C90" s="60" t="s">
        <v>206</v>
      </c>
      <c r="D90" s="60">
        <v>623</v>
      </c>
      <c r="E90" s="61">
        <f t="shared" si="6"/>
        <v>3557.33</v>
      </c>
      <c r="F90" s="62">
        <v>2.8999999999999977</v>
      </c>
      <c r="G90" s="62">
        <v>1.159999999999999</v>
      </c>
      <c r="H90" s="63">
        <f>[2]!wcanal(E90)</f>
        <v>0.6</v>
      </c>
      <c r="I90" s="64">
        <f>[2]!mcanal(G90,H90)</f>
        <v>1.5</v>
      </c>
      <c r="J90" s="65">
        <f>[2]!Kcanal(AC90)</f>
        <v>35</v>
      </c>
      <c r="K90" s="62">
        <f t="shared" si="7"/>
        <v>2.5</v>
      </c>
      <c r="L90" s="66">
        <f>[2]!vcanal(J90,AG90,M90,AC90)</f>
        <v>0.66145513247955967</v>
      </c>
      <c r="M90" s="67">
        <v>5.1500000000000005E-4</v>
      </c>
      <c r="N90" s="68">
        <v>0</v>
      </c>
      <c r="O90" s="64">
        <v>0</v>
      </c>
      <c r="P90" s="64">
        <f>[2]!mcanal(G90,H90)</f>
        <v>1.5</v>
      </c>
      <c r="Q90" s="63">
        <f>[2]!Wlining(E90)</f>
        <v>0</v>
      </c>
      <c r="R90" s="62">
        <v>0.1</v>
      </c>
      <c r="S90" s="62">
        <v>2</v>
      </c>
      <c r="T90" s="62">
        <v>0</v>
      </c>
      <c r="U90" s="62">
        <v>3</v>
      </c>
      <c r="V90" s="62">
        <v>1</v>
      </c>
      <c r="W90" s="62">
        <v>3</v>
      </c>
      <c r="X90" s="62">
        <v>0</v>
      </c>
      <c r="Y90" s="62">
        <v>0</v>
      </c>
      <c r="Z90" s="62">
        <v>0</v>
      </c>
      <c r="AA90" s="69">
        <v>0</v>
      </c>
      <c r="AC90" s="70" t="s">
        <v>45</v>
      </c>
      <c r="AD90" s="71">
        <f>[2]!kriterian(E90)</f>
        <v>2.5</v>
      </c>
      <c r="AE90" s="72">
        <f>[2]!Acanal(F90,G90,I90)</f>
        <v>5.3823999999999907</v>
      </c>
      <c r="AF90" s="73">
        <f>[2]!Pcanal(F90,G90,I90)</f>
        <v>7.0824394795382215</v>
      </c>
      <c r="AG90" s="66">
        <f>[2]!rcanal(F90,G90,I90)</f>
        <v>0.75996413602265278</v>
      </c>
      <c r="AH90" s="74">
        <f t="shared" si="8"/>
        <v>3560.2161050579757</v>
      </c>
      <c r="AI90" s="75">
        <f>[2]!froud(F90,G90,L90)</f>
        <v>0.18889083240714993</v>
      </c>
      <c r="AJ90" s="67">
        <f t="shared" si="9"/>
        <v>4.4895599781783526E-4</v>
      </c>
      <c r="AM90" s="53">
        <v>28</v>
      </c>
      <c r="AN90" s="56">
        <v>595</v>
      </c>
      <c r="AO90" s="57">
        <f t="shared" si="10"/>
        <v>159.88</v>
      </c>
      <c r="AP90" s="58">
        <f t="shared" si="10"/>
        <v>3397.45</v>
      </c>
      <c r="AR90" s="1" t="s">
        <v>213</v>
      </c>
      <c r="AS90" s="1">
        <v>28</v>
      </c>
      <c r="AT90" s="1">
        <v>595</v>
      </c>
      <c r="AV90" s="1" t="s">
        <v>208</v>
      </c>
    </row>
    <row r="91" spans="1:48" ht="17.399999999999999" x14ac:dyDescent="0.4">
      <c r="A91" s="59" t="s">
        <v>214</v>
      </c>
      <c r="B91" s="60"/>
      <c r="C91" s="60" t="s">
        <v>215</v>
      </c>
      <c r="D91" s="60">
        <v>32</v>
      </c>
      <c r="E91" s="61">
        <f t="shared" si="6"/>
        <v>182.72</v>
      </c>
      <c r="F91" s="62">
        <v>0.54999999999999993</v>
      </c>
      <c r="G91" s="62">
        <v>0.53999999999999992</v>
      </c>
      <c r="H91" s="63">
        <f>[2]!wcanal(E91)</f>
        <v>0.4</v>
      </c>
      <c r="I91" s="64">
        <f>[2]!mcanal(G91,H91)</f>
        <v>1</v>
      </c>
      <c r="J91" s="65">
        <f>[2]!Kcanal(AC91)</f>
        <v>35</v>
      </c>
      <c r="K91" s="62">
        <f t="shared" si="7"/>
        <v>1.0185185185185186</v>
      </c>
      <c r="L91" s="66">
        <f>[2]!vcanal(J91,AG91,M91,AC91)</f>
        <v>0.31815090391919298</v>
      </c>
      <c r="M91" s="67">
        <v>4.44E-4</v>
      </c>
      <c r="N91" s="68">
        <v>1</v>
      </c>
      <c r="O91" s="64">
        <v>1</v>
      </c>
      <c r="P91" s="64">
        <f>[2]!mcanal(G91,H91)</f>
        <v>1</v>
      </c>
      <c r="Q91" s="63">
        <f>[2]!Wlining(E91)</f>
        <v>0.2</v>
      </c>
      <c r="R91" s="62">
        <v>0.1</v>
      </c>
      <c r="S91" s="62">
        <v>2</v>
      </c>
      <c r="T91" s="62">
        <v>0</v>
      </c>
      <c r="U91" s="62">
        <v>3</v>
      </c>
      <c r="V91" s="62">
        <v>1</v>
      </c>
      <c r="W91" s="62">
        <v>3</v>
      </c>
      <c r="X91" s="62">
        <v>0</v>
      </c>
      <c r="Y91" s="62">
        <v>0</v>
      </c>
      <c r="Z91" s="62">
        <v>0</v>
      </c>
      <c r="AA91" s="69">
        <v>0</v>
      </c>
      <c r="AC91" s="70" t="s">
        <v>45</v>
      </c>
      <c r="AD91" s="71">
        <f>[2]!kriterian(E91)</f>
        <v>1</v>
      </c>
      <c r="AE91" s="72">
        <f>[2]!Acanal(F91,G91,I91)</f>
        <v>0.58859999999999979</v>
      </c>
      <c r="AF91" s="73">
        <f>[2]!Pcanal(F91,G91,I91)</f>
        <v>2.0773506473629424</v>
      </c>
      <c r="AG91" s="66">
        <f>[2]!rcanal(F91,G91,I91)</f>
        <v>0.28334166923007825</v>
      </c>
      <c r="AH91" s="74">
        <f t="shared" si="8"/>
        <v>187.2636220468369</v>
      </c>
      <c r="AI91" s="75">
        <f>[2]!froud(F91,G91,L91)</f>
        <v>0.14234073065215289</v>
      </c>
      <c r="AJ91" s="67">
        <f t="shared" si="9"/>
        <v>2.3634052404389032E-4</v>
      </c>
      <c r="AM91" s="53"/>
      <c r="AN91" s="56">
        <v>32</v>
      </c>
      <c r="AO91" s="57">
        <f t="shared" si="10"/>
        <v>0</v>
      </c>
      <c r="AP91" s="58">
        <f t="shared" si="10"/>
        <v>182.72</v>
      </c>
      <c r="AR91" s="1" t="s">
        <v>214</v>
      </c>
      <c r="AT91" s="1">
        <v>32</v>
      </c>
      <c r="AV91" s="1" t="s">
        <v>216</v>
      </c>
    </row>
    <row r="92" spans="1:48" ht="17.399999999999999" x14ac:dyDescent="0.4">
      <c r="A92" s="59" t="s">
        <v>217</v>
      </c>
      <c r="B92" s="60"/>
      <c r="C92" s="60" t="s">
        <v>218</v>
      </c>
      <c r="D92" s="60">
        <v>107</v>
      </c>
      <c r="E92" s="61">
        <f t="shared" si="6"/>
        <v>610.97</v>
      </c>
      <c r="F92" s="62">
        <v>0.80000000000000016</v>
      </c>
      <c r="G92" s="62">
        <v>0.64000000000000012</v>
      </c>
      <c r="H92" s="63">
        <f>[2]!wcanal(E92)</f>
        <v>0.5</v>
      </c>
      <c r="I92" s="64">
        <f>[2]!mcanal(G92,H92)</f>
        <v>1.5</v>
      </c>
      <c r="J92" s="65">
        <f>[2]!Kcanal(AC92)</f>
        <v>35</v>
      </c>
      <c r="K92" s="62">
        <f t="shared" si="7"/>
        <v>1.25</v>
      </c>
      <c r="L92" s="66">
        <f>[2]!vcanal(J92,AG92,M92,AC92)</f>
        <v>0.5530181133981914</v>
      </c>
      <c r="M92" s="67">
        <v>9.6599999999999995E-4</v>
      </c>
      <c r="N92" s="68">
        <v>1</v>
      </c>
      <c r="O92" s="64">
        <v>1</v>
      </c>
      <c r="P92" s="64">
        <f>[2]!mcanal(G92,H92)</f>
        <v>1.5</v>
      </c>
      <c r="Q92" s="63">
        <f>[2]!Wlining(E92)</f>
        <v>0.2</v>
      </c>
      <c r="R92" s="62">
        <v>0.1</v>
      </c>
      <c r="S92" s="62">
        <v>2</v>
      </c>
      <c r="T92" s="62">
        <v>0</v>
      </c>
      <c r="U92" s="62">
        <v>3</v>
      </c>
      <c r="V92" s="62">
        <v>1</v>
      </c>
      <c r="W92" s="62">
        <v>3</v>
      </c>
      <c r="X92" s="62">
        <v>0</v>
      </c>
      <c r="Y92" s="62">
        <v>0</v>
      </c>
      <c r="Z92" s="62">
        <v>0</v>
      </c>
      <c r="AA92" s="69">
        <v>0</v>
      </c>
      <c r="AC92" s="70" t="s">
        <v>45</v>
      </c>
      <c r="AD92" s="71">
        <f>[2]!kriterian(E92)</f>
        <v>1.25</v>
      </c>
      <c r="AE92" s="72">
        <f>[2]!Acanal(F92,G92,I92)</f>
        <v>1.1264000000000003</v>
      </c>
      <c r="AF92" s="73">
        <f>[2]!Pcanal(F92,G92,I92)</f>
        <v>3.1075528162969537</v>
      </c>
      <c r="AG92" s="66">
        <f>[2]!rcanal(F92,G92,I92)</f>
        <v>0.36247171539380296</v>
      </c>
      <c r="AH92" s="74">
        <f t="shared" si="8"/>
        <v>622.91960293172303</v>
      </c>
      <c r="AI92" s="75">
        <f>[2]!froud(F92,G92,L92)</f>
        <v>0.22333914228476059</v>
      </c>
      <c r="AJ92" s="67">
        <f t="shared" si="9"/>
        <v>5.8158632725505133E-4</v>
      </c>
      <c r="AM92" s="53">
        <v>20</v>
      </c>
      <c r="AN92" s="56">
        <v>87</v>
      </c>
      <c r="AO92" s="57">
        <f t="shared" si="10"/>
        <v>114.2</v>
      </c>
      <c r="AP92" s="58">
        <f t="shared" si="10"/>
        <v>496.77</v>
      </c>
      <c r="AR92" s="1" t="s">
        <v>217</v>
      </c>
      <c r="AS92" s="1">
        <v>20</v>
      </c>
      <c r="AT92" s="1">
        <v>87</v>
      </c>
      <c r="AV92" s="1" t="s">
        <v>219</v>
      </c>
    </row>
    <row r="93" spans="1:48" ht="17.399999999999999" x14ac:dyDescent="0.4">
      <c r="A93" s="59" t="s">
        <v>220</v>
      </c>
      <c r="B93" s="60"/>
      <c r="C93" s="60" t="s">
        <v>218</v>
      </c>
      <c r="D93" s="60">
        <v>167</v>
      </c>
      <c r="E93" s="61">
        <f t="shared" si="6"/>
        <v>953.57</v>
      </c>
      <c r="F93" s="62">
        <v>1.0500000000000003</v>
      </c>
      <c r="G93" s="62">
        <v>0.7300000000000002</v>
      </c>
      <c r="H93" s="63">
        <f>[2]!wcanal(E93)</f>
        <v>0.5</v>
      </c>
      <c r="I93" s="64">
        <f>[2]!mcanal(G93,H93)</f>
        <v>1.5</v>
      </c>
      <c r="J93" s="65">
        <f>[2]!Kcanal(AC93)</f>
        <v>35</v>
      </c>
      <c r="K93" s="62">
        <f t="shared" si="7"/>
        <v>1.4383561643835616</v>
      </c>
      <c r="L93" s="66">
        <f>[2]!vcanal(J93,AG93,M93,AC93)</f>
        <v>0.61517224509791768</v>
      </c>
      <c r="M93" s="67">
        <v>9.6599999999999995E-4</v>
      </c>
      <c r="N93" s="68">
        <v>1</v>
      </c>
      <c r="O93" s="64">
        <v>1</v>
      </c>
      <c r="P93" s="64">
        <f>[2]!mcanal(G93,H93)</f>
        <v>1.5</v>
      </c>
      <c r="Q93" s="63">
        <f>[2]!Wlining(E93)</f>
        <v>0.2</v>
      </c>
      <c r="R93" s="62">
        <v>0.1</v>
      </c>
      <c r="S93" s="62">
        <v>2</v>
      </c>
      <c r="T93" s="62">
        <v>0</v>
      </c>
      <c r="U93" s="62">
        <v>3</v>
      </c>
      <c r="V93" s="62">
        <v>1</v>
      </c>
      <c r="W93" s="62">
        <v>3</v>
      </c>
      <c r="X93" s="62">
        <v>0</v>
      </c>
      <c r="Y93" s="62">
        <v>0</v>
      </c>
      <c r="Z93" s="62">
        <v>0</v>
      </c>
      <c r="AA93" s="69">
        <v>0</v>
      </c>
      <c r="AC93" s="70" t="s">
        <v>45</v>
      </c>
      <c r="AD93" s="71">
        <f>[2]!kriterian(E93)</f>
        <v>1.4</v>
      </c>
      <c r="AE93" s="72">
        <f>[2]!Acanal(F93,G93,I93)</f>
        <v>1.5658500000000009</v>
      </c>
      <c r="AF93" s="73">
        <f>[2]!Pcanal(F93,G93,I93)</f>
        <v>3.6820524310887133</v>
      </c>
      <c r="AG93" s="66">
        <f>[2]!rcanal(F93,G93,I93)</f>
        <v>0.42526553581340737</v>
      </c>
      <c r="AH93" s="74">
        <f t="shared" si="8"/>
        <v>963.26745998657498</v>
      </c>
      <c r="AI93" s="75">
        <f>[2]!froud(F93,G93,L93)</f>
        <v>0.23160290780516382</v>
      </c>
      <c r="AJ93" s="67">
        <f t="shared" si="9"/>
        <v>6.299516539683787E-4</v>
      </c>
      <c r="AM93" s="53">
        <v>20</v>
      </c>
      <c r="AN93" s="56">
        <v>147</v>
      </c>
      <c r="AO93" s="57">
        <f t="shared" si="10"/>
        <v>114.2</v>
      </c>
      <c r="AP93" s="58">
        <f t="shared" si="10"/>
        <v>839.37</v>
      </c>
      <c r="AR93" s="1" t="s">
        <v>220</v>
      </c>
      <c r="AS93" s="1">
        <v>20</v>
      </c>
      <c r="AT93" s="1">
        <v>147</v>
      </c>
      <c r="AV93" s="1" t="s">
        <v>219</v>
      </c>
    </row>
    <row r="94" spans="1:48" ht="17.399999999999999" x14ac:dyDescent="0.4">
      <c r="A94" s="59" t="s">
        <v>221</v>
      </c>
      <c r="B94" s="60"/>
      <c r="C94" s="60" t="s">
        <v>218</v>
      </c>
      <c r="D94" s="60">
        <v>201</v>
      </c>
      <c r="E94" s="61">
        <f t="shared" si="6"/>
        <v>1147.71</v>
      </c>
      <c r="F94" s="62">
        <v>1.3000000000000005</v>
      </c>
      <c r="G94" s="62">
        <v>0.74470588235294144</v>
      </c>
      <c r="H94" s="63">
        <f>[2]!wcanal(E94)</f>
        <v>0.5</v>
      </c>
      <c r="I94" s="64">
        <f>[2]!mcanal(G94,H94)</f>
        <v>1.5</v>
      </c>
      <c r="J94" s="65">
        <f>[2]!Kcanal(AC94)</f>
        <v>35</v>
      </c>
      <c r="K94" s="62">
        <f t="shared" si="7"/>
        <v>1.74565560821485</v>
      </c>
      <c r="L94" s="66">
        <f>[2]!vcanal(J94,AG94,M94,AC94)</f>
        <v>0.64039351655795451</v>
      </c>
      <c r="M94" s="67">
        <v>9.6599999999999995E-4</v>
      </c>
      <c r="N94" s="68">
        <v>1</v>
      </c>
      <c r="O94" s="64">
        <v>1</v>
      </c>
      <c r="P94" s="64">
        <f>[2]!mcanal(G94,H94)</f>
        <v>1.5</v>
      </c>
      <c r="Q94" s="63">
        <f>[2]!Wlining(E94)</f>
        <v>0.2</v>
      </c>
      <c r="R94" s="62">
        <v>0.1</v>
      </c>
      <c r="S94" s="62">
        <v>2</v>
      </c>
      <c r="T94" s="62">
        <v>0</v>
      </c>
      <c r="U94" s="62">
        <v>3</v>
      </c>
      <c r="V94" s="62">
        <v>1</v>
      </c>
      <c r="W94" s="62">
        <v>3</v>
      </c>
      <c r="X94" s="62">
        <v>0</v>
      </c>
      <c r="Y94" s="62">
        <v>0</v>
      </c>
      <c r="Z94" s="62">
        <v>0</v>
      </c>
      <c r="AA94" s="69">
        <v>0</v>
      </c>
      <c r="AC94" s="70" t="s">
        <v>45</v>
      </c>
      <c r="AD94" s="71">
        <f>[2]!kriterian(E94)</f>
        <v>1.7</v>
      </c>
      <c r="AE94" s="72">
        <f>[2]!Acanal(F94,G94,I94)</f>
        <v>1.7999979238754338</v>
      </c>
      <c r="AF94" s="73">
        <f>[2]!Pcanal(F94,G94,I94)</f>
        <v>3.985075243963184</v>
      </c>
      <c r="AG94" s="66">
        <f>[2]!rcanal(F94,G94,I94)</f>
        <v>0.45168480233897007</v>
      </c>
      <c r="AH94" s="74">
        <f t="shared" si="8"/>
        <v>1152.7070002676064</v>
      </c>
      <c r="AI94" s="75">
        <f>[2]!froud(F94,G94,L94)</f>
        <v>0.21885079901651461</v>
      </c>
      <c r="AJ94" s="67">
        <f t="shared" si="9"/>
        <v>6.4922444763842947E-4</v>
      </c>
      <c r="AM94" s="53">
        <v>20</v>
      </c>
      <c r="AN94" s="56">
        <v>181</v>
      </c>
      <c r="AO94" s="57">
        <f t="shared" si="10"/>
        <v>114.2</v>
      </c>
      <c r="AP94" s="58">
        <f t="shared" si="10"/>
        <v>1033.51</v>
      </c>
      <c r="AR94" s="1" t="s">
        <v>221</v>
      </c>
      <c r="AS94" s="1">
        <v>20</v>
      </c>
      <c r="AT94" s="1">
        <v>181</v>
      </c>
      <c r="AV94" s="1" t="s">
        <v>219</v>
      </c>
    </row>
    <row r="95" spans="1:48" ht="17.399999999999999" x14ac:dyDescent="0.4">
      <c r="A95" s="59" t="s">
        <v>222</v>
      </c>
      <c r="B95" s="60"/>
      <c r="C95" s="60" t="s">
        <v>218</v>
      </c>
      <c r="D95" s="60">
        <v>276</v>
      </c>
      <c r="E95" s="61">
        <f t="shared" si="6"/>
        <v>1575.96</v>
      </c>
      <c r="F95" s="62">
        <v>1.7000000000000008</v>
      </c>
      <c r="G95" s="62">
        <v>0.79952380952380986</v>
      </c>
      <c r="H95" s="63">
        <f>[2]!wcanal(E95)</f>
        <v>0.6</v>
      </c>
      <c r="I95" s="64">
        <f>[2]!mcanal(G95,H95)</f>
        <v>1.5</v>
      </c>
      <c r="J95" s="65">
        <f>[2]!Kcanal(AC95)</f>
        <v>35</v>
      </c>
      <c r="K95" s="62">
        <f t="shared" si="7"/>
        <v>2.1262656343061348</v>
      </c>
      <c r="L95" s="66">
        <f>[2]!vcanal(J95,AG95,M95,AC95)</f>
        <v>0.69059338132600467</v>
      </c>
      <c r="M95" s="67">
        <v>9.6599999999999995E-4</v>
      </c>
      <c r="N95" s="68">
        <v>1</v>
      </c>
      <c r="O95" s="64">
        <v>1</v>
      </c>
      <c r="P95" s="64">
        <f>[2]!mcanal(G95,H95)</f>
        <v>1.5</v>
      </c>
      <c r="Q95" s="63">
        <f>[2]!Wlining(E95)</f>
        <v>0</v>
      </c>
      <c r="R95" s="62">
        <v>0.1</v>
      </c>
      <c r="S95" s="62">
        <v>2</v>
      </c>
      <c r="T95" s="62">
        <v>0</v>
      </c>
      <c r="U95" s="62">
        <v>3</v>
      </c>
      <c r="V95" s="62">
        <v>1</v>
      </c>
      <c r="W95" s="62">
        <v>3</v>
      </c>
      <c r="X95" s="62">
        <v>0</v>
      </c>
      <c r="Y95" s="62">
        <v>0</v>
      </c>
      <c r="Z95" s="62">
        <v>0</v>
      </c>
      <c r="AA95" s="69">
        <v>0</v>
      </c>
      <c r="AC95" s="70" t="s">
        <v>45</v>
      </c>
      <c r="AD95" s="71">
        <f>[2]!kriterian(E95)</f>
        <v>2.1</v>
      </c>
      <c r="AE95" s="72">
        <f>[2]!Acanal(F95,G95,I95)</f>
        <v>2.3180479591836756</v>
      </c>
      <c r="AF95" s="73">
        <f>[2]!Pcanal(F95,G95,I95)</f>
        <v>4.582724091192401</v>
      </c>
      <c r="AG95" s="66">
        <f>[2]!rcanal(F95,G95,I95)</f>
        <v>0.50582315519251164</v>
      </c>
      <c r="AH95" s="74">
        <f t="shared" si="8"/>
        <v>1600.828578208499</v>
      </c>
      <c r="AI95" s="75">
        <f>[2]!froud(F95,G95,L95)</f>
        <v>0.2138425604874355</v>
      </c>
      <c r="AJ95" s="67">
        <f t="shared" si="9"/>
        <v>6.8703123088169967E-4</v>
      </c>
      <c r="AM95" s="53">
        <v>25</v>
      </c>
      <c r="AN95" s="56">
        <v>251</v>
      </c>
      <c r="AO95" s="57">
        <f t="shared" si="10"/>
        <v>142.75</v>
      </c>
      <c r="AP95" s="58">
        <f t="shared" si="10"/>
        <v>1433.21</v>
      </c>
      <c r="AR95" s="1" t="s">
        <v>222</v>
      </c>
      <c r="AS95" s="1">
        <v>25</v>
      </c>
      <c r="AT95" s="1">
        <v>251</v>
      </c>
      <c r="AV95" s="1" t="s">
        <v>219</v>
      </c>
    </row>
    <row r="96" spans="1:48" ht="17.399999999999999" x14ac:dyDescent="0.4">
      <c r="A96" s="59" t="s">
        <v>223</v>
      </c>
      <c r="B96" s="60"/>
      <c r="C96" s="60" t="s">
        <v>224</v>
      </c>
      <c r="D96" s="60">
        <v>102</v>
      </c>
      <c r="E96" s="61">
        <f t="shared" si="6"/>
        <v>582.41999999999996</v>
      </c>
      <c r="F96" s="62">
        <v>0.80000000000000016</v>
      </c>
      <c r="G96" s="62">
        <v>0.64000000000000012</v>
      </c>
      <c r="H96" s="63">
        <f>[2]!wcanal(E96)</f>
        <v>0.5</v>
      </c>
      <c r="I96" s="64">
        <f>[2]!mcanal(G96,H96)</f>
        <v>1.5</v>
      </c>
      <c r="J96" s="65">
        <f>[2]!Kcanal(AC96)</f>
        <v>35</v>
      </c>
      <c r="K96" s="62">
        <f t="shared" si="7"/>
        <v>1.25</v>
      </c>
      <c r="L96" s="66">
        <f>[2]!vcanal(J96,AG96,M96,AC96)</f>
        <v>0.5248200513446748</v>
      </c>
      <c r="M96" s="67">
        <v>8.7000000000000001E-4</v>
      </c>
      <c r="N96" s="68">
        <v>0</v>
      </c>
      <c r="O96" s="64">
        <v>0</v>
      </c>
      <c r="P96" s="64">
        <f>[2]!mcanal(G96,H96)</f>
        <v>1.5</v>
      </c>
      <c r="Q96" s="63">
        <f>[2]!Wlining(E96)</f>
        <v>0.2</v>
      </c>
      <c r="R96" s="62">
        <v>0.1</v>
      </c>
      <c r="S96" s="62">
        <v>2</v>
      </c>
      <c r="T96" s="62">
        <v>0</v>
      </c>
      <c r="U96" s="62">
        <v>3</v>
      </c>
      <c r="V96" s="62">
        <v>1</v>
      </c>
      <c r="W96" s="62">
        <v>3</v>
      </c>
      <c r="X96" s="62">
        <v>0</v>
      </c>
      <c r="Y96" s="62">
        <v>0</v>
      </c>
      <c r="Z96" s="62">
        <v>0</v>
      </c>
      <c r="AA96" s="69">
        <v>0</v>
      </c>
      <c r="AC96" s="70" t="s">
        <v>45</v>
      </c>
      <c r="AD96" s="71">
        <f>[2]!kriterian(E96)</f>
        <v>1.25</v>
      </c>
      <c r="AE96" s="72">
        <f>[2]!Acanal(F96,G96,I96)</f>
        <v>1.1264000000000003</v>
      </c>
      <c r="AF96" s="73">
        <f>[2]!Pcanal(F96,G96,I96)</f>
        <v>3.1075528162969537</v>
      </c>
      <c r="AG96" s="66">
        <f>[2]!rcanal(F96,G96,I96)</f>
        <v>0.36247171539380296</v>
      </c>
      <c r="AH96" s="74">
        <f t="shared" si="8"/>
        <v>591.15730583464187</v>
      </c>
      <c r="AI96" s="75">
        <f>[2]!froud(F96,G96,L96)</f>
        <v>0.21195121331725084</v>
      </c>
      <c r="AJ96" s="67">
        <f t="shared" si="9"/>
        <v>5.237889282731829E-4</v>
      </c>
      <c r="AM96" s="53">
        <v>9</v>
      </c>
      <c r="AN96" s="56">
        <v>93</v>
      </c>
      <c r="AO96" s="57">
        <f t="shared" si="10"/>
        <v>51.39</v>
      </c>
      <c r="AP96" s="58">
        <f t="shared" si="10"/>
        <v>531.03</v>
      </c>
      <c r="AR96" s="1" t="s">
        <v>223</v>
      </c>
      <c r="AS96" s="1">
        <v>9</v>
      </c>
      <c r="AT96" s="1">
        <v>93</v>
      </c>
      <c r="AV96" s="1" t="s">
        <v>225</v>
      </c>
    </row>
    <row r="97" spans="1:48" ht="17.399999999999999" x14ac:dyDescent="0.4">
      <c r="A97" s="59" t="s">
        <v>226</v>
      </c>
      <c r="B97" s="60"/>
      <c r="C97" s="60" t="s">
        <v>227</v>
      </c>
      <c r="D97" s="60">
        <v>122</v>
      </c>
      <c r="E97" s="61">
        <f t="shared" si="6"/>
        <v>696.62000000000012</v>
      </c>
      <c r="F97" s="62">
        <v>1.0000000000000002</v>
      </c>
      <c r="G97" s="62">
        <v>0.78000000000000014</v>
      </c>
      <c r="H97" s="63">
        <f>[2]!wcanal(E97)</f>
        <v>0.5</v>
      </c>
      <c r="I97" s="64">
        <f>[2]!mcanal(G97,H97)</f>
        <v>1.5</v>
      </c>
      <c r="J97" s="65">
        <f>[2]!Kcanal(AC97)</f>
        <v>35</v>
      </c>
      <c r="K97" s="62">
        <f t="shared" si="7"/>
        <v>1.2820512820512822</v>
      </c>
      <c r="L97" s="66">
        <f>[2]!vcanal(J97,AG97,M97,AC97)</f>
        <v>0.41445506222627626</v>
      </c>
      <c r="M97" s="67">
        <v>4.1399999999999998E-4</v>
      </c>
      <c r="N97" s="68">
        <v>0</v>
      </c>
      <c r="O97" s="64">
        <v>0</v>
      </c>
      <c r="P97" s="64">
        <f>[2]!mcanal(G97,H97)</f>
        <v>1.5</v>
      </c>
      <c r="Q97" s="63">
        <f>[2]!Wlining(E97)</f>
        <v>0.2</v>
      </c>
      <c r="R97" s="62">
        <v>0.1</v>
      </c>
      <c r="S97" s="62">
        <v>2</v>
      </c>
      <c r="T97" s="62">
        <v>0</v>
      </c>
      <c r="U97" s="62">
        <v>3</v>
      </c>
      <c r="V97" s="62">
        <v>1</v>
      </c>
      <c r="W97" s="62">
        <v>3</v>
      </c>
      <c r="X97" s="62">
        <v>0</v>
      </c>
      <c r="Y97" s="62">
        <v>0</v>
      </c>
      <c r="Z97" s="62">
        <v>0</v>
      </c>
      <c r="AA97" s="69">
        <v>0</v>
      </c>
      <c r="AC97" s="70" t="s">
        <v>45</v>
      </c>
      <c r="AD97" s="71">
        <f>[2]!kriterian(E97)</f>
        <v>1.25</v>
      </c>
      <c r="AE97" s="72">
        <f>[2]!Acanal(F97,G97,I97)</f>
        <v>1.6926000000000005</v>
      </c>
      <c r="AF97" s="73">
        <f>[2]!Pcanal(F97,G97,I97)</f>
        <v>3.812329994861912</v>
      </c>
      <c r="AG97" s="66">
        <f>[2]!rcanal(F97,G97,I97)</f>
        <v>0.44398045349726051</v>
      </c>
      <c r="AH97" s="74">
        <f t="shared" si="8"/>
        <v>701.50663832419548</v>
      </c>
      <c r="AI97" s="75">
        <f>[2]!froud(F97,G97,L97)</f>
        <v>0.16527426864464509</v>
      </c>
      <c r="AJ97" s="67">
        <f t="shared" si="9"/>
        <v>2.7585589318993432E-4</v>
      </c>
      <c r="AM97" s="53">
        <v>30</v>
      </c>
      <c r="AN97" s="56">
        <v>92</v>
      </c>
      <c r="AO97" s="57">
        <f t="shared" si="10"/>
        <v>171.3</v>
      </c>
      <c r="AP97" s="58">
        <f t="shared" si="10"/>
        <v>525.32000000000005</v>
      </c>
      <c r="AR97" s="1" t="s">
        <v>226</v>
      </c>
      <c r="AS97" s="1">
        <v>30</v>
      </c>
      <c r="AT97" s="1">
        <v>92</v>
      </c>
      <c r="AV97" s="1" t="s">
        <v>228</v>
      </c>
    </row>
    <row r="98" spans="1:48" ht="17.399999999999999" x14ac:dyDescent="0.4">
      <c r="A98" s="59" t="s">
        <v>229</v>
      </c>
      <c r="B98" s="60"/>
      <c r="C98" s="60" t="s">
        <v>227</v>
      </c>
      <c r="D98" s="60">
        <v>528</v>
      </c>
      <c r="E98" s="61">
        <f t="shared" si="6"/>
        <v>3014.88</v>
      </c>
      <c r="F98" s="62">
        <v>2.8499999999999979</v>
      </c>
      <c r="G98" s="62">
        <v>1.1399999999999992</v>
      </c>
      <c r="H98" s="63">
        <f>[2]!wcanal(E98)</f>
        <v>0.6</v>
      </c>
      <c r="I98" s="64">
        <f>[2]!mcanal(G98,H98)</f>
        <v>1.5</v>
      </c>
      <c r="J98" s="65">
        <f>[2]!Kcanal(AC98)</f>
        <v>35</v>
      </c>
      <c r="K98" s="62">
        <f t="shared" si="7"/>
        <v>2.5</v>
      </c>
      <c r="L98" s="66">
        <f>[2]!vcanal(J98,AG98,M98,AC98)</f>
        <v>0.5862212017589904</v>
      </c>
      <c r="M98" s="67">
        <v>4.1399999999999998E-4</v>
      </c>
      <c r="N98" s="68">
        <v>0</v>
      </c>
      <c r="O98" s="64">
        <v>0</v>
      </c>
      <c r="P98" s="64">
        <f>[2]!mcanal(G98,H98)</f>
        <v>1.5</v>
      </c>
      <c r="Q98" s="63">
        <f>[2]!Wlining(E98)</f>
        <v>0</v>
      </c>
      <c r="R98" s="62">
        <v>0.1</v>
      </c>
      <c r="S98" s="62">
        <v>2</v>
      </c>
      <c r="T98" s="62">
        <v>0</v>
      </c>
      <c r="U98" s="62">
        <v>3</v>
      </c>
      <c r="V98" s="62">
        <v>1</v>
      </c>
      <c r="W98" s="62">
        <v>3</v>
      </c>
      <c r="X98" s="62">
        <v>0</v>
      </c>
      <c r="Y98" s="62">
        <v>0</v>
      </c>
      <c r="Z98" s="62">
        <v>0</v>
      </c>
      <c r="AA98" s="69">
        <v>0</v>
      </c>
      <c r="AC98" s="70" t="s">
        <v>45</v>
      </c>
      <c r="AD98" s="71">
        <f>[2]!kriterian(E98)</f>
        <v>2.5</v>
      </c>
      <c r="AE98" s="72">
        <f>[2]!Acanal(F98,G98,I98)</f>
        <v>5.1983999999999932</v>
      </c>
      <c r="AF98" s="73">
        <f>[2]!Pcanal(F98,G98,I98)</f>
        <v>6.960328454028943</v>
      </c>
      <c r="AG98" s="66">
        <f>[2]!rcanal(F98,G98,I98)</f>
        <v>0.74686130609122792</v>
      </c>
      <c r="AH98" s="74">
        <f t="shared" si="8"/>
        <v>3047.4122952239313</v>
      </c>
      <c r="AI98" s="75">
        <f>[2]!froud(F98,G98,L98)</f>
        <v>0.16740638228912272</v>
      </c>
      <c r="AJ98" s="67">
        <f t="shared" si="9"/>
        <v>3.5778351054626886E-4</v>
      </c>
      <c r="AM98" s="53">
        <v>52</v>
      </c>
      <c r="AN98" s="56">
        <v>476</v>
      </c>
      <c r="AO98" s="57">
        <f t="shared" si="10"/>
        <v>296.92</v>
      </c>
      <c r="AP98" s="58">
        <f t="shared" si="10"/>
        <v>2717.96</v>
      </c>
      <c r="AR98" s="1" t="s">
        <v>229</v>
      </c>
      <c r="AS98" s="1">
        <v>52</v>
      </c>
      <c r="AT98" s="1">
        <v>476</v>
      </c>
      <c r="AV98" s="1" t="s">
        <v>228</v>
      </c>
    </row>
    <row r="99" spans="1:48" ht="17.399999999999999" x14ac:dyDescent="0.4">
      <c r="A99" s="59" t="s">
        <v>230</v>
      </c>
      <c r="B99" s="60"/>
      <c r="C99" s="60" t="s">
        <v>231</v>
      </c>
      <c r="D99" s="60">
        <v>164</v>
      </c>
      <c r="E99" s="61">
        <f t="shared" si="6"/>
        <v>936.43999999999994</v>
      </c>
      <c r="F99" s="62">
        <v>1.1000000000000003</v>
      </c>
      <c r="G99" s="62">
        <v>0.78571428571428603</v>
      </c>
      <c r="H99" s="63">
        <f>[2]!wcanal(E99)</f>
        <v>0.5</v>
      </c>
      <c r="I99" s="64">
        <f>[2]!mcanal(G99,H99)</f>
        <v>1.5</v>
      </c>
      <c r="J99" s="65">
        <f>[2]!Kcanal(AC99)</f>
        <v>35</v>
      </c>
      <c r="K99" s="62">
        <f t="shared" si="7"/>
        <v>1.4</v>
      </c>
      <c r="L99" s="66">
        <f>[2]!vcanal(J99,AG99,M99,AC99)</f>
        <v>0.53248731041830355</v>
      </c>
      <c r="M99" s="67">
        <v>6.6100000000000002E-4</v>
      </c>
      <c r="N99" s="68">
        <v>0</v>
      </c>
      <c r="O99" s="64">
        <v>0</v>
      </c>
      <c r="P99" s="64">
        <f>[2]!mcanal(G99,H99)</f>
        <v>1.5</v>
      </c>
      <c r="Q99" s="63">
        <f>[2]!Wlining(E99)</f>
        <v>0.2</v>
      </c>
      <c r="R99" s="62">
        <v>0.1</v>
      </c>
      <c r="S99" s="62">
        <v>2</v>
      </c>
      <c r="T99" s="62">
        <v>0</v>
      </c>
      <c r="U99" s="62">
        <v>3</v>
      </c>
      <c r="V99" s="62">
        <v>1</v>
      </c>
      <c r="W99" s="62">
        <v>3</v>
      </c>
      <c r="X99" s="62">
        <v>0</v>
      </c>
      <c r="Y99" s="62">
        <v>0</v>
      </c>
      <c r="Z99" s="62">
        <v>0</v>
      </c>
      <c r="AA99" s="69">
        <v>0</v>
      </c>
      <c r="AC99" s="70" t="s">
        <v>45</v>
      </c>
      <c r="AD99" s="71">
        <f>[2]!kriterian(E99)</f>
        <v>1.4</v>
      </c>
      <c r="AE99" s="72">
        <f>[2]!Acanal(F99,G99,I99)</f>
        <v>1.7903061224489809</v>
      </c>
      <c r="AF99" s="73">
        <f>[2]!Pcanal(F99,G99,I99)</f>
        <v>3.9329331450074214</v>
      </c>
      <c r="AG99" s="66">
        <f>[2]!rcanal(F99,G99,I99)</f>
        <v>0.45520888772839863</v>
      </c>
      <c r="AH99" s="74">
        <f t="shared" si="8"/>
        <v>953.31529196827989</v>
      </c>
      <c r="AI99" s="75">
        <f>[2]!froud(F99,G99,L99)</f>
        <v>0.20320095231440788</v>
      </c>
      <c r="AJ99" s="67">
        <f t="shared" si="9"/>
        <v>4.4597121256329951E-4</v>
      </c>
      <c r="AM99" s="53">
        <v>8</v>
      </c>
      <c r="AN99" s="56">
        <v>156</v>
      </c>
      <c r="AO99" s="57">
        <f t="shared" si="10"/>
        <v>45.68</v>
      </c>
      <c r="AP99" s="58">
        <f t="shared" si="10"/>
        <v>890.76</v>
      </c>
      <c r="AR99" s="1" t="s">
        <v>230</v>
      </c>
      <c r="AS99" s="1">
        <v>8</v>
      </c>
      <c r="AT99" s="1">
        <v>156</v>
      </c>
      <c r="AV99" s="1" t="s">
        <v>232</v>
      </c>
    </row>
    <row r="100" spans="1:48" ht="18" thickBot="1" x14ac:dyDescent="0.45">
      <c r="A100" s="76"/>
      <c r="B100" s="60"/>
      <c r="C100" s="60"/>
      <c r="D100" s="60"/>
      <c r="E100" s="61"/>
      <c r="F100" s="62"/>
      <c r="G100" s="62"/>
      <c r="H100" s="77"/>
      <c r="I100" s="62"/>
      <c r="J100" s="78"/>
      <c r="K100" s="62"/>
      <c r="L100" s="79"/>
      <c r="M100" s="67"/>
      <c r="N100" s="80"/>
      <c r="O100" s="62"/>
      <c r="P100" s="62"/>
      <c r="Q100" s="77"/>
      <c r="R100" s="62"/>
      <c r="S100" s="62"/>
      <c r="T100" s="62"/>
      <c r="U100" s="62"/>
      <c r="V100" s="62"/>
      <c r="W100" s="62"/>
      <c r="X100" s="62"/>
      <c r="Y100" s="62"/>
      <c r="Z100" s="62"/>
      <c r="AA100" s="69"/>
      <c r="AC100" s="70"/>
      <c r="AD100" s="81"/>
      <c r="AE100" s="82"/>
      <c r="AF100" s="74"/>
      <c r="AG100" s="74"/>
      <c r="AH100" s="74"/>
      <c r="AI100" s="83"/>
      <c r="AJ100" s="67"/>
      <c r="AM100" s="47"/>
      <c r="AN100" s="84"/>
      <c r="AO100" s="85"/>
      <c r="AP100" s="86"/>
    </row>
  </sheetData>
  <mergeCells count="6">
    <mergeCell ref="A2:AA2"/>
    <mergeCell ref="AC2:AJ2"/>
    <mergeCell ref="AE3:AG3"/>
    <mergeCell ref="AH3:AJ3"/>
    <mergeCell ref="AM3:AN3"/>
    <mergeCell ref="AO3:AP3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 Komering 11</dc:creator>
  <cp:lastModifiedBy>Dell</cp:lastModifiedBy>
  <cp:revision>0</cp:revision>
  <dcterms:created xsi:type="dcterms:W3CDTF">2023-12-21T02:32:34Z</dcterms:created>
  <dcterms:modified xsi:type="dcterms:W3CDTF">2024-10-10T03:26:45Z</dcterms:modified>
</cp:coreProperties>
</file>