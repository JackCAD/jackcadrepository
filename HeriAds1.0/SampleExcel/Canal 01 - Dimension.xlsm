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jackcad2024\SampleExcel\"/>
    </mc:Choice>
  </mc:AlternateContent>
  <bookViews>
    <workbookView xWindow="0" yWindow="0" windowWidth="23040" windowHeight="8676"/>
  </bookViews>
  <sheets>
    <sheet name="Dimensi" sheetId="7" r:id="rId1"/>
  </sheets>
  <externalReferences>
    <externalReference r:id="rId2"/>
    <externalReference r:id="rId3"/>
    <externalReference r:id="rId4"/>
  </externalReferences>
  <definedNames>
    <definedName name="_1">#N/A</definedName>
    <definedName name="_a" localSheetId="0">#REF!</definedName>
    <definedName name="_a">#REF!</definedName>
    <definedName name="a" localSheetId="0">#REF!</definedName>
    <definedName name="a">#REF!</definedName>
    <definedName name="AAA" localSheetId="0">#REF!</definedName>
    <definedName name="AAA">#REF!</definedName>
    <definedName name="b" localSheetId="0">Dimensi!#REF!</definedName>
    <definedName name="b">[1]dim!#REF!</definedName>
    <definedName name="Bagi">2</definedName>
    <definedName name="Bendung">1</definedName>
    <definedName name="GHHHH" localSheetId="0">#REF!</definedName>
    <definedName name="GHHHH">#REF!</definedName>
    <definedName name="h" localSheetId="0">Dimensi!#REF!</definedName>
    <definedName name="h">[1]dim!#REF!</definedName>
    <definedName name="H24_Formula" localSheetId="0">IF(ISBLANK(#REF!),"Tidak Ada",#REF!)</definedName>
    <definedName name="H24_Formula">IF(ISBLANK(#REF!),"Tidak Ada",#REF!)</definedName>
    <definedName name="JJJ" localSheetId="0">#REF!</definedName>
    <definedName name="JJJ">#REF!</definedName>
    <definedName name="jrk" localSheetId="0">#REF!</definedName>
    <definedName name="jrk">#REF!</definedName>
    <definedName name="m" localSheetId="0">Dimensi!#REF!</definedName>
    <definedName name="m">[1]dim!#REF!</definedName>
    <definedName name="_xlnm.Print_Area" localSheetId="0">#REF!</definedName>
    <definedName name="_xlnm.Print_Area">#REF!</definedName>
    <definedName name="Q">#N/A</definedName>
    <definedName name="ttr" localSheetId="0">#REF!</definedName>
    <definedName name="ttr">#REF!</definedName>
  </definedNames>
  <calcPr calcId="162913" iterateCount="500" iterateDelta="1E-4"/>
</workbook>
</file>

<file path=xl/calcChain.xml><?xml version="1.0" encoding="utf-8"?>
<calcChain xmlns="http://schemas.openxmlformats.org/spreadsheetml/2006/main">
  <c r="K38" i="7" l="1"/>
  <c r="E38" i="7"/>
  <c r="K37" i="7"/>
  <c r="E37" i="7"/>
  <c r="K36" i="7"/>
  <c r="E36" i="7"/>
  <c r="K34" i="7"/>
  <c r="E34" i="7"/>
  <c r="K33" i="7"/>
  <c r="E33" i="7"/>
  <c r="K32" i="7"/>
  <c r="E32" i="7"/>
  <c r="K31" i="7"/>
  <c r="E31" i="7"/>
  <c r="K29" i="7"/>
  <c r="E29" i="7"/>
  <c r="K28" i="7"/>
  <c r="E28" i="7"/>
  <c r="K27" i="7"/>
  <c r="E27" i="7"/>
  <c r="K26" i="7"/>
  <c r="E26" i="7"/>
  <c r="K24" i="7"/>
  <c r="E24" i="7"/>
  <c r="K23" i="7"/>
  <c r="E23" i="7"/>
  <c r="K22" i="7"/>
  <c r="E22" i="7"/>
  <c r="K21" i="7"/>
  <c r="E21" i="7"/>
  <c r="K20" i="7"/>
  <c r="E20" i="7"/>
  <c r="K19" i="7"/>
  <c r="E19" i="7"/>
  <c r="K17" i="7"/>
  <c r="E17" i="7"/>
  <c r="K16" i="7"/>
  <c r="E16" i="7"/>
  <c r="K15" i="7"/>
  <c r="E15" i="7"/>
  <c r="K14" i="7"/>
  <c r="E14" i="7"/>
  <c r="K13" i="7"/>
  <c r="E13" i="7"/>
  <c r="K12" i="7"/>
  <c r="E12" i="7"/>
  <c r="K10" i="7"/>
  <c r="E10" i="7"/>
  <c r="K9" i="7"/>
  <c r="E9" i="7"/>
  <c r="K8" i="7"/>
  <c r="E8" i="7"/>
  <c r="K7" i="7"/>
  <c r="E7" i="7"/>
  <c r="K6" i="7"/>
  <c r="E6" i="7"/>
  <c r="Q37" i="7"/>
  <c r="H37" i="7"/>
  <c r="AD36" i="7"/>
  <c r="J34" i="7"/>
  <c r="N31" i="7"/>
  <c r="O29" i="7"/>
  <c r="Q27" i="7"/>
  <c r="H27" i="7"/>
  <c r="AD26" i="7"/>
  <c r="J24" i="7"/>
  <c r="N21" i="7"/>
  <c r="O20" i="7"/>
  <c r="Q17" i="7"/>
  <c r="H17" i="7"/>
  <c r="AD16" i="7"/>
  <c r="J15" i="7"/>
  <c r="N12" i="7"/>
  <c r="O10" i="7"/>
  <c r="Q8" i="7"/>
  <c r="H8" i="7"/>
  <c r="AD7" i="7"/>
  <c r="J6" i="7"/>
  <c r="H26" i="7"/>
  <c r="I26" i="7" s="1"/>
  <c r="J23" i="7"/>
  <c r="N20" i="7"/>
  <c r="O19" i="7"/>
  <c r="P17" i="7"/>
  <c r="H16" i="7"/>
  <c r="I16" i="7" s="1"/>
  <c r="J14" i="7"/>
  <c r="O38" i="7"/>
  <c r="P37" i="7"/>
  <c r="Q36" i="7"/>
  <c r="H36" i="7"/>
  <c r="I36" i="7" s="1"/>
  <c r="AD34" i="7"/>
  <c r="J33" i="7"/>
  <c r="N29" i="7"/>
  <c r="O28" i="7"/>
  <c r="P27" i="7"/>
  <c r="Q26" i="7"/>
  <c r="AD24" i="7"/>
  <c r="Q16" i="7"/>
  <c r="AD15" i="7"/>
  <c r="Q7" i="7"/>
  <c r="N38" i="7"/>
  <c r="O37" i="7"/>
  <c r="P36" i="7"/>
  <c r="Q34" i="7"/>
  <c r="H34" i="7"/>
  <c r="I34" i="7" s="1"/>
  <c r="AE34" i="7" s="1"/>
  <c r="AD33" i="7"/>
  <c r="J32" i="7"/>
  <c r="N28" i="7"/>
  <c r="O27" i="7"/>
  <c r="P26" i="7"/>
  <c r="Q24" i="7"/>
  <c r="H24" i="7"/>
  <c r="I24" i="7" s="1"/>
  <c r="AE24" i="7" s="1"/>
  <c r="AD23" i="7"/>
  <c r="J22" i="7"/>
  <c r="N19" i="7"/>
  <c r="O17" i="7"/>
  <c r="P16" i="7"/>
  <c r="Q15" i="7"/>
  <c r="H15" i="7"/>
  <c r="I15" i="7" s="1"/>
  <c r="AE15" i="7" s="1"/>
  <c r="AD14" i="7"/>
  <c r="J13" i="7"/>
  <c r="N9" i="7"/>
  <c r="O8" i="7"/>
  <c r="Q6" i="7"/>
  <c r="H6" i="7"/>
  <c r="I6" i="7" s="1"/>
  <c r="AE6" i="7" s="1"/>
  <c r="P6" i="7"/>
  <c r="H38" i="7"/>
  <c r="P38" i="7" s="1"/>
  <c r="J36" i="7"/>
  <c r="AE26" i="7"/>
  <c r="O21" i="7"/>
  <c r="AE16" i="7"/>
  <c r="N13" i="7"/>
  <c r="AD8" i="7"/>
  <c r="AF6" i="7"/>
  <c r="N37" i="7"/>
  <c r="O36" i="7"/>
  <c r="P34" i="7"/>
  <c r="Q33" i="7"/>
  <c r="H33" i="7"/>
  <c r="I33" i="7" s="1"/>
  <c r="AD32" i="7"/>
  <c r="J31" i="7"/>
  <c r="N27" i="7"/>
  <c r="O26" i="7"/>
  <c r="P24" i="7"/>
  <c r="Q23" i="7"/>
  <c r="H23" i="7"/>
  <c r="I23" i="7" s="1"/>
  <c r="AD22" i="7"/>
  <c r="J21" i="7"/>
  <c r="N17" i="7"/>
  <c r="O16" i="7"/>
  <c r="P15" i="7"/>
  <c r="Q14" i="7"/>
  <c r="H14" i="7"/>
  <c r="I14" i="7" s="1"/>
  <c r="AD13" i="7"/>
  <c r="J12" i="7"/>
  <c r="N8" i="7"/>
  <c r="O7" i="7"/>
  <c r="I37" i="7"/>
  <c r="H28" i="7"/>
  <c r="P28" i="7" s="1"/>
  <c r="AF24" i="7"/>
  <c r="N22" i="7"/>
  <c r="H19" i="7"/>
  <c r="P19" i="7" s="1"/>
  <c r="I8" i="7"/>
  <c r="AG37" i="7"/>
  <c r="N36" i="7"/>
  <c r="O34" i="7"/>
  <c r="P33" i="7"/>
  <c r="Q32" i="7"/>
  <c r="H32" i="7"/>
  <c r="I32" i="7" s="1"/>
  <c r="AD31" i="7"/>
  <c r="J29" i="7"/>
  <c r="N26" i="7"/>
  <c r="O24" i="7"/>
  <c r="P23" i="7"/>
  <c r="Q22" i="7"/>
  <c r="H22" i="7"/>
  <c r="I22" i="7" s="1"/>
  <c r="AD21" i="7"/>
  <c r="J20" i="7"/>
  <c r="N16" i="7"/>
  <c r="O15" i="7"/>
  <c r="P14" i="7"/>
  <c r="Q13" i="7"/>
  <c r="H13" i="7"/>
  <c r="I13" i="7" s="1"/>
  <c r="AD12" i="7"/>
  <c r="J10" i="7"/>
  <c r="AG8" i="7"/>
  <c r="N7" i="7"/>
  <c r="O6" i="7"/>
  <c r="AD37" i="7"/>
  <c r="AG33" i="7"/>
  <c r="O31" i="7"/>
  <c r="AD27" i="7"/>
  <c r="I17" i="7"/>
  <c r="AG17" i="7" s="1"/>
  <c r="O9" i="7"/>
  <c r="AD6" i="7"/>
  <c r="J38" i="7"/>
  <c r="AF37" i="7"/>
  <c r="AG36" i="7"/>
  <c r="L36" i="7"/>
  <c r="AI36" i="7" s="1"/>
  <c r="N34" i="7"/>
  <c r="O33" i="7"/>
  <c r="P32" i="7"/>
  <c r="Q31" i="7"/>
  <c r="H31" i="7"/>
  <c r="I31" i="7" s="1"/>
  <c r="AD29" i="7"/>
  <c r="J28" i="7"/>
  <c r="AG26" i="7"/>
  <c r="N24" i="7"/>
  <c r="O23" i="7"/>
  <c r="P22" i="7"/>
  <c r="Q21" i="7"/>
  <c r="H21" i="7"/>
  <c r="I21" i="7" s="1"/>
  <c r="AD20" i="7"/>
  <c r="J19" i="7"/>
  <c r="AF17" i="7"/>
  <c r="AG16" i="7"/>
  <c r="N15" i="7"/>
  <c r="O14" i="7"/>
  <c r="P13" i="7"/>
  <c r="Q12" i="7"/>
  <c r="H12" i="7"/>
  <c r="I12" i="7" s="1"/>
  <c r="AD10" i="7"/>
  <c r="J9" i="7"/>
  <c r="AF8" i="7"/>
  <c r="N6" i="7"/>
  <c r="AE36" i="7"/>
  <c r="L33" i="7"/>
  <c r="AI33" i="7" s="1"/>
  <c r="Q28" i="7"/>
  <c r="J26" i="7"/>
  <c r="L26" i="7" s="1"/>
  <c r="AI26" i="7" s="1"/>
  <c r="AD17" i="7"/>
  <c r="AF15" i="7"/>
  <c r="Q9" i="7"/>
  <c r="P8" i="7"/>
  <c r="H7" i="7"/>
  <c r="AD38" i="7"/>
  <c r="I38" i="7"/>
  <c r="AE37" i="7"/>
  <c r="J37" i="7"/>
  <c r="L37" i="7" s="1"/>
  <c r="AI37" i="7" s="1"/>
  <c r="AF36" i="7"/>
  <c r="AG34" i="7"/>
  <c r="L34" i="7"/>
  <c r="AI34" i="7" s="1"/>
  <c r="N33" i="7"/>
  <c r="O32" i="7"/>
  <c r="P31" i="7"/>
  <c r="Q29" i="7"/>
  <c r="H29" i="7"/>
  <c r="AD28" i="7"/>
  <c r="I28" i="7"/>
  <c r="J27" i="7"/>
  <c r="AF26" i="7"/>
  <c r="AG24" i="7"/>
  <c r="L24" i="7"/>
  <c r="AI24" i="7" s="1"/>
  <c r="N23" i="7"/>
  <c r="O22" i="7"/>
  <c r="P21" i="7"/>
  <c r="Q20" i="7"/>
  <c r="H20" i="7"/>
  <c r="AD19" i="7"/>
  <c r="I19" i="7"/>
  <c r="AE17" i="7"/>
  <c r="J17" i="7"/>
  <c r="L17" i="7" s="1"/>
  <c r="AI17" i="7" s="1"/>
  <c r="AF16" i="7"/>
  <c r="AG15" i="7"/>
  <c r="L15" i="7"/>
  <c r="AI15" i="7" s="1"/>
  <c r="N14" i="7"/>
  <c r="O13" i="7"/>
  <c r="P12" i="7"/>
  <c r="Q10" i="7"/>
  <c r="H10" i="7"/>
  <c r="AD9" i="7"/>
  <c r="AE8" i="7"/>
  <c r="J8" i="7"/>
  <c r="L8" i="7" s="1"/>
  <c r="AI8" i="7" s="1"/>
  <c r="AG6" i="7"/>
  <c r="L6" i="7"/>
  <c r="AI6" i="7" s="1"/>
  <c r="Q38" i="7"/>
  <c r="AF34" i="7"/>
  <c r="N32" i="7"/>
  <c r="I27" i="7"/>
  <c r="Q19" i="7"/>
  <c r="J16" i="7"/>
  <c r="L16" i="7" s="1"/>
  <c r="AI16" i="7" s="1"/>
  <c r="AG14" i="7"/>
  <c r="O12" i="7"/>
  <c r="H9" i="7"/>
  <c r="J7" i="7"/>
  <c r="N10" i="7"/>
  <c r="AE33" i="7"/>
  <c r="AF33" i="7"/>
  <c r="AG23" i="7"/>
  <c r="AE23" i="7"/>
  <c r="AF23" i="7"/>
  <c r="AE14" i="7"/>
  <c r="AF14" i="7"/>
  <c r="AE32" i="7"/>
  <c r="AF32" i="7"/>
  <c r="AG32" i="7"/>
  <c r="AE22" i="7"/>
  <c r="AF22" i="7"/>
  <c r="AG22" i="7"/>
  <c r="AE13" i="7"/>
  <c r="AF13" i="7"/>
  <c r="AG13" i="7"/>
  <c r="AE31" i="7"/>
  <c r="AF31" i="7"/>
  <c r="AG31" i="7"/>
  <c r="AE21" i="7"/>
  <c r="AF21" i="7"/>
  <c r="AG21" i="7"/>
  <c r="AE12" i="7"/>
  <c r="AF12" i="7"/>
  <c r="AG12" i="7"/>
  <c r="P7" i="7"/>
  <c r="I7" i="7"/>
  <c r="AE38" i="7"/>
  <c r="AF38" i="7"/>
  <c r="AG38" i="7"/>
  <c r="I29" i="7"/>
  <c r="P29" i="7"/>
  <c r="AE28" i="7"/>
  <c r="AF28" i="7"/>
  <c r="AG28" i="7"/>
  <c r="I20" i="7"/>
  <c r="P20" i="7"/>
  <c r="AE19" i="7"/>
  <c r="AF19" i="7"/>
  <c r="AG19" i="7"/>
  <c r="I10" i="7"/>
  <c r="P10" i="7"/>
  <c r="AE27" i="7"/>
  <c r="AF27" i="7"/>
  <c r="AG27" i="7"/>
  <c r="L14" i="7"/>
  <c r="AI14" i="7" s="1"/>
  <c r="I9" i="7"/>
  <c r="P9" i="7"/>
  <c r="L23" i="7"/>
  <c r="AI23" i="7" s="1"/>
  <c r="L32" i="7"/>
  <c r="AI32" i="7" s="1"/>
  <c r="L22" i="7"/>
  <c r="AI22" i="7" s="1"/>
  <c r="L13" i="7"/>
  <c r="AI13" i="7" s="1"/>
  <c r="L31" i="7"/>
  <c r="AI31" i="7" s="1"/>
  <c r="L21" i="7"/>
  <c r="AI21" i="7" s="1"/>
  <c r="L12" i="7"/>
  <c r="AI12" i="7" s="1"/>
  <c r="AF7" i="7"/>
  <c r="AG7" i="7"/>
  <c r="AE7" i="7"/>
  <c r="L38" i="7"/>
  <c r="AI38" i="7" s="1"/>
  <c r="AE29" i="7"/>
  <c r="AF29" i="7"/>
  <c r="AG29" i="7"/>
  <c r="L28" i="7"/>
  <c r="AI28" i="7" s="1"/>
  <c r="AE20" i="7"/>
  <c r="AF20" i="7"/>
  <c r="AG20" i="7"/>
  <c r="L19" i="7"/>
  <c r="AI19" i="7" s="1"/>
  <c r="AE10" i="7"/>
  <c r="AF10" i="7"/>
  <c r="AG10" i="7"/>
  <c r="L27" i="7"/>
  <c r="AI27" i="7" s="1"/>
  <c r="AE9" i="7"/>
  <c r="AF9" i="7"/>
  <c r="AG9" i="7"/>
  <c r="L7" i="7"/>
  <c r="AI7" i="7" s="1"/>
  <c r="L29" i="7"/>
  <c r="AI29" i="7" s="1"/>
  <c r="L20" i="7"/>
  <c r="AI20" i="7" s="1"/>
  <c r="L10" i="7"/>
  <c r="AI10" i="7" s="1"/>
  <c r="L9" i="7"/>
  <c r="AI9" i="7" s="1"/>
  <c r="AJ9" i="7" l="1"/>
  <c r="AH9" i="7"/>
  <c r="AJ10" i="7"/>
  <c r="AH10" i="7"/>
  <c r="AJ20" i="7"/>
  <c r="AH20" i="7"/>
  <c r="AJ29" i="7"/>
  <c r="AH29" i="7"/>
  <c r="AH7" i="7"/>
  <c r="AJ7" i="7"/>
  <c r="AJ27" i="7"/>
  <c r="AH27" i="7"/>
  <c r="AJ19" i="7"/>
  <c r="AH19" i="7"/>
  <c r="AJ28" i="7"/>
  <c r="AH28" i="7"/>
  <c r="AJ38" i="7"/>
  <c r="AH38" i="7"/>
  <c r="AJ12" i="7"/>
  <c r="AH12" i="7"/>
  <c r="AJ21" i="7"/>
  <c r="AH21" i="7"/>
  <c r="AJ31" i="7"/>
  <c r="AH31" i="7"/>
  <c r="AJ13" i="7"/>
  <c r="AH13" i="7"/>
  <c r="AJ22" i="7"/>
  <c r="AH22" i="7"/>
  <c r="AJ32" i="7"/>
  <c r="AH32" i="7"/>
  <c r="AH14" i="7"/>
  <c r="AH23" i="7"/>
  <c r="AJ23" i="7"/>
  <c r="AH33" i="7"/>
  <c r="AJ14" i="7"/>
  <c r="AJ6" i="7"/>
  <c r="AH8" i="7"/>
  <c r="AJ15" i="7"/>
  <c r="AH17" i="7"/>
  <c r="AJ24" i="7"/>
  <c r="AJ34" i="7"/>
  <c r="AH37" i="7"/>
  <c r="AH36" i="7"/>
  <c r="AJ16" i="7"/>
  <c r="AJ26" i="7"/>
  <c r="AJ36" i="7"/>
  <c r="AJ17" i="7"/>
  <c r="AJ33" i="7"/>
  <c r="AJ8" i="7"/>
  <c r="AJ37" i="7"/>
  <c r="AH16" i="7"/>
  <c r="AH26" i="7"/>
  <c r="AH6" i="7"/>
  <c r="AH15" i="7"/>
  <c r="AH24" i="7"/>
  <c r="AH34" i="7"/>
</calcChain>
</file>

<file path=xl/sharedStrings.xml><?xml version="1.0" encoding="utf-8"?>
<sst xmlns="http://schemas.openxmlformats.org/spreadsheetml/2006/main" count="144" uniqueCount="73">
  <si>
    <t>ID</t>
  </si>
  <si>
    <t>Canal 01 - Dimension</t>
  </si>
  <si>
    <t>JackCad Form</t>
  </si>
  <si>
    <t>Petak</t>
  </si>
  <si>
    <t>Saluran</t>
  </si>
  <si>
    <t>A</t>
  </si>
  <si>
    <t>Q</t>
  </si>
  <si>
    <t>b</t>
  </si>
  <si>
    <t>h</t>
  </si>
  <si>
    <t>w</t>
  </si>
  <si>
    <t>m</t>
  </si>
  <si>
    <t>k</t>
  </si>
  <si>
    <t>n</t>
  </si>
  <si>
    <t>V</t>
  </si>
  <si>
    <t>i</t>
  </si>
  <si>
    <t>Lebar</t>
  </si>
  <si>
    <t xml:space="preserve"> Berm</t>
  </si>
  <si>
    <t xml:space="preserve"> Berm W</t>
  </si>
  <si>
    <t xml:space="preserve"> Berm H</t>
  </si>
  <si>
    <t>b jln</t>
  </si>
  <si>
    <t xml:space="preserve"> Pave</t>
  </si>
  <si>
    <t xml:space="preserve"> Slope</t>
  </si>
  <si>
    <t>Lining</t>
  </si>
  <si>
    <t>Kontrol</t>
  </si>
  <si>
    <t>Tersier</t>
  </si>
  <si>
    <t>(ha)</t>
  </si>
  <si>
    <r>
      <t>(lt</t>
    </r>
    <r>
      <rPr>
        <sz val="10"/>
        <rFont val="Arial"/>
        <family val="2"/>
      </rPr>
      <t>/dt)</t>
    </r>
  </si>
  <si>
    <t>(m)</t>
  </si>
  <si>
    <r>
      <t>(m</t>
    </r>
    <r>
      <rPr>
        <vertAlign val="superscript"/>
        <sz val="10"/>
        <rFont val="Arial"/>
        <family val="2"/>
      </rPr>
      <t>1/3</t>
    </r>
    <r>
      <rPr>
        <sz val="10"/>
        <rFont val="Arial"/>
        <family val="2"/>
      </rPr>
      <t>/dt)</t>
    </r>
  </si>
  <si>
    <t>(m/dt)</t>
  </si>
  <si>
    <t>tgl kiri</t>
  </si>
  <si>
    <t>tgl kanan</t>
  </si>
  <si>
    <t>luar</t>
  </si>
  <si>
    <t>lining</t>
  </si>
  <si>
    <t>Thick</t>
  </si>
  <si>
    <t>limit</t>
  </si>
  <si>
    <t>dalam</t>
  </si>
  <si>
    <t>kanan</t>
  </si>
  <si>
    <t>kiri</t>
  </si>
  <si>
    <t>Thicknes</t>
  </si>
  <si>
    <t>jln</t>
  </si>
  <si>
    <t>(E/M/C)</t>
  </si>
  <si>
    <t>P</t>
  </si>
  <si>
    <t>R</t>
  </si>
  <si>
    <t>FR</t>
  </si>
  <si>
    <t>E</t>
  </si>
  <si>
    <t>Others</t>
  </si>
  <si>
    <t xml:space="preserve"> Lining</t>
  </si>
  <si>
    <t>Kriteria</t>
  </si>
  <si>
    <t>Hidrolis</t>
  </si>
  <si>
    <r>
      <rPr>
        <sz val="12"/>
        <rFont val="Times New Roman"/>
        <family val="1"/>
      </rPr>
      <t>IR</t>
    </r>
    <r>
      <rPr>
        <vertAlign val="superscript"/>
        <sz val="12"/>
        <rFont val="Times New Roman"/>
        <family val="1"/>
      </rPr>
      <t>(1/2)</t>
    </r>
  </si>
  <si>
    <t>DR</t>
  </si>
  <si>
    <t>Primer BB 0 - BB 1</t>
  </si>
  <si>
    <t>Sek. BB 1 - BBA 1</t>
  </si>
  <si>
    <t>Sek. BBA 1 - BBA 2</t>
  </si>
  <si>
    <t>Muka BBA 2 - BMBA 2ki</t>
  </si>
  <si>
    <t>Muka BBA 1 - BMBA 1ka2</t>
  </si>
  <si>
    <t>BA 1 ka3</t>
  </si>
  <si>
    <t>Tersier BA1 - T1</t>
  </si>
  <si>
    <t>Tersier T1-K1</t>
  </si>
  <si>
    <t>Muka a3</t>
  </si>
  <si>
    <t>Kwarter a1</t>
  </si>
  <si>
    <t>Kwarter a2</t>
  </si>
  <si>
    <t>Kwarter a3</t>
  </si>
  <si>
    <t>BA 1 ka1</t>
  </si>
  <si>
    <t>Tersiet T1- K1</t>
  </si>
  <si>
    <t>BA 1 ka2</t>
  </si>
  <si>
    <t>Muka b1</t>
  </si>
  <si>
    <t>Kwarter b1</t>
  </si>
  <si>
    <t>BA 2 ka</t>
  </si>
  <si>
    <t>Tersier BA 2 - K1</t>
  </si>
  <si>
    <t>Muka a2</t>
  </si>
  <si>
    <t>BA 2 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</si>
</sst>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00"/>
    <numFmt numFmtId="166" formatCode="0.00000"/>
    <numFmt numFmtId="167" formatCode="0.00_)"/>
  </numFmts>
  <fonts count="10" x14ac:knownFonts="1">
    <font>
      <sz val="10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4"/>
      <name val="Times New Roman"/>
      <family val="1"/>
    </font>
    <font>
      <vertAlign val="superscript"/>
      <sz val="10"/>
      <name val="Arial"/>
      <family val="2"/>
    </font>
    <font>
      <b/>
      <i/>
      <sz val="12"/>
      <color rgb="FF0070C0"/>
      <name val="Arial"/>
      <family val="2"/>
    </font>
    <font>
      <b/>
      <sz val="12"/>
      <name val="Arial"/>
      <family val="2"/>
    </font>
    <font>
      <vertAlign val="superscript"/>
      <sz val="12"/>
      <name val="Times New Roman"/>
      <family val="1"/>
    </font>
    <font>
      <sz val="12"/>
      <color theme="1"/>
      <name val="Times New Roman"/>
      <family val="1"/>
    </font>
    <font>
      <sz val="12"/>
      <color indexed="8"/>
      <name val="Palatino Linotype"/>
      <family val="1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hair">
        <color theme="1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hair">
        <color indexed="8"/>
      </top>
      <bottom style="hair">
        <color indexed="8"/>
      </bottom>
      <diagonal/>
    </border>
  </borders>
  <cellStyleXfs count="4">
    <xf numFmtId="0" fontId="0" fillId="0" borderId="0"/>
    <xf numFmtId="0" fontId="2" fillId="0" borderId="0"/>
    <xf numFmtId="0" fontId="1" fillId="0" borderId="0"/>
    <xf numFmtId="0" fontId="1" fillId="0" borderId="0"/>
  </cellStyleXfs>
  <cellXfs count="73">
    <xf numFmtId="0" fontId="0" fillId="0" borderId="0" xfId="0"/>
    <xf numFmtId="0" fontId="1" fillId="0" borderId="0" xfId="2"/>
    <xf numFmtId="2" fontId="2" fillId="0" borderId="0" xfId="1" applyNumberFormat="1" applyAlignment="1">
      <alignment horizontal="center"/>
    </xf>
    <xf numFmtId="1" fontId="2" fillId="0" borderId="0" xfId="1" applyNumberFormat="1" applyAlignment="1">
      <alignment horizontal="center"/>
    </xf>
    <xf numFmtId="0" fontId="2" fillId="0" borderId="4" xfId="1" applyBorder="1" applyAlignment="1">
      <alignment horizontal="center"/>
    </xf>
    <xf numFmtId="0" fontId="2" fillId="0" borderId="5" xfId="1" applyBorder="1" applyAlignment="1">
      <alignment horizontal="center"/>
    </xf>
    <xf numFmtId="2" fontId="2" fillId="0" borderId="5" xfId="1" applyNumberFormat="1" applyBorder="1" applyAlignment="1">
      <alignment horizontal="center"/>
    </xf>
    <xf numFmtId="1" fontId="2" fillId="0" borderId="5" xfId="1" applyNumberFormat="1" applyBorder="1" applyAlignment="1">
      <alignment horizontal="center"/>
    </xf>
    <xf numFmtId="164" fontId="2" fillId="0" borderId="5" xfId="1" applyNumberFormat="1" applyBorder="1" applyAlignment="1">
      <alignment horizontal="center"/>
    </xf>
    <xf numFmtId="165" fontId="2" fillId="0" borderId="6" xfId="1" applyNumberFormat="1" applyBorder="1" applyAlignment="1">
      <alignment horizontal="center"/>
    </xf>
    <xf numFmtId="2" fontId="2" fillId="0" borderId="7" xfId="1" applyNumberFormat="1" applyBorder="1" applyAlignment="1">
      <alignment horizontal="center"/>
    </xf>
    <xf numFmtId="2" fontId="2" fillId="0" borderId="8" xfId="1" applyNumberFormat="1" applyBorder="1" applyAlignment="1">
      <alignment horizontal="center"/>
    </xf>
    <xf numFmtId="0" fontId="2" fillId="0" borderId="9" xfId="1" applyBorder="1" applyAlignment="1">
      <alignment horizontal="center"/>
    </xf>
    <xf numFmtId="0" fontId="2" fillId="0" borderId="10" xfId="1" applyBorder="1" applyAlignment="1">
      <alignment horizontal="center"/>
    </xf>
    <xf numFmtId="2" fontId="2" fillId="0" borderId="10" xfId="1" applyNumberFormat="1" applyBorder="1" applyAlignment="1">
      <alignment horizontal="center"/>
    </xf>
    <xf numFmtId="1" fontId="2" fillId="0" borderId="10" xfId="1" applyNumberFormat="1" applyBorder="1" applyAlignment="1">
      <alignment horizontal="center"/>
    </xf>
    <xf numFmtId="164" fontId="2" fillId="0" borderId="10" xfId="1" applyNumberFormat="1" applyBorder="1" applyAlignment="1">
      <alignment horizontal="center"/>
    </xf>
    <xf numFmtId="165" fontId="2" fillId="0" borderId="11" xfId="1" applyNumberFormat="1" applyBorder="1" applyAlignment="1">
      <alignment horizontal="center"/>
    </xf>
    <xf numFmtId="2" fontId="2" fillId="0" borderId="12" xfId="1" applyNumberFormat="1" applyBorder="1" applyAlignment="1">
      <alignment horizontal="center"/>
    </xf>
    <xf numFmtId="2" fontId="2" fillId="0" borderId="11" xfId="1" applyNumberFormat="1" applyBorder="1" applyAlignment="1">
      <alignment horizontal="center"/>
    </xf>
    <xf numFmtId="0" fontId="2" fillId="0" borderId="4" xfId="1" applyBorder="1" applyAlignment="1">
      <alignment horizontal="left"/>
    </xf>
    <xf numFmtId="1" fontId="2" fillId="0" borderId="5" xfId="1" applyNumberFormat="1" applyBorder="1" applyAlignment="1">
      <alignment horizontal="left"/>
    </xf>
    <xf numFmtId="1" fontId="2" fillId="0" borderId="8" xfId="1" applyNumberFormat="1" applyBorder="1" applyAlignment="1">
      <alignment horizontal="left"/>
    </xf>
    <xf numFmtId="1" fontId="2" fillId="0" borderId="7" xfId="1" applyNumberFormat="1" applyBorder="1" applyAlignment="1">
      <alignment horizontal="left"/>
    </xf>
    <xf numFmtId="1" fontId="2" fillId="0" borderId="0" xfId="1" applyNumberFormat="1" applyAlignment="1">
      <alignment horizontal="left"/>
    </xf>
    <xf numFmtId="0" fontId="5" fillId="2" borderId="0" xfId="3" applyFont="1" applyFill="1" applyAlignment="1">
      <alignment horizontal="left"/>
    </xf>
    <xf numFmtId="0" fontId="1" fillId="2" borderId="0" xfId="3" applyFill="1"/>
    <xf numFmtId="0" fontId="2" fillId="0" borderId="0" xfId="1"/>
    <xf numFmtId="0" fontId="1" fillId="3" borderId="0" xfId="2" applyFill="1"/>
    <xf numFmtId="2" fontId="2" fillId="0" borderId="14" xfId="1" applyNumberFormat="1" applyBorder="1" applyAlignment="1">
      <alignment horizontal="center"/>
    </xf>
    <xf numFmtId="0" fontId="2" fillId="0" borderId="2" xfId="1" applyBorder="1"/>
    <xf numFmtId="0" fontId="1" fillId="0" borderId="9" xfId="2" applyBorder="1"/>
    <xf numFmtId="2" fontId="7" fillId="0" borderId="11" xfId="1" applyNumberFormat="1" applyFont="1" applyBorder="1" applyAlignment="1">
      <alignment horizontal="center"/>
    </xf>
    <xf numFmtId="0" fontId="1" fillId="0" borderId="4" xfId="2" applyBorder="1"/>
    <xf numFmtId="0" fontId="2" fillId="0" borderId="5" xfId="1" applyBorder="1" applyAlignment="1">
      <alignment horizontal="left"/>
    </xf>
    <xf numFmtId="0" fontId="2" fillId="0" borderId="8" xfId="1" applyBorder="1" applyAlignment="1">
      <alignment horizontal="left"/>
    </xf>
    <xf numFmtId="49" fontId="1" fillId="4" borderId="4" xfId="2" applyNumberFormat="1" applyFill="1" applyBorder="1"/>
    <xf numFmtId="0" fontId="1" fillId="0" borderId="5" xfId="2" applyBorder="1"/>
    <xf numFmtId="1" fontId="1" fillId="0" borderId="5" xfId="2" applyNumberFormat="1" applyBorder="1"/>
    <xf numFmtId="2" fontId="2" fillId="0" borderId="5" xfId="1" applyNumberFormat="1" applyBorder="1"/>
    <xf numFmtId="2" fontId="2" fillId="5" borderId="5" xfId="1" quotePrefix="1" applyNumberFormat="1" applyFill="1" applyBorder="1"/>
    <xf numFmtId="2" fontId="2" fillId="5" borderId="5" xfId="1" applyNumberFormat="1" applyFill="1" applyBorder="1"/>
    <xf numFmtId="1" fontId="2" fillId="5" borderId="5" xfId="1" quotePrefix="1" applyNumberFormat="1" applyFill="1" applyBorder="1"/>
    <xf numFmtId="164" fontId="2" fillId="5" borderId="5" xfId="1" applyNumberFormat="1" applyFill="1" applyBorder="1"/>
    <xf numFmtId="165" fontId="2" fillId="0" borderId="8" xfId="1" applyNumberFormat="1" applyBorder="1"/>
    <xf numFmtId="2" fontId="2" fillId="5" borderId="7" xfId="1" applyNumberFormat="1" applyFill="1" applyBorder="1"/>
    <xf numFmtId="166" fontId="2" fillId="0" borderId="8" xfId="1" applyNumberFormat="1" applyBorder="1"/>
    <xf numFmtId="0" fontId="1" fillId="0" borderId="4" xfId="2" applyBorder="1" applyAlignment="1">
      <alignment horizontal="center"/>
    </xf>
    <xf numFmtId="0" fontId="2" fillId="5" borderId="5" xfId="1" quotePrefix="1" applyFill="1" applyBorder="1"/>
    <xf numFmtId="167" fontId="8" fillId="5" borderId="18" xfId="1" applyNumberFormat="1" applyFont="1" applyFill="1" applyBorder="1"/>
    <xf numFmtId="0" fontId="2" fillId="5" borderId="5" xfId="1" applyFill="1" applyBorder="1"/>
    <xf numFmtId="0" fontId="2" fillId="0" borderId="5" xfId="1" applyBorder="1"/>
    <xf numFmtId="167" fontId="9" fillId="5" borderId="19" xfId="1" quotePrefix="1" applyNumberFormat="1" applyFont="1" applyFill="1" applyBorder="1"/>
    <xf numFmtId="49" fontId="1" fillId="0" borderId="4" xfId="2" applyNumberFormat="1" applyBorder="1"/>
    <xf numFmtId="2" fontId="2" fillId="0" borderId="5" xfId="1" quotePrefix="1" applyNumberFormat="1" applyBorder="1"/>
    <xf numFmtId="1" fontId="2" fillId="0" borderId="5" xfId="1" quotePrefix="1" applyNumberFormat="1" applyBorder="1"/>
    <xf numFmtId="164" fontId="2" fillId="0" borderId="5" xfId="1" applyNumberFormat="1" applyBorder="1"/>
    <xf numFmtId="2" fontId="2" fillId="0" borderId="7" xfId="1" applyNumberFormat="1" applyBorder="1"/>
    <xf numFmtId="0" fontId="2" fillId="0" borderId="5" xfId="1" quotePrefix="1" applyBorder="1"/>
    <xf numFmtId="167" fontId="8" fillId="0" borderId="18" xfId="1" applyNumberFormat="1" applyFont="1" applyBorder="1"/>
    <xf numFmtId="167" fontId="9" fillId="0" borderId="19" xfId="1" quotePrefix="1" applyNumberFormat="1" applyFont="1" applyBorder="1"/>
    <xf numFmtId="0" fontId="3" fillId="0" borderId="1" xfId="1" applyFont="1" applyBorder="1" applyAlignment="1">
      <alignment horizontal="center"/>
    </xf>
    <xf numFmtId="0" fontId="3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0" fontId="6" fillId="0" borderId="1" xfId="2" applyFont="1" applyBorder="1" applyAlignment="1">
      <alignment horizontal="center"/>
    </xf>
    <xf numFmtId="0" fontId="6" fillId="0" borderId="2" xfId="2" applyFont="1" applyBorder="1" applyAlignment="1">
      <alignment horizontal="center"/>
    </xf>
    <xf numFmtId="0" fontId="6" fillId="0" borderId="3" xfId="2" applyFont="1" applyBorder="1" applyAlignment="1">
      <alignment horizontal="center"/>
    </xf>
    <xf numFmtId="0" fontId="2" fillId="0" borderId="15" xfId="1" applyBorder="1" applyAlignment="1">
      <alignment horizontal="center"/>
    </xf>
    <xf numFmtId="0" fontId="2" fillId="0" borderId="16" xfId="1" applyBorder="1" applyAlignment="1">
      <alignment horizontal="center"/>
    </xf>
    <xf numFmtId="0" fontId="2" fillId="0" borderId="17" xfId="1" applyBorder="1" applyAlignment="1">
      <alignment horizontal="center"/>
    </xf>
    <xf numFmtId="2" fontId="2" fillId="0" borderId="15" xfId="1" applyNumberFormat="1" applyBorder="1" applyAlignment="1">
      <alignment horizontal="center"/>
    </xf>
    <xf numFmtId="2" fontId="2" fillId="0" borderId="16" xfId="1" applyNumberFormat="1" applyBorder="1" applyAlignment="1">
      <alignment horizontal="center"/>
    </xf>
    <xf numFmtId="2" fontId="2" fillId="0" borderId="13" xfId="1" applyNumberFormat="1" applyBorder="1" applyAlignment="1">
      <alignment horizontal="center"/>
    </xf>
  </cellXfs>
  <cellStyles count="4">
    <cellStyle name="Normal" xfId="0" builtinId="0"/>
    <cellStyle name="Normal 11" xfId="1"/>
    <cellStyle name="Normal 2 2" xfId="3"/>
    <cellStyle name="Normal 2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cad2024/TemplateExcel/Dimensi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cad2024/VBA/HeriAds-JackCAD.xla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cad2024/contoh/Data/Samp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tungan"/>
      <sheetName val="BM"/>
      <sheetName val="Cros"/>
      <sheetName val="L"/>
      <sheetName val="TM"/>
      <sheetName val="TM4kr"/>
      <sheetName val="WS"/>
      <sheetName val="WS I"/>
      <sheetName val="WS II"/>
      <sheetName val="WS III"/>
      <sheetName val="WS9kn2"/>
      <sheetName val="dim"/>
      <sheetName val="dim (2)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loope crossplan"/>
      <sheetName val="Sheet1"/>
      <sheetName val="LONGSECTION"/>
      <sheetName val="Digitasi"/>
      <sheetName val="List"/>
      <sheetName val="Data Desain Saluran"/>
    </sheetNames>
    <definedNames>
      <definedName name="Acanal"/>
      <definedName name="froud"/>
      <definedName name="Kcanal"/>
      <definedName name="kriterian"/>
      <definedName name="mcanal"/>
      <definedName name="Pcanal"/>
      <definedName name="rcanal"/>
      <definedName name="Tangguljalan"/>
      <definedName name="Tanggulnojalan"/>
      <definedName name="vcanal"/>
      <definedName name="wcanal"/>
      <definedName name="Wlining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P"/>
      <sheetName val="Poligon"/>
      <sheetName val="Situasi"/>
      <sheetName val="BM"/>
      <sheetName val="Cross"/>
      <sheetName val="Dimensi"/>
      <sheetName val="Sadap"/>
      <sheetName val="Box"/>
      <sheetName val="Terjunmiring"/>
      <sheetName val="Terjun Tegak"/>
      <sheetName val="TerjunTersi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9"/>
  <sheetViews>
    <sheetView tabSelected="1" zoomScale="80" zoomScaleNormal="80" workbookViewId="0">
      <selection activeCell="A6" sqref="A6"/>
    </sheetView>
  </sheetViews>
  <sheetFormatPr defaultColWidth="8.88671875" defaultRowHeight="13.2" x14ac:dyDescent="0.25"/>
  <cols>
    <col min="1" max="2" width="9.21875" style="1" customWidth="1"/>
    <col min="3" max="3" width="20.109375" style="1" customWidth="1"/>
    <col min="4" max="5" width="8.88671875" style="1"/>
    <col min="6" max="7" width="6.6640625" style="1" customWidth="1"/>
    <col min="8" max="8" width="9" style="1" customWidth="1"/>
    <col min="9" max="9" width="8.6640625" style="1" customWidth="1"/>
    <col min="10" max="10" width="9.109375" style="1" customWidth="1"/>
    <col min="11" max="11" width="9.5546875" style="1" customWidth="1"/>
    <col min="12" max="12" width="9.77734375" style="1" customWidth="1"/>
    <col min="13" max="13" width="13.109375" style="1" customWidth="1"/>
    <col min="14" max="26" width="9.33203125" style="1" customWidth="1"/>
    <col min="27" max="27" width="15.21875" style="1" customWidth="1"/>
    <col min="28" max="32" width="8.88671875" style="1"/>
    <col min="33" max="33" width="11.33203125" style="1" customWidth="1"/>
    <col min="34" max="34" width="10.5546875" style="1" customWidth="1"/>
    <col min="35" max="35" width="12.44140625" style="1" customWidth="1"/>
    <col min="36" max="36" width="10.5546875" style="1" customWidth="1"/>
    <col min="37" max="16384" width="8.88671875" style="1"/>
  </cols>
  <sheetData>
    <row r="1" spans="1:36" ht="16.2" thickBot="1" x14ac:dyDescent="0.35">
      <c r="A1" s="25" t="s">
        <v>1</v>
      </c>
      <c r="B1" s="26"/>
      <c r="C1" s="2"/>
      <c r="D1" s="2"/>
      <c r="E1" s="2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28" t="s">
        <v>51</v>
      </c>
      <c r="AD1" s="28">
        <v>1.5</v>
      </c>
      <c r="AE1" s="27"/>
      <c r="AF1" s="27"/>
      <c r="AG1" s="27"/>
      <c r="AH1" s="27"/>
      <c r="AI1" s="27"/>
      <c r="AJ1" s="27"/>
    </row>
    <row r="2" spans="1:36" ht="18.600000000000001" thickBot="1" x14ac:dyDescent="0.4">
      <c r="A2" s="61" t="s">
        <v>2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3"/>
      <c r="AB2" s="2"/>
      <c r="AC2" s="64" t="s">
        <v>46</v>
      </c>
      <c r="AD2" s="65"/>
      <c r="AE2" s="65"/>
      <c r="AF2" s="65"/>
      <c r="AG2" s="65"/>
      <c r="AH2" s="65"/>
      <c r="AI2" s="65"/>
      <c r="AJ2" s="66"/>
    </row>
    <row r="3" spans="1:36" ht="16.2" thickBot="1" x14ac:dyDescent="0.35">
      <c r="A3" s="4" t="s">
        <v>0</v>
      </c>
      <c r="B3" s="5" t="s">
        <v>3</v>
      </c>
      <c r="C3" s="5" t="s">
        <v>4</v>
      </c>
      <c r="D3" s="6" t="s">
        <v>5</v>
      </c>
      <c r="E3" s="7" t="s">
        <v>6</v>
      </c>
      <c r="F3" s="6" t="s">
        <v>7</v>
      </c>
      <c r="G3" s="6" t="s">
        <v>8</v>
      </c>
      <c r="H3" s="6" t="s">
        <v>9</v>
      </c>
      <c r="I3" s="6" t="s">
        <v>10</v>
      </c>
      <c r="J3" s="7" t="s">
        <v>11</v>
      </c>
      <c r="K3" s="6" t="s">
        <v>12</v>
      </c>
      <c r="L3" s="8" t="s">
        <v>13</v>
      </c>
      <c r="M3" s="9" t="s">
        <v>14</v>
      </c>
      <c r="N3" s="10" t="s">
        <v>15</v>
      </c>
      <c r="O3" s="6" t="s">
        <v>15</v>
      </c>
      <c r="P3" s="6" t="s">
        <v>10</v>
      </c>
      <c r="Q3" s="6" t="s">
        <v>9</v>
      </c>
      <c r="R3" s="6" t="s">
        <v>47</v>
      </c>
      <c r="S3" s="6" t="s">
        <v>16</v>
      </c>
      <c r="T3" s="6" t="s">
        <v>17</v>
      </c>
      <c r="U3" s="6" t="s">
        <v>18</v>
      </c>
      <c r="V3" s="6" t="s">
        <v>17</v>
      </c>
      <c r="W3" s="6" t="s">
        <v>18</v>
      </c>
      <c r="X3" s="6" t="s">
        <v>19</v>
      </c>
      <c r="Y3" s="6" t="s">
        <v>19</v>
      </c>
      <c r="Z3" s="6" t="s">
        <v>20</v>
      </c>
      <c r="AA3" s="11" t="s">
        <v>21</v>
      </c>
      <c r="AB3" s="2"/>
      <c r="AC3" s="29" t="s">
        <v>22</v>
      </c>
      <c r="AD3" s="30" t="s">
        <v>48</v>
      </c>
      <c r="AE3" s="67" t="s">
        <v>49</v>
      </c>
      <c r="AF3" s="68"/>
      <c r="AG3" s="69"/>
      <c r="AH3" s="70" t="s">
        <v>23</v>
      </c>
      <c r="AI3" s="71"/>
      <c r="AJ3" s="72"/>
    </row>
    <row r="4" spans="1:36" ht="19.2" thickBot="1" x14ac:dyDescent="0.35">
      <c r="A4" s="12"/>
      <c r="B4" s="13" t="s">
        <v>24</v>
      </c>
      <c r="C4" s="13"/>
      <c r="D4" s="14" t="s">
        <v>25</v>
      </c>
      <c r="E4" s="15" t="s">
        <v>26</v>
      </c>
      <c r="F4" s="14" t="s">
        <v>27</v>
      </c>
      <c r="G4" s="14" t="s">
        <v>27</v>
      </c>
      <c r="H4" s="14" t="s">
        <v>27</v>
      </c>
      <c r="I4" s="14"/>
      <c r="J4" s="15" t="s">
        <v>28</v>
      </c>
      <c r="K4" s="14"/>
      <c r="L4" s="16" t="s">
        <v>29</v>
      </c>
      <c r="M4" s="17"/>
      <c r="N4" s="18" t="s">
        <v>30</v>
      </c>
      <c r="O4" s="14" t="s">
        <v>31</v>
      </c>
      <c r="P4" s="14" t="s">
        <v>32</v>
      </c>
      <c r="Q4" s="14" t="s">
        <v>33</v>
      </c>
      <c r="R4" s="14" t="s">
        <v>34</v>
      </c>
      <c r="S4" s="14" t="s">
        <v>35</v>
      </c>
      <c r="T4" s="14" t="s">
        <v>36</v>
      </c>
      <c r="U4" s="14" t="s">
        <v>36</v>
      </c>
      <c r="V4" s="14" t="s">
        <v>32</v>
      </c>
      <c r="W4" s="14" t="s">
        <v>32</v>
      </c>
      <c r="X4" s="14" t="s">
        <v>37</v>
      </c>
      <c r="Y4" s="14" t="s">
        <v>38</v>
      </c>
      <c r="Z4" s="14" t="s">
        <v>39</v>
      </c>
      <c r="AA4" s="19" t="s">
        <v>40</v>
      </c>
      <c r="AB4" s="2"/>
      <c r="AC4" s="31" t="s">
        <v>41</v>
      </c>
      <c r="AD4" s="14" t="s">
        <v>12</v>
      </c>
      <c r="AE4" s="14" t="s">
        <v>5</v>
      </c>
      <c r="AF4" s="14" t="s">
        <v>42</v>
      </c>
      <c r="AG4" s="14" t="s">
        <v>43</v>
      </c>
      <c r="AH4" s="14" t="s">
        <v>6</v>
      </c>
      <c r="AI4" s="14" t="s">
        <v>44</v>
      </c>
      <c r="AJ4" s="32" t="s">
        <v>50</v>
      </c>
    </row>
    <row r="5" spans="1:36" ht="15.6" x14ac:dyDescent="0.3">
      <c r="A5" s="20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2"/>
      <c r="N5" s="23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2"/>
      <c r="AB5" s="24"/>
      <c r="AC5" s="33"/>
      <c r="AD5" s="34"/>
      <c r="AE5" s="34"/>
      <c r="AF5" s="34"/>
      <c r="AG5" s="34"/>
      <c r="AH5" s="34"/>
      <c r="AI5" s="34"/>
      <c r="AJ5" s="35"/>
    </row>
    <row r="6" spans="1:36" ht="17.399999999999999" x14ac:dyDescent="0.4">
      <c r="A6" s="36">
        <v>1</v>
      </c>
      <c r="B6" s="37"/>
      <c r="C6" s="37" t="s">
        <v>52</v>
      </c>
      <c r="D6" s="37">
        <v>613.44000000000005</v>
      </c>
      <c r="E6" s="38">
        <f>D6*$AD$1</f>
        <v>920.16000000000008</v>
      </c>
      <c r="F6" s="39">
        <v>1.3</v>
      </c>
      <c r="G6" s="39">
        <v>1.3</v>
      </c>
      <c r="H6" s="40">
        <f>[2]!wcanal(E6)</f>
        <v>0.5</v>
      </c>
      <c r="I6" s="41">
        <f>[2]!mcanal(G6,H6)</f>
        <v>1.5</v>
      </c>
      <c r="J6" s="42">
        <f>[2]!Kcanal(AC6)</f>
        <v>35</v>
      </c>
      <c r="K6" s="39">
        <f t="shared" ref="K6:K38" si="0">F6/G6</f>
        <v>1</v>
      </c>
      <c r="L6" s="43">
        <f>[2]!vcanal(J6,AG6,M6,AC6)</f>
        <v>0.55483757652031251</v>
      </c>
      <c r="M6" s="44">
        <v>4.0000000000000002E-4</v>
      </c>
      <c r="N6" s="45">
        <f>[2]!Tangguljalan(E6)</f>
        <v>3</v>
      </c>
      <c r="O6" s="41">
        <f>[2]!Tanggulnojalan(E6)</f>
        <v>1</v>
      </c>
      <c r="P6" s="41">
        <f>[2]!mcanal(G6,H6)</f>
        <v>1.5</v>
      </c>
      <c r="Q6" s="40">
        <f>[2]!Wlining(E6)</f>
        <v>0.2</v>
      </c>
      <c r="R6" s="39">
        <v>0.3</v>
      </c>
      <c r="S6" s="39">
        <v>2</v>
      </c>
      <c r="T6" s="39">
        <v>0</v>
      </c>
      <c r="U6" s="39">
        <v>3</v>
      </c>
      <c r="V6" s="39">
        <v>0</v>
      </c>
      <c r="W6" s="39">
        <v>3</v>
      </c>
      <c r="X6" s="39">
        <v>0</v>
      </c>
      <c r="Y6" s="39">
        <v>0</v>
      </c>
      <c r="Z6" s="39">
        <v>0</v>
      </c>
      <c r="AA6" s="46">
        <v>0</v>
      </c>
      <c r="AC6" s="47" t="s">
        <v>45</v>
      </c>
      <c r="AD6" s="48">
        <f>[2]!kriterian(E6)</f>
        <v>1.4</v>
      </c>
      <c r="AE6" s="49">
        <f>[2]!Acanal(F6,G6,I6)</f>
        <v>4.2250000000000005</v>
      </c>
      <c r="AF6" s="50">
        <f>[2]!Pcanal(F6,G6,I6)</f>
        <v>5.9872166581031863</v>
      </c>
      <c r="AG6" s="43">
        <f>[2]!rcanal(F6,G6,I6)</f>
        <v>0.70567013710483051</v>
      </c>
      <c r="AH6" s="51">
        <f t="shared" ref="AH6:AH38" si="1">AE6*L6*1000</f>
        <v>2344.1887607983208</v>
      </c>
      <c r="AI6" s="52">
        <f>[2]!froud(F6,G6,L6)</f>
        <v>0.25052228270615057</v>
      </c>
      <c r="AJ6" s="44">
        <f t="shared" ref="AJ6:AJ38" si="2">M6*AG6^0.5</f>
        <v>3.3601669889571394E-4</v>
      </c>
    </row>
    <row r="7" spans="1:36" ht="17.399999999999999" x14ac:dyDescent="0.4">
      <c r="A7" s="36">
        <v>2</v>
      </c>
      <c r="B7" s="37"/>
      <c r="C7" s="37" t="s">
        <v>53</v>
      </c>
      <c r="D7" s="37">
        <v>163.44</v>
      </c>
      <c r="E7" s="38">
        <f>D7*$AD$1</f>
        <v>245.16</v>
      </c>
      <c r="F7" s="39">
        <v>0.85</v>
      </c>
      <c r="G7" s="39">
        <v>0.71</v>
      </c>
      <c r="H7" s="40">
        <f>[2]!wcanal(E7)</f>
        <v>0.4</v>
      </c>
      <c r="I7" s="41">
        <f>[2]!mcanal(G7,H7)</f>
        <v>1.5</v>
      </c>
      <c r="J7" s="42">
        <f>[2]!Kcanal(AC7)</f>
        <v>35</v>
      </c>
      <c r="K7" s="39">
        <f t="shared" si="0"/>
        <v>1.1971830985915493</v>
      </c>
      <c r="L7" s="43">
        <f>[2]!vcanal(J7,AG7,M7,AC7)</f>
        <v>0.37921442318329734</v>
      </c>
      <c r="M7" s="44">
        <v>4.0000000000000002E-4</v>
      </c>
      <c r="N7" s="45">
        <f>[2]!Tangguljalan(E7)</f>
        <v>3</v>
      </c>
      <c r="O7" s="41">
        <f>[2]!Tanggulnojalan(E7)</f>
        <v>1</v>
      </c>
      <c r="P7" s="41">
        <f>[2]!mcanal(G7,H7)</f>
        <v>1.5</v>
      </c>
      <c r="Q7" s="40">
        <f>[2]!Wlining(E7)</f>
        <v>0.2</v>
      </c>
      <c r="R7" s="39">
        <v>0.3</v>
      </c>
      <c r="S7" s="39">
        <v>2</v>
      </c>
      <c r="T7" s="39">
        <v>0</v>
      </c>
      <c r="U7" s="39">
        <v>3</v>
      </c>
      <c r="V7" s="39">
        <v>0</v>
      </c>
      <c r="W7" s="39">
        <v>3</v>
      </c>
      <c r="X7" s="39">
        <v>0</v>
      </c>
      <c r="Y7" s="39">
        <v>0</v>
      </c>
      <c r="Z7" s="39">
        <v>0</v>
      </c>
      <c r="AA7" s="46">
        <v>0</v>
      </c>
      <c r="AC7" s="47" t="s">
        <v>45</v>
      </c>
      <c r="AD7" s="48">
        <f>[2]!kriterian(E7)</f>
        <v>1</v>
      </c>
      <c r="AE7" s="49">
        <f>[2]!Acanal(F7,G7,I7)</f>
        <v>1.35965</v>
      </c>
      <c r="AF7" s="50">
        <f>[2]!Pcanal(F7,G7,I7)</f>
        <v>3.4099414055794321</v>
      </c>
      <c r="AG7" s="43">
        <f>[2]!rcanal(F7,G7,I7)</f>
        <v>0.39873119161968779</v>
      </c>
      <c r="AH7" s="51">
        <f t="shared" si="1"/>
        <v>515.5988904811702</v>
      </c>
      <c r="AI7" s="52">
        <f>[2]!froud(F7,G7,L7)</f>
        <v>0.15648944588087832</v>
      </c>
      <c r="AJ7" s="44">
        <f t="shared" si="2"/>
        <v>2.5258066168879607E-4</v>
      </c>
    </row>
    <row r="8" spans="1:36" ht="17.399999999999999" x14ac:dyDescent="0.4">
      <c r="A8" s="36">
        <v>3</v>
      </c>
      <c r="B8" s="37"/>
      <c r="C8" s="37" t="s">
        <v>54</v>
      </c>
      <c r="D8" s="37">
        <v>45.52</v>
      </c>
      <c r="E8" s="38">
        <f>D8*$AD$1</f>
        <v>68.28</v>
      </c>
      <c r="F8" s="39">
        <v>1.5</v>
      </c>
      <c r="G8" s="39">
        <v>0.7</v>
      </c>
      <c r="H8" s="40">
        <f>[2]!wcanal(E8)</f>
        <v>0.4</v>
      </c>
      <c r="I8" s="41">
        <f>[2]!mcanal(G8,H8)</f>
        <v>1.5</v>
      </c>
      <c r="J8" s="42">
        <f>[2]!Kcanal(AC8)</f>
        <v>35</v>
      </c>
      <c r="K8" s="39">
        <f t="shared" si="0"/>
        <v>2.1428571428571428</v>
      </c>
      <c r="L8" s="43">
        <f>[2]!vcanal(J8,AG8,M8,AC8)</f>
        <v>0.40715497816811685</v>
      </c>
      <c r="M8" s="44">
        <v>4.0000000000000002E-4</v>
      </c>
      <c r="N8" s="45">
        <f>[2]!Tangguljalan(E8)</f>
        <v>3</v>
      </c>
      <c r="O8" s="41">
        <f>[2]!Tanggulnojalan(E8)</f>
        <v>1</v>
      </c>
      <c r="P8" s="41">
        <f>[2]!mcanal(G8,H8)</f>
        <v>1.5</v>
      </c>
      <c r="Q8" s="40">
        <f>[2]!Wlining(E8)</f>
        <v>0.2</v>
      </c>
      <c r="R8" s="39">
        <v>0.5</v>
      </c>
      <c r="S8" s="39">
        <v>2</v>
      </c>
      <c r="T8" s="39">
        <v>0</v>
      </c>
      <c r="U8" s="39">
        <v>3</v>
      </c>
      <c r="V8" s="39">
        <v>0</v>
      </c>
      <c r="W8" s="39">
        <v>3</v>
      </c>
      <c r="X8" s="39">
        <v>0</v>
      </c>
      <c r="Y8" s="39">
        <v>0</v>
      </c>
      <c r="Z8" s="39">
        <v>0</v>
      </c>
      <c r="AA8" s="46">
        <v>0</v>
      </c>
      <c r="AC8" s="47" t="s">
        <v>45</v>
      </c>
      <c r="AD8" s="48">
        <f>[2]!kriterian(E8)</f>
        <v>1</v>
      </c>
      <c r="AE8" s="49">
        <f>[2]!Acanal(F8,G8,I8)</f>
        <v>1.7849999999999997</v>
      </c>
      <c r="AF8" s="50">
        <f>[2]!Pcanal(F8,G8,I8)</f>
        <v>4.0238858928247918</v>
      </c>
      <c r="AG8" s="43">
        <f>[2]!rcanal(F8,G8,I8)</f>
        <v>0.44360104822627539</v>
      </c>
      <c r="AH8" s="51">
        <f t="shared" si="1"/>
        <v>726.77163603008842</v>
      </c>
      <c r="AI8" s="52">
        <f>[2]!froud(F8,G8,L8)</f>
        <v>0.12558669566272912</v>
      </c>
      <c r="AJ8" s="44">
        <f t="shared" si="2"/>
        <v>2.6641352765241494E-4</v>
      </c>
    </row>
    <row r="9" spans="1:36" ht="17.399999999999999" x14ac:dyDescent="0.4">
      <c r="A9" s="36">
        <v>4</v>
      </c>
      <c r="B9" s="37"/>
      <c r="C9" s="37" t="s">
        <v>55</v>
      </c>
      <c r="D9" s="37">
        <v>21.71</v>
      </c>
      <c r="E9" s="38">
        <f>D9*$AD$1</f>
        <v>32.564999999999998</v>
      </c>
      <c r="F9" s="39">
        <v>1.5</v>
      </c>
      <c r="G9" s="39">
        <v>0.8</v>
      </c>
      <c r="H9" s="40">
        <f>[2]!wcanal(E9)</f>
        <v>0.4</v>
      </c>
      <c r="I9" s="41">
        <f>[2]!mcanal(G9,H9)</f>
        <v>1.5</v>
      </c>
      <c r="J9" s="42">
        <f>[2]!Kcanal(AC9)</f>
        <v>35</v>
      </c>
      <c r="K9" s="39">
        <f t="shared" si="0"/>
        <v>1.875</v>
      </c>
      <c r="L9" s="43">
        <f>[2]!vcanal(J9,AG9,M9,AC9)</f>
        <v>0.42558487845403487</v>
      </c>
      <c r="M9" s="44">
        <v>3.8000000000000002E-4</v>
      </c>
      <c r="N9" s="45">
        <f>[2]!Tangguljalan(E9)</f>
        <v>3</v>
      </c>
      <c r="O9" s="41">
        <f>[2]!Tanggulnojalan(E9)</f>
        <v>1</v>
      </c>
      <c r="P9" s="41">
        <f>[2]!mcanal(G9,H9)</f>
        <v>1.5</v>
      </c>
      <c r="Q9" s="40">
        <f>[2]!Wlining(E9)</f>
        <v>0.2</v>
      </c>
      <c r="R9" s="39">
        <v>0.3</v>
      </c>
      <c r="S9" s="39">
        <v>2</v>
      </c>
      <c r="T9" s="39">
        <v>0</v>
      </c>
      <c r="U9" s="39">
        <v>3</v>
      </c>
      <c r="V9" s="39">
        <v>0</v>
      </c>
      <c r="W9" s="39">
        <v>3</v>
      </c>
      <c r="X9" s="39">
        <v>0</v>
      </c>
      <c r="Y9" s="39">
        <v>0</v>
      </c>
      <c r="Z9" s="39">
        <v>0</v>
      </c>
      <c r="AA9" s="46">
        <v>0</v>
      </c>
      <c r="AC9" s="47" t="s">
        <v>45</v>
      </c>
      <c r="AD9" s="48">
        <f>[2]!kriterian(E9)</f>
        <v>1</v>
      </c>
      <c r="AE9" s="49">
        <f>[2]!Acanal(F9,G9,I9)</f>
        <v>2.16</v>
      </c>
      <c r="AF9" s="50">
        <f>[2]!Pcanal(F9,G9,I9)</f>
        <v>4.3844410203711917</v>
      </c>
      <c r="AG9" s="43">
        <f>[2]!rcanal(F9,G9,I9)</f>
        <v>0.49265117034625594</v>
      </c>
      <c r="AH9" s="51">
        <f t="shared" si="1"/>
        <v>919.26333746071543</v>
      </c>
      <c r="AI9" s="52">
        <f>[2]!froud(F9,G9,L9)</f>
        <v>0.14033501540876236</v>
      </c>
      <c r="AJ9" s="44">
        <f t="shared" si="2"/>
        <v>2.667186326412149E-4</v>
      </c>
    </row>
    <row r="10" spans="1:36" ht="17.399999999999999" x14ac:dyDescent="0.4">
      <c r="A10" s="36">
        <v>5</v>
      </c>
      <c r="B10" s="37"/>
      <c r="C10" s="37" t="s">
        <v>56</v>
      </c>
      <c r="D10" s="37">
        <v>39.21</v>
      </c>
      <c r="E10" s="38">
        <f>D10*$AD$1</f>
        <v>58.814999999999998</v>
      </c>
      <c r="F10" s="39">
        <v>0.5</v>
      </c>
      <c r="G10" s="39">
        <v>0.38</v>
      </c>
      <c r="H10" s="40">
        <f>[2]!wcanal(E10)</f>
        <v>0.4</v>
      </c>
      <c r="I10" s="41">
        <f>[2]!mcanal(G10,H10)</f>
        <v>1</v>
      </c>
      <c r="J10" s="42">
        <f>[2]!Kcanal(AC10)</f>
        <v>35</v>
      </c>
      <c r="K10" s="39">
        <f t="shared" si="0"/>
        <v>1.3157894736842106</v>
      </c>
      <c r="L10" s="43">
        <f>[2]!vcanal(J10,AG10,M10,AC10)</f>
        <v>0.23305703523414731</v>
      </c>
      <c r="M10" s="44">
        <v>3.5E-4</v>
      </c>
      <c r="N10" s="45">
        <f>[2]!Tangguljalan(E10)</f>
        <v>3</v>
      </c>
      <c r="O10" s="41">
        <f>[2]!Tanggulnojalan(E10)</f>
        <v>1</v>
      </c>
      <c r="P10" s="41">
        <f>[2]!mcanal(G10,H10)</f>
        <v>1</v>
      </c>
      <c r="Q10" s="40">
        <f>[2]!Wlining(E10)</f>
        <v>0.2</v>
      </c>
      <c r="R10" s="39">
        <v>0.3</v>
      </c>
      <c r="S10" s="39">
        <v>2</v>
      </c>
      <c r="T10" s="39">
        <v>0</v>
      </c>
      <c r="U10" s="39">
        <v>3</v>
      </c>
      <c r="V10" s="39">
        <v>0</v>
      </c>
      <c r="W10" s="39">
        <v>3</v>
      </c>
      <c r="X10" s="39">
        <v>2</v>
      </c>
      <c r="Y10" s="39">
        <v>0</v>
      </c>
      <c r="Z10" s="39">
        <v>0.15</v>
      </c>
      <c r="AA10" s="46">
        <v>0.05</v>
      </c>
      <c r="AC10" s="47" t="s">
        <v>45</v>
      </c>
      <c r="AD10" s="48">
        <f>[2]!kriterian(E10)</f>
        <v>1</v>
      </c>
      <c r="AE10" s="49">
        <f>[2]!Acanal(F10,G10,I10)</f>
        <v>0.33440000000000003</v>
      </c>
      <c r="AF10" s="50">
        <f>[2]!Pcanal(F10,G10,I10)</f>
        <v>1.5748023074035524</v>
      </c>
      <c r="AG10" s="43">
        <f>[2]!rcanal(F10,G10,I10)</f>
        <v>0.21234411356136529</v>
      </c>
      <c r="AH10" s="51">
        <f t="shared" si="1"/>
        <v>77.93427258229886</v>
      </c>
      <c r="AI10" s="52">
        <f>[2]!froud(F10,G10,L10)</f>
        <v>9.1738050682813266E-2</v>
      </c>
      <c r="AJ10" s="44">
        <f t="shared" si="2"/>
        <v>1.6128283824160352E-4</v>
      </c>
    </row>
    <row r="11" spans="1:36" ht="17.399999999999999" x14ac:dyDescent="0.4">
      <c r="A11" s="36">
        <v>6</v>
      </c>
      <c r="B11" s="37"/>
      <c r="C11" s="37"/>
      <c r="D11" s="37"/>
      <c r="E11" s="38"/>
      <c r="F11" s="39"/>
      <c r="G11" s="39"/>
      <c r="H11" s="40"/>
      <c r="I11" s="41"/>
      <c r="J11" s="42"/>
      <c r="K11" s="39"/>
      <c r="L11" s="43"/>
      <c r="M11" s="44"/>
      <c r="N11" s="45"/>
      <c r="O11" s="41"/>
      <c r="P11" s="41"/>
      <c r="Q11" s="40"/>
      <c r="R11" s="39"/>
      <c r="S11" s="39"/>
      <c r="T11" s="39"/>
      <c r="U11" s="39"/>
      <c r="V11" s="39"/>
      <c r="W11" s="39"/>
      <c r="X11" s="39"/>
      <c r="Y11" s="39"/>
      <c r="Z11" s="39"/>
      <c r="AA11" s="46"/>
      <c r="AC11" s="47"/>
      <c r="AD11" s="48"/>
      <c r="AE11" s="49"/>
      <c r="AF11" s="50"/>
      <c r="AG11" s="43"/>
      <c r="AH11" s="51"/>
      <c r="AI11" s="52"/>
      <c r="AJ11" s="44"/>
    </row>
    <row r="12" spans="1:36" ht="17.399999999999999" x14ac:dyDescent="0.4">
      <c r="A12" s="36">
        <v>7</v>
      </c>
      <c r="B12" s="37" t="s">
        <v>57</v>
      </c>
      <c r="C12" s="37" t="s">
        <v>58</v>
      </c>
      <c r="D12" s="37">
        <v>32.49</v>
      </c>
      <c r="E12" s="38">
        <f t="shared" ref="E12:E17" si="3">D12*$AD$1</f>
        <v>48.734999999999999</v>
      </c>
      <c r="F12" s="39">
        <v>0.4</v>
      </c>
      <c r="G12" s="39">
        <v>0.36</v>
      </c>
      <c r="H12" s="40">
        <f>[2]!wcanal(E12)</f>
        <v>0.4</v>
      </c>
      <c r="I12" s="41">
        <f>[2]!mcanal(G12,H12)</f>
        <v>1</v>
      </c>
      <c r="J12" s="42">
        <f>[2]!Kcanal(AC12)</f>
        <v>35</v>
      </c>
      <c r="K12" s="39">
        <f t="shared" si="0"/>
        <v>1.1111111111111112</v>
      </c>
      <c r="L12" s="43">
        <f>[2]!vcanal(J12,AG12,M12,AC12)</f>
        <v>0.36767532913760109</v>
      </c>
      <c r="M12" s="44">
        <v>9.8999999999999999E-4</v>
      </c>
      <c r="N12" s="45">
        <f>[2]!Tangguljalan(E12)</f>
        <v>3</v>
      </c>
      <c r="O12" s="41">
        <f>[2]!Tanggulnojalan(E12)</f>
        <v>1</v>
      </c>
      <c r="P12" s="41">
        <f>[2]!mcanal(G12,H12)</f>
        <v>1</v>
      </c>
      <c r="Q12" s="40">
        <f>[2]!Wlining(E12)</f>
        <v>0.2</v>
      </c>
      <c r="R12" s="39">
        <v>0.3</v>
      </c>
      <c r="S12" s="39">
        <v>2</v>
      </c>
      <c r="T12" s="39">
        <v>0</v>
      </c>
      <c r="U12" s="39">
        <v>3</v>
      </c>
      <c r="V12" s="39">
        <v>0</v>
      </c>
      <c r="W12" s="39">
        <v>3</v>
      </c>
      <c r="X12" s="39">
        <v>0</v>
      </c>
      <c r="Y12" s="39">
        <v>0</v>
      </c>
      <c r="Z12" s="39">
        <v>0</v>
      </c>
      <c r="AA12" s="46">
        <v>0</v>
      </c>
      <c r="AC12" s="47" t="s">
        <v>45</v>
      </c>
      <c r="AD12" s="48">
        <f>[2]!kriterian(E12)</f>
        <v>1</v>
      </c>
      <c r="AE12" s="49">
        <f>[2]!Acanal(F12,G12,I12)</f>
        <v>0.27360000000000001</v>
      </c>
      <c r="AF12" s="50">
        <f>[2]!Pcanal(F12,G12,I12)</f>
        <v>1.4182337649086283</v>
      </c>
      <c r="AG12" s="43">
        <f>[2]!rcanal(F12,G12,I12)</f>
        <v>0.19291601058280197</v>
      </c>
      <c r="AH12" s="51">
        <f t="shared" si="1"/>
        <v>100.59597005204766</v>
      </c>
      <c r="AI12" s="52">
        <f>[2]!froud(F12,G12,L12)</f>
        <v>0.1574948070537206</v>
      </c>
      <c r="AJ12" s="44">
        <f t="shared" si="2"/>
        <v>4.3482983105141743E-4</v>
      </c>
    </row>
    <row r="13" spans="1:36" ht="17.399999999999999" x14ac:dyDescent="0.4">
      <c r="A13" s="36">
        <v>8</v>
      </c>
      <c r="B13" s="37" t="s">
        <v>57</v>
      </c>
      <c r="C13" s="37" t="s">
        <v>59</v>
      </c>
      <c r="D13" s="37">
        <v>24.05</v>
      </c>
      <c r="E13" s="38">
        <f t="shared" si="3"/>
        <v>36.075000000000003</v>
      </c>
      <c r="F13" s="39">
        <v>0.35</v>
      </c>
      <c r="G13" s="39">
        <v>0.32</v>
      </c>
      <c r="H13" s="40">
        <f>[2]!wcanal(E13)</f>
        <v>0.4</v>
      </c>
      <c r="I13" s="41">
        <f>[2]!mcanal(G13,H13)</f>
        <v>1</v>
      </c>
      <c r="J13" s="42">
        <f>[2]!Kcanal(AC13)</f>
        <v>35</v>
      </c>
      <c r="K13" s="39">
        <f t="shared" si="0"/>
        <v>1.09375</v>
      </c>
      <c r="L13" s="43">
        <f>[2]!vcanal(J13,AG13,M13,AC13)</f>
        <v>0.22266248349086673</v>
      </c>
      <c r="M13" s="44">
        <v>4.2700000000000002E-4</v>
      </c>
      <c r="N13" s="45">
        <f>[2]!Tangguljalan(E13)</f>
        <v>3</v>
      </c>
      <c r="O13" s="41">
        <f>[2]!Tanggulnojalan(E13)</f>
        <v>1</v>
      </c>
      <c r="P13" s="41">
        <f>[2]!mcanal(G13,H13)</f>
        <v>1</v>
      </c>
      <c r="Q13" s="40">
        <f>[2]!Wlining(E13)</f>
        <v>0.2</v>
      </c>
      <c r="R13" s="39">
        <v>0.3</v>
      </c>
      <c r="S13" s="39">
        <v>2</v>
      </c>
      <c r="T13" s="39">
        <v>0</v>
      </c>
      <c r="U13" s="39">
        <v>3</v>
      </c>
      <c r="V13" s="39">
        <v>0</v>
      </c>
      <c r="W13" s="39">
        <v>3</v>
      </c>
      <c r="X13" s="39">
        <v>0</v>
      </c>
      <c r="Y13" s="39">
        <v>0</v>
      </c>
      <c r="Z13" s="39">
        <v>0</v>
      </c>
      <c r="AA13" s="46">
        <v>0</v>
      </c>
      <c r="AC13" s="47" t="s">
        <v>45</v>
      </c>
      <c r="AD13" s="48">
        <f>[2]!kriterian(E13)</f>
        <v>1</v>
      </c>
      <c r="AE13" s="49">
        <f>[2]!Acanal(F13,G13,I13)</f>
        <v>0.21439999999999998</v>
      </c>
      <c r="AF13" s="50">
        <f>[2]!Pcanal(F13,G13,I13)</f>
        <v>1.2550966799187808</v>
      </c>
      <c r="AG13" s="43">
        <f>[2]!rcanal(F13,G13,I13)</f>
        <v>0.17082349386333659</v>
      </c>
      <c r="AH13" s="51">
        <f t="shared" si="1"/>
        <v>47.738836460441824</v>
      </c>
      <c r="AI13" s="52">
        <f>[2]!froud(F13,G13,L13)</f>
        <v>9.613211777137691E-2</v>
      </c>
      <c r="AJ13" s="44">
        <f t="shared" si="2"/>
        <v>1.7648251135058199E-4</v>
      </c>
    </row>
    <row r="14" spans="1:36" ht="17.399999999999999" x14ac:dyDescent="0.4">
      <c r="A14" s="36">
        <v>9</v>
      </c>
      <c r="B14" s="37" t="s">
        <v>57</v>
      </c>
      <c r="C14" s="37" t="s">
        <v>60</v>
      </c>
      <c r="D14" s="37">
        <v>11.86</v>
      </c>
      <c r="E14" s="38">
        <f t="shared" si="3"/>
        <v>17.79</v>
      </c>
      <c r="F14" s="39">
        <v>0.3</v>
      </c>
      <c r="G14" s="39">
        <v>0.25</v>
      </c>
      <c r="H14" s="40">
        <f>[2]!wcanal(E14)</f>
        <v>0.4</v>
      </c>
      <c r="I14" s="41">
        <f>[2]!mcanal(G14,H14)</f>
        <v>1</v>
      </c>
      <c r="J14" s="42">
        <f>[2]!Kcanal(AC14)</f>
        <v>35</v>
      </c>
      <c r="K14" s="39">
        <f t="shared" si="0"/>
        <v>1.2</v>
      </c>
      <c r="L14" s="43">
        <f>[2]!vcanal(J14,AG14,M14,AC14)</f>
        <v>0.19176386183753719</v>
      </c>
      <c r="M14" s="44">
        <v>4.2700000000000002E-4</v>
      </c>
      <c r="N14" s="45">
        <f>[2]!Tangguljalan(E14)</f>
        <v>3</v>
      </c>
      <c r="O14" s="41">
        <f>[2]!Tanggulnojalan(E14)</f>
        <v>1</v>
      </c>
      <c r="P14" s="41">
        <f>[2]!mcanal(G14,H14)</f>
        <v>1</v>
      </c>
      <c r="Q14" s="40">
        <f>[2]!Wlining(E14)</f>
        <v>0.2</v>
      </c>
      <c r="R14" s="39">
        <v>0.3</v>
      </c>
      <c r="S14" s="39">
        <v>2</v>
      </c>
      <c r="T14" s="39">
        <v>0</v>
      </c>
      <c r="U14" s="39">
        <v>3</v>
      </c>
      <c r="V14" s="39">
        <v>0</v>
      </c>
      <c r="W14" s="39">
        <v>3</v>
      </c>
      <c r="X14" s="39">
        <v>0</v>
      </c>
      <c r="Y14" s="39">
        <v>0</v>
      </c>
      <c r="Z14" s="39">
        <v>0</v>
      </c>
      <c r="AA14" s="46">
        <v>0</v>
      </c>
      <c r="AC14" s="47" t="s">
        <v>45</v>
      </c>
      <c r="AD14" s="48">
        <f>[2]!kriterian(E14)</f>
        <v>1</v>
      </c>
      <c r="AE14" s="49">
        <f>[2]!Acanal(F14,G14,I14)</f>
        <v>0.13750000000000001</v>
      </c>
      <c r="AF14" s="50">
        <f>[2]!Pcanal(F14,G14,I14)</f>
        <v>1.0071067811865475</v>
      </c>
      <c r="AG14" s="43">
        <f>[2]!rcanal(F14,G14,I14)</f>
        <v>0.13652971320280557</v>
      </c>
      <c r="AH14" s="51">
        <f t="shared" si="1"/>
        <v>26.367531002661362</v>
      </c>
      <c r="AI14" s="52">
        <f>[2]!froud(F14,G14,L14)</f>
        <v>7.9041766602384975E-2</v>
      </c>
      <c r="AJ14" s="44">
        <f t="shared" si="2"/>
        <v>1.5777618983406317E-4</v>
      </c>
    </row>
    <row r="15" spans="1:36" ht="17.399999999999999" x14ac:dyDescent="0.4">
      <c r="A15" s="36">
        <v>10</v>
      </c>
      <c r="B15" s="37" t="s">
        <v>57</v>
      </c>
      <c r="C15" s="37" t="s">
        <v>61</v>
      </c>
      <c r="D15" s="37">
        <v>8.44</v>
      </c>
      <c r="E15" s="38">
        <f t="shared" si="3"/>
        <v>12.66</v>
      </c>
      <c r="F15" s="39">
        <v>0.3</v>
      </c>
      <c r="G15" s="39">
        <v>0.22</v>
      </c>
      <c r="H15" s="40">
        <f>[2]!wcanal(E15)</f>
        <v>0.4</v>
      </c>
      <c r="I15" s="41">
        <f>[2]!mcanal(G15,H15)</f>
        <v>1</v>
      </c>
      <c r="J15" s="42">
        <f>[2]!Kcanal(AC15)</f>
        <v>35</v>
      </c>
      <c r="K15" s="39">
        <f t="shared" si="0"/>
        <v>1.3636363636363635</v>
      </c>
      <c r="L15" s="43">
        <f>[2]!vcanal(J15,AG15,M15,AC15)</f>
        <v>0.17988666765898606</v>
      </c>
      <c r="M15" s="44">
        <v>4.2700000000000002E-4</v>
      </c>
      <c r="N15" s="45">
        <f>[2]!Tangguljalan(E15)</f>
        <v>3</v>
      </c>
      <c r="O15" s="41">
        <f>[2]!Tanggulnojalan(E15)</f>
        <v>1</v>
      </c>
      <c r="P15" s="41">
        <f>[2]!mcanal(G15,H15)</f>
        <v>1</v>
      </c>
      <c r="Q15" s="40">
        <f>[2]!Wlining(E15)</f>
        <v>0.2</v>
      </c>
      <c r="R15" s="39">
        <v>0.3</v>
      </c>
      <c r="S15" s="39">
        <v>2</v>
      </c>
      <c r="T15" s="39">
        <v>0</v>
      </c>
      <c r="U15" s="39">
        <v>3</v>
      </c>
      <c r="V15" s="39">
        <v>0</v>
      </c>
      <c r="W15" s="39">
        <v>3</v>
      </c>
      <c r="X15" s="39">
        <v>0</v>
      </c>
      <c r="Y15" s="39">
        <v>0</v>
      </c>
      <c r="Z15" s="39">
        <v>0</v>
      </c>
      <c r="AA15" s="46">
        <v>0</v>
      </c>
      <c r="AC15" s="47" t="s">
        <v>45</v>
      </c>
      <c r="AD15" s="48">
        <f>[2]!kriterian(E15)</f>
        <v>1</v>
      </c>
      <c r="AE15" s="49">
        <f>[2]!Acanal(F15,G15,I15)</f>
        <v>0.1144</v>
      </c>
      <c r="AF15" s="50">
        <f>[2]!Pcanal(F15,G15,I15)</f>
        <v>0.92225396744416188</v>
      </c>
      <c r="AG15" s="43">
        <f>[2]!rcanal(F15,G15,I15)</f>
        <v>0.12404392286545125</v>
      </c>
      <c r="AH15" s="51">
        <f t="shared" si="1"/>
        <v>20.579034780188003</v>
      </c>
      <c r="AI15" s="52">
        <f>[2]!froud(F15,G15,L15)</f>
        <v>6.9555292917925352E-2</v>
      </c>
      <c r="AJ15" s="44">
        <f t="shared" si="2"/>
        <v>1.5038884404148755E-4</v>
      </c>
    </row>
    <row r="16" spans="1:36" ht="17.399999999999999" x14ac:dyDescent="0.4">
      <c r="A16" s="36">
        <v>11</v>
      </c>
      <c r="B16" s="37" t="s">
        <v>57</v>
      </c>
      <c r="C16" s="37" t="s">
        <v>62</v>
      </c>
      <c r="D16" s="37">
        <v>12.19</v>
      </c>
      <c r="E16" s="38">
        <f t="shared" si="3"/>
        <v>18.285</v>
      </c>
      <c r="F16" s="39">
        <v>0.3</v>
      </c>
      <c r="G16" s="39">
        <v>0.26</v>
      </c>
      <c r="H16" s="40">
        <f>[2]!wcanal(E16)</f>
        <v>0.4</v>
      </c>
      <c r="I16" s="41">
        <f>[2]!mcanal(G16,H16)</f>
        <v>1</v>
      </c>
      <c r="J16" s="42">
        <f>[2]!Kcanal(AC16)</f>
        <v>35</v>
      </c>
      <c r="K16" s="39">
        <f t="shared" si="0"/>
        <v>1.1538461538461537</v>
      </c>
      <c r="L16" s="43">
        <f>[2]!vcanal(J16,AG16,M16,AC16)</f>
        <v>0.19557798173082411</v>
      </c>
      <c r="M16" s="44">
        <v>4.2700000000000002E-4</v>
      </c>
      <c r="N16" s="45">
        <f>[2]!Tangguljalan(E16)</f>
        <v>3</v>
      </c>
      <c r="O16" s="41">
        <f>[2]!Tanggulnojalan(E16)</f>
        <v>1</v>
      </c>
      <c r="P16" s="41">
        <f>[2]!mcanal(G16,H16)</f>
        <v>1</v>
      </c>
      <c r="Q16" s="40">
        <f>[2]!Wlining(E16)</f>
        <v>0.2</v>
      </c>
      <c r="R16" s="39">
        <v>0.3</v>
      </c>
      <c r="S16" s="39">
        <v>2</v>
      </c>
      <c r="T16" s="39">
        <v>0</v>
      </c>
      <c r="U16" s="39">
        <v>3</v>
      </c>
      <c r="V16" s="39">
        <v>0</v>
      </c>
      <c r="W16" s="39">
        <v>3</v>
      </c>
      <c r="X16" s="39">
        <v>0</v>
      </c>
      <c r="Y16" s="39">
        <v>0</v>
      </c>
      <c r="Z16" s="39">
        <v>0</v>
      </c>
      <c r="AA16" s="46">
        <v>0</v>
      </c>
      <c r="AC16" s="47" t="s">
        <v>45</v>
      </c>
      <c r="AD16" s="48">
        <f>[2]!kriterian(E16)</f>
        <v>1</v>
      </c>
      <c r="AE16" s="49">
        <f>[2]!Acanal(F16,G16,I16)</f>
        <v>0.14560000000000001</v>
      </c>
      <c r="AF16" s="50">
        <f>[2]!Pcanal(F16,G16,I16)</f>
        <v>1.0353910524340095</v>
      </c>
      <c r="AG16" s="43">
        <f>[2]!rcanal(F16,G16,I16)</f>
        <v>0.1406231970594316</v>
      </c>
      <c r="AH16" s="51">
        <f t="shared" si="1"/>
        <v>28.476154140007992</v>
      </c>
      <c r="AI16" s="52">
        <f>[2]!froud(F16,G16,L16)</f>
        <v>8.2210350703109655E-2</v>
      </c>
      <c r="AJ16" s="44">
        <f t="shared" si="2"/>
        <v>1.6012397352254629E-4</v>
      </c>
    </row>
    <row r="17" spans="1:36" ht="17.399999999999999" x14ac:dyDescent="0.4">
      <c r="A17" s="36">
        <v>12</v>
      </c>
      <c r="B17" s="37" t="s">
        <v>57</v>
      </c>
      <c r="C17" s="37" t="s">
        <v>63</v>
      </c>
      <c r="D17" s="37">
        <v>11.86</v>
      </c>
      <c r="E17" s="38">
        <f t="shared" si="3"/>
        <v>17.79</v>
      </c>
      <c r="F17" s="39">
        <v>0.3</v>
      </c>
      <c r="G17" s="39">
        <v>0.25</v>
      </c>
      <c r="H17" s="40">
        <f>[2]!wcanal(E17)</f>
        <v>0.4</v>
      </c>
      <c r="I17" s="41">
        <f>[2]!mcanal(G17,H17)</f>
        <v>1</v>
      </c>
      <c r="J17" s="42">
        <f>[2]!Kcanal(AC17)</f>
        <v>35</v>
      </c>
      <c r="K17" s="39">
        <f t="shared" si="0"/>
        <v>1.2</v>
      </c>
      <c r="L17" s="43">
        <f>[2]!vcanal(J17,AG17,M17,AC17)</f>
        <v>0.35276602641745691</v>
      </c>
      <c r="M17" s="44">
        <v>1.4450000000000001E-3</v>
      </c>
      <c r="N17" s="45">
        <f>[2]!Tangguljalan(E17)</f>
        <v>3</v>
      </c>
      <c r="O17" s="41">
        <f>[2]!Tanggulnojalan(E17)</f>
        <v>1</v>
      </c>
      <c r="P17" s="41">
        <f>[2]!mcanal(G17,H17)</f>
        <v>1</v>
      </c>
      <c r="Q17" s="40">
        <f>[2]!Wlining(E17)</f>
        <v>0.2</v>
      </c>
      <c r="R17" s="39">
        <v>0.3</v>
      </c>
      <c r="S17" s="39">
        <v>2</v>
      </c>
      <c r="T17" s="39">
        <v>0</v>
      </c>
      <c r="U17" s="39">
        <v>3</v>
      </c>
      <c r="V17" s="39">
        <v>0</v>
      </c>
      <c r="W17" s="39">
        <v>3</v>
      </c>
      <c r="X17" s="39">
        <v>0</v>
      </c>
      <c r="Y17" s="39">
        <v>0</v>
      </c>
      <c r="Z17" s="39">
        <v>0</v>
      </c>
      <c r="AA17" s="46">
        <v>0</v>
      </c>
      <c r="AC17" s="47" t="s">
        <v>45</v>
      </c>
      <c r="AD17" s="48">
        <f>[2]!kriterian(E17)</f>
        <v>1</v>
      </c>
      <c r="AE17" s="49">
        <f>[2]!Acanal(F17,G17,I17)</f>
        <v>0.13750000000000001</v>
      </c>
      <c r="AF17" s="50">
        <f>[2]!Pcanal(F17,G17,I17)</f>
        <v>1.0071067811865475</v>
      </c>
      <c r="AG17" s="43">
        <f>[2]!rcanal(F17,G17,I17)</f>
        <v>0.13652971320280557</v>
      </c>
      <c r="AH17" s="51">
        <f t="shared" si="1"/>
        <v>48.505328632400328</v>
      </c>
      <c r="AI17" s="52">
        <f>[2]!froud(F17,G17,L17)</f>
        <v>0.14540409052130041</v>
      </c>
      <c r="AJ17" s="44">
        <f t="shared" si="2"/>
        <v>5.339264503752255E-4</v>
      </c>
    </row>
    <row r="18" spans="1:36" ht="17.399999999999999" x14ac:dyDescent="0.4">
      <c r="A18" s="36">
        <v>13</v>
      </c>
      <c r="B18" s="37"/>
      <c r="C18" s="37"/>
      <c r="D18" s="37"/>
      <c r="E18" s="38"/>
      <c r="F18" s="39"/>
      <c r="G18" s="39"/>
      <c r="H18" s="40"/>
      <c r="I18" s="41"/>
      <c r="J18" s="42"/>
      <c r="K18" s="39"/>
      <c r="L18" s="43"/>
      <c r="M18" s="44"/>
      <c r="N18" s="45"/>
      <c r="O18" s="41"/>
      <c r="P18" s="41"/>
      <c r="Q18" s="40"/>
      <c r="R18" s="39"/>
      <c r="S18" s="39"/>
      <c r="T18" s="39"/>
      <c r="U18" s="39"/>
      <c r="V18" s="39"/>
      <c r="W18" s="39"/>
      <c r="X18" s="39"/>
      <c r="Y18" s="39"/>
      <c r="Z18" s="39"/>
      <c r="AA18" s="46"/>
      <c r="AC18" s="47"/>
      <c r="AD18" s="48"/>
      <c r="AE18" s="49"/>
      <c r="AF18" s="50"/>
      <c r="AG18" s="43"/>
      <c r="AH18" s="51"/>
      <c r="AI18" s="52"/>
      <c r="AJ18" s="44"/>
    </row>
    <row r="19" spans="1:36" ht="17.399999999999999" x14ac:dyDescent="0.4">
      <c r="A19" s="36">
        <v>14</v>
      </c>
      <c r="B19" s="37" t="s">
        <v>64</v>
      </c>
      <c r="C19" s="37" t="s">
        <v>58</v>
      </c>
      <c r="D19" s="37">
        <v>46.22</v>
      </c>
      <c r="E19" s="38">
        <f t="shared" ref="E19:E24" si="4">D19*$AD$1</f>
        <v>69.33</v>
      </c>
      <c r="F19" s="39">
        <v>0.45</v>
      </c>
      <c r="G19" s="39">
        <v>0.41</v>
      </c>
      <c r="H19" s="40">
        <f>[2]!wcanal(E19)</f>
        <v>0.4</v>
      </c>
      <c r="I19" s="41">
        <f>[2]!mcanal(G19,H19)</f>
        <v>1</v>
      </c>
      <c r="J19" s="42">
        <f>[2]!Kcanal(AC19)</f>
        <v>35</v>
      </c>
      <c r="K19" s="39">
        <f t="shared" si="0"/>
        <v>1.0975609756097562</v>
      </c>
      <c r="L19" s="43">
        <f>[2]!vcanal(J19,AG19,M19,AC19)</f>
        <v>0.53144274042995476</v>
      </c>
      <c r="M19" s="44">
        <v>1.7459999999999999E-3</v>
      </c>
      <c r="N19" s="45">
        <f>[2]!Tangguljalan(E19)</f>
        <v>3</v>
      </c>
      <c r="O19" s="41">
        <f>[2]!Tanggulnojalan(E19)</f>
        <v>1</v>
      </c>
      <c r="P19" s="41">
        <f>[2]!mcanal(G19,H19)</f>
        <v>1</v>
      </c>
      <c r="Q19" s="40">
        <f>[2]!Wlining(E19)</f>
        <v>0.2</v>
      </c>
      <c r="R19" s="39">
        <v>0.3</v>
      </c>
      <c r="S19" s="39">
        <v>2</v>
      </c>
      <c r="T19" s="39">
        <v>0</v>
      </c>
      <c r="U19" s="39">
        <v>3</v>
      </c>
      <c r="V19" s="39">
        <v>0</v>
      </c>
      <c r="W19" s="39">
        <v>3</v>
      </c>
      <c r="X19" s="39">
        <v>0</v>
      </c>
      <c r="Y19" s="39">
        <v>0</v>
      </c>
      <c r="Z19" s="39">
        <v>0</v>
      </c>
      <c r="AA19" s="46">
        <v>0</v>
      </c>
      <c r="AC19" s="47" t="s">
        <v>45</v>
      </c>
      <c r="AD19" s="48">
        <f>[2]!kriterian(E19)</f>
        <v>1</v>
      </c>
      <c r="AE19" s="49">
        <f>[2]!Acanal(F19,G19,I19)</f>
        <v>0.35259999999999997</v>
      </c>
      <c r="AF19" s="50">
        <f>[2]!Pcanal(F19,G19,I19)</f>
        <v>1.609655121145938</v>
      </c>
      <c r="AG19" s="43">
        <f>[2]!rcanal(F19,G19,I19)</f>
        <v>0.21905313465469464</v>
      </c>
      <c r="AH19" s="51">
        <f t="shared" si="1"/>
        <v>187.38671027560201</v>
      </c>
      <c r="AI19" s="52">
        <f>[2]!froud(F19,G19,L19)</f>
        <v>0.2290459645367709</v>
      </c>
      <c r="AJ19" s="44">
        <f t="shared" si="2"/>
        <v>8.171823455294364E-4</v>
      </c>
    </row>
    <row r="20" spans="1:36" ht="17.399999999999999" x14ac:dyDescent="0.4">
      <c r="A20" s="36">
        <v>15</v>
      </c>
      <c r="B20" s="37" t="s">
        <v>64</v>
      </c>
      <c r="C20" s="37" t="s">
        <v>65</v>
      </c>
      <c r="D20" s="37">
        <v>32.200000000000003</v>
      </c>
      <c r="E20" s="38">
        <f t="shared" si="4"/>
        <v>48.300000000000004</v>
      </c>
      <c r="F20" s="39">
        <v>0.4</v>
      </c>
      <c r="G20" s="39">
        <v>0.36</v>
      </c>
      <c r="H20" s="40">
        <f>[2]!wcanal(E20)</f>
        <v>0.4</v>
      </c>
      <c r="I20" s="41">
        <f>[2]!mcanal(G20,H20)</f>
        <v>1</v>
      </c>
      <c r="J20" s="42">
        <f>[2]!Kcanal(AC20)</f>
        <v>35</v>
      </c>
      <c r="K20" s="39">
        <f t="shared" si="0"/>
        <v>1.1111111111111112</v>
      </c>
      <c r="L20" s="43">
        <f>[2]!vcanal(J20,AG20,M20,AC20)</f>
        <v>0.47967473596631127</v>
      </c>
      <c r="M20" s="44">
        <v>1.6850000000000001E-3</v>
      </c>
      <c r="N20" s="45">
        <f>[2]!Tangguljalan(E20)</f>
        <v>3</v>
      </c>
      <c r="O20" s="41">
        <f>[2]!Tanggulnojalan(E20)</f>
        <v>1</v>
      </c>
      <c r="P20" s="41">
        <f>[2]!mcanal(G20,H20)</f>
        <v>1</v>
      </c>
      <c r="Q20" s="40">
        <f>[2]!Wlining(E20)</f>
        <v>0.2</v>
      </c>
      <c r="R20" s="39">
        <v>0.3</v>
      </c>
      <c r="S20" s="39">
        <v>2</v>
      </c>
      <c r="T20" s="39">
        <v>0</v>
      </c>
      <c r="U20" s="39">
        <v>3</v>
      </c>
      <c r="V20" s="39">
        <v>0</v>
      </c>
      <c r="W20" s="39">
        <v>3</v>
      </c>
      <c r="X20" s="39">
        <v>0</v>
      </c>
      <c r="Y20" s="39">
        <v>0</v>
      </c>
      <c r="Z20" s="39">
        <v>0</v>
      </c>
      <c r="AA20" s="46">
        <v>0</v>
      </c>
      <c r="AC20" s="47" t="s">
        <v>45</v>
      </c>
      <c r="AD20" s="48">
        <f>[2]!kriterian(E20)</f>
        <v>1</v>
      </c>
      <c r="AE20" s="49">
        <f>[2]!Acanal(F20,G20,I20)</f>
        <v>0.27360000000000001</v>
      </c>
      <c r="AF20" s="50">
        <f>[2]!Pcanal(F20,G20,I20)</f>
        <v>1.4182337649086283</v>
      </c>
      <c r="AG20" s="43">
        <f>[2]!rcanal(F20,G20,I20)</f>
        <v>0.19291601058280197</v>
      </c>
      <c r="AH20" s="51">
        <f t="shared" si="1"/>
        <v>131.23900776038278</v>
      </c>
      <c r="AI20" s="52">
        <f>[2]!froud(F20,G20,L20)</f>
        <v>0.20547008189740587</v>
      </c>
      <c r="AJ20" s="44">
        <f t="shared" si="2"/>
        <v>7.4008915689054383E-4</v>
      </c>
    </row>
    <row r="21" spans="1:36" ht="17.399999999999999" x14ac:dyDescent="0.4">
      <c r="A21" s="36">
        <v>16</v>
      </c>
      <c r="B21" s="37" t="s">
        <v>64</v>
      </c>
      <c r="C21" s="37" t="s">
        <v>60</v>
      </c>
      <c r="D21" s="37">
        <v>16</v>
      </c>
      <c r="E21" s="38">
        <f t="shared" si="4"/>
        <v>24</v>
      </c>
      <c r="F21" s="39">
        <v>0.3</v>
      </c>
      <c r="G21" s="39">
        <v>0.3</v>
      </c>
      <c r="H21" s="40">
        <f>[2]!wcanal(E21)</f>
        <v>0.4</v>
      </c>
      <c r="I21" s="41">
        <f>[2]!mcanal(G21,H21)</f>
        <v>1</v>
      </c>
      <c r="J21" s="42">
        <f>[2]!Kcanal(AC21)</f>
        <v>35</v>
      </c>
      <c r="K21" s="39">
        <f t="shared" si="0"/>
        <v>1</v>
      </c>
      <c r="L21" s="43">
        <f>[2]!vcanal(J21,AG21,M21,AC21)</f>
        <v>0.27242577771453247</v>
      </c>
      <c r="M21" s="44">
        <v>7.1699999999999997E-4</v>
      </c>
      <c r="N21" s="45">
        <f>[2]!Tangguljalan(E21)</f>
        <v>3</v>
      </c>
      <c r="O21" s="41">
        <f>[2]!Tanggulnojalan(E21)</f>
        <v>1</v>
      </c>
      <c r="P21" s="41">
        <f>[2]!mcanal(G21,H21)</f>
        <v>1</v>
      </c>
      <c r="Q21" s="40">
        <f>[2]!Wlining(E21)</f>
        <v>0.2</v>
      </c>
      <c r="R21" s="39">
        <v>0.3</v>
      </c>
      <c r="S21" s="39">
        <v>2</v>
      </c>
      <c r="T21" s="39">
        <v>0</v>
      </c>
      <c r="U21" s="39">
        <v>3</v>
      </c>
      <c r="V21" s="39">
        <v>0</v>
      </c>
      <c r="W21" s="39">
        <v>3</v>
      </c>
      <c r="X21" s="39">
        <v>0</v>
      </c>
      <c r="Y21" s="39">
        <v>0</v>
      </c>
      <c r="Z21" s="39">
        <v>0</v>
      </c>
      <c r="AA21" s="46">
        <v>0</v>
      </c>
      <c r="AC21" s="47" t="s">
        <v>45</v>
      </c>
      <c r="AD21" s="48">
        <f>[2]!kriterian(E21)</f>
        <v>1</v>
      </c>
      <c r="AE21" s="49">
        <f>[2]!Acanal(F21,G21,I21)</f>
        <v>0.18</v>
      </c>
      <c r="AF21" s="50">
        <f>[2]!Pcanal(F21,G21,I21)</f>
        <v>1.148528137423857</v>
      </c>
      <c r="AG21" s="43">
        <f>[2]!rcanal(F21,G21,I21)</f>
        <v>0.15672232497824487</v>
      </c>
      <c r="AH21" s="51">
        <f t="shared" si="1"/>
        <v>49.036639988615839</v>
      </c>
      <c r="AI21" s="52">
        <f>[2]!froud(F21,G21,L21)</f>
        <v>0.12300667905203508</v>
      </c>
      <c r="AJ21" s="44">
        <f t="shared" si="2"/>
        <v>2.8384718305056493E-4</v>
      </c>
    </row>
    <row r="22" spans="1:36" ht="17.399999999999999" x14ac:dyDescent="0.4">
      <c r="A22" s="36">
        <v>17</v>
      </c>
      <c r="B22" s="37" t="s">
        <v>64</v>
      </c>
      <c r="C22" s="37" t="s">
        <v>61</v>
      </c>
      <c r="D22" s="37">
        <v>14.02</v>
      </c>
      <c r="E22" s="38">
        <f t="shared" si="4"/>
        <v>21.03</v>
      </c>
      <c r="F22" s="39">
        <v>0.3</v>
      </c>
      <c r="G22" s="39">
        <v>0.3</v>
      </c>
      <c r="H22" s="40">
        <f>[2]!wcanal(E22)</f>
        <v>0.4</v>
      </c>
      <c r="I22" s="41">
        <f>[2]!mcanal(G22,H22)</f>
        <v>1</v>
      </c>
      <c r="J22" s="42">
        <f>[2]!Kcanal(AC22)</f>
        <v>35</v>
      </c>
      <c r="K22" s="39">
        <f t="shared" si="0"/>
        <v>1</v>
      </c>
      <c r="L22" s="43">
        <f>[2]!vcanal(J22,AG22,M22,AC22)</f>
        <v>0.25798479355153703</v>
      </c>
      <c r="M22" s="44">
        <v>6.4300000000000002E-4</v>
      </c>
      <c r="N22" s="45">
        <f>[2]!Tangguljalan(E22)</f>
        <v>3</v>
      </c>
      <c r="O22" s="41">
        <f>[2]!Tanggulnojalan(E22)</f>
        <v>1</v>
      </c>
      <c r="P22" s="41">
        <f>[2]!mcanal(G22,H22)</f>
        <v>1</v>
      </c>
      <c r="Q22" s="40">
        <f>[2]!Wlining(E22)</f>
        <v>0.2</v>
      </c>
      <c r="R22" s="39">
        <v>0.3</v>
      </c>
      <c r="S22" s="39">
        <v>2</v>
      </c>
      <c r="T22" s="39">
        <v>0</v>
      </c>
      <c r="U22" s="39">
        <v>3</v>
      </c>
      <c r="V22" s="39">
        <v>0</v>
      </c>
      <c r="W22" s="39">
        <v>3</v>
      </c>
      <c r="X22" s="39">
        <v>0</v>
      </c>
      <c r="Y22" s="39">
        <v>0</v>
      </c>
      <c r="Z22" s="39">
        <v>0</v>
      </c>
      <c r="AA22" s="46">
        <v>0</v>
      </c>
      <c r="AC22" s="47" t="s">
        <v>45</v>
      </c>
      <c r="AD22" s="48">
        <f>[2]!kriterian(E22)</f>
        <v>1</v>
      </c>
      <c r="AE22" s="49">
        <f>[2]!Acanal(F22,G22,I22)</f>
        <v>0.18</v>
      </c>
      <c r="AF22" s="50">
        <f>[2]!Pcanal(F22,G22,I22)</f>
        <v>1.148528137423857</v>
      </c>
      <c r="AG22" s="43">
        <f>[2]!rcanal(F22,G22,I22)</f>
        <v>0.15672232497824487</v>
      </c>
      <c r="AH22" s="51">
        <f t="shared" si="1"/>
        <v>46.437262839276663</v>
      </c>
      <c r="AI22" s="52">
        <f>[2]!froud(F22,G22,L22)</f>
        <v>0.11648623330334211</v>
      </c>
      <c r="AJ22" s="44">
        <f t="shared" si="2"/>
        <v>2.5455193682219425E-4</v>
      </c>
    </row>
    <row r="23" spans="1:36" ht="17.399999999999999" x14ac:dyDescent="0.4">
      <c r="A23" s="36">
        <v>18</v>
      </c>
      <c r="B23" s="37" t="s">
        <v>64</v>
      </c>
      <c r="C23" s="37" t="s">
        <v>62</v>
      </c>
      <c r="D23" s="37">
        <v>16.2</v>
      </c>
      <c r="E23" s="38">
        <f t="shared" si="4"/>
        <v>24.299999999999997</v>
      </c>
      <c r="F23" s="39">
        <v>0.35</v>
      </c>
      <c r="G23" s="39">
        <v>0.3</v>
      </c>
      <c r="H23" s="40">
        <f>[2]!wcanal(E23)</f>
        <v>0.4</v>
      </c>
      <c r="I23" s="41">
        <f>[2]!mcanal(G23,H23)</f>
        <v>1</v>
      </c>
      <c r="J23" s="42">
        <f>[2]!Kcanal(AC23)</f>
        <v>35</v>
      </c>
      <c r="K23" s="39">
        <f t="shared" si="0"/>
        <v>1.1666666666666667</v>
      </c>
      <c r="L23" s="43">
        <f>[2]!vcanal(J23,AG23,M23,AC23)</f>
        <v>0.26450331265929777</v>
      </c>
      <c r="M23" s="44">
        <v>6.4300000000000002E-4</v>
      </c>
      <c r="N23" s="45">
        <f>[2]!Tangguljalan(E23)</f>
        <v>3</v>
      </c>
      <c r="O23" s="41">
        <f>[2]!Tanggulnojalan(E23)</f>
        <v>1</v>
      </c>
      <c r="P23" s="41">
        <f>[2]!mcanal(G23,H23)</f>
        <v>1</v>
      </c>
      <c r="Q23" s="40">
        <f>[2]!Wlining(E23)</f>
        <v>0.2</v>
      </c>
      <c r="R23" s="39">
        <v>0.3</v>
      </c>
      <c r="S23" s="39">
        <v>2</v>
      </c>
      <c r="T23" s="39">
        <v>0</v>
      </c>
      <c r="U23" s="39">
        <v>3</v>
      </c>
      <c r="V23" s="39">
        <v>0</v>
      </c>
      <c r="W23" s="39">
        <v>3</v>
      </c>
      <c r="X23" s="39">
        <v>0</v>
      </c>
      <c r="Y23" s="39">
        <v>0</v>
      </c>
      <c r="Z23" s="39">
        <v>0</v>
      </c>
      <c r="AA23" s="46">
        <v>0</v>
      </c>
      <c r="AC23" s="47" t="s">
        <v>45</v>
      </c>
      <c r="AD23" s="48">
        <f>[2]!kriterian(E23)</f>
        <v>1</v>
      </c>
      <c r="AE23" s="49">
        <f>[2]!Acanal(F23,G23,I23)</f>
        <v>0.19499999999999998</v>
      </c>
      <c r="AF23" s="50">
        <f>[2]!Pcanal(F23,G23,I23)</f>
        <v>1.198528137423857</v>
      </c>
      <c r="AG23" s="43">
        <f>[2]!rcanal(F23,G23,I23)</f>
        <v>0.16269955949397844</v>
      </c>
      <c r="AH23" s="51">
        <f t="shared" si="1"/>
        <v>51.578145968563064</v>
      </c>
      <c r="AI23" s="52">
        <f>[2]!froud(F23,G23,L23)</f>
        <v>0.11057023048064908</v>
      </c>
      <c r="AJ23" s="44">
        <f t="shared" si="2"/>
        <v>2.5936069512018568E-4</v>
      </c>
    </row>
    <row r="24" spans="1:36" ht="17.399999999999999" x14ac:dyDescent="0.4">
      <c r="A24" s="36">
        <v>19</v>
      </c>
      <c r="B24" s="37" t="s">
        <v>64</v>
      </c>
      <c r="C24" s="37" t="s">
        <v>63</v>
      </c>
      <c r="D24" s="37">
        <v>16</v>
      </c>
      <c r="E24" s="38">
        <f t="shared" si="4"/>
        <v>24</v>
      </c>
      <c r="F24" s="39">
        <v>0.3</v>
      </c>
      <c r="G24" s="39">
        <v>0.3</v>
      </c>
      <c r="H24" s="40">
        <f>[2]!wcanal(E24)</f>
        <v>0.4</v>
      </c>
      <c r="I24" s="41">
        <f>[2]!mcanal(G24,H24)</f>
        <v>1</v>
      </c>
      <c r="J24" s="42">
        <f>[2]!Kcanal(AC24)</f>
        <v>35</v>
      </c>
      <c r="K24" s="39">
        <f t="shared" si="0"/>
        <v>1</v>
      </c>
      <c r="L24" s="43">
        <f>[2]!vcanal(J24,AG24,M24,AC24)</f>
        <v>0.23816552730751084</v>
      </c>
      <c r="M24" s="44">
        <v>5.4799999999999998E-4</v>
      </c>
      <c r="N24" s="45">
        <f>[2]!Tangguljalan(E24)</f>
        <v>3</v>
      </c>
      <c r="O24" s="41">
        <f>[2]!Tanggulnojalan(E24)</f>
        <v>1</v>
      </c>
      <c r="P24" s="41">
        <f>[2]!mcanal(G24,H24)</f>
        <v>1</v>
      </c>
      <c r="Q24" s="40">
        <f>[2]!Wlining(E24)</f>
        <v>0.2</v>
      </c>
      <c r="R24" s="39">
        <v>0.3</v>
      </c>
      <c r="S24" s="39">
        <v>2</v>
      </c>
      <c r="T24" s="39">
        <v>0</v>
      </c>
      <c r="U24" s="39">
        <v>3</v>
      </c>
      <c r="V24" s="39">
        <v>0</v>
      </c>
      <c r="W24" s="39">
        <v>3</v>
      </c>
      <c r="X24" s="39">
        <v>0</v>
      </c>
      <c r="Y24" s="39">
        <v>0</v>
      </c>
      <c r="Z24" s="39">
        <v>0</v>
      </c>
      <c r="AA24" s="46">
        <v>0</v>
      </c>
      <c r="AC24" s="47" t="s">
        <v>45</v>
      </c>
      <c r="AD24" s="48">
        <f>[2]!kriterian(E24)</f>
        <v>1</v>
      </c>
      <c r="AE24" s="49">
        <f>[2]!Acanal(F24,G24,I24)</f>
        <v>0.18</v>
      </c>
      <c r="AF24" s="50">
        <f>[2]!Pcanal(F24,G24,I24)</f>
        <v>1.148528137423857</v>
      </c>
      <c r="AG24" s="43">
        <f>[2]!rcanal(F24,G24,I24)</f>
        <v>0.15672232497824487</v>
      </c>
      <c r="AH24" s="51">
        <f t="shared" si="1"/>
        <v>42.869794915351953</v>
      </c>
      <c r="AI24" s="52">
        <f>[2]!froud(F24,G24,L24)</f>
        <v>0.1075373660471738</v>
      </c>
      <c r="AJ24" s="44">
        <f t="shared" si="2"/>
        <v>2.1694317477225883E-4</v>
      </c>
    </row>
    <row r="25" spans="1:36" ht="17.399999999999999" x14ac:dyDescent="0.4">
      <c r="A25" s="36">
        <v>20</v>
      </c>
      <c r="B25" s="37"/>
      <c r="C25" s="37"/>
      <c r="D25" s="37"/>
      <c r="E25" s="38"/>
      <c r="F25" s="39"/>
      <c r="G25" s="39"/>
      <c r="H25" s="40"/>
      <c r="I25" s="41"/>
      <c r="J25" s="42"/>
      <c r="K25" s="39"/>
      <c r="L25" s="43"/>
      <c r="M25" s="44"/>
      <c r="N25" s="45"/>
      <c r="O25" s="41"/>
      <c r="P25" s="41"/>
      <c r="Q25" s="40"/>
      <c r="R25" s="39"/>
      <c r="S25" s="39"/>
      <c r="T25" s="39"/>
      <c r="U25" s="39"/>
      <c r="V25" s="39"/>
      <c r="W25" s="39"/>
      <c r="X25" s="39"/>
      <c r="Y25" s="39"/>
      <c r="Z25" s="39"/>
      <c r="AA25" s="46"/>
      <c r="AC25" s="47"/>
      <c r="AD25" s="48"/>
      <c r="AE25" s="49"/>
      <c r="AF25" s="50"/>
      <c r="AG25" s="43"/>
      <c r="AH25" s="51"/>
      <c r="AI25" s="52"/>
      <c r="AJ25" s="44"/>
    </row>
    <row r="26" spans="1:36" ht="17.399999999999999" x14ac:dyDescent="0.4">
      <c r="A26" s="36">
        <v>21</v>
      </c>
      <c r="B26" s="37" t="s">
        <v>66</v>
      </c>
      <c r="C26" s="37" t="s">
        <v>67</v>
      </c>
      <c r="D26" s="37">
        <v>12.67</v>
      </c>
      <c r="E26" s="38">
        <f>D26*$AD$1</f>
        <v>19.004999999999999</v>
      </c>
      <c r="F26" s="39">
        <v>0.3</v>
      </c>
      <c r="G26" s="39">
        <v>0.25</v>
      </c>
      <c r="H26" s="40">
        <f>[2]!wcanal(E26)</f>
        <v>0.4</v>
      </c>
      <c r="I26" s="41">
        <f>[2]!mcanal(G26,H26)</f>
        <v>1</v>
      </c>
      <c r="J26" s="42">
        <f>[2]!Kcanal(AC26)</f>
        <v>35</v>
      </c>
      <c r="K26" s="39">
        <f t="shared" si="0"/>
        <v>1.2</v>
      </c>
      <c r="L26" s="43">
        <f>[2]!vcanal(J26,AG26,M26,AC26)</f>
        <v>0.1979513773692341</v>
      </c>
      <c r="M26" s="44">
        <v>4.55E-4</v>
      </c>
      <c r="N26" s="45">
        <f>[2]!Tangguljalan(E26)</f>
        <v>3</v>
      </c>
      <c r="O26" s="41">
        <f>[2]!Tanggulnojalan(E26)</f>
        <v>1</v>
      </c>
      <c r="P26" s="41">
        <f>[2]!mcanal(G26,H26)</f>
        <v>1</v>
      </c>
      <c r="Q26" s="40">
        <f>[2]!Wlining(E26)</f>
        <v>0.2</v>
      </c>
      <c r="R26" s="39">
        <v>0.3</v>
      </c>
      <c r="S26" s="39">
        <v>2</v>
      </c>
      <c r="T26" s="39">
        <v>0</v>
      </c>
      <c r="U26" s="39">
        <v>3</v>
      </c>
      <c r="V26" s="39">
        <v>0</v>
      </c>
      <c r="W26" s="39">
        <v>3</v>
      </c>
      <c r="X26" s="39">
        <v>0</v>
      </c>
      <c r="Y26" s="39">
        <v>0</v>
      </c>
      <c r="Z26" s="39">
        <v>0</v>
      </c>
      <c r="AA26" s="46">
        <v>0</v>
      </c>
      <c r="AC26" s="47" t="s">
        <v>45</v>
      </c>
      <c r="AD26" s="48">
        <f>[2]!kriterian(E26)</f>
        <v>1</v>
      </c>
      <c r="AE26" s="49">
        <f>[2]!Acanal(F26,G26,I26)</f>
        <v>0.13750000000000001</v>
      </c>
      <c r="AF26" s="50">
        <f>[2]!Pcanal(F26,G26,I26)</f>
        <v>1.0071067811865475</v>
      </c>
      <c r="AG26" s="43">
        <f>[2]!rcanal(F26,G26,I26)</f>
        <v>0.13652971320280557</v>
      </c>
      <c r="AH26" s="51">
        <f t="shared" si="1"/>
        <v>27.21831438826969</v>
      </c>
      <c r="AI26" s="52">
        <f>[2]!froud(F26,G26,L26)</f>
        <v>8.1592154114497981E-2</v>
      </c>
      <c r="AJ26" s="44">
        <f t="shared" si="2"/>
        <v>1.681221694953132E-4</v>
      </c>
    </row>
    <row r="27" spans="1:36" ht="17.399999999999999" x14ac:dyDescent="0.4">
      <c r="A27" s="36">
        <v>22</v>
      </c>
      <c r="B27" s="37" t="s">
        <v>66</v>
      </c>
      <c r="C27" s="37" t="s">
        <v>61</v>
      </c>
      <c r="D27" s="37">
        <v>13.3</v>
      </c>
      <c r="E27" s="38">
        <f>D27*$AD$1</f>
        <v>19.950000000000003</v>
      </c>
      <c r="F27" s="39">
        <v>0.3</v>
      </c>
      <c r="G27" s="39">
        <v>0.28999999999999998</v>
      </c>
      <c r="H27" s="40">
        <f>[2]!wcanal(E27)</f>
        <v>0.4</v>
      </c>
      <c r="I27" s="41">
        <f>[2]!mcanal(G27,H27)</f>
        <v>1</v>
      </c>
      <c r="J27" s="42">
        <f>[2]!Kcanal(AC27)</f>
        <v>35</v>
      </c>
      <c r="K27" s="39">
        <f t="shared" si="0"/>
        <v>1.0344827586206897</v>
      </c>
      <c r="L27" s="43">
        <f>[2]!vcanal(J27,AG27,M27,AC27)</f>
        <v>0.17321558369978679</v>
      </c>
      <c r="M27" s="44">
        <v>2.9999999999999997E-4</v>
      </c>
      <c r="N27" s="45">
        <f>[2]!Tangguljalan(E27)</f>
        <v>3</v>
      </c>
      <c r="O27" s="41">
        <f>[2]!Tanggulnojalan(E27)</f>
        <v>1</v>
      </c>
      <c r="P27" s="41">
        <f>[2]!mcanal(G27,H27)</f>
        <v>1</v>
      </c>
      <c r="Q27" s="40">
        <f>[2]!Wlining(E27)</f>
        <v>0.2</v>
      </c>
      <c r="R27" s="39">
        <v>0.3</v>
      </c>
      <c r="S27" s="39">
        <v>2</v>
      </c>
      <c r="T27" s="39">
        <v>0</v>
      </c>
      <c r="U27" s="39">
        <v>3</v>
      </c>
      <c r="V27" s="39">
        <v>0</v>
      </c>
      <c r="W27" s="39">
        <v>3</v>
      </c>
      <c r="X27" s="39">
        <v>0</v>
      </c>
      <c r="Y27" s="39">
        <v>0</v>
      </c>
      <c r="Z27" s="39">
        <v>0</v>
      </c>
      <c r="AA27" s="46">
        <v>0</v>
      </c>
      <c r="AC27" s="47" t="s">
        <v>45</v>
      </c>
      <c r="AD27" s="48">
        <f>[2]!kriterian(E27)</f>
        <v>1</v>
      </c>
      <c r="AE27" s="49">
        <f>[2]!Acanal(F27,G27,I27)</f>
        <v>0.17109999999999997</v>
      </c>
      <c r="AF27" s="50">
        <f>[2]!Pcanal(F27,G27,I27)</f>
        <v>1.1202438661763952</v>
      </c>
      <c r="AG27" s="43">
        <f>[2]!rcanal(F27,G27,I27)</f>
        <v>0.1527346010686019</v>
      </c>
      <c r="AH27" s="51">
        <f t="shared" si="1"/>
        <v>29.637186371033515</v>
      </c>
      <c r="AI27" s="52">
        <f>[2]!froud(F27,G27,L27)</f>
        <v>7.6896367975325411E-2</v>
      </c>
      <c r="AJ27" s="44">
        <f t="shared" si="2"/>
        <v>1.1724382327514814E-4</v>
      </c>
    </row>
    <row r="28" spans="1:36" ht="17.399999999999999" x14ac:dyDescent="0.4">
      <c r="A28" s="36">
        <v>23</v>
      </c>
      <c r="B28" s="37" t="s">
        <v>66</v>
      </c>
      <c r="C28" s="37" t="s">
        <v>68</v>
      </c>
      <c r="D28" s="37">
        <v>12.67</v>
      </c>
      <c r="E28" s="38">
        <f>D28*$AD$1</f>
        <v>19.004999999999999</v>
      </c>
      <c r="F28" s="39">
        <v>0.3</v>
      </c>
      <c r="G28" s="39">
        <v>0.27</v>
      </c>
      <c r="H28" s="40">
        <f>[2]!wcanal(E28)</f>
        <v>0.4</v>
      </c>
      <c r="I28" s="41">
        <f>[2]!mcanal(G28,H28)</f>
        <v>1</v>
      </c>
      <c r="J28" s="42">
        <f>[2]!Kcanal(AC28)</f>
        <v>35</v>
      </c>
      <c r="K28" s="39">
        <f t="shared" si="0"/>
        <v>1.1111111111111109</v>
      </c>
      <c r="L28" s="43">
        <f>[2]!vcanal(J28,AG28,M28,AC28)</f>
        <v>0.16707636919153052</v>
      </c>
      <c r="M28" s="44">
        <v>2.9999999999999997E-4</v>
      </c>
      <c r="N28" s="45">
        <f>[2]!Tangguljalan(E28)</f>
        <v>3</v>
      </c>
      <c r="O28" s="41">
        <f>[2]!Tanggulnojalan(E28)</f>
        <v>1</v>
      </c>
      <c r="P28" s="41">
        <f>[2]!mcanal(G28,H28)</f>
        <v>1</v>
      </c>
      <c r="Q28" s="40">
        <f>[2]!Wlining(E28)</f>
        <v>0.2</v>
      </c>
      <c r="R28" s="39">
        <v>0.3</v>
      </c>
      <c r="S28" s="39">
        <v>2</v>
      </c>
      <c r="T28" s="39">
        <v>0</v>
      </c>
      <c r="U28" s="39">
        <v>3</v>
      </c>
      <c r="V28" s="39">
        <v>0</v>
      </c>
      <c r="W28" s="39">
        <v>3</v>
      </c>
      <c r="X28" s="39">
        <v>0</v>
      </c>
      <c r="Y28" s="39">
        <v>0</v>
      </c>
      <c r="Z28" s="39">
        <v>0</v>
      </c>
      <c r="AA28" s="46">
        <v>0</v>
      </c>
      <c r="AC28" s="47" t="s">
        <v>45</v>
      </c>
      <c r="AD28" s="48">
        <f>[2]!kriterian(E28)</f>
        <v>1</v>
      </c>
      <c r="AE28" s="49">
        <f>[2]!Acanal(F28,G28,I28)</f>
        <v>0.15390000000000004</v>
      </c>
      <c r="AF28" s="50">
        <f>[2]!Pcanal(F28,G28,I28)</f>
        <v>1.0636753236814713</v>
      </c>
      <c r="AG28" s="43">
        <f>[2]!rcanal(F28,G28,I28)</f>
        <v>0.14468700793710149</v>
      </c>
      <c r="AH28" s="51">
        <f t="shared" si="1"/>
        <v>25.713053218576551</v>
      </c>
      <c r="AI28" s="52">
        <f>[2]!froud(F28,G28,L28)</f>
        <v>7.1567653426125047E-2</v>
      </c>
      <c r="AJ28" s="44">
        <f t="shared" si="2"/>
        <v>1.1411323636782514E-4</v>
      </c>
    </row>
    <row r="29" spans="1:36" ht="17.399999999999999" x14ac:dyDescent="0.4">
      <c r="A29" s="36">
        <v>24</v>
      </c>
      <c r="B29" s="37" t="s">
        <v>66</v>
      </c>
      <c r="C29" s="37" t="s">
        <v>62</v>
      </c>
      <c r="D29" s="37">
        <v>13.24</v>
      </c>
      <c r="E29" s="38">
        <f>D29*$AD$1</f>
        <v>19.86</v>
      </c>
      <c r="F29" s="39">
        <v>0.3</v>
      </c>
      <c r="G29" s="39">
        <v>0.3</v>
      </c>
      <c r="H29" s="40">
        <f>[2]!wcanal(E29)</f>
        <v>0.4</v>
      </c>
      <c r="I29" s="41">
        <f>[2]!mcanal(G29,H29)</f>
        <v>1</v>
      </c>
      <c r="J29" s="42">
        <f>[2]!Kcanal(AC29)</f>
        <v>35</v>
      </c>
      <c r="K29" s="39">
        <f t="shared" si="0"/>
        <v>1</v>
      </c>
      <c r="L29" s="43">
        <f>[2]!vcanal(J29,AG29,M29,AC29)</f>
        <v>0.17621758654839342</v>
      </c>
      <c r="M29" s="44">
        <v>2.9999999999999997E-4</v>
      </c>
      <c r="N29" s="45">
        <f>[2]!Tangguljalan(E29)</f>
        <v>3</v>
      </c>
      <c r="O29" s="41">
        <f>[2]!Tanggulnojalan(E29)</f>
        <v>1</v>
      </c>
      <c r="P29" s="41">
        <f>[2]!mcanal(G29,H29)</f>
        <v>1</v>
      </c>
      <c r="Q29" s="40">
        <f>[2]!Wlining(E29)</f>
        <v>0.2</v>
      </c>
      <c r="R29" s="39">
        <v>0.3</v>
      </c>
      <c r="S29" s="39">
        <v>2</v>
      </c>
      <c r="T29" s="39">
        <v>0</v>
      </c>
      <c r="U29" s="39">
        <v>3</v>
      </c>
      <c r="V29" s="39">
        <v>0</v>
      </c>
      <c r="W29" s="39">
        <v>3</v>
      </c>
      <c r="X29" s="39">
        <v>0</v>
      </c>
      <c r="Y29" s="39">
        <v>0</v>
      </c>
      <c r="Z29" s="39">
        <v>0</v>
      </c>
      <c r="AA29" s="46">
        <v>0</v>
      </c>
      <c r="AC29" s="47" t="s">
        <v>45</v>
      </c>
      <c r="AD29" s="48">
        <f>[2]!kriterian(E29)</f>
        <v>1</v>
      </c>
      <c r="AE29" s="49">
        <f>[2]!Acanal(F29,G29,I29)</f>
        <v>0.18</v>
      </c>
      <c r="AF29" s="50">
        <f>[2]!Pcanal(F29,G29,I29)</f>
        <v>1.148528137423857</v>
      </c>
      <c r="AG29" s="43">
        <f>[2]!rcanal(F29,G29,I29)</f>
        <v>0.15672232497824487</v>
      </c>
      <c r="AH29" s="51">
        <f t="shared" si="1"/>
        <v>31.719165578710815</v>
      </c>
      <c r="AI29" s="52">
        <f>[2]!froud(F29,G29,L29)</f>
        <v>7.9566406284048749E-2</v>
      </c>
      <c r="AJ29" s="44">
        <f t="shared" si="2"/>
        <v>1.1876451173663804E-4</v>
      </c>
    </row>
    <row r="30" spans="1:36" ht="17.399999999999999" x14ac:dyDescent="0.4">
      <c r="A30" s="36">
        <v>25</v>
      </c>
      <c r="B30" s="37"/>
      <c r="C30" s="37"/>
      <c r="D30" s="37"/>
      <c r="E30" s="38"/>
      <c r="F30" s="39"/>
      <c r="G30" s="39"/>
      <c r="H30" s="40"/>
      <c r="I30" s="41"/>
      <c r="J30" s="42"/>
      <c r="K30" s="39"/>
      <c r="L30" s="43"/>
      <c r="M30" s="44"/>
      <c r="N30" s="45"/>
      <c r="O30" s="41"/>
      <c r="P30" s="41"/>
      <c r="Q30" s="40"/>
      <c r="R30" s="39"/>
      <c r="S30" s="39"/>
      <c r="T30" s="39"/>
      <c r="U30" s="39"/>
      <c r="V30" s="39"/>
      <c r="W30" s="39"/>
      <c r="X30" s="39"/>
      <c r="Y30" s="39"/>
      <c r="Z30" s="39"/>
      <c r="AA30" s="46"/>
      <c r="AC30" s="47"/>
      <c r="AD30" s="48"/>
      <c r="AE30" s="49"/>
      <c r="AF30" s="50"/>
      <c r="AG30" s="43"/>
      <c r="AH30" s="51"/>
      <c r="AI30" s="52"/>
      <c r="AJ30" s="44"/>
    </row>
    <row r="31" spans="1:36" ht="17.399999999999999" x14ac:dyDescent="0.4">
      <c r="A31" s="36">
        <v>26</v>
      </c>
      <c r="B31" s="37" t="s">
        <v>69</v>
      </c>
      <c r="C31" s="37" t="s">
        <v>70</v>
      </c>
      <c r="D31" s="37">
        <v>23.81</v>
      </c>
      <c r="E31" s="38">
        <f>D31*$AD$1</f>
        <v>35.714999999999996</v>
      </c>
      <c r="F31" s="39">
        <v>0.35</v>
      </c>
      <c r="G31" s="39">
        <v>0.35</v>
      </c>
      <c r="H31" s="40">
        <f>[2]!wcanal(E31)</f>
        <v>0.4</v>
      </c>
      <c r="I31" s="41">
        <f>[2]!mcanal(G31,H31)</f>
        <v>1</v>
      </c>
      <c r="J31" s="42">
        <f>[2]!Kcanal(AC31)</f>
        <v>35</v>
      </c>
      <c r="K31" s="39">
        <f t="shared" si="0"/>
        <v>1</v>
      </c>
      <c r="L31" s="43">
        <f>[2]!vcanal(J31,AG31,M31,AC31)</f>
        <v>0.30505303849942744</v>
      </c>
      <c r="M31" s="44">
        <v>7.3200000000000001E-4</v>
      </c>
      <c r="N31" s="45">
        <f>[2]!Tangguljalan(E31)</f>
        <v>3</v>
      </c>
      <c r="O31" s="41">
        <f>[2]!Tanggulnojalan(E31)</f>
        <v>1</v>
      </c>
      <c r="P31" s="41">
        <f>[2]!mcanal(G31,H31)</f>
        <v>1</v>
      </c>
      <c r="Q31" s="40">
        <f>[2]!Wlining(E31)</f>
        <v>0.2</v>
      </c>
      <c r="R31" s="39">
        <v>0.3</v>
      </c>
      <c r="S31" s="39">
        <v>2</v>
      </c>
      <c r="T31" s="39">
        <v>0</v>
      </c>
      <c r="U31" s="39">
        <v>3</v>
      </c>
      <c r="V31" s="39">
        <v>0</v>
      </c>
      <c r="W31" s="39">
        <v>3</v>
      </c>
      <c r="X31" s="39">
        <v>0</v>
      </c>
      <c r="Y31" s="39">
        <v>0</v>
      </c>
      <c r="Z31" s="39">
        <v>0</v>
      </c>
      <c r="AA31" s="46">
        <v>0</v>
      </c>
      <c r="AC31" s="47" t="s">
        <v>45</v>
      </c>
      <c r="AD31" s="48">
        <f>[2]!kriterian(E31)</f>
        <v>1</v>
      </c>
      <c r="AE31" s="49">
        <f>[2]!Acanal(F31,G31,I31)</f>
        <v>0.24499999999999997</v>
      </c>
      <c r="AF31" s="50">
        <f>[2]!Pcanal(F31,G31,I31)</f>
        <v>1.3399494936611664</v>
      </c>
      <c r="AG31" s="43">
        <f>[2]!rcanal(F31,G31,I31)</f>
        <v>0.182842712474619</v>
      </c>
      <c r="AH31" s="51">
        <f t="shared" si="1"/>
        <v>74.737994432359713</v>
      </c>
      <c r="AI31" s="52">
        <f>[2]!froud(F31,G31,L31)</f>
        <v>0.13773865863702181</v>
      </c>
      <c r="AJ31" s="44">
        <f t="shared" si="2"/>
        <v>3.1300401526018843E-4</v>
      </c>
    </row>
    <row r="32" spans="1:36" ht="17.399999999999999" x14ac:dyDescent="0.4">
      <c r="A32" s="36">
        <v>27</v>
      </c>
      <c r="B32" s="37" t="s">
        <v>69</v>
      </c>
      <c r="C32" s="37" t="s">
        <v>71</v>
      </c>
      <c r="D32" s="37">
        <v>14.51</v>
      </c>
      <c r="E32" s="38">
        <f>D32*$AD$1</f>
        <v>21.765000000000001</v>
      </c>
      <c r="F32" s="39">
        <v>0.3</v>
      </c>
      <c r="G32" s="39">
        <v>0.27</v>
      </c>
      <c r="H32" s="40">
        <f>[2]!wcanal(E32)</f>
        <v>0.4</v>
      </c>
      <c r="I32" s="41">
        <f>[2]!mcanal(G32,H32)</f>
        <v>1</v>
      </c>
      <c r="J32" s="42">
        <f>[2]!Kcanal(AC32)</f>
        <v>35</v>
      </c>
      <c r="K32" s="39">
        <f t="shared" si="0"/>
        <v>1.1111111111111109</v>
      </c>
      <c r="L32" s="43">
        <f>[2]!vcanal(J32,AG32,M32,AC32)</f>
        <v>0.28890204965567756</v>
      </c>
      <c r="M32" s="44">
        <v>8.9700000000000001E-4</v>
      </c>
      <c r="N32" s="45">
        <f>[2]!Tangguljalan(E32)</f>
        <v>3</v>
      </c>
      <c r="O32" s="41">
        <f>[2]!Tanggulnojalan(E32)</f>
        <v>1</v>
      </c>
      <c r="P32" s="41">
        <f>[2]!mcanal(G32,H32)</f>
        <v>1</v>
      </c>
      <c r="Q32" s="40">
        <f>[2]!Wlining(E32)</f>
        <v>0.2</v>
      </c>
      <c r="R32" s="39">
        <v>0.3</v>
      </c>
      <c r="S32" s="39">
        <v>2</v>
      </c>
      <c r="T32" s="39">
        <v>0</v>
      </c>
      <c r="U32" s="39">
        <v>3</v>
      </c>
      <c r="V32" s="39">
        <v>0</v>
      </c>
      <c r="W32" s="39">
        <v>3</v>
      </c>
      <c r="X32" s="39">
        <v>0</v>
      </c>
      <c r="Y32" s="39">
        <v>0</v>
      </c>
      <c r="Z32" s="39">
        <v>0</v>
      </c>
      <c r="AA32" s="46">
        <v>0</v>
      </c>
      <c r="AC32" s="47" t="s">
        <v>45</v>
      </c>
      <c r="AD32" s="48">
        <f>[2]!kriterian(E32)</f>
        <v>1</v>
      </c>
      <c r="AE32" s="49">
        <f>[2]!Acanal(F32,G32,I32)</f>
        <v>0.15390000000000004</v>
      </c>
      <c r="AF32" s="50">
        <f>[2]!Pcanal(F32,G32,I32)</f>
        <v>1.0636753236814713</v>
      </c>
      <c r="AG32" s="43">
        <f>[2]!rcanal(F32,G32,I32)</f>
        <v>0.14468700793710149</v>
      </c>
      <c r="AH32" s="51">
        <f t="shared" si="1"/>
        <v>44.462025442008787</v>
      </c>
      <c r="AI32" s="52">
        <f>[2]!froud(F32,G32,L32)</f>
        <v>0.12375204144011777</v>
      </c>
      <c r="AJ32" s="44">
        <f t="shared" si="2"/>
        <v>3.4119857673979722E-4</v>
      </c>
    </row>
    <row r="33" spans="1:36" ht="17.399999999999999" x14ac:dyDescent="0.4">
      <c r="A33" s="36">
        <v>28</v>
      </c>
      <c r="B33" s="37" t="s">
        <v>69</v>
      </c>
      <c r="C33" s="37" t="s">
        <v>62</v>
      </c>
      <c r="D33" s="37">
        <v>14.51</v>
      </c>
      <c r="E33" s="38">
        <f>D33*$AD$1</f>
        <v>21.765000000000001</v>
      </c>
      <c r="F33" s="39">
        <v>0.3</v>
      </c>
      <c r="G33" s="39">
        <v>0.28999999999999998</v>
      </c>
      <c r="H33" s="40">
        <f>[2]!wcanal(E33)</f>
        <v>0.4</v>
      </c>
      <c r="I33" s="41">
        <f>[2]!mcanal(G33,H33)</f>
        <v>1</v>
      </c>
      <c r="J33" s="42">
        <f>[2]!Kcanal(AC33)</f>
        <v>35</v>
      </c>
      <c r="K33" s="39">
        <f t="shared" si="0"/>
        <v>1.0344827586206897</v>
      </c>
      <c r="L33" s="43">
        <f>[2]!vcanal(J33,AG33,M33,AC33)</f>
        <v>0.29951774392347602</v>
      </c>
      <c r="M33" s="44">
        <v>8.9700000000000001E-4</v>
      </c>
      <c r="N33" s="45">
        <f>[2]!Tangguljalan(E33)</f>
        <v>3</v>
      </c>
      <c r="O33" s="41">
        <f>[2]!Tanggulnojalan(E33)</f>
        <v>1</v>
      </c>
      <c r="P33" s="41">
        <f>[2]!mcanal(G33,H33)</f>
        <v>1</v>
      </c>
      <c r="Q33" s="40">
        <f>[2]!Wlining(E33)</f>
        <v>0.2</v>
      </c>
      <c r="R33" s="39">
        <v>0.3</v>
      </c>
      <c r="S33" s="39">
        <v>2</v>
      </c>
      <c r="T33" s="39">
        <v>0</v>
      </c>
      <c r="U33" s="39">
        <v>3</v>
      </c>
      <c r="V33" s="39">
        <v>0</v>
      </c>
      <c r="W33" s="39">
        <v>3</v>
      </c>
      <c r="X33" s="39">
        <v>0</v>
      </c>
      <c r="Y33" s="39">
        <v>0</v>
      </c>
      <c r="Z33" s="39">
        <v>0</v>
      </c>
      <c r="AA33" s="46">
        <v>0</v>
      </c>
      <c r="AC33" s="47" t="s">
        <v>45</v>
      </c>
      <c r="AD33" s="48">
        <f>[2]!kriterian(E33)</f>
        <v>1</v>
      </c>
      <c r="AE33" s="49">
        <f>[2]!Acanal(F33,G33,I33)</f>
        <v>0.17109999999999997</v>
      </c>
      <c r="AF33" s="50">
        <f>[2]!Pcanal(F33,G33,I33)</f>
        <v>1.1202438661763952</v>
      </c>
      <c r="AG33" s="43">
        <f>[2]!rcanal(F33,G33,I33)</f>
        <v>0.1527346010686019</v>
      </c>
      <c r="AH33" s="51">
        <f t="shared" si="1"/>
        <v>51.247485985306739</v>
      </c>
      <c r="AI33" s="52">
        <f>[2]!froud(F33,G33,L33)</f>
        <v>0.13296625026416287</v>
      </c>
      <c r="AJ33" s="44">
        <f t="shared" si="2"/>
        <v>3.50559031592693E-4</v>
      </c>
    </row>
    <row r="34" spans="1:36" ht="17.399999999999999" x14ac:dyDescent="0.4">
      <c r="A34" s="36">
        <v>29</v>
      </c>
      <c r="B34" s="37" t="s">
        <v>69</v>
      </c>
      <c r="C34" s="37" t="s">
        <v>61</v>
      </c>
      <c r="D34" s="37">
        <v>9.3000000000000007</v>
      </c>
      <c r="E34" s="38">
        <f>D34*$AD$1</f>
        <v>13.950000000000001</v>
      </c>
      <c r="F34" s="39">
        <v>0.3</v>
      </c>
      <c r="G34" s="39">
        <v>0.24</v>
      </c>
      <c r="H34" s="40">
        <f>[2]!wcanal(E34)</f>
        <v>0.4</v>
      </c>
      <c r="I34" s="41">
        <f>[2]!mcanal(G34,H34)</f>
        <v>1</v>
      </c>
      <c r="J34" s="42">
        <f>[2]!Kcanal(AC34)</f>
        <v>35</v>
      </c>
      <c r="K34" s="39">
        <f t="shared" si="0"/>
        <v>1.25</v>
      </c>
      <c r="L34" s="43">
        <f>[2]!vcanal(J34,AG34,M34,AC34)</f>
        <v>0.15748143876918336</v>
      </c>
      <c r="M34" s="44">
        <v>2.9999999999999997E-4</v>
      </c>
      <c r="N34" s="45">
        <f>[2]!Tangguljalan(E34)</f>
        <v>3</v>
      </c>
      <c r="O34" s="41">
        <f>[2]!Tanggulnojalan(E34)</f>
        <v>1</v>
      </c>
      <c r="P34" s="41">
        <f>[2]!mcanal(G34,H34)</f>
        <v>1</v>
      </c>
      <c r="Q34" s="40">
        <f>[2]!Wlining(E34)</f>
        <v>0.2</v>
      </c>
      <c r="R34" s="39">
        <v>0.3</v>
      </c>
      <c r="S34" s="39">
        <v>2</v>
      </c>
      <c r="T34" s="39">
        <v>0</v>
      </c>
      <c r="U34" s="39">
        <v>3</v>
      </c>
      <c r="V34" s="39">
        <v>0</v>
      </c>
      <c r="W34" s="39">
        <v>3</v>
      </c>
      <c r="X34" s="39">
        <v>0</v>
      </c>
      <c r="Y34" s="39">
        <v>0</v>
      </c>
      <c r="Z34" s="39">
        <v>0</v>
      </c>
      <c r="AA34" s="46">
        <v>0</v>
      </c>
      <c r="AC34" s="47" t="s">
        <v>45</v>
      </c>
      <c r="AD34" s="48">
        <f>[2]!kriterian(E34)</f>
        <v>1</v>
      </c>
      <c r="AE34" s="49">
        <f>[2]!Acanal(F34,G34,I34)</f>
        <v>0.12959999999999999</v>
      </c>
      <c r="AF34" s="50">
        <f>[2]!Pcanal(F34,G34,I34)</f>
        <v>0.97882250993908571</v>
      </c>
      <c r="AG34" s="43">
        <f>[2]!rcanal(F34,G34,I34)</f>
        <v>0.13240398405637943</v>
      </c>
      <c r="AH34" s="51">
        <f t="shared" si="1"/>
        <v>20.409594464486162</v>
      </c>
      <c r="AI34" s="52">
        <f>[2]!froud(F34,G34,L34)</f>
        <v>6.3599669899337657E-2</v>
      </c>
      <c r="AJ34" s="44">
        <f t="shared" si="2"/>
        <v>1.0916207475618145E-4</v>
      </c>
    </row>
    <row r="35" spans="1:36" ht="17.399999999999999" x14ac:dyDescent="0.4">
      <c r="A35" s="36">
        <v>30</v>
      </c>
      <c r="B35" s="37"/>
      <c r="C35" s="37"/>
      <c r="D35" s="37"/>
      <c r="E35" s="38"/>
      <c r="F35" s="39"/>
      <c r="G35" s="39"/>
      <c r="H35" s="40"/>
      <c r="I35" s="41"/>
      <c r="J35" s="42"/>
      <c r="K35" s="39"/>
      <c r="L35" s="43"/>
      <c r="M35" s="44"/>
      <c r="N35" s="45"/>
      <c r="O35" s="41"/>
      <c r="P35" s="41"/>
      <c r="Q35" s="40"/>
      <c r="R35" s="39"/>
      <c r="S35" s="39"/>
      <c r="T35" s="39"/>
      <c r="U35" s="39"/>
      <c r="V35" s="39"/>
      <c r="W35" s="39"/>
      <c r="X35" s="39"/>
      <c r="Y35" s="39"/>
      <c r="Z35" s="39"/>
      <c r="AA35" s="46"/>
      <c r="AC35" s="47"/>
      <c r="AD35" s="48"/>
      <c r="AE35" s="49"/>
      <c r="AF35" s="50"/>
      <c r="AG35" s="43"/>
      <c r="AH35" s="51"/>
      <c r="AI35" s="52"/>
      <c r="AJ35" s="44"/>
    </row>
    <row r="36" spans="1:36" ht="17.399999999999999" x14ac:dyDescent="0.4">
      <c r="A36" s="36">
        <v>31</v>
      </c>
      <c r="B36" s="37" t="s">
        <v>72</v>
      </c>
      <c r="C36" s="37" t="s">
        <v>71</v>
      </c>
      <c r="D36" s="37">
        <v>13.05</v>
      </c>
      <c r="E36" s="38">
        <f>D36*$AD$1</f>
        <v>19.575000000000003</v>
      </c>
      <c r="F36" s="39">
        <v>0.3</v>
      </c>
      <c r="G36" s="39">
        <v>0.26</v>
      </c>
      <c r="H36" s="40">
        <f>[2]!wcanal(E36)</f>
        <v>0.4</v>
      </c>
      <c r="I36" s="41">
        <f>[2]!mcanal(G36,H36)</f>
        <v>1</v>
      </c>
      <c r="J36" s="42">
        <f>[2]!Kcanal(AC36)</f>
        <v>35</v>
      </c>
      <c r="K36" s="39">
        <f t="shared" si="0"/>
        <v>1.1538461538461537</v>
      </c>
      <c r="L36" s="43">
        <f>[2]!vcanal(J36,AG36,M36,AC36)</f>
        <v>0.34980931679966376</v>
      </c>
      <c r="M36" s="44">
        <v>1.366E-3</v>
      </c>
      <c r="N36" s="45">
        <f>[2]!Tangguljalan(E36)</f>
        <v>3</v>
      </c>
      <c r="O36" s="41">
        <f>[2]!Tanggulnojalan(E36)</f>
        <v>1</v>
      </c>
      <c r="P36" s="41">
        <f>[2]!mcanal(G36,H36)</f>
        <v>1</v>
      </c>
      <c r="Q36" s="40">
        <f>[2]!Wlining(E36)</f>
        <v>0.2</v>
      </c>
      <c r="R36" s="39">
        <v>0.3</v>
      </c>
      <c r="S36" s="39">
        <v>2</v>
      </c>
      <c r="T36" s="39">
        <v>0</v>
      </c>
      <c r="U36" s="39">
        <v>3</v>
      </c>
      <c r="V36" s="39">
        <v>0</v>
      </c>
      <c r="W36" s="39">
        <v>3</v>
      </c>
      <c r="X36" s="39">
        <v>0</v>
      </c>
      <c r="Y36" s="39">
        <v>0</v>
      </c>
      <c r="Z36" s="39">
        <v>0</v>
      </c>
      <c r="AA36" s="46">
        <v>0</v>
      </c>
      <c r="AC36" s="47" t="s">
        <v>45</v>
      </c>
      <c r="AD36" s="48">
        <f>[2]!kriterian(E36)</f>
        <v>1</v>
      </c>
      <c r="AE36" s="49">
        <f>[2]!Acanal(F36,G36,I36)</f>
        <v>0.14560000000000001</v>
      </c>
      <c r="AF36" s="50">
        <f>[2]!Pcanal(F36,G36,I36)</f>
        <v>1.0353910524340095</v>
      </c>
      <c r="AG36" s="43">
        <f>[2]!rcanal(F36,G36,I36)</f>
        <v>0.1406231970594316</v>
      </c>
      <c r="AH36" s="51">
        <f t="shared" si="1"/>
        <v>50.932236526031041</v>
      </c>
      <c r="AI36" s="52">
        <f>[2]!froud(F36,G36,L36)</f>
        <v>0.14704081900638177</v>
      </c>
      <c r="AJ36" s="44">
        <f t="shared" si="2"/>
        <v>5.1224671623371952E-4</v>
      </c>
    </row>
    <row r="37" spans="1:36" ht="17.399999999999999" x14ac:dyDescent="0.4">
      <c r="A37" s="36">
        <v>32</v>
      </c>
      <c r="B37" s="37" t="s">
        <v>72</v>
      </c>
      <c r="C37" s="37" t="s">
        <v>61</v>
      </c>
      <c r="D37" s="37">
        <v>8.66</v>
      </c>
      <c r="E37" s="38">
        <f>D37*$AD$1</f>
        <v>12.99</v>
      </c>
      <c r="F37" s="39">
        <v>0.3</v>
      </c>
      <c r="G37" s="39">
        <v>0.23</v>
      </c>
      <c r="H37" s="40">
        <f>[2]!wcanal(E37)</f>
        <v>0.4</v>
      </c>
      <c r="I37" s="41">
        <f>[2]!mcanal(G37,H37)</f>
        <v>1</v>
      </c>
      <c r="J37" s="42">
        <f>[2]!Kcanal(AC37)</f>
        <v>35</v>
      </c>
      <c r="K37" s="39">
        <f t="shared" si="0"/>
        <v>1.3043478260869563</v>
      </c>
      <c r="L37" s="43">
        <f>[2]!vcanal(J37,AG37,M37,AC37)</f>
        <v>0.32896482990937959</v>
      </c>
      <c r="M37" s="44">
        <v>1.366E-3</v>
      </c>
      <c r="N37" s="45">
        <f>[2]!Tangguljalan(E37)</f>
        <v>3</v>
      </c>
      <c r="O37" s="41">
        <f>[2]!Tanggulnojalan(E37)</f>
        <v>1</v>
      </c>
      <c r="P37" s="41">
        <f>[2]!mcanal(G37,H37)</f>
        <v>1</v>
      </c>
      <c r="Q37" s="40">
        <f>[2]!Wlining(E37)</f>
        <v>0.2</v>
      </c>
      <c r="R37" s="39">
        <v>0.3</v>
      </c>
      <c r="S37" s="39">
        <v>2</v>
      </c>
      <c r="T37" s="39">
        <v>0</v>
      </c>
      <c r="U37" s="39">
        <v>3</v>
      </c>
      <c r="V37" s="39">
        <v>0</v>
      </c>
      <c r="W37" s="39">
        <v>3</v>
      </c>
      <c r="X37" s="39">
        <v>0</v>
      </c>
      <c r="Y37" s="39">
        <v>0</v>
      </c>
      <c r="Z37" s="39">
        <v>0</v>
      </c>
      <c r="AA37" s="46">
        <v>0</v>
      </c>
      <c r="AC37" s="47" t="s">
        <v>45</v>
      </c>
      <c r="AD37" s="48">
        <f>[2]!kriterian(E37)</f>
        <v>1</v>
      </c>
      <c r="AE37" s="49">
        <f>[2]!Acanal(F37,G37,I37)</f>
        <v>0.12190000000000001</v>
      </c>
      <c r="AF37" s="50">
        <f>[2]!Pcanal(F37,G37,I37)</f>
        <v>0.95053823869162368</v>
      </c>
      <c r="AG37" s="43">
        <f>[2]!rcanal(F37,G37,I37)</f>
        <v>0.1282431311419836</v>
      </c>
      <c r="AH37" s="51">
        <f t="shared" si="1"/>
        <v>40.100812765953378</v>
      </c>
      <c r="AI37" s="52">
        <f>[2]!froud(F37,G37,L37)</f>
        <v>0.13005685691223007</v>
      </c>
      <c r="AJ37" s="44">
        <f t="shared" si="2"/>
        <v>4.891789447770327E-4</v>
      </c>
    </row>
    <row r="38" spans="1:36" ht="17.399999999999999" x14ac:dyDescent="0.4">
      <c r="A38" s="36">
        <v>33</v>
      </c>
      <c r="B38" s="37" t="s">
        <v>72</v>
      </c>
      <c r="C38" s="37" t="s">
        <v>62</v>
      </c>
      <c r="D38" s="37">
        <v>13.05</v>
      </c>
      <c r="E38" s="38">
        <f>D38*$AD$1</f>
        <v>19.575000000000003</v>
      </c>
      <c r="F38" s="39">
        <v>0.3</v>
      </c>
      <c r="G38" s="39">
        <v>0.28000000000000003</v>
      </c>
      <c r="H38" s="40">
        <f>[2]!wcanal(E38)</f>
        <v>0.4</v>
      </c>
      <c r="I38" s="41">
        <f>[2]!mcanal(G38,H38)</f>
        <v>1</v>
      </c>
      <c r="J38" s="42">
        <f>[2]!Kcanal(AC38)</f>
        <v>35</v>
      </c>
      <c r="K38" s="39">
        <f t="shared" si="0"/>
        <v>1.0714285714285714</v>
      </c>
      <c r="L38" s="43">
        <f>[2]!vcanal(J38,AG38,M38,AC38)</f>
        <v>0.2156972132843703</v>
      </c>
      <c r="M38" s="44">
        <v>4.8200000000000001E-4</v>
      </c>
      <c r="N38" s="45">
        <f>[2]!Tangguljalan(E38)</f>
        <v>3</v>
      </c>
      <c r="O38" s="41">
        <f>[2]!Tanggulnojalan(E38)</f>
        <v>1</v>
      </c>
      <c r="P38" s="41">
        <f>[2]!mcanal(G38,H38)</f>
        <v>1</v>
      </c>
      <c r="Q38" s="40">
        <f>[2]!Wlining(E38)</f>
        <v>0.2</v>
      </c>
      <c r="R38" s="39">
        <v>0.3</v>
      </c>
      <c r="S38" s="39">
        <v>2</v>
      </c>
      <c r="T38" s="39">
        <v>0</v>
      </c>
      <c r="U38" s="39">
        <v>3</v>
      </c>
      <c r="V38" s="39">
        <v>0</v>
      </c>
      <c r="W38" s="39">
        <v>3</v>
      </c>
      <c r="X38" s="39">
        <v>0</v>
      </c>
      <c r="Y38" s="39">
        <v>0</v>
      </c>
      <c r="Z38" s="39">
        <v>0</v>
      </c>
      <c r="AA38" s="46">
        <v>0</v>
      </c>
      <c r="AC38" s="47" t="s">
        <v>45</v>
      </c>
      <c r="AD38" s="48">
        <f>[2]!kriterian(E38)</f>
        <v>1</v>
      </c>
      <c r="AE38" s="49">
        <f>[2]!Acanal(F38,G38,I38)</f>
        <v>0.16240000000000004</v>
      </c>
      <c r="AF38" s="50">
        <f>[2]!Pcanal(F38,G38,I38)</f>
        <v>1.0919595949289334</v>
      </c>
      <c r="AG38" s="43">
        <f>[2]!rcanal(F38,G38,I38)</f>
        <v>0.14872345163153158</v>
      </c>
      <c r="AH38" s="51">
        <f t="shared" si="1"/>
        <v>35.029227437381742</v>
      </c>
      <c r="AI38" s="52">
        <f>[2]!froud(F38,G38,L38)</f>
        <v>9.408998876903954E-2</v>
      </c>
      <c r="AJ38" s="44">
        <f t="shared" si="2"/>
        <v>1.8588175590101343E-4</v>
      </c>
    </row>
    <row r="39" spans="1:36" ht="17.399999999999999" x14ac:dyDescent="0.4">
      <c r="A39" s="53"/>
      <c r="B39" s="37"/>
      <c r="C39" s="37"/>
      <c r="D39" s="37"/>
      <c r="E39" s="38"/>
      <c r="F39" s="39"/>
      <c r="G39" s="39"/>
      <c r="H39" s="54"/>
      <c r="I39" s="39"/>
      <c r="J39" s="55"/>
      <c r="K39" s="39"/>
      <c r="L39" s="56"/>
      <c r="M39" s="44"/>
      <c r="N39" s="57"/>
      <c r="O39" s="39"/>
      <c r="P39" s="39"/>
      <c r="Q39" s="54"/>
      <c r="R39" s="39"/>
      <c r="S39" s="39"/>
      <c r="T39" s="39"/>
      <c r="U39" s="39"/>
      <c r="V39" s="39"/>
      <c r="W39" s="39"/>
      <c r="X39" s="39"/>
      <c r="Y39" s="39"/>
      <c r="Z39" s="39"/>
      <c r="AA39" s="46"/>
      <c r="AC39" s="47"/>
      <c r="AD39" s="58"/>
      <c r="AE39" s="59"/>
      <c r="AF39" s="51"/>
      <c r="AG39" s="51"/>
      <c r="AH39" s="51"/>
      <c r="AI39" s="60"/>
      <c r="AJ39" s="44"/>
    </row>
  </sheetData>
  <mergeCells count="4">
    <mergeCell ref="A2:AA2"/>
    <mergeCell ref="AC2:AJ2"/>
    <mergeCell ref="AE3:AG3"/>
    <mergeCell ref="AH3:AJ3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Dimensi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 Komering 11</dc:creator>
  <cp:lastModifiedBy>Dell</cp:lastModifiedBy>
  <cp:revision>0</cp:revision>
  <dcterms:created xsi:type="dcterms:W3CDTF">2023-12-21T02:32:34Z</dcterms:created>
  <dcterms:modified xsi:type="dcterms:W3CDTF">2024-10-11T13:40:29Z</dcterms:modified>
</cp:coreProperties>
</file>