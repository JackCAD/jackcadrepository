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jackcad2024\SampleExcel\"/>
    </mc:Choice>
  </mc:AlternateContent>
  <bookViews>
    <workbookView xWindow="0" yWindow="0" windowWidth="23040" windowHeight="8676"/>
  </bookViews>
  <sheets>
    <sheet name="PolygonCalculationForm2" sheetId="3" r:id="rId1"/>
  </sheets>
  <externalReferences>
    <externalReference r:id="rId2"/>
    <externalReference r:id="rId3"/>
  </externalReferences>
  <definedNames>
    <definedName name="_1">#N/A</definedName>
    <definedName name="_a" localSheetId="0">#REF!</definedName>
    <definedName name="_a">#REF!</definedName>
    <definedName name="a" localSheetId="0">#REF!</definedName>
    <definedName name="a" comment="cghm">#REF!</definedName>
    <definedName name="AAA" localSheetId="0">#REF!</definedName>
    <definedName name="AAA">#REF!</definedName>
    <definedName name="b" localSheetId="0">#REF!</definedName>
    <definedName name="b">#REF!</definedName>
    <definedName name="Bagi">2</definedName>
    <definedName name="Bendung">1</definedName>
    <definedName name="GHHHH" localSheetId="0">#REF!</definedName>
    <definedName name="GHHHH">#REF!</definedName>
    <definedName name="h" localSheetId="0">#REF!</definedName>
    <definedName name="h">#REF!</definedName>
    <definedName name="H24_Formula" localSheetId="0">IF(ISBLANK(#REF!),"Tidak Ada",#REF!)</definedName>
    <definedName name="H24_Formula">IF(ISBLANK(#REF!),"Tidak Ada",#REF!)</definedName>
    <definedName name="JJJ" localSheetId="0">#REF!</definedName>
    <definedName name="JJJ">#REF!</definedName>
    <definedName name="jrk" localSheetId="0">#REF!</definedName>
    <definedName name="jrk">#REF!</definedName>
    <definedName name="m" localSheetId="0">#REF!</definedName>
    <definedName name="m">#REF!</definedName>
    <definedName name="_xlnm.Print_Area" localSheetId="0">#REF!</definedName>
    <definedName name="_xlnm.Print_Area">#REF!</definedName>
    <definedName name="Q">#N/A</definedName>
    <definedName name="ttr" localSheetId="0">#REF!</definedName>
    <definedName name="tt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6" i="3" l="1"/>
  <c r="R6" i="3"/>
  <c r="Y5" i="3"/>
  <c r="R5" i="3"/>
  <c r="Y4" i="3"/>
  <c r="S10" i="3"/>
  <c r="S7" i="3"/>
</calcChain>
</file>

<file path=xl/sharedStrings.xml><?xml version="1.0" encoding="utf-8"?>
<sst xmlns="http://schemas.openxmlformats.org/spreadsheetml/2006/main" count="281" uniqueCount="133">
  <si>
    <t>Y</t>
  </si>
  <si>
    <t>X</t>
  </si>
  <si>
    <t>Azimuth</t>
  </si>
  <si>
    <t>Patok</t>
  </si>
  <si>
    <t>Topo 02 - Polygon Calculation</t>
  </si>
  <si>
    <t>HITUNGAN   POLIGON</t>
  </si>
  <si>
    <t>Proyek</t>
  </si>
  <si>
    <t>:</t>
  </si>
  <si>
    <t>Referensi</t>
  </si>
  <si>
    <t>Titik</t>
  </si>
  <si>
    <t>Z</t>
  </si>
  <si>
    <r>
      <t>D</t>
    </r>
    <r>
      <rPr>
        <b/>
        <sz val="8"/>
        <rFont val="Arial"/>
        <family val="2"/>
      </rPr>
      <t>X</t>
    </r>
  </si>
  <si>
    <t>Jalur</t>
  </si>
  <si>
    <t>awal</t>
  </si>
  <si>
    <t>(Nilai X awal...)</t>
  </si>
  <si>
    <t>(Nilai Y awal...)</t>
  </si>
  <si>
    <t>(Nilai Z awal...)</t>
  </si>
  <si>
    <r>
      <t>D</t>
    </r>
    <r>
      <rPr>
        <b/>
        <sz val="8"/>
        <rFont val="Arial"/>
        <family val="2"/>
      </rPr>
      <t>Y</t>
    </r>
  </si>
  <si>
    <t xml:space="preserve">Dihitung Oleh </t>
  </si>
  <si>
    <t>BS</t>
  </si>
  <si>
    <t>(Nilai X Back Sight...)</t>
  </si>
  <si>
    <t>(Nilai Y Back Sight...)</t>
  </si>
  <si>
    <t>(Nilai Z Back Sight...)</t>
  </si>
  <si>
    <t>DZ</t>
  </si>
  <si>
    <t>Tanggal</t>
  </si>
  <si>
    <t>azimuth</t>
  </si>
  <si>
    <t>Koreksi sudut  :</t>
  </si>
  <si>
    <t>akhir</t>
  </si>
  <si>
    <t>K30</t>
  </si>
  <si>
    <t>(Nilai X Berdiri Akhir...)</t>
  </si>
  <si>
    <t>(Nilai Y Berdiri Akhir...)</t>
  </si>
  <si>
    <t>(Nilai Z Berdiri Akhir...)</t>
  </si>
  <si>
    <t>Koreksi jarak  :</t>
  </si>
  <si>
    <t>K55</t>
  </si>
  <si>
    <t>(Nilai X Patok Akhir...)</t>
  </si>
  <si>
    <t>(Nilai Y Patok Akhir...)</t>
  </si>
  <si>
    <t>(Nilai Z Patok Akhir...)</t>
  </si>
  <si>
    <t>Koreksi Elevasi</t>
  </si>
  <si>
    <t>No</t>
  </si>
  <si>
    <t>Tinggi alat</t>
  </si>
  <si>
    <t>Tinggi target</t>
  </si>
  <si>
    <t>Titik Poligon</t>
  </si>
  <si>
    <t>Sudut Horisontal</t>
  </si>
  <si>
    <t>Sudut Vertikal</t>
  </si>
  <si>
    <t>Koreksi sudut</t>
  </si>
  <si>
    <t>Jarak Miring</t>
  </si>
  <si>
    <t>Jarak Datar</t>
  </si>
  <si>
    <t>Koreksi X</t>
  </si>
  <si>
    <t>Koreksi Y</t>
  </si>
  <si>
    <t>Koreksi Z</t>
  </si>
  <si>
    <t>Koordinat   (m)</t>
  </si>
  <si>
    <t>Keterangan</t>
  </si>
  <si>
    <t>Keterangan Tambahan</t>
  </si>
  <si>
    <t>+ koreksi</t>
  </si>
  <si>
    <t>Absis  (X)</t>
  </si>
  <si>
    <t>Ordinat  (Y)</t>
  </si>
  <si>
    <t>Poligon</t>
  </si>
  <si>
    <t>WP</t>
  </si>
  <si>
    <t>BM/CP</t>
  </si>
  <si>
    <t>Point Name</t>
  </si>
  <si>
    <t>Instrument Height (m)</t>
  </si>
  <si>
    <t>Instrument Centering Error (m)</t>
  </si>
  <si>
    <t>Instrument Height Error (m)</t>
  </si>
  <si>
    <t>Reflector Height Error (m)</t>
  </si>
  <si>
    <t>Reflector Centering Error (m)</t>
  </si>
  <si>
    <t>Point From</t>
  </si>
  <si>
    <t>Point To</t>
  </si>
  <si>
    <t>Reflector Height (m)</t>
  </si>
  <si>
    <t>Horizontal Circle</t>
  </si>
  <si>
    <t>Slope Distance (m)</t>
  </si>
  <si>
    <t>Zenith Angle</t>
  </si>
  <si>
    <t>Code</t>
  </si>
  <si>
    <t>Type</t>
  </si>
  <si>
    <t>P</t>
  </si>
  <si>
    <t>P47</t>
  </si>
  <si>
    <t>parit</t>
  </si>
  <si>
    <t>jalan</t>
  </si>
  <si>
    <t>P44</t>
  </si>
  <si>
    <t>sal</t>
  </si>
  <si>
    <t>sawah</t>
  </si>
  <si>
    <t>P56</t>
  </si>
  <si>
    <t>BM</t>
  </si>
  <si>
    <t>sawh</t>
  </si>
  <si>
    <t>P52</t>
  </si>
  <si>
    <t>P57</t>
  </si>
  <si>
    <t>P58</t>
  </si>
  <si>
    <t>P60</t>
  </si>
  <si>
    <t>tinggi</t>
  </si>
  <si>
    <t>8z</t>
  </si>
  <si>
    <t>9z</t>
  </si>
  <si>
    <t>11z</t>
  </si>
  <si>
    <t>12z</t>
  </si>
  <si>
    <t>13z</t>
  </si>
  <si>
    <t>14z</t>
  </si>
  <si>
    <t>A</t>
  </si>
  <si>
    <t>P28</t>
  </si>
  <si>
    <t>P6</t>
  </si>
  <si>
    <t>P9</t>
  </si>
  <si>
    <t>P11</t>
  </si>
  <si>
    <t>ladang</t>
  </si>
  <si>
    <t>P13</t>
  </si>
  <si>
    <t>P17</t>
  </si>
  <si>
    <t>P26</t>
  </si>
  <si>
    <t>BTH02</t>
  </si>
  <si>
    <t>batas</t>
  </si>
  <si>
    <t>P36</t>
  </si>
  <si>
    <t>mesid</t>
  </si>
  <si>
    <t>P38</t>
  </si>
  <si>
    <t>P39</t>
  </si>
  <si>
    <t>P46</t>
  </si>
  <si>
    <t>P48</t>
  </si>
  <si>
    <t>P49</t>
  </si>
  <si>
    <t>P55</t>
  </si>
  <si>
    <t>1z</t>
  </si>
  <si>
    <t>2z</t>
  </si>
  <si>
    <t>3z</t>
  </si>
  <si>
    <t>4z</t>
  </si>
  <si>
    <t>swh</t>
  </si>
  <si>
    <t>jln</t>
  </si>
  <si>
    <t>P62</t>
  </si>
  <si>
    <t>P63</t>
  </si>
  <si>
    <t>HP65</t>
  </si>
  <si>
    <t>P66</t>
  </si>
  <si>
    <t>HP1</t>
  </si>
  <si>
    <t>P68</t>
  </si>
  <si>
    <t>HP2</t>
  </si>
  <si>
    <t>HP3</t>
  </si>
  <si>
    <t>P69</t>
  </si>
  <si>
    <t>P73</t>
  </si>
  <si>
    <t>P75</t>
  </si>
  <si>
    <t>CP01</t>
  </si>
  <si>
    <t>barak</t>
  </si>
  <si>
    <t>rumah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</si>
</sst>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00"/>
    <numFmt numFmtId="165" formatCode="0.000\ \ \ "/>
    <numFmt numFmtId="166" formatCode="0.000_)"/>
    <numFmt numFmtId="172" formatCode="_(* #,##0.00_);_(* \(#,##0.00\);_(* &quot;-&quot;??_);_(@_)"/>
  </numFmts>
  <fonts count="11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2"/>
      <color rgb="FF0070C0"/>
      <name val="Arial"/>
      <family val="2"/>
    </font>
    <font>
      <sz val="8"/>
      <name val="Arial"/>
      <family val="2"/>
    </font>
    <font>
      <b/>
      <u/>
      <sz val="14"/>
      <name val="Arial"/>
      <family val="2"/>
    </font>
    <font>
      <b/>
      <sz val="8"/>
      <name val="Symbol"/>
      <family val="1"/>
      <charset val="2"/>
    </font>
    <font>
      <b/>
      <sz val="8"/>
      <name val="Arial"/>
      <family val="2"/>
    </font>
    <font>
      <b/>
      <sz val="7"/>
      <name val="Arial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0" fontId="2" fillId="0" borderId="0"/>
    <xf numFmtId="0" fontId="3" fillId="0" borderId="0"/>
    <xf numFmtId="172" fontId="3" fillId="0" borderId="0" applyFont="0" applyFill="0" applyBorder="0" applyAlignment="0" applyProtection="0"/>
    <xf numFmtId="0" fontId="1" fillId="0" borderId="0"/>
  </cellStyleXfs>
  <cellXfs count="75">
    <xf numFmtId="0" fontId="0" fillId="0" borderId="0" xfId="0"/>
    <xf numFmtId="0" fontId="3" fillId="2" borderId="0" xfId="2" applyFill="1"/>
    <xf numFmtId="0" fontId="3" fillId="0" borderId="0" xfId="2"/>
    <xf numFmtId="0" fontId="5" fillId="0" borderId="0" xfId="2" applyFont="1"/>
    <xf numFmtId="0" fontId="3" fillId="0" borderId="0" xfId="2" applyAlignment="1">
      <alignment horizontal="center"/>
    </xf>
    <xf numFmtId="0" fontId="3" fillId="3" borderId="0" xfId="2" applyFill="1"/>
    <xf numFmtId="0" fontId="5" fillId="0" borderId="1" xfId="2" applyFont="1" applyBorder="1"/>
    <xf numFmtId="0" fontId="5" fillId="0" borderId="2" xfId="2" applyFont="1" applyBorder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164" fontId="5" fillId="0" borderId="0" xfId="2" applyNumberFormat="1" applyFont="1"/>
    <xf numFmtId="0" fontId="5" fillId="0" borderId="4" xfId="2" applyFont="1" applyBorder="1"/>
    <xf numFmtId="166" fontId="3" fillId="0" borderId="0" xfId="2" applyNumberFormat="1" applyAlignment="1">
      <alignment horizontal="center"/>
    </xf>
    <xf numFmtId="0" fontId="5" fillId="3" borderId="0" xfId="2" applyFont="1" applyFill="1"/>
    <xf numFmtId="0" fontId="5" fillId="0" borderId="5" xfId="2" applyFont="1" applyBorder="1"/>
    <xf numFmtId="0" fontId="5" fillId="0" borderId="6" xfId="2" applyFont="1" applyBorder="1"/>
    <xf numFmtId="0" fontId="5" fillId="0" borderId="6" xfId="2" applyFont="1" applyBorder="1" applyAlignment="1">
      <alignment horizontal="center" vertical="center"/>
    </xf>
    <xf numFmtId="0" fontId="5" fillId="0" borderId="7" xfId="2" applyFont="1" applyBorder="1" applyAlignment="1">
      <alignment horizontal="center" vertical="center"/>
    </xf>
    <xf numFmtId="0" fontId="8" fillId="0" borderId="0" xfId="2" applyFont="1"/>
    <xf numFmtId="166" fontId="8" fillId="0" borderId="0" xfId="2" applyNumberFormat="1" applyFont="1"/>
    <xf numFmtId="0" fontId="8" fillId="0" borderId="21" xfId="2" applyFont="1" applyBorder="1" applyAlignment="1">
      <alignment vertical="center"/>
    </xf>
    <xf numFmtId="0" fontId="8" fillId="0" borderId="21" xfId="2" quotePrefix="1" applyFont="1" applyBorder="1" applyAlignment="1">
      <alignment vertical="center"/>
    </xf>
    <xf numFmtId="0" fontId="8" fillId="0" borderId="29" xfId="2" applyFont="1" applyBorder="1" applyAlignment="1">
      <alignment horizontal="center" vertical="center"/>
    </xf>
    <xf numFmtId="0" fontId="8" fillId="0" borderId="30" xfId="2" applyFont="1" applyBorder="1" applyAlignment="1">
      <alignment horizontal="center" vertical="center"/>
    </xf>
    <xf numFmtId="0" fontId="8" fillId="0" borderId="31" xfId="2" applyFont="1" applyBorder="1" applyAlignment="1">
      <alignment horizontal="center" vertical="center"/>
    </xf>
    <xf numFmtId="0" fontId="5" fillId="4" borderId="32" xfId="2" applyFont="1" applyFill="1" applyBorder="1" applyAlignment="1">
      <alignment vertical="center"/>
    </xf>
    <xf numFmtId="0" fontId="5" fillId="4" borderId="33" xfId="2" applyFont="1" applyFill="1" applyBorder="1" applyAlignment="1">
      <alignment horizontal="center" vertical="center" wrapText="1"/>
    </xf>
    <xf numFmtId="0" fontId="6" fillId="0" borderId="0" xfId="2" applyFont="1" applyAlignment="1">
      <alignment horizontal="center"/>
    </xf>
    <xf numFmtId="0" fontId="7" fillId="0" borderId="16" xfId="2" applyFont="1" applyBorder="1" applyAlignment="1">
      <alignment horizontal="center" vertical="center"/>
    </xf>
    <xf numFmtId="0" fontId="7" fillId="0" borderId="27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8" fillId="0" borderId="8" xfId="2" applyFont="1" applyBorder="1" applyAlignment="1">
      <alignment horizontal="center" vertical="center"/>
    </xf>
    <xf numFmtId="0" fontId="8" fillId="0" borderId="21" xfId="2" applyFont="1" applyBorder="1" applyAlignment="1">
      <alignment horizontal="center" vertical="center"/>
    </xf>
    <xf numFmtId="0" fontId="8" fillId="0" borderId="8" xfId="2" applyFont="1" applyBorder="1" applyAlignment="1">
      <alignment horizontal="center" vertical="center" wrapText="1"/>
    </xf>
    <xf numFmtId="0" fontId="8" fillId="0" borderId="21" xfId="2" applyFont="1" applyBorder="1" applyAlignment="1">
      <alignment horizontal="center" vertical="center" wrapText="1"/>
    </xf>
    <xf numFmtId="0" fontId="8" fillId="0" borderId="9" xfId="2" applyFont="1" applyBorder="1" applyAlignment="1">
      <alignment horizontal="center" vertical="center" wrapText="1"/>
    </xf>
    <xf numFmtId="0" fontId="8" fillId="0" borderId="10" xfId="2" applyFont="1" applyBorder="1" applyAlignment="1">
      <alignment horizontal="center" vertical="center" wrapText="1"/>
    </xf>
    <xf numFmtId="0" fontId="8" fillId="0" borderId="22" xfId="2" applyFont="1" applyBorder="1" applyAlignment="1">
      <alignment horizontal="center" vertical="center" wrapText="1"/>
    </xf>
    <xf numFmtId="0" fontId="8" fillId="0" borderId="23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center" vertical="center"/>
    </xf>
    <xf numFmtId="0" fontId="8" fillId="0" borderId="12" xfId="2" applyFont="1" applyBorder="1" applyAlignment="1">
      <alignment horizontal="center" vertical="center"/>
    </xf>
    <xf numFmtId="0" fontId="8" fillId="0" borderId="13" xfId="2" applyFont="1" applyBorder="1" applyAlignment="1">
      <alignment horizontal="center" vertical="center" wrapText="1"/>
    </xf>
    <xf numFmtId="0" fontId="8" fillId="0" borderId="2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25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center" vertical="center"/>
    </xf>
    <xf numFmtId="0" fontId="7" fillId="0" borderId="26" xfId="2" applyFont="1" applyBorder="1" applyAlignment="1">
      <alignment horizontal="center" vertical="center"/>
    </xf>
    <xf numFmtId="0" fontId="9" fillId="0" borderId="14" xfId="2" applyFont="1" applyBorder="1" applyAlignment="1">
      <alignment horizontal="center" vertical="center"/>
    </xf>
    <xf numFmtId="0" fontId="9" fillId="0" borderId="25" xfId="2" applyFont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9" fillId="0" borderId="28" xfId="2" applyFont="1" applyBorder="1" applyAlignment="1">
      <alignment horizontal="center" vertical="center"/>
    </xf>
    <xf numFmtId="0" fontId="8" fillId="0" borderId="18" xfId="2" applyFont="1" applyBorder="1" applyAlignment="1">
      <alignment horizontal="center" vertical="center"/>
    </xf>
    <xf numFmtId="0" fontId="5" fillId="0" borderId="13" xfId="2" applyFont="1" applyBorder="1" applyAlignment="1">
      <alignment horizontal="center" vertical="center" wrapText="1"/>
    </xf>
    <xf numFmtId="0" fontId="5" fillId="0" borderId="24" xfId="2" applyFont="1" applyBorder="1" applyAlignment="1">
      <alignment horizontal="center" vertical="center" wrapText="1"/>
    </xf>
    <xf numFmtId="0" fontId="5" fillId="4" borderId="19" xfId="2" applyFont="1" applyFill="1" applyBorder="1" applyAlignment="1">
      <alignment horizontal="center" vertical="center"/>
    </xf>
    <xf numFmtId="0" fontId="5" fillId="4" borderId="18" xfId="2" applyFont="1" applyFill="1" applyBorder="1" applyAlignment="1">
      <alignment horizontal="center" vertical="center"/>
    </xf>
    <xf numFmtId="0" fontId="5" fillId="4" borderId="20" xfId="2" applyFont="1" applyFill="1" applyBorder="1" applyAlignment="1">
      <alignment horizontal="center" vertical="center"/>
    </xf>
    <xf numFmtId="0" fontId="5" fillId="4" borderId="14" xfId="2" applyFont="1" applyFill="1" applyBorder="1" applyAlignment="1">
      <alignment horizontal="center" vertical="center" wrapText="1"/>
    </xf>
    <xf numFmtId="0" fontId="5" fillId="4" borderId="25" xfId="2" applyFont="1" applyFill="1" applyBorder="1" applyAlignment="1">
      <alignment horizontal="center" vertical="center" wrapText="1"/>
    </xf>
    <xf numFmtId="0" fontId="4" fillId="2" borderId="0" xfId="4" applyFont="1" applyFill="1" applyAlignment="1">
      <alignment horizontal="left"/>
    </xf>
    <xf numFmtId="0" fontId="5" fillId="0" borderId="35" xfId="2" applyFont="1" applyBorder="1"/>
    <xf numFmtId="0" fontId="5" fillId="0" borderId="36" xfId="2" applyFont="1" applyBorder="1"/>
    <xf numFmtId="165" fontId="5" fillId="3" borderId="36" xfId="5" applyNumberFormat="1" applyFont="1" applyFill="1" applyBorder="1" applyAlignment="1" applyProtection="1">
      <alignment horizontal="center" vertical="center"/>
    </xf>
    <xf numFmtId="0" fontId="5" fillId="3" borderId="37" xfId="2" applyFont="1" applyFill="1" applyBorder="1" applyAlignment="1">
      <alignment horizontal="center" vertical="center"/>
    </xf>
    <xf numFmtId="0" fontId="5" fillId="0" borderId="38" xfId="2" applyFont="1" applyBorder="1"/>
    <xf numFmtId="0" fontId="5" fillId="0" borderId="39" xfId="2" applyFont="1" applyBorder="1"/>
    <xf numFmtId="0" fontId="5" fillId="0" borderId="40" xfId="2" applyFont="1" applyBorder="1"/>
    <xf numFmtId="0" fontId="10" fillId="4" borderId="0" xfId="6" applyFont="1" applyFill="1"/>
    <xf numFmtId="0" fontId="3" fillId="0" borderId="34" xfId="2" applyBorder="1"/>
    <xf numFmtId="0" fontId="5" fillId="0" borderId="34" xfId="2" applyFont="1" applyBorder="1"/>
    <xf numFmtId="0" fontId="10" fillId="0" borderId="34" xfId="6" applyFont="1" applyBorder="1"/>
    <xf numFmtId="0" fontId="10" fillId="0" borderId="0" xfId="6" applyFont="1"/>
    <xf numFmtId="0" fontId="3" fillId="0" borderId="41" xfId="2" applyBorder="1"/>
    <xf numFmtId="0" fontId="10" fillId="0" borderId="41" xfId="6" applyFont="1" applyBorder="1"/>
    <xf numFmtId="0" fontId="5" fillId="0" borderId="41" xfId="2" applyFont="1" applyBorder="1"/>
  </cellXfs>
  <cellStyles count="7">
    <cellStyle name="Comma_Hitungan Topo T2 2" xfId="5"/>
    <cellStyle name="Normal" xfId="0" builtinId="0"/>
    <cellStyle name="Normal 2" xfId="1"/>
    <cellStyle name="Normal 2 2" xfId="4"/>
    <cellStyle name="Normal 2 3" xfId="2"/>
    <cellStyle name="Normal 5" xfId="3"/>
    <cellStyle name="Normal 5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cad2024/VBA/HeriAds-JackCAD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ackcad2024\contoh\Data\S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loope crossplan"/>
      <sheetName val="Sheet1"/>
      <sheetName val="LONGSECTION"/>
      <sheetName val="Digitasi"/>
      <sheetName val="List"/>
      <sheetName val="Data Desain Saluran"/>
    </sheetNames>
    <definedNames>
      <definedName name="azimuth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P"/>
      <sheetName val="Poligon"/>
      <sheetName val="Situasi"/>
      <sheetName val="BM"/>
      <sheetName val="Cross"/>
      <sheetName val="Dimensi"/>
      <sheetName val="Sadap"/>
      <sheetName val="Box"/>
      <sheetName val="Terjunmiring"/>
      <sheetName val="Terjun Tegak"/>
      <sheetName val="TerjunTersi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C651"/>
  <sheetViews>
    <sheetView tabSelected="1" topLeftCell="O1" zoomScale="90" zoomScaleNormal="90" workbookViewId="0">
      <selection activeCell="V21" sqref="V21"/>
    </sheetView>
  </sheetViews>
  <sheetFormatPr defaultRowHeight="13.2" x14ac:dyDescent="0.25"/>
  <cols>
    <col min="1" max="1" width="15.5546875" style="2" bestFit="1" customWidth="1"/>
    <col min="2" max="3" width="6.88671875" style="2" customWidth="1"/>
    <col min="4" max="5" width="6.44140625" style="2" customWidth="1"/>
    <col min="6" max="7" width="10.6640625" style="2" customWidth="1"/>
    <col min="8" max="8" width="13" style="2" bestFit="1" customWidth="1"/>
    <col min="9" max="9" width="11.44140625" style="2" bestFit="1" customWidth="1"/>
    <col min="10" max="10" width="10.33203125" style="2" customWidth="1"/>
    <col min="11" max="12" width="8.21875" style="2" customWidth="1"/>
    <col min="13" max="13" width="8.88671875" style="2" bestFit="1" customWidth="1"/>
    <col min="14" max="14" width="9.44140625" style="2" bestFit="1" customWidth="1"/>
    <col min="15" max="15" width="8.77734375" style="2" customWidth="1"/>
    <col min="16" max="16" width="15.109375" style="2" customWidth="1"/>
    <col min="17" max="17" width="10.21875" style="2" bestFit="1" customWidth="1"/>
    <col min="18" max="18" width="8.21875" style="2" bestFit="1" customWidth="1"/>
    <col min="19" max="19" width="16.109375" style="2" bestFit="1" customWidth="1"/>
    <col min="20" max="20" width="16.21875" style="2" bestFit="1" customWidth="1"/>
    <col min="21" max="21" width="16.109375" style="2" bestFit="1" customWidth="1"/>
    <col min="22" max="22" width="7.33203125" style="2" customWidth="1"/>
    <col min="23" max="23" width="7" style="2" customWidth="1"/>
    <col min="24" max="24" width="12.33203125" style="2" customWidth="1"/>
    <col min="25" max="25" width="7" style="2" customWidth="1"/>
    <col min="26" max="27" width="8.88671875" style="2"/>
    <col min="28" max="28" width="4.21875" style="3" customWidth="1"/>
    <col min="29" max="29" width="8.44140625" style="3" bestFit="1" customWidth="1"/>
    <col min="30" max="30" width="15.44140625" style="3" bestFit="1" customWidth="1"/>
    <col min="31" max="31" width="21" style="3" bestFit="1" customWidth="1"/>
    <col min="32" max="32" width="19" style="3" bestFit="1" customWidth="1"/>
    <col min="33" max="33" width="17.6640625" style="3" bestFit="1" customWidth="1"/>
    <col min="34" max="34" width="19.5546875" style="3" bestFit="1" customWidth="1"/>
    <col min="35" max="35" width="3.33203125" style="3" customWidth="1"/>
    <col min="36" max="36" width="7.88671875" style="3" bestFit="1" customWidth="1"/>
    <col min="37" max="37" width="8.88671875" style="3"/>
    <col min="38" max="38" width="14.109375" style="3" bestFit="1" customWidth="1"/>
    <col min="39" max="39" width="11.6640625" style="3" bestFit="1" customWidth="1"/>
    <col min="40" max="40" width="8.88671875" style="3"/>
    <col min="41" max="41" width="9.109375" style="3" bestFit="1" customWidth="1"/>
    <col min="42" max="42" width="4.109375" style="3" bestFit="1" customWidth="1"/>
    <col min="43" max="43" width="3.88671875" style="3" bestFit="1" customWidth="1"/>
    <col min="44" max="16384" width="8.88671875" style="2"/>
  </cols>
  <sheetData>
    <row r="1" spans="1:46" ht="15.6" x14ac:dyDescent="0.3">
      <c r="A1" s="59" t="s">
        <v>4</v>
      </c>
      <c r="B1" s="1"/>
      <c r="C1" s="1"/>
      <c r="D1" s="1"/>
    </row>
    <row r="2" spans="1:46" s="3" customFormat="1" ht="17.399999999999999" x14ac:dyDescent="0.3">
      <c r="A2" s="30" t="s">
        <v>5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</row>
    <row r="3" spans="1:46" s="3" customFormat="1" ht="18" thickBot="1" x14ac:dyDescent="0.3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46" s="3" customFormat="1" x14ac:dyDescent="0.25">
      <c r="A4" s="2" t="s">
        <v>6</v>
      </c>
      <c r="B4" s="4" t="s">
        <v>7</v>
      </c>
      <c r="C4" s="5"/>
      <c r="D4" s="4"/>
      <c r="M4" s="2"/>
      <c r="Q4" s="6" t="s">
        <v>8</v>
      </c>
      <c r="R4" s="7" t="s">
        <v>9</v>
      </c>
      <c r="S4" s="7" t="s">
        <v>1</v>
      </c>
      <c r="T4" s="7" t="s">
        <v>0</v>
      </c>
      <c r="U4" s="8" t="s">
        <v>10</v>
      </c>
      <c r="V4" s="2"/>
      <c r="W4" s="2"/>
      <c r="X4" s="9" t="s">
        <v>11</v>
      </c>
      <c r="Y4" s="10" t="e">
        <f>S9-(S5+$M$410)</f>
        <v>#VALUE!</v>
      </c>
    </row>
    <row r="5" spans="1:46" s="3" customFormat="1" x14ac:dyDescent="0.25">
      <c r="A5" s="2" t="s">
        <v>12</v>
      </c>
      <c r="B5" s="4" t="s">
        <v>7</v>
      </c>
      <c r="C5" s="5"/>
      <c r="D5" s="4"/>
      <c r="M5" s="2"/>
      <c r="P5" s="2"/>
      <c r="Q5" s="60" t="s">
        <v>13</v>
      </c>
      <c r="R5" s="61" t="e">
        <f>#REF!</f>
        <v>#REF!</v>
      </c>
      <c r="S5" s="62" t="s">
        <v>14</v>
      </c>
      <c r="T5" s="62" t="s">
        <v>15</v>
      </c>
      <c r="U5" s="63" t="s">
        <v>16</v>
      </c>
      <c r="V5" s="2"/>
      <c r="W5" s="2"/>
      <c r="X5" s="9" t="s">
        <v>17</v>
      </c>
      <c r="Y5" s="10" t="e">
        <f>T9-(T5+$O$410)</f>
        <v>#VALUE!</v>
      </c>
    </row>
    <row r="6" spans="1:46" s="3" customFormat="1" x14ac:dyDescent="0.25">
      <c r="A6" s="2" t="s">
        <v>18</v>
      </c>
      <c r="B6" s="12" t="s">
        <v>7</v>
      </c>
      <c r="C6" s="13"/>
      <c r="D6" s="12"/>
      <c r="H6" s="2"/>
      <c r="I6" s="2"/>
      <c r="K6" s="12"/>
      <c r="L6" s="2"/>
      <c r="M6" s="2"/>
      <c r="P6" s="2"/>
      <c r="Q6" s="11" t="s">
        <v>19</v>
      </c>
      <c r="R6" s="61" t="e">
        <f>#REF!</f>
        <v>#REF!</v>
      </c>
      <c r="S6" s="62" t="s">
        <v>20</v>
      </c>
      <c r="T6" s="62" t="s">
        <v>21</v>
      </c>
      <c r="U6" s="63" t="s">
        <v>22</v>
      </c>
      <c r="V6" s="2"/>
      <c r="W6" s="2"/>
      <c r="X6" s="9" t="s">
        <v>23</v>
      </c>
      <c r="Y6" s="10" t="e">
        <f>U9-(U5+$Q$410)</f>
        <v>#VALUE!</v>
      </c>
    </row>
    <row r="7" spans="1:46" s="3" customFormat="1" x14ac:dyDescent="0.25">
      <c r="A7" s="2" t="s">
        <v>24</v>
      </c>
      <c r="B7" s="12" t="s">
        <v>7</v>
      </c>
      <c r="C7" s="13"/>
      <c r="D7" s="12"/>
      <c r="E7" s="2"/>
      <c r="H7" s="2"/>
      <c r="I7" s="2"/>
      <c r="K7" s="12"/>
      <c r="L7" s="2"/>
      <c r="M7" s="2"/>
      <c r="Q7" s="14"/>
      <c r="R7" s="15" t="s">
        <v>25</v>
      </c>
      <c r="S7" s="16" t="e">
        <f>[1]!azimuth(S5,T5,S6,T6)</f>
        <v>#VALUE!</v>
      </c>
      <c r="T7" s="16"/>
      <c r="U7" s="17"/>
      <c r="V7" s="2"/>
      <c r="W7" s="2"/>
      <c r="X7" s="3" t="s">
        <v>26</v>
      </c>
      <c r="Y7" s="3" t="s">
        <v>0</v>
      </c>
    </row>
    <row r="8" spans="1:46" s="3" customFormat="1" x14ac:dyDescent="0.25">
      <c r="A8" s="2"/>
      <c r="B8" s="2"/>
      <c r="C8" s="2"/>
      <c r="D8" s="4"/>
      <c r="E8" s="2"/>
      <c r="H8" s="2"/>
      <c r="I8" s="2"/>
      <c r="K8" s="12"/>
      <c r="L8" s="2"/>
      <c r="M8" s="2"/>
      <c r="P8" s="2"/>
      <c r="Q8" s="60" t="s">
        <v>27</v>
      </c>
      <c r="R8" s="61" t="s">
        <v>28</v>
      </c>
      <c r="S8" s="62" t="s">
        <v>29</v>
      </c>
      <c r="T8" s="62" t="s">
        <v>30</v>
      </c>
      <c r="U8" s="63" t="s">
        <v>31</v>
      </c>
      <c r="V8" s="2"/>
      <c r="W8" s="2"/>
      <c r="X8" s="3" t="s">
        <v>32</v>
      </c>
      <c r="Y8" s="10" t="s">
        <v>0</v>
      </c>
    </row>
    <row r="9" spans="1:46" s="3" customFormat="1" x14ac:dyDescent="0.25">
      <c r="A9" s="2"/>
      <c r="B9" s="2"/>
      <c r="C9" s="2"/>
      <c r="D9" s="4"/>
      <c r="E9" s="2"/>
      <c r="H9" s="2"/>
      <c r="I9" s="2"/>
      <c r="K9" s="12"/>
      <c r="L9" s="2"/>
      <c r="M9" s="2"/>
      <c r="P9" s="2"/>
      <c r="Q9" s="60"/>
      <c r="R9" s="61" t="s">
        <v>33</v>
      </c>
      <c r="S9" s="62" t="s">
        <v>34</v>
      </c>
      <c r="T9" s="62" t="s">
        <v>35</v>
      </c>
      <c r="U9" s="63" t="s">
        <v>36</v>
      </c>
      <c r="V9" s="2"/>
      <c r="W9" s="2"/>
      <c r="X9" s="3" t="s">
        <v>37</v>
      </c>
      <c r="Y9" s="3" t="s">
        <v>0</v>
      </c>
    </row>
    <row r="10" spans="1:46" s="3" customFormat="1" ht="13.8" thickBot="1" x14ac:dyDescent="0.3">
      <c r="A10" s="2"/>
      <c r="B10" s="2"/>
      <c r="C10" s="2"/>
      <c r="D10" s="4"/>
      <c r="E10" s="2"/>
      <c r="H10" s="2"/>
      <c r="I10" s="2"/>
      <c r="K10" s="12"/>
      <c r="L10" s="2"/>
      <c r="M10" s="2"/>
      <c r="P10" s="2"/>
      <c r="Q10" s="64"/>
      <c r="R10" s="65" t="s">
        <v>25</v>
      </c>
      <c r="S10" s="15" t="e">
        <f>[1]!azimuth(S8,T8,S9,T9)</f>
        <v>#VALUE!</v>
      </c>
      <c r="T10" s="65"/>
      <c r="U10" s="66"/>
      <c r="V10" s="2"/>
      <c r="W10" s="2"/>
      <c r="X10" s="2"/>
      <c r="Y10" s="2"/>
      <c r="Z10" s="2"/>
    </row>
    <row r="11" spans="1:46" s="3" customFormat="1" ht="13.8" thickBot="1" x14ac:dyDescent="0.3">
      <c r="A11" s="2"/>
      <c r="B11" s="18"/>
      <c r="C11" s="18"/>
      <c r="D11" s="4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9"/>
      <c r="Q11" s="19"/>
      <c r="R11" s="19"/>
      <c r="S11" s="18"/>
      <c r="T11" s="18"/>
    </row>
    <row r="12" spans="1:46" s="3" customFormat="1" ht="20.399999999999999" customHeight="1" x14ac:dyDescent="0.2">
      <c r="A12" s="31" t="s">
        <v>38</v>
      </c>
      <c r="B12" s="33" t="s">
        <v>39</v>
      </c>
      <c r="C12" s="33" t="s">
        <v>40</v>
      </c>
      <c r="D12" s="35" t="s">
        <v>41</v>
      </c>
      <c r="E12" s="36"/>
      <c r="F12" s="33" t="s">
        <v>42</v>
      </c>
      <c r="G12" s="36" t="s">
        <v>43</v>
      </c>
      <c r="H12" s="33" t="s">
        <v>44</v>
      </c>
      <c r="I12" s="39" t="s">
        <v>2</v>
      </c>
      <c r="J12" s="40"/>
      <c r="K12" s="41" t="s">
        <v>45</v>
      </c>
      <c r="L12" s="43" t="s">
        <v>46</v>
      </c>
      <c r="M12" s="45" t="s">
        <v>11</v>
      </c>
      <c r="N12" s="47" t="s">
        <v>47</v>
      </c>
      <c r="O12" s="45" t="s">
        <v>17</v>
      </c>
      <c r="P12" s="47" t="s">
        <v>48</v>
      </c>
      <c r="Q12" s="28" t="s">
        <v>23</v>
      </c>
      <c r="R12" s="49" t="s">
        <v>49</v>
      </c>
      <c r="S12" s="39" t="s">
        <v>50</v>
      </c>
      <c r="T12" s="51"/>
      <c r="U12" s="40"/>
      <c r="V12" s="52" t="s">
        <v>3</v>
      </c>
      <c r="W12" s="54" t="s">
        <v>51</v>
      </c>
      <c r="X12" s="55"/>
      <c r="Y12" s="56"/>
      <c r="Z12" s="57" t="s">
        <v>52</v>
      </c>
    </row>
    <row r="13" spans="1:46" s="3" customFormat="1" ht="13.8" customHeight="1" thickBot="1" x14ac:dyDescent="0.25">
      <c r="A13" s="32"/>
      <c r="B13" s="34"/>
      <c r="C13" s="34"/>
      <c r="D13" s="37"/>
      <c r="E13" s="38"/>
      <c r="F13" s="34"/>
      <c r="G13" s="38"/>
      <c r="H13" s="34"/>
      <c r="I13" s="20"/>
      <c r="J13" s="21" t="s">
        <v>53</v>
      </c>
      <c r="K13" s="42"/>
      <c r="L13" s="44"/>
      <c r="M13" s="46"/>
      <c r="N13" s="48"/>
      <c r="O13" s="46"/>
      <c r="P13" s="48"/>
      <c r="Q13" s="29"/>
      <c r="R13" s="50"/>
      <c r="S13" s="22" t="s">
        <v>54</v>
      </c>
      <c r="T13" s="23" t="s">
        <v>55</v>
      </c>
      <c r="U13" s="24" t="s">
        <v>10</v>
      </c>
      <c r="V13" s="53"/>
      <c r="W13" s="25" t="s">
        <v>56</v>
      </c>
      <c r="X13" s="26" t="s">
        <v>57</v>
      </c>
      <c r="Y13" s="26" t="s">
        <v>58</v>
      </c>
      <c r="Z13" s="58"/>
      <c r="AB13" s="67" t="s">
        <v>38</v>
      </c>
      <c r="AC13" s="67" t="s">
        <v>59</v>
      </c>
      <c r="AD13" s="67" t="s">
        <v>60</v>
      </c>
      <c r="AE13" s="67" t="s">
        <v>61</v>
      </c>
      <c r="AF13" s="67" t="s">
        <v>62</v>
      </c>
      <c r="AG13" s="67" t="s">
        <v>63</v>
      </c>
      <c r="AH13" s="67" t="s">
        <v>64</v>
      </c>
      <c r="AI13" s="67" t="s">
        <v>38</v>
      </c>
      <c r="AJ13" s="67" t="s">
        <v>65</v>
      </c>
      <c r="AK13" s="67" t="s">
        <v>66</v>
      </c>
      <c r="AL13" s="67" t="s">
        <v>67</v>
      </c>
      <c r="AM13" s="67" t="s">
        <v>68</v>
      </c>
      <c r="AN13" s="67" t="s">
        <v>69</v>
      </c>
      <c r="AO13" s="67" t="s">
        <v>70</v>
      </c>
      <c r="AP13" s="67" t="s">
        <v>71</v>
      </c>
      <c r="AQ13" s="67" t="s">
        <v>72</v>
      </c>
    </row>
    <row r="14" spans="1:46" s="3" customFormat="1" x14ac:dyDescent="0.25">
      <c r="A14" s="68"/>
      <c r="B14" s="68"/>
      <c r="C14" s="68"/>
      <c r="D14" s="69"/>
      <c r="E14" s="68"/>
      <c r="F14" s="68"/>
      <c r="G14" s="68"/>
      <c r="H14" s="68"/>
      <c r="I14" s="68"/>
      <c r="J14" s="68"/>
      <c r="K14" s="70"/>
      <c r="L14" s="68"/>
      <c r="M14" s="68"/>
      <c r="N14" s="68"/>
      <c r="O14" s="68"/>
      <c r="P14" s="68"/>
      <c r="Q14" s="68"/>
      <c r="R14" s="69"/>
      <c r="S14" s="68">
        <v>6579.27</v>
      </c>
      <c r="T14" s="68">
        <v>8258.4159999999993</v>
      </c>
      <c r="U14" s="68">
        <v>10.103</v>
      </c>
      <c r="V14" s="69">
        <v>1</v>
      </c>
      <c r="W14" s="69" t="s">
        <v>73</v>
      </c>
      <c r="X14" s="68"/>
      <c r="Y14" s="68"/>
      <c r="Z14" s="68"/>
      <c r="AA14" s="2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2"/>
      <c r="AS14" s="2"/>
      <c r="AT14" s="2"/>
    </row>
    <row r="15" spans="1:46" s="3" customFormat="1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3"/>
      <c r="L15" s="72"/>
      <c r="M15" s="72"/>
      <c r="N15" s="72"/>
      <c r="O15" s="72"/>
      <c r="P15" s="72"/>
      <c r="Q15" s="72"/>
      <c r="R15" s="74"/>
      <c r="S15" s="72">
        <v>6590.8069999999998</v>
      </c>
      <c r="T15" s="72">
        <v>8280.1239999999998</v>
      </c>
      <c r="U15" s="72">
        <v>10</v>
      </c>
      <c r="V15" s="74" t="s">
        <v>74</v>
      </c>
      <c r="W15" s="74"/>
      <c r="X15" s="72"/>
      <c r="Y15" s="72"/>
      <c r="Z15" s="72"/>
      <c r="AA15" s="2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2"/>
      <c r="AS15" s="2"/>
      <c r="AT15" s="2"/>
    </row>
    <row r="16" spans="1:46" s="3" customFormat="1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3"/>
      <c r="L16" s="72"/>
      <c r="M16" s="72"/>
      <c r="N16" s="72"/>
      <c r="O16" s="72"/>
      <c r="P16" s="72"/>
      <c r="Q16" s="72"/>
      <c r="R16" s="74"/>
      <c r="S16" s="72">
        <v>6417.4110000000001</v>
      </c>
      <c r="T16" s="72">
        <v>8323.8109999999997</v>
      </c>
      <c r="U16" s="72">
        <v>8.5030000000000001</v>
      </c>
      <c r="V16" s="74">
        <v>2</v>
      </c>
      <c r="W16" s="74" t="s">
        <v>73</v>
      </c>
      <c r="X16" s="72"/>
      <c r="Y16" s="72"/>
      <c r="Z16" s="72"/>
      <c r="AA16" s="2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2"/>
      <c r="AS16" s="2"/>
      <c r="AT16" s="2"/>
    </row>
    <row r="17" spans="1:46" s="3" customFormat="1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3"/>
      <c r="L17" s="72"/>
      <c r="M17" s="72"/>
      <c r="N17" s="72"/>
      <c r="O17" s="72"/>
      <c r="P17" s="72"/>
      <c r="Q17" s="72"/>
      <c r="R17" s="74"/>
      <c r="S17" s="72">
        <v>6552.54</v>
      </c>
      <c r="T17" s="72">
        <v>8268.1450000000004</v>
      </c>
      <c r="U17" s="72">
        <v>8.6910000000000007</v>
      </c>
      <c r="V17" s="74">
        <v>3</v>
      </c>
      <c r="W17" s="74"/>
      <c r="X17" s="72"/>
      <c r="Y17" s="72"/>
      <c r="Z17" s="72" t="s">
        <v>75</v>
      </c>
      <c r="AA17" s="2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2"/>
      <c r="AS17" s="2"/>
      <c r="AT17" s="2"/>
    </row>
    <row r="18" spans="1:46" s="3" customFormat="1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3"/>
      <c r="L18" s="72"/>
      <c r="M18" s="72"/>
      <c r="N18" s="72"/>
      <c r="O18" s="72"/>
      <c r="P18" s="72"/>
      <c r="Q18" s="72"/>
      <c r="R18" s="74"/>
      <c r="S18" s="72"/>
      <c r="T18" s="72"/>
      <c r="U18" s="72"/>
      <c r="V18" s="74"/>
      <c r="W18" s="74"/>
      <c r="X18" s="72"/>
      <c r="Y18" s="72"/>
      <c r="Z18" s="72"/>
      <c r="AA18" s="2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2"/>
      <c r="AS18" s="2"/>
      <c r="AT18" s="2"/>
    </row>
    <row r="19" spans="1:46" s="3" customFormat="1" x14ac:dyDescent="0.25">
      <c r="A19" s="72"/>
      <c r="B19" s="72"/>
      <c r="C19" s="72"/>
      <c r="D19" s="74"/>
      <c r="E19" s="72"/>
      <c r="F19" s="72"/>
      <c r="G19" s="72"/>
      <c r="H19" s="72"/>
      <c r="I19" s="72"/>
      <c r="J19" s="72"/>
      <c r="K19" s="73"/>
      <c r="L19" s="72"/>
      <c r="M19" s="72"/>
      <c r="N19" s="72"/>
      <c r="O19" s="72"/>
      <c r="P19" s="72"/>
      <c r="Q19" s="72"/>
      <c r="R19" s="74"/>
      <c r="S19" s="72">
        <v>6417.4110000000001</v>
      </c>
      <c r="T19" s="72">
        <v>8323.8109999999997</v>
      </c>
      <c r="U19" s="72">
        <v>8.4979999999999993</v>
      </c>
      <c r="V19" s="74">
        <v>2</v>
      </c>
      <c r="W19" s="74" t="s">
        <v>73</v>
      </c>
      <c r="X19" s="72"/>
      <c r="Y19" s="72"/>
      <c r="Z19" s="72"/>
      <c r="AA19" s="2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2"/>
      <c r="AS19" s="2"/>
      <c r="AT19" s="2"/>
    </row>
    <row r="20" spans="1:46" s="3" customFormat="1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3"/>
      <c r="L20" s="72"/>
      <c r="M20" s="72"/>
      <c r="N20" s="72"/>
      <c r="O20" s="72"/>
      <c r="P20" s="72"/>
      <c r="Q20" s="72"/>
      <c r="R20" s="74"/>
      <c r="S20" s="72">
        <v>6335.3779999999997</v>
      </c>
      <c r="T20" s="72">
        <v>8344.2649999999994</v>
      </c>
      <c r="U20" s="72">
        <v>8.2579999999999991</v>
      </c>
      <c r="V20" s="74">
        <v>3</v>
      </c>
      <c r="W20" s="74" t="s">
        <v>73</v>
      </c>
      <c r="X20" s="72"/>
      <c r="Y20" s="72"/>
      <c r="Z20" s="72"/>
      <c r="AA20" s="2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2"/>
      <c r="AS20" s="2"/>
      <c r="AT20" s="2"/>
    </row>
    <row r="21" spans="1:46" s="3" customFormat="1" x14ac:dyDescent="0.2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3"/>
      <c r="L21" s="72"/>
      <c r="M21" s="72"/>
      <c r="N21" s="72"/>
      <c r="O21" s="72"/>
      <c r="P21" s="72"/>
      <c r="Q21" s="72"/>
      <c r="R21" s="74"/>
      <c r="S21" s="72"/>
      <c r="T21" s="72"/>
      <c r="U21" s="72"/>
      <c r="V21" s="74"/>
      <c r="W21" s="74"/>
      <c r="X21" s="72"/>
      <c r="Y21" s="72"/>
      <c r="Z21" s="72"/>
      <c r="AA21" s="2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2"/>
      <c r="AS21" s="2"/>
      <c r="AT21" s="2"/>
    </row>
    <row r="22" spans="1:46" s="3" customFormat="1" x14ac:dyDescent="0.25">
      <c r="A22" s="72"/>
      <c r="B22" s="72"/>
      <c r="C22" s="72"/>
      <c r="D22" s="74"/>
      <c r="E22" s="72"/>
      <c r="F22" s="72"/>
      <c r="G22" s="72"/>
      <c r="H22" s="72"/>
      <c r="I22" s="72"/>
      <c r="J22" s="72"/>
      <c r="K22" s="73"/>
      <c r="L22" s="72"/>
      <c r="M22" s="72"/>
      <c r="N22" s="72"/>
      <c r="O22" s="72"/>
      <c r="P22" s="72"/>
      <c r="Q22" s="72"/>
      <c r="R22" s="74"/>
      <c r="S22" s="72">
        <v>6335.3779999999997</v>
      </c>
      <c r="T22" s="72">
        <v>8344.2649999999994</v>
      </c>
      <c r="U22" s="72">
        <v>8.3480000000000008</v>
      </c>
      <c r="V22" s="74">
        <v>3</v>
      </c>
      <c r="W22" s="74" t="s">
        <v>73</v>
      </c>
      <c r="X22" s="72"/>
      <c r="Y22" s="72"/>
      <c r="Z22" s="72"/>
      <c r="AA22" s="2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2"/>
      <c r="AS22" s="2"/>
      <c r="AT22" s="2"/>
    </row>
    <row r="23" spans="1:46" s="3" customFormat="1" x14ac:dyDescent="0.2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3"/>
      <c r="L23" s="72"/>
      <c r="M23" s="72"/>
      <c r="N23" s="72"/>
      <c r="O23" s="72"/>
      <c r="P23" s="72"/>
      <c r="Q23" s="72"/>
      <c r="R23" s="74"/>
      <c r="S23" s="72">
        <v>6208.7150000000001</v>
      </c>
      <c r="T23" s="72">
        <v>8373.5069999999996</v>
      </c>
      <c r="U23" s="72">
        <v>7.8360000000000003</v>
      </c>
      <c r="V23" s="74">
        <v>1</v>
      </c>
      <c r="W23" s="74"/>
      <c r="X23" s="72"/>
      <c r="Y23" s="72"/>
      <c r="Z23" s="72" t="s">
        <v>76</v>
      </c>
      <c r="AA23" s="2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2"/>
      <c r="AS23" s="2"/>
      <c r="AT23" s="2"/>
    </row>
    <row r="24" spans="1:46" s="3" customFormat="1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3"/>
      <c r="L24" s="72"/>
      <c r="M24" s="72"/>
      <c r="N24" s="72"/>
      <c r="O24" s="72"/>
      <c r="P24" s="72"/>
      <c r="Q24" s="72"/>
      <c r="R24" s="74"/>
      <c r="S24" s="72">
        <v>6110.5910000000003</v>
      </c>
      <c r="T24" s="72">
        <v>8375.8559999999998</v>
      </c>
      <c r="U24" s="72">
        <v>7.7779999999999996</v>
      </c>
      <c r="V24" s="74">
        <v>2</v>
      </c>
      <c r="W24" s="74"/>
      <c r="X24" s="72"/>
      <c r="Y24" s="72"/>
      <c r="Z24" s="72" t="s">
        <v>76</v>
      </c>
      <c r="AA24" s="2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2"/>
      <c r="AS24" s="2"/>
      <c r="AT24" s="2"/>
    </row>
    <row r="25" spans="1:46" s="3" customFormat="1" x14ac:dyDescent="0.2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3"/>
      <c r="L25" s="72"/>
      <c r="M25" s="72"/>
      <c r="N25" s="72"/>
      <c r="O25" s="72"/>
      <c r="P25" s="72"/>
      <c r="Q25" s="72"/>
      <c r="R25" s="74"/>
      <c r="S25" s="72">
        <v>6344.5169999999998</v>
      </c>
      <c r="T25" s="72">
        <v>8269.8289999999997</v>
      </c>
      <c r="U25" s="72">
        <v>8.1159999999999997</v>
      </c>
      <c r="V25" s="74">
        <v>3</v>
      </c>
      <c r="W25" s="74"/>
      <c r="X25" s="72"/>
      <c r="Y25" s="72"/>
      <c r="Z25" s="72"/>
      <c r="AA25" s="2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2"/>
      <c r="AS25" s="2"/>
      <c r="AT25" s="2"/>
    </row>
    <row r="26" spans="1:46" s="3" customFormat="1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3"/>
      <c r="L26" s="72"/>
      <c r="M26" s="72"/>
      <c r="N26" s="72"/>
      <c r="O26" s="72"/>
      <c r="P26" s="72"/>
      <c r="Q26" s="72"/>
      <c r="R26" s="74"/>
      <c r="S26" s="72">
        <v>6011.9579999999996</v>
      </c>
      <c r="T26" s="72">
        <v>8389.7180000000008</v>
      </c>
      <c r="U26" s="72">
        <v>7.7080000000000002</v>
      </c>
      <c r="V26" s="74">
        <v>4</v>
      </c>
      <c r="W26" s="74"/>
      <c r="X26" s="72"/>
      <c r="Y26" s="72"/>
      <c r="Z26" s="72" t="s">
        <v>76</v>
      </c>
      <c r="AA26" s="2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2"/>
      <c r="AS26" s="2"/>
      <c r="AT26" s="2"/>
    </row>
    <row r="27" spans="1:46" s="3" customFormat="1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3"/>
      <c r="L27" s="72"/>
      <c r="M27" s="72"/>
      <c r="N27" s="72"/>
      <c r="O27" s="72"/>
      <c r="P27" s="72"/>
      <c r="Q27" s="72"/>
      <c r="R27" s="74"/>
      <c r="S27" s="72">
        <v>6348.59</v>
      </c>
      <c r="T27" s="72">
        <v>8155.3280000000004</v>
      </c>
      <c r="U27" s="72">
        <v>7.9619999999999997</v>
      </c>
      <c r="V27" s="74">
        <v>5</v>
      </c>
      <c r="W27" s="74"/>
      <c r="X27" s="72"/>
      <c r="Y27" s="72"/>
      <c r="Z27" s="72"/>
      <c r="AA27" s="2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2"/>
      <c r="AS27" s="2"/>
      <c r="AT27" s="2"/>
    </row>
    <row r="28" spans="1:46" s="3" customFormat="1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3"/>
      <c r="L28" s="72"/>
      <c r="M28" s="72"/>
      <c r="N28" s="72"/>
      <c r="O28" s="72"/>
      <c r="P28" s="72"/>
      <c r="Q28" s="72"/>
      <c r="R28" s="74"/>
      <c r="S28" s="72">
        <v>6299.2420000000002</v>
      </c>
      <c r="T28" s="72">
        <v>8116.11</v>
      </c>
      <c r="U28" s="72">
        <v>8.23</v>
      </c>
      <c r="V28" s="74">
        <v>6</v>
      </c>
      <c r="W28" s="74"/>
      <c r="X28" s="72"/>
      <c r="Y28" s="72"/>
      <c r="Z28" s="72"/>
      <c r="AA28" s="2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2"/>
      <c r="AS28" s="2"/>
      <c r="AT28" s="2"/>
    </row>
    <row r="29" spans="1:46" s="3" customFormat="1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3"/>
      <c r="L29" s="72"/>
      <c r="M29" s="72"/>
      <c r="N29" s="72"/>
      <c r="O29" s="72"/>
      <c r="P29" s="72"/>
      <c r="Q29" s="72"/>
      <c r="R29" s="74"/>
      <c r="S29" s="72">
        <v>6225.2790000000005</v>
      </c>
      <c r="T29" s="72">
        <v>8153.5680000000002</v>
      </c>
      <c r="U29" s="72">
        <v>7.9630000000000001</v>
      </c>
      <c r="V29" s="74">
        <v>7</v>
      </c>
      <c r="W29" s="74"/>
      <c r="X29" s="72"/>
      <c r="Y29" s="72"/>
      <c r="Z29" s="72"/>
      <c r="AA29" s="2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2"/>
      <c r="AS29" s="2"/>
      <c r="AT29" s="2"/>
    </row>
    <row r="30" spans="1:46" s="3" customFormat="1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3"/>
      <c r="L30" s="72"/>
      <c r="M30" s="72"/>
      <c r="N30" s="72"/>
      <c r="O30" s="72"/>
      <c r="P30" s="72"/>
      <c r="Q30" s="72"/>
      <c r="R30" s="74"/>
      <c r="S30" s="72">
        <v>6282.3440000000001</v>
      </c>
      <c r="T30" s="72">
        <v>8289.3469999999998</v>
      </c>
      <c r="U30" s="72">
        <v>8.1240000000000006</v>
      </c>
      <c r="V30" s="74">
        <v>8</v>
      </c>
      <c r="W30" s="74"/>
      <c r="X30" s="72"/>
      <c r="Y30" s="72"/>
      <c r="Z30" s="72"/>
      <c r="AA30" s="2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2"/>
      <c r="AS30" s="2"/>
      <c r="AT30" s="2"/>
    </row>
    <row r="31" spans="1:46" s="3" customFormat="1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3"/>
      <c r="L31" s="72"/>
      <c r="M31" s="72"/>
      <c r="N31" s="72"/>
      <c r="O31" s="72"/>
      <c r="P31" s="72"/>
      <c r="Q31" s="72"/>
      <c r="R31" s="74"/>
      <c r="S31" s="72">
        <v>6177.2550000000001</v>
      </c>
      <c r="T31" s="72">
        <v>8225.1110000000008</v>
      </c>
      <c r="U31" s="72">
        <v>7.9770000000000003</v>
      </c>
      <c r="V31" s="74">
        <v>9</v>
      </c>
      <c r="W31" s="74"/>
      <c r="X31" s="72"/>
      <c r="Y31" s="72"/>
      <c r="Z31" s="72"/>
      <c r="AA31" s="2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2"/>
      <c r="AS31" s="2"/>
      <c r="AT31" s="2"/>
    </row>
    <row r="32" spans="1:46" s="3" customFormat="1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3"/>
      <c r="L32" s="72"/>
      <c r="M32" s="72"/>
      <c r="N32" s="72"/>
      <c r="O32" s="72"/>
      <c r="P32" s="72"/>
      <c r="Q32" s="72"/>
      <c r="R32" s="74"/>
      <c r="S32" s="72">
        <v>6206.5460000000003</v>
      </c>
      <c r="T32" s="72">
        <v>8294.8109999999997</v>
      </c>
      <c r="U32" s="72">
        <v>8.1859999999999999</v>
      </c>
      <c r="V32" s="74">
        <v>10</v>
      </c>
      <c r="W32" s="74"/>
      <c r="X32" s="72"/>
      <c r="Y32" s="72"/>
      <c r="Z32" s="72"/>
      <c r="AA32" s="2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2"/>
      <c r="AS32" s="2"/>
      <c r="AT32" s="2"/>
    </row>
    <row r="33" spans="1:46" s="3" customFormat="1" x14ac:dyDescent="0.2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3"/>
      <c r="L33" s="72"/>
      <c r="M33" s="72"/>
      <c r="N33" s="72"/>
      <c r="O33" s="72"/>
      <c r="P33" s="72"/>
      <c r="Q33" s="72"/>
      <c r="R33" s="74"/>
      <c r="S33" s="72"/>
      <c r="T33" s="72"/>
      <c r="U33" s="72"/>
      <c r="V33" s="74"/>
      <c r="W33" s="74"/>
      <c r="X33" s="72"/>
      <c r="Y33" s="72"/>
      <c r="Z33" s="72"/>
      <c r="AA33" s="2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2"/>
      <c r="AS33" s="2"/>
      <c r="AT33" s="2"/>
    </row>
    <row r="34" spans="1:46" s="3" customFormat="1" x14ac:dyDescent="0.25">
      <c r="A34" s="72"/>
      <c r="B34" s="72"/>
      <c r="C34" s="72"/>
      <c r="D34" s="74"/>
      <c r="E34" s="72"/>
      <c r="F34" s="72"/>
      <c r="G34" s="72"/>
      <c r="H34" s="72"/>
      <c r="I34" s="72"/>
      <c r="J34" s="72"/>
      <c r="K34" s="73"/>
      <c r="L34" s="72"/>
      <c r="M34" s="72"/>
      <c r="N34" s="72"/>
      <c r="O34" s="72"/>
      <c r="P34" s="72"/>
      <c r="Q34" s="72"/>
      <c r="R34" s="74"/>
      <c r="S34" s="72">
        <v>6671.7629999999999</v>
      </c>
      <c r="T34" s="72">
        <v>8556.8150000000005</v>
      </c>
      <c r="U34" s="72">
        <v>9</v>
      </c>
      <c r="V34" s="74" t="s">
        <v>77</v>
      </c>
      <c r="W34" s="74" t="s">
        <v>73</v>
      </c>
      <c r="X34" s="72"/>
      <c r="Y34" s="72"/>
      <c r="Z34" s="72"/>
      <c r="AA34" s="2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71"/>
      <c r="AN34" s="71"/>
      <c r="AO34" s="71"/>
      <c r="AP34" s="71"/>
      <c r="AQ34" s="71"/>
      <c r="AR34" s="2"/>
      <c r="AS34" s="2"/>
      <c r="AT34" s="2"/>
    </row>
    <row r="35" spans="1:46" s="3" customFormat="1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3"/>
      <c r="L35" s="72"/>
      <c r="M35" s="72"/>
      <c r="N35" s="72"/>
      <c r="O35" s="72"/>
      <c r="P35" s="72"/>
      <c r="Q35" s="72"/>
      <c r="R35" s="74"/>
      <c r="S35" s="72">
        <v>6692.63</v>
      </c>
      <c r="T35" s="72">
        <v>8558.6460000000006</v>
      </c>
      <c r="U35" s="72">
        <v>8.8970000000000002</v>
      </c>
      <c r="V35" s="74">
        <v>1</v>
      </c>
      <c r="W35" s="74"/>
      <c r="X35" s="72"/>
      <c r="Y35" s="72"/>
      <c r="Z35" s="72"/>
      <c r="AA35" s="2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71"/>
      <c r="AR35" s="2"/>
      <c r="AS35" s="2"/>
      <c r="AT35" s="2"/>
    </row>
    <row r="36" spans="1:46" s="3" customFormat="1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3"/>
      <c r="L36" s="72"/>
      <c r="M36" s="72"/>
      <c r="N36" s="72"/>
      <c r="O36" s="72"/>
      <c r="P36" s="72"/>
      <c r="Q36" s="72"/>
      <c r="R36" s="74"/>
      <c r="S36" s="72">
        <v>6658.799</v>
      </c>
      <c r="T36" s="72">
        <v>8556.5939999999991</v>
      </c>
      <c r="U36" s="72">
        <v>8.9309999999999992</v>
      </c>
      <c r="V36" s="74">
        <v>2</v>
      </c>
      <c r="W36" s="74"/>
      <c r="X36" s="72"/>
      <c r="Y36" s="72"/>
      <c r="Z36" s="72"/>
      <c r="AA36" s="2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2"/>
      <c r="AS36" s="2"/>
      <c r="AT36" s="2"/>
    </row>
    <row r="37" spans="1:46" s="3" customFormat="1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3"/>
      <c r="L37" s="72"/>
      <c r="M37" s="72"/>
      <c r="N37" s="72"/>
      <c r="O37" s="72"/>
      <c r="P37" s="72"/>
      <c r="Q37" s="72"/>
      <c r="R37" s="74"/>
      <c r="S37" s="72">
        <v>6646.9849999999997</v>
      </c>
      <c r="T37" s="72">
        <v>8556.3880000000008</v>
      </c>
      <c r="U37" s="72">
        <v>8.2799999999999994</v>
      </c>
      <c r="V37" s="74">
        <v>3</v>
      </c>
      <c r="W37" s="74"/>
      <c r="X37" s="72"/>
      <c r="Y37" s="72"/>
      <c r="Z37" s="72" t="s">
        <v>78</v>
      </c>
      <c r="AA37" s="2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2"/>
      <c r="AS37" s="2"/>
      <c r="AT37" s="2"/>
    </row>
    <row r="38" spans="1:46" s="3" customFormat="1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3"/>
      <c r="L38" s="72"/>
      <c r="M38" s="72"/>
      <c r="N38" s="72"/>
      <c r="O38" s="72"/>
      <c r="P38" s="72"/>
      <c r="Q38" s="72"/>
      <c r="R38" s="74"/>
      <c r="S38" s="72">
        <v>6610.0659999999998</v>
      </c>
      <c r="T38" s="72">
        <v>8558.9740000000002</v>
      </c>
      <c r="U38" s="72">
        <v>9.0739999999999998</v>
      </c>
      <c r="V38" s="74">
        <v>4</v>
      </c>
      <c r="W38" s="74" t="s">
        <v>73</v>
      </c>
      <c r="X38" s="72"/>
      <c r="Y38" s="72"/>
      <c r="Z38" s="72"/>
      <c r="AA38" s="2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2"/>
      <c r="AS38" s="2"/>
      <c r="AT38" s="2"/>
    </row>
    <row r="39" spans="1:46" s="3" customFormat="1" x14ac:dyDescent="0.2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3"/>
      <c r="L39" s="72"/>
      <c r="M39" s="72"/>
      <c r="N39" s="72"/>
      <c r="O39" s="72"/>
      <c r="P39" s="72"/>
      <c r="Q39" s="72"/>
      <c r="R39" s="74"/>
      <c r="S39" s="72"/>
      <c r="T39" s="72"/>
      <c r="U39" s="72"/>
      <c r="V39" s="74"/>
      <c r="W39" s="74"/>
      <c r="X39" s="72"/>
      <c r="Y39" s="72"/>
      <c r="Z39" s="72"/>
      <c r="AA39" s="2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2"/>
      <c r="AS39" s="2"/>
      <c r="AT39" s="2"/>
    </row>
    <row r="40" spans="1:46" s="3" customFormat="1" x14ac:dyDescent="0.25">
      <c r="A40" s="72"/>
      <c r="B40" s="72"/>
      <c r="C40" s="72"/>
      <c r="D40" s="74"/>
      <c r="E40" s="72"/>
      <c r="F40" s="72"/>
      <c r="G40" s="72"/>
      <c r="H40" s="72"/>
      <c r="I40" s="72"/>
      <c r="J40" s="72"/>
      <c r="K40" s="73"/>
      <c r="L40" s="72"/>
      <c r="M40" s="72"/>
      <c r="N40" s="72"/>
      <c r="O40" s="72"/>
      <c r="P40" s="72"/>
      <c r="Q40" s="72"/>
      <c r="R40" s="74"/>
      <c r="S40" s="72">
        <v>6610.0659999999998</v>
      </c>
      <c r="T40" s="72">
        <v>8558.9740000000002</v>
      </c>
      <c r="U40" s="72">
        <v>9.8539999999999992</v>
      </c>
      <c r="V40" s="74">
        <v>4</v>
      </c>
      <c r="W40" s="74" t="s">
        <v>73</v>
      </c>
      <c r="X40" s="72"/>
      <c r="Y40" s="72"/>
      <c r="Z40" s="72"/>
      <c r="AA40" s="2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2"/>
      <c r="AS40" s="2"/>
      <c r="AT40" s="2"/>
    </row>
    <row r="41" spans="1:46" s="3" customFormat="1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3"/>
      <c r="L41" s="72"/>
      <c r="M41" s="72"/>
      <c r="N41" s="72"/>
      <c r="O41" s="72"/>
      <c r="P41" s="72"/>
      <c r="Q41" s="72"/>
      <c r="R41" s="74"/>
      <c r="S41" s="72">
        <v>6534.6490000000003</v>
      </c>
      <c r="T41" s="72">
        <v>8549.7139999999999</v>
      </c>
      <c r="U41" s="72">
        <v>8.4749999999999996</v>
      </c>
      <c r="V41" s="74">
        <v>1</v>
      </c>
      <c r="W41" s="74"/>
      <c r="X41" s="72"/>
      <c r="Y41" s="72"/>
      <c r="Z41" s="72" t="s">
        <v>79</v>
      </c>
      <c r="AA41" s="2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2"/>
      <c r="AS41" s="2"/>
      <c r="AT41" s="2"/>
    </row>
    <row r="42" spans="1:46" s="3" customFormat="1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3"/>
      <c r="L42" s="72"/>
      <c r="M42" s="72"/>
      <c r="N42" s="72"/>
      <c r="O42" s="72"/>
      <c r="P42" s="72"/>
      <c r="Q42" s="72"/>
      <c r="R42" s="74"/>
      <c r="S42" s="72">
        <v>6474.8059999999996</v>
      </c>
      <c r="T42" s="72">
        <v>8539.9650000000001</v>
      </c>
      <c r="U42" s="72">
        <v>8.0920000000000005</v>
      </c>
      <c r="V42" s="74">
        <v>2</v>
      </c>
      <c r="W42" s="74" t="s">
        <v>73</v>
      </c>
      <c r="X42" s="72"/>
      <c r="Y42" s="72"/>
      <c r="Z42" s="72" t="s">
        <v>79</v>
      </c>
      <c r="AA42" s="2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2"/>
      <c r="AS42" s="2"/>
      <c r="AT42" s="2"/>
    </row>
    <row r="43" spans="1:46" s="3" customFormat="1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3"/>
      <c r="L43" s="72"/>
      <c r="M43" s="72"/>
      <c r="N43" s="72"/>
      <c r="O43" s="72"/>
      <c r="P43" s="72"/>
      <c r="Q43" s="72"/>
      <c r="R43" s="74"/>
      <c r="S43" s="72">
        <v>6591.6530000000002</v>
      </c>
      <c r="T43" s="72">
        <v>8598.4609999999993</v>
      </c>
      <c r="U43" s="72">
        <v>8.67</v>
      </c>
      <c r="V43" s="74">
        <v>3</v>
      </c>
      <c r="W43" s="74"/>
      <c r="X43" s="72"/>
      <c r="Y43" s="72"/>
      <c r="Z43" s="72"/>
      <c r="AA43" s="2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2"/>
      <c r="AS43" s="2"/>
      <c r="AT43" s="2"/>
    </row>
    <row r="44" spans="1:46" s="3" customFormat="1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3"/>
      <c r="L44" s="72"/>
      <c r="M44" s="72"/>
      <c r="N44" s="72"/>
      <c r="O44" s="72"/>
      <c r="P44" s="72"/>
      <c r="Q44" s="72"/>
      <c r="R44" s="74"/>
      <c r="S44" s="72"/>
      <c r="T44" s="72"/>
      <c r="U44" s="72"/>
      <c r="V44" s="74"/>
      <c r="W44" s="74"/>
      <c r="X44" s="72"/>
      <c r="Y44" s="72"/>
      <c r="Z44" s="72"/>
      <c r="AA44" s="2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2"/>
      <c r="AS44" s="2"/>
      <c r="AT44" s="2"/>
    </row>
    <row r="45" spans="1:46" s="3" customFormat="1" x14ac:dyDescent="0.25">
      <c r="A45" s="72"/>
      <c r="B45" s="72"/>
      <c r="C45" s="72"/>
      <c r="D45" s="74"/>
      <c r="E45" s="72"/>
      <c r="F45" s="72"/>
      <c r="G45" s="72"/>
      <c r="H45" s="72"/>
      <c r="I45" s="72"/>
      <c r="J45" s="72"/>
      <c r="K45" s="73"/>
      <c r="L45" s="72"/>
      <c r="M45" s="72"/>
      <c r="N45" s="72"/>
      <c r="O45" s="72"/>
      <c r="P45" s="72"/>
      <c r="Q45" s="72"/>
      <c r="R45" s="74"/>
      <c r="S45" s="72">
        <v>6474.8059999999996</v>
      </c>
      <c r="T45" s="72">
        <v>8539.9650000000001</v>
      </c>
      <c r="U45" s="72">
        <v>7.9420000000000002</v>
      </c>
      <c r="V45" s="74">
        <v>2</v>
      </c>
      <c r="W45" s="74" t="s">
        <v>73</v>
      </c>
      <c r="X45" s="72"/>
      <c r="Y45" s="72"/>
      <c r="Z45" s="72"/>
      <c r="AA45" s="2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2"/>
      <c r="AS45" s="2"/>
      <c r="AT45" s="2"/>
    </row>
    <row r="46" spans="1:46" s="3" customFormat="1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3"/>
      <c r="L46" s="72"/>
      <c r="M46" s="72"/>
      <c r="N46" s="72"/>
      <c r="O46" s="72"/>
      <c r="P46" s="72"/>
      <c r="Q46" s="72"/>
      <c r="R46" s="74"/>
      <c r="S46" s="72">
        <v>6429.9809999999998</v>
      </c>
      <c r="T46" s="72">
        <v>8543.8870000000006</v>
      </c>
      <c r="U46" s="72">
        <v>7.8979999999999997</v>
      </c>
      <c r="V46" s="74">
        <v>1</v>
      </c>
      <c r="W46" s="74"/>
      <c r="X46" s="72"/>
      <c r="Y46" s="72"/>
      <c r="Z46" s="72"/>
      <c r="AA46" s="2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2"/>
      <c r="AS46" s="2"/>
      <c r="AT46" s="2"/>
    </row>
    <row r="47" spans="1:46" s="3" customFormat="1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3"/>
      <c r="L47" s="72"/>
      <c r="M47" s="72"/>
      <c r="N47" s="72"/>
      <c r="O47" s="72"/>
      <c r="P47" s="72"/>
      <c r="Q47" s="72"/>
      <c r="R47" s="74"/>
      <c r="S47" s="72">
        <v>6330.2280000000001</v>
      </c>
      <c r="T47" s="72">
        <v>8560.2839999999997</v>
      </c>
      <c r="U47" s="72">
        <v>7.65</v>
      </c>
      <c r="V47" s="74">
        <v>2</v>
      </c>
      <c r="W47" s="74"/>
      <c r="X47" s="72"/>
      <c r="Y47" s="72"/>
      <c r="Z47" s="72"/>
      <c r="AA47" s="2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2"/>
      <c r="AS47" s="2"/>
      <c r="AT47" s="2"/>
    </row>
    <row r="48" spans="1:46" s="3" customFormat="1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3"/>
      <c r="L48" s="72"/>
      <c r="M48" s="72"/>
      <c r="N48" s="72"/>
      <c r="O48" s="72"/>
      <c r="P48" s="72"/>
      <c r="Q48" s="72"/>
      <c r="R48" s="74"/>
      <c r="S48" s="72">
        <v>6473.5839999999998</v>
      </c>
      <c r="T48" s="72">
        <v>8469.9779999999992</v>
      </c>
      <c r="U48" s="72">
        <v>7.91</v>
      </c>
      <c r="V48" s="74">
        <v>3</v>
      </c>
      <c r="W48" s="74"/>
      <c r="X48" s="72"/>
      <c r="Y48" s="72"/>
      <c r="Z48" s="72"/>
      <c r="AA48" s="2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2"/>
      <c r="AS48" s="2"/>
      <c r="AT48" s="2"/>
    </row>
    <row r="49" spans="1:46" s="3" customFormat="1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3"/>
      <c r="L49" s="72"/>
      <c r="M49" s="72"/>
      <c r="N49" s="72"/>
      <c r="O49" s="72"/>
      <c r="P49" s="72"/>
      <c r="Q49" s="72"/>
      <c r="R49" s="74"/>
      <c r="S49" s="72">
        <v>6429.2979999999998</v>
      </c>
      <c r="T49" s="72">
        <v>8485.7309999999998</v>
      </c>
      <c r="U49" s="72">
        <v>7.8639999999999999</v>
      </c>
      <c r="V49" s="74">
        <v>4</v>
      </c>
      <c r="W49" s="74"/>
      <c r="X49" s="72"/>
      <c r="Y49" s="72"/>
      <c r="Z49" s="72"/>
      <c r="AA49" s="2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2"/>
      <c r="AS49" s="2"/>
      <c r="AT49" s="2"/>
    </row>
    <row r="50" spans="1:46" s="3" customFormat="1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3"/>
      <c r="L50" s="72"/>
      <c r="M50" s="72"/>
      <c r="N50" s="72"/>
      <c r="O50" s="72"/>
      <c r="P50" s="72"/>
      <c r="Q50" s="72"/>
      <c r="R50" s="74"/>
      <c r="S50" s="72">
        <v>6219.9639999999999</v>
      </c>
      <c r="T50" s="72">
        <v>8548.8639999999996</v>
      </c>
      <c r="U50" s="72">
        <v>7.4269999999999996</v>
      </c>
      <c r="V50" s="74">
        <v>5</v>
      </c>
      <c r="W50" s="74"/>
      <c r="X50" s="72"/>
      <c r="Y50" s="72"/>
      <c r="Z50" s="72"/>
      <c r="AA50" s="2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2"/>
      <c r="AS50" s="2"/>
      <c r="AT50" s="2"/>
    </row>
    <row r="51" spans="1:46" s="3" customFormat="1" x14ac:dyDescent="0.2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3"/>
      <c r="L51" s="72"/>
      <c r="M51" s="72"/>
      <c r="N51" s="72"/>
      <c r="O51" s="72"/>
      <c r="P51" s="72"/>
      <c r="Q51" s="72"/>
      <c r="R51" s="74"/>
      <c r="S51" s="72">
        <v>6431.2960000000003</v>
      </c>
      <c r="T51" s="72">
        <v>8406.0560000000005</v>
      </c>
      <c r="U51" s="72">
        <v>7.9909999999999997</v>
      </c>
      <c r="V51" s="74">
        <v>6</v>
      </c>
      <c r="W51" s="74"/>
      <c r="X51" s="72"/>
      <c r="Y51" s="72"/>
      <c r="Z51" s="72"/>
      <c r="AA51" s="2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2"/>
      <c r="AS51" s="2"/>
      <c r="AT51" s="2"/>
    </row>
    <row r="52" spans="1:46" s="3" customFormat="1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3"/>
      <c r="L52" s="72"/>
      <c r="M52" s="72"/>
      <c r="N52" s="72"/>
      <c r="O52" s="72"/>
      <c r="P52" s="72"/>
      <c r="Q52" s="72"/>
      <c r="R52" s="74"/>
      <c r="S52" s="72">
        <v>6469.2219999999998</v>
      </c>
      <c r="T52" s="72">
        <v>8380.0619999999999</v>
      </c>
      <c r="U52" s="72">
        <v>7.984</v>
      </c>
      <c r="V52" s="74">
        <v>7</v>
      </c>
      <c r="W52" s="74"/>
      <c r="X52" s="72"/>
      <c r="Y52" s="72"/>
      <c r="Z52" s="72"/>
      <c r="AA52" s="2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2"/>
      <c r="AS52" s="2"/>
      <c r="AT52" s="2"/>
    </row>
    <row r="53" spans="1:46" s="3" customFormat="1" x14ac:dyDescent="0.2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3"/>
      <c r="L53" s="72"/>
      <c r="M53" s="72"/>
      <c r="N53" s="72"/>
      <c r="O53" s="72"/>
      <c r="P53" s="72"/>
      <c r="Q53" s="72"/>
      <c r="R53" s="74"/>
      <c r="S53" s="72">
        <v>6084.0460000000003</v>
      </c>
      <c r="T53" s="72">
        <v>8553.6110000000008</v>
      </c>
      <c r="U53" s="72">
        <v>7.5209999999999999</v>
      </c>
      <c r="V53" s="74">
        <v>8</v>
      </c>
      <c r="W53" s="74"/>
      <c r="X53" s="72"/>
      <c r="Y53" s="72"/>
      <c r="Z53" s="72"/>
      <c r="AA53" s="2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2"/>
      <c r="AS53" s="2"/>
      <c r="AT53" s="2"/>
    </row>
    <row r="54" spans="1:46" s="3" customFormat="1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3"/>
      <c r="L54" s="72"/>
      <c r="M54" s="72"/>
      <c r="N54" s="72"/>
      <c r="O54" s="72"/>
      <c r="P54" s="72"/>
      <c r="Q54" s="72"/>
      <c r="R54" s="74"/>
      <c r="S54" s="72">
        <v>6511.3980000000001</v>
      </c>
      <c r="T54" s="72">
        <v>8367.8109999999997</v>
      </c>
      <c r="U54" s="72">
        <v>8.0120000000000005</v>
      </c>
      <c r="V54" s="74">
        <v>9</v>
      </c>
      <c r="W54" s="74"/>
      <c r="X54" s="72"/>
      <c r="Y54" s="72"/>
      <c r="Z54" s="72"/>
      <c r="AA54" s="2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2"/>
      <c r="AS54" s="2"/>
      <c r="AT54" s="2"/>
    </row>
    <row r="55" spans="1:46" s="3" customFormat="1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3"/>
      <c r="L55" s="72"/>
      <c r="M55" s="72"/>
      <c r="N55" s="72"/>
      <c r="O55" s="72"/>
      <c r="P55" s="72"/>
      <c r="Q55" s="72"/>
      <c r="R55" s="74"/>
      <c r="S55" s="72">
        <v>6510.6419999999998</v>
      </c>
      <c r="T55" s="72">
        <v>8446.6080000000002</v>
      </c>
      <c r="U55" s="72">
        <v>7.968</v>
      </c>
      <c r="V55" s="74">
        <v>10</v>
      </c>
      <c r="W55" s="74"/>
      <c r="X55" s="72"/>
      <c r="Y55" s="72"/>
      <c r="Z55" s="72"/>
      <c r="AA55" s="2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2"/>
      <c r="AS55" s="2"/>
      <c r="AT55" s="2"/>
    </row>
    <row r="56" spans="1:46" s="3" customFormat="1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3"/>
      <c r="L56" s="72"/>
      <c r="M56" s="72"/>
      <c r="N56" s="72"/>
      <c r="O56" s="72"/>
      <c r="P56" s="72"/>
      <c r="Q56" s="72"/>
      <c r="R56" s="74"/>
      <c r="S56" s="72">
        <v>6239.0209999999997</v>
      </c>
      <c r="T56" s="72">
        <v>8494.1329999999998</v>
      </c>
      <c r="U56" s="72">
        <v>7.6879999999999997</v>
      </c>
      <c r="V56" s="74">
        <v>11</v>
      </c>
      <c r="W56" s="74"/>
      <c r="X56" s="72"/>
      <c r="Y56" s="72"/>
      <c r="Z56" s="72"/>
      <c r="AA56" s="2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2"/>
      <c r="AS56" s="2"/>
      <c r="AT56" s="2"/>
    </row>
    <row r="57" spans="1:46" s="3" customFormat="1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3"/>
      <c r="L57" s="72"/>
      <c r="M57" s="72"/>
      <c r="N57" s="72"/>
      <c r="O57" s="72"/>
      <c r="P57" s="72"/>
      <c r="Q57" s="72"/>
      <c r="R57" s="74"/>
      <c r="S57" s="72">
        <v>6536.9709999999995</v>
      </c>
      <c r="T57" s="72">
        <v>8481.9950000000008</v>
      </c>
      <c r="U57" s="72">
        <v>8.1189999999999998</v>
      </c>
      <c r="V57" s="74">
        <v>12</v>
      </c>
      <c r="W57" s="74"/>
      <c r="X57" s="72"/>
      <c r="Y57" s="72"/>
      <c r="Z57" s="72"/>
      <c r="AA57" s="2"/>
      <c r="AB57" s="71"/>
      <c r="AC57" s="71"/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2"/>
      <c r="AS57" s="2"/>
      <c r="AT57" s="2"/>
    </row>
    <row r="58" spans="1:46" s="3" customFormat="1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3"/>
      <c r="L58" s="72"/>
      <c r="M58" s="72"/>
      <c r="N58" s="72"/>
      <c r="O58" s="72"/>
      <c r="P58" s="72"/>
      <c r="Q58" s="72"/>
      <c r="R58" s="74"/>
      <c r="S58" s="72">
        <v>6231.4539999999997</v>
      </c>
      <c r="T58" s="72">
        <v>8399.4660000000003</v>
      </c>
      <c r="U58" s="72">
        <v>7.6630000000000003</v>
      </c>
      <c r="V58" s="74">
        <v>13</v>
      </c>
      <c r="W58" s="74"/>
      <c r="X58" s="72"/>
      <c r="Y58" s="72"/>
      <c r="Z58" s="72"/>
      <c r="AA58" s="2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2"/>
      <c r="AS58" s="2"/>
      <c r="AT58" s="2"/>
    </row>
    <row r="59" spans="1:46" s="3" customFormat="1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3"/>
      <c r="L59" s="72"/>
      <c r="M59" s="72"/>
      <c r="N59" s="72"/>
      <c r="O59" s="72"/>
      <c r="P59" s="72"/>
      <c r="Q59" s="72"/>
      <c r="R59" s="74"/>
      <c r="S59" s="72">
        <v>6512.8050000000003</v>
      </c>
      <c r="T59" s="72">
        <v>8605.7819999999992</v>
      </c>
      <c r="U59" s="72">
        <v>8.1180000000000003</v>
      </c>
      <c r="V59" s="74">
        <v>14</v>
      </c>
      <c r="W59" s="74"/>
      <c r="X59" s="72"/>
      <c r="Y59" s="72"/>
      <c r="Z59" s="72"/>
      <c r="AA59" s="2"/>
      <c r="AB59" s="71"/>
      <c r="AC59" s="71"/>
      <c r="AD59" s="71"/>
      <c r="AE59" s="71"/>
      <c r="AF59" s="71"/>
      <c r="AG59" s="71"/>
      <c r="AH59" s="71"/>
      <c r="AI59" s="71"/>
      <c r="AJ59" s="71"/>
      <c r="AK59" s="71"/>
      <c r="AL59" s="71"/>
      <c r="AM59" s="71"/>
      <c r="AN59" s="71"/>
      <c r="AO59" s="71"/>
      <c r="AP59" s="71"/>
      <c r="AQ59" s="71"/>
      <c r="AR59" s="2"/>
      <c r="AS59" s="2"/>
      <c r="AT59" s="2"/>
    </row>
    <row r="60" spans="1:46" s="3" customFormat="1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3"/>
      <c r="L60" s="72"/>
      <c r="M60" s="72"/>
      <c r="N60" s="72"/>
      <c r="O60" s="72"/>
      <c r="P60" s="72"/>
      <c r="Q60" s="72"/>
      <c r="R60" s="74"/>
      <c r="S60" s="72">
        <v>6172.54</v>
      </c>
      <c r="T60" s="72">
        <v>8328.3160000000007</v>
      </c>
      <c r="U60" s="72">
        <v>7.95</v>
      </c>
      <c r="V60" s="74">
        <v>15</v>
      </c>
      <c r="W60" s="74"/>
      <c r="X60" s="72"/>
      <c r="Y60" s="72"/>
      <c r="Z60" s="72"/>
      <c r="AA60" s="2"/>
      <c r="AB60" s="71"/>
      <c r="AC60" s="71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71"/>
      <c r="AR60" s="2"/>
      <c r="AS60" s="2"/>
      <c r="AT60" s="2"/>
    </row>
    <row r="61" spans="1:46" s="3" customFormat="1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3"/>
      <c r="L61" s="72"/>
      <c r="M61" s="72"/>
      <c r="N61" s="72"/>
      <c r="O61" s="72"/>
      <c r="P61" s="72"/>
      <c r="Q61" s="72"/>
      <c r="R61" s="74"/>
      <c r="S61" s="72">
        <v>6306.0060000000003</v>
      </c>
      <c r="T61" s="72">
        <v>8365.1669999999995</v>
      </c>
      <c r="U61" s="72">
        <v>7.968</v>
      </c>
      <c r="V61" s="74">
        <v>16</v>
      </c>
      <c r="W61" s="74"/>
      <c r="X61" s="72"/>
      <c r="Y61" s="72"/>
      <c r="Z61" s="72"/>
      <c r="AA61" s="2"/>
      <c r="AB61" s="71"/>
      <c r="AC61" s="71"/>
      <c r="AD61" s="71"/>
      <c r="AE61" s="71"/>
      <c r="AF61" s="71"/>
      <c r="AG61" s="71"/>
      <c r="AH61" s="71"/>
      <c r="AI61" s="71"/>
      <c r="AJ61" s="71"/>
      <c r="AK61" s="71"/>
      <c r="AL61" s="71"/>
      <c r="AM61" s="71"/>
      <c r="AN61" s="71"/>
      <c r="AO61" s="71"/>
      <c r="AP61" s="71"/>
      <c r="AQ61" s="71"/>
      <c r="AR61" s="2"/>
      <c r="AS61" s="2"/>
      <c r="AT61" s="2"/>
    </row>
    <row r="62" spans="1:46" s="3" customFormat="1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3"/>
      <c r="L62" s="72"/>
      <c r="M62" s="72"/>
      <c r="N62" s="72"/>
      <c r="O62" s="72"/>
      <c r="P62" s="72"/>
      <c r="Q62" s="72"/>
      <c r="R62" s="74"/>
      <c r="S62" s="72">
        <v>6499.44</v>
      </c>
      <c r="T62" s="72">
        <v>8715.2420000000002</v>
      </c>
      <c r="U62" s="72">
        <v>8.1140000000000008</v>
      </c>
      <c r="V62" s="74">
        <v>17</v>
      </c>
      <c r="W62" s="74"/>
      <c r="X62" s="72"/>
      <c r="Y62" s="72"/>
      <c r="Z62" s="72"/>
      <c r="AA62" s="2"/>
      <c r="AB62" s="71"/>
      <c r="AC62" s="71"/>
      <c r="AD62" s="71"/>
      <c r="AE62" s="71"/>
      <c r="AF62" s="71"/>
      <c r="AG62" s="71"/>
      <c r="AH62" s="71"/>
      <c r="AI62" s="71"/>
      <c r="AJ62" s="71"/>
      <c r="AK62" s="71"/>
      <c r="AL62" s="71"/>
      <c r="AM62" s="71"/>
      <c r="AN62" s="71"/>
      <c r="AO62" s="71"/>
      <c r="AP62" s="71"/>
      <c r="AQ62" s="71"/>
      <c r="AR62" s="2"/>
      <c r="AS62" s="2"/>
      <c r="AT62" s="2"/>
    </row>
    <row r="63" spans="1:46" s="3" customFormat="1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3"/>
      <c r="L63" s="72"/>
      <c r="M63" s="72"/>
      <c r="N63" s="72"/>
      <c r="O63" s="72"/>
      <c r="P63" s="72"/>
      <c r="Q63" s="72"/>
      <c r="R63" s="74"/>
      <c r="S63" s="72">
        <v>6368.1189999999997</v>
      </c>
      <c r="T63" s="72">
        <v>8330.5789999999997</v>
      </c>
      <c r="U63" s="72">
        <v>7.4379999999999997</v>
      </c>
      <c r="V63" s="74">
        <v>18</v>
      </c>
      <c r="W63" s="74"/>
      <c r="X63" s="72"/>
      <c r="Y63" s="72"/>
      <c r="Z63" s="72"/>
      <c r="AA63" s="2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71"/>
      <c r="AR63" s="2"/>
      <c r="AS63" s="2"/>
      <c r="AT63" s="2"/>
    </row>
    <row r="64" spans="1:46" s="3" customFormat="1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3"/>
      <c r="L64" s="72"/>
      <c r="M64" s="72"/>
      <c r="N64" s="72"/>
      <c r="O64" s="72"/>
      <c r="P64" s="72"/>
      <c r="Q64" s="72"/>
      <c r="R64" s="74"/>
      <c r="S64" s="72">
        <v>6423.5029999999997</v>
      </c>
      <c r="T64" s="72">
        <v>8680.9189999999999</v>
      </c>
      <c r="U64" s="72">
        <v>8.0990000000000002</v>
      </c>
      <c r="V64" s="74">
        <v>19</v>
      </c>
      <c r="W64" s="74"/>
      <c r="X64" s="72"/>
      <c r="Y64" s="72"/>
      <c r="Z64" s="72"/>
      <c r="AA64" s="2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2"/>
      <c r="AS64" s="2"/>
      <c r="AT64" s="2"/>
    </row>
    <row r="65" spans="1:46" s="3" customFormat="1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3"/>
      <c r="L65" s="72"/>
      <c r="M65" s="72"/>
      <c r="N65" s="72"/>
      <c r="O65" s="72"/>
      <c r="P65" s="72"/>
      <c r="Q65" s="72"/>
      <c r="R65" s="74"/>
      <c r="S65" s="72">
        <v>6415.0190000000002</v>
      </c>
      <c r="T65" s="72">
        <v>8316.8359999999993</v>
      </c>
      <c r="U65" s="72">
        <v>7.6150000000000002</v>
      </c>
      <c r="V65" s="74">
        <v>20</v>
      </c>
      <c r="W65" s="74"/>
      <c r="X65" s="72"/>
      <c r="Y65" s="72"/>
      <c r="Z65" s="72"/>
      <c r="AA65" s="2"/>
      <c r="AB65" s="71"/>
      <c r="AC65" s="71"/>
      <c r="AD65" s="71"/>
      <c r="AE65" s="71"/>
      <c r="AF65" s="71"/>
      <c r="AG65" s="71"/>
      <c r="AH65" s="71"/>
      <c r="AI65" s="71"/>
      <c r="AJ65" s="71"/>
      <c r="AK65" s="71"/>
      <c r="AL65" s="71"/>
      <c r="AM65" s="71"/>
      <c r="AN65" s="71"/>
      <c r="AO65" s="71"/>
      <c r="AP65" s="71"/>
      <c r="AQ65" s="71"/>
      <c r="AR65" s="2"/>
      <c r="AS65" s="2"/>
      <c r="AT65" s="2"/>
    </row>
    <row r="66" spans="1:46" s="3" customFormat="1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3"/>
      <c r="L66" s="72"/>
      <c r="M66" s="72"/>
      <c r="N66" s="72"/>
      <c r="O66" s="72"/>
      <c r="P66" s="72"/>
      <c r="Q66" s="72"/>
      <c r="R66" s="74"/>
      <c r="S66" s="72">
        <v>6352.1229999999996</v>
      </c>
      <c r="T66" s="72">
        <v>8681.0949999999993</v>
      </c>
      <c r="U66" s="72">
        <v>7.8819999999999997</v>
      </c>
      <c r="V66" s="74">
        <v>21</v>
      </c>
      <c r="W66" s="74"/>
      <c r="X66" s="72"/>
      <c r="Y66" s="72"/>
      <c r="Z66" s="72"/>
      <c r="AA66" s="2"/>
      <c r="AB66" s="71"/>
      <c r="AC66" s="71"/>
      <c r="AD66" s="71"/>
      <c r="AE66" s="71"/>
      <c r="AF66" s="71"/>
      <c r="AG66" s="71"/>
      <c r="AH66" s="71"/>
      <c r="AI66" s="71"/>
      <c r="AJ66" s="71"/>
      <c r="AK66" s="71"/>
      <c r="AL66" s="71"/>
      <c r="AM66" s="71"/>
      <c r="AN66" s="71"/>
      <c r="AO66" s="71"/>
      <c r="AP66" s="71"/>
      <c r="AQ66" s="71"/>
      <c r="AR66" s="2"/>
      <c r="AS66" s="2"/>
      <c r="AT66" s="2"/>
    </row>
    <row r="67" spans="1:46" s="3" customFormat="1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3"/>
      <c r="L67" s="72"/>
      <c r="M67" s="72"/>
      <c r="N67" s="72"/>
      <c r="O67" s="72"/>
      <c r="P67" s="72"/>
      <c r="Q67" s="72"/>
      <c r="R67" s="74"/>
      <c r="S67" s="72">
        <v>6376.39</v>
      </c>
      <c r="T67" s="72">
        <v>8717.5120000000006</v>
      </c>
      <c r="U67" s="72">
        <v>7.9039999999999999</v>
      </c>
      <c r="V67" s="74">
        <v>22</v>
      </c>
      <c r="W67" s="74"/>
      <c r="X67" s="72"/>
      <c r="Y67" s="72"/>
      <c r="Z67" s="72"/>
      <c r="AA67" s="2"/>
      <c r="AB67" s="71"/>
      <c r="AC67" s="71"/>
      <c r="AD67" s="71"/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71"/>
      <c r="AR67" s="2"/>
      <c r="AS67" s="2"/>
      <c r="AT67" s="2"/>
    </row>
    <row r="68" spans="1:46" s="3" customFormat="1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3"/>
      <c r="L68" s="72"/>
      <c r="M68" s="72"/>
      <c r="N68" s="72"/>
      <c r="O68" s="72"/>
      <c r="P68" s="72"/>
      <c r="Q68" s="72"/>
      <c r="R68" s="74"/>
      <c r="S68" s="72">
        <v>6321.9870000000001</v>
      </c>
      <c r="T68" s="72">
        <v>8867.6859999999997</v>
      </c>
      <c r="U68" s="72">
        <v>8.0129999999999999</v>
      </c>
      <c r="V68" s="74">
        <v>23</v>
      </c>
      <c r="W68" s="74"/>
      <c r="X68" s="72"/>
      <c r="Y68" s="72"/>
      <c r="Z68" s="72"/>
      <c r="AA68" s="2"/>
      <c r="AB68" s="71"/>
      <c r="AC68" s="71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71"/>
      <c r="AR68" s="2"/>
      <c r="AS68" s="2"/>
      <c r="AT68" s="2"/>
    </row>
    <row r="69" spans="1:46" s="3" customFormat="1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3"/>
      <c r="L69" s="72"/>
      <c r="M69" s="72"/>
      <c r="N69" s="72"/>
      <c r="O69" s="72"/>
      <c r="P69" s="72"/>
      <c r="Q69" s="72"/>
      <c r="R69" s="74"/>
      <c r="S69" s="72">
        <v>6446.5259999999998</v>
      </c>
      <c r="T69" s="72">
        <v>8741.1869999999999</v>
      </c>
      <c r="U69" s="72">
        <v>8.14</v>
      </c>
      <c r="V69" s="74">
        <v>24</v>
      </c>
      <c r="W69" s="74"/>
      <c r="X69" s="72"/>
      <c r="Y69" s="72"/>
      <c r="Z69" s="72"/>
      <c r="AA69" s="2"/>
      <c r="AB69" s="71"/>
      <c r="AC69" s="71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  <c r="AR69" s="2"/>
      <c r="AS69" s="2"/>
      <c r="AT69" s="2"/>
    </row>
    <row r="70" spans="1:46" s="3" customFormat="1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3"/>
      <c r="L70" s="72"/>
      <c r="M70" s="72"/>
      <c r="N70" s="72"/>
      <c r="O70" s="72"/>
      <c r="P70" s="72"/>
      <c r="Q70" s="72"/>
      <c r="R70" s="74"/>
      <c r="S70" s="72">
        <v>6477.4520000000002</v>
      </c>
      <c r="T70" s="72">
        <v>8691.5419999999995</v>
      </c>
      <c r="U70" s="72">
        <v>8.141</v>
      </c>
      <c r="V70" s="74">
        <v>25</v>
      </c>
      <c r="W70" s="74"/>
      <c r="X70" s="72"/>
      <c r="Y70" s="72"/>
      <c r="Z70" s="72"/>
      <c r="AA70" s="2"/>
      <c r="AB70" s="71"/>
      <c r="AC70" s="71"/>
      <c r="AD70" s="71"/>
      <c r="AE70" s="71"/>
      <c r="AF70" s="71"/>
      <c r="AG70" s="71"/>
      <c r="AH70" s="71"/>
      <c r="AI70" s="71"/>
      <c r="AJ70" s="71"/>
      <c r="AK70" s="71"/>
      <c r="AL70" s="71"/>
      <c r="AM70" s="71"/>
      <c r="AN70" s="71"/>
      <c r="AO70" s="71"/>
      <c r="AP70" s="71"/>
      <c r="AQ70" s="71"/>
      <c r="AR70" s="2"/>
      <c r="AS70" s="2"/>
      <c r="AT70" s="2"/>
    </row>
    <row r="71" spans="1:46" s="3" customFormat="1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3"/>
      <c r="L71" s="72"/>
      <c r="M71" s="72"/>
      <c r="N71" s="72"/>
      <c r="O71" s="72"/>
      <c r="P71" s="72"/>
      <c r="Q71" s="72"/>
      <c r="R71" s="74"/>
      <c r="S71" s="72">
        <v>6455.6229999999996</v>
      </c>
      <c r="T71" s="72">
        <v>8814.2950000000001</v>
      </c>
      <c r="U71" s="72">
        <v>8.157</v>
      </c>
      <c r="V71" s="74">
        <v>26</v>
      </c>
      <c r="W71" s="74"/>
      <c r="X71" s="72"/>
      <c r="Y71" s="72"/>
      <c r="Z71" s="72"/>
      <c r="AA71" s="2"/>
      <c r="AB71" s="71"/>
      <c r="AC71" s="71"/>
      <c r="AD71" s="71"/>
      <c r="AE71" s="71"/>
      <c r="AF71" s="71"/>
      <c r="AG71" s="71"/>
      <c r="AH71" s="71"/>
      <c r="AI71" s="71"/>
      <c r="AJ71" s="71"/>
      <c r="AK71" s="71"/>
      <c r="AL71" s="71"/>
      <c r="AM71" s="71"/>
      <c r="AN71" s="71"/>
      <c r="AO71" s="71"/>
      <c r="AP71" s="71"/>
      <c r="AQ71" s="71"/>
      <c r="AR71" s="2"/>
      <c r="AS71" s="2"/>
      <c r="AT71" s="2"/>
    </row>
    <row r="72" spans="1:46" s="3" customFormat="1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3"/>
      <c r="L72" s="72"/>
      <c r="M72" s="72"/>
      <c r="N72" s="72"/>
      <c r="O72" s="72"/>
      <c r="P72" s="72"/>
      <c r="Q72" s="72"/>
      <c r="R72" s="74"/>
      <c r="S72" s="72">
        <v>6391.8389999999999</v>
      </c>
      <c r="T72" s="72">
        <v>8829.3050000000003</v>
      </c>
      <c r="U72" s="72">
        <v>8.0540000000000003</v>
      </c>
      <c r="V72" s="74">
        <v>27</v>
      </c>
      <c r="W72" s="74"/>
      <c r="X72" s="72"/>
      <c r="Y72" s="72"/>
      <c r="Z72" s="72"/>
      <c r="AA72" s="2"/>
      <c r="AB72" s="71"/>
      <c r="AC72" s="71"/>
      <c r="AD72" s="71"/>
      <c r="AE72" s="71"/>
      <c r="AF72" s="71"/>
      <c r="AG72" s="71"/>
      <c r="AH72" s="71"/>
      <c r="AI72" s="71"/>
      <c r="AJ72" s="71"/>
      <c r="AK72" s="71"/>
      <c r="AL72" s="71"/>
      <c r="AM72" s="71"/>
      <c r="AN72" s="71"/>
      <c r="AO72" s="71"/>
      <c r="AP72" s="71"/>
      <c r="AQ72" s="71"/>
      <c r="AR72" s="2"/>
      <c r="AS72" s="2"/>
      <c r="AT72" s="2"/>
    </row>
    <row r="73" spans="1:46" s="3" customFormat="1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3"/>
      <c r="L73" s="72"/>
      <c r="M73" s="72"/>
      <c r="N73" s="72"/>
      <c r="O73" s="72"/>
      <c r="P73" s="72"/>
      <c r="Q73" s="72"/>
      <c r="R73" s="74"/>
      <c r="S73" s="72">
        <v>6423.9269999999997</v>
      </c>
      <c r="T73" s="72">
        <v>8828.5139999999992</v>
      </c>
      <c r="U73" s="72">
        <v>8.0609999999999999</v>
      </c>
      <c r="V73" s="74">
        <v>28</v>
      </c>
      <c r="W73" s="74"/>
      <c r="X73" s="72"/>
      <c r="Y73" s="72"/>
      <c r="Z73" s="72"/>
      <c r="AA73" s="2"/>
      <c r="AB73" s="71"/>
      <c r="AC73" s="71"/>
      <c r="AD73" s="71"/>
      <c r="AE73" s="71"/>
      <c r="AF73" s="71"/>
      <c r="AG73" s="71"/>
      <c r="AH73" s="71"/>
      <c r="AI73" s="71"/>
      <c r="AJ73" s="71"/>
      <c r="AK73" s="71"/>
      <c r="AL73" s="71"/>
      <c r="AM73" s="71"/>
      <c r="AN73" s="71"/>
      <c r="AO73" s="71"/>
      <c r="AP73" s="71"/>
      <c r="AQ73" s="71"/>
      <c r="AR73" s="2"/>
      <c r="AS73" s="2"/>
      <c r="AT73" s="2"/>
    </row>
    <row r="74" spans="1:46" s="3" customFormat="1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3"/>
      <c r="L74" s="72"/>
      <c r="M74" s="72"/>
      <c r="N74" s="72"/>
      <c r="O74" s="72"/>
      <c r="P74" s="72"/>
      <c r="Q74" s="72"/>
      <c r="R74" s="74"/>
      <c r="S74" s="72"/>
      <c r="T74" s="72"/>
      <c r="U74" s="72"/>
      <c r="V74" s="74"/>
      <c r="W74" s="74"/>
      <c r="X74" s="72"/>
      <c r="Y74" s="72"/>
      <c r="Z74" s="72"/>
      <c r="AA74" s="2"/>
      <c r="AB74" s="71"/>
      <c r="AC74" s="71"/>
      <c r="AD74" s="71"/>
      <c r="AE74" s="71"/>
      <c r="AF74" s="71"/>
      <c r="AG74" s="71"/>
      <c r="AH74" s="71"/>
      <c r="AI74" s="71"/>
      <c r="AJ74" s="71"/>
      <c r="AK74" s="71"/>
      <c r="AL74" s="71"/>
      <c r="AM74" s="71"/>
      <c r="AN74" s="71"/>
      <c r="AO74" s="71"/>
      <c r="AP74" s="71"/>
      <c r="AQ74" s="71"/>
      <c r="AR74" s="2"/>
      <c r="AS74" s="2"/>
      <c r="AT74" s="2"/>
    </row>
    <row r="75" spans="1:46" s="3" customFormat="1" x14ac:dyDescent="0.25">
      <c r="A75" s="72"/>
      <c r="B75" s="72"/>
      <c r="C75" s="72"/>
      <c r="D75" s="74"/>
      <c r="E75" s="72"/>
      <c r="F75" s="72"/>
      <c r="G75" s="72"/>
      <c r="H75" s="72"/>
      <c r="I75" s="72"/>
      <c r="J75" s="72"/>
      <c r="K75" s="73"/>
      <c r="L75" s="72"/>
      <c r="M75" s="72"/>
      <c r="N75" s="72"/>
      <c r="O75" s="72"/>
      <c r="P75" s="72"/>
      <c r="Q75" s="72"/>
      <c r="R75" s="74"/>
      <c r="S75" s="72">
        <v>5929.1090000000004</v>
      </c>
      <c r="T75" s="72">
        <v>7829.5550000000003</v>
      </c>
      <c r="U75" s="72">
        <v>8</v>
      </c>
      <c r="V75" s="74" t="s">
        <v>80</v>
      </c>
      <c r="W75" s="74" t="s">
        <v>73</v>
      </c>
      <c r="X75" s="72"/>
      <c r="Y75" s="72" t="s">
        <v>81</v>
      </c>
      <c r="Z75" s="72"/>
      <c r="AA75" s="2"/>
      <c r="AB75" s="71"/>
      <c r="AC75" s="71"/>
      <c r="AD75" s="71"/>
      <c r="AE75" s="71"/>
      <c r="AF75" s="71"/>
      <c r="AG75" s="71"/>
      <c r="AH75" s="71"/>
      <c r="AI75" s="71"/>
      <c r="AJ75" s="71"/>
      <c r="AK75" s="71"/>
      <c r="AL75" s="71"/>
      <c r="AM75" s="71"/>
      <c r="AN75" s="71"/>
      <c r="AO75" s="71"/>
      <c r="AP75" s="71"/>
      <c r="AQ75" s="71"/>
      <c r="AR75" s="2"/>
      <c r="AS75" s="2"/>
      <c r="AT75" s="2"/>
    </row>
    <row r="76" spans="1:46" s="3" customFormat="1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3"/>
      <c r="L76" s="72"/>
      <c r="M76" s="72"/>
      <c r="N76" s="72"/>
      <c r="O76" s="72"/>
      <c r="P76" s="72"/>
      <c r="Q76" s="72"/>
      <c r="R76" s="74"/>
      <c r="S76" s="72">
        <v>6006.4780000000001</v>
      </c>
      <c r="T76" s="72">
        <v>7705.7449999999999</v>
      </c>
      <c r="U76" s="72">
        <v>7.5170000000000003</v>
      </c>
      <c r="V76" s="74">
        <v>1</v>
      </c>
      <c r="W76" s="74"/>
      <c r="X76" s="72"/>
      <c r="Y76" s="72"/>
      <c r="Z76" s="72" t="s">
        <v>78</v>
      </c>
      <c r="AA76" s="2"/>
      <c r="AB76" s="71"/>
      <c r="AC76" s="71"/>
      <c r="AD76" s="71"/>
      <c r="AE76" s="71"/>
      <c r="AF76" s="71"/>
      <c r="AG76" s="71"/>
      <c r="AH76" s="71"/>
      <c r="AI76" s="71"/>
      <c r="AJ76" s="71"/>
      <c r="AK76" s="71"/>
      <c r="AL76" s="71"/>
      <c r="AM76" s="71"/>
      <c r="AN76" s="71"/>
      <c r="AO76" s="71"/>
      <c r="AP76" s="71"/>
      <c r="AQ76" s="71"/>
      <c r="AR76" s="2"/>
      <c r="AS76" s="2"/>
      <c r="AT76" s="2"/>
    </row>
    <row r="77" spans="1:46" s="3" customFormat="1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3"/>
      <c r="L77" s="72"/>
      <c r="M77" s="72"/>
      <c r="N77" s="72"/>
      <c r="O77" s="72"/>
      <c r="P77" s="72"/>
      <c r="Q77" s="72"/>
      <c r="R77" s="74"/>
      <c r="S77" s="72">
        <v>6140.9430000000002</v>
      </c>
      <c r="T77" s="72">
        <v>7851.8249999999998</v>
      </c>
      <c r="U77" s="72">
        <v>8.0579999999999998</v>
      </c>
      <c r="V77" s="74">
        <v>2</v>
      </c>
      <c r="W77" s="74"/>
      <c r="X77" s="72"/>
      <c r="Y77" s="72"/>
      <c r="Z77" s="72" t="s">
        <v>82</v>
      </c>
      <c r="AA77" s="2"/>
      <c r="AB77" s="71"/>
      <c r="AC77" s="71"/>
      <c r="AD77" s="71"/>
      <c r="AE77" s="71"/>
      <c r="AF77" s="71"/>
      <c r="AG77" s="71"/>
      <c r="AH77" s="71"/>
      <c r="AI77" s="71"/>
      <c r="AJ77" s="71"/>
      <c r="AK77" s="71"/>
      <c r="AL77" s="71"/>
      <c r="AM77" s="71"/>
      <c r="AN77" s="71"/>
      <c r="AO77" s="71"/>
      <c r="AP77" s="71"/>
      <c r="AQ77" s="71"/>
      <c r="AR77" s="2"/>
      <c r="AS77" s="2"/>
      <c r="AT77" s="2"/>
    </row>
    <row r="78" spans="1:46" s="3" customFormat="1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3"/>
      <c r="L78" s="72"/>
      <c r="M78" s="72"/>
      <c r="N78" s="72"/>
      <c r="O78" s="72"/>
      <c r="P78" s="72"/>
      <c r="Q78" s="72"/>
      <c r="R78" s="74"/>
      <c r="S78" s="72">
        <v>5954.5290000000005</v>
      </c>
      <c r="T78" s="72">
        <v>7719.4560000000001</v>
      </c>
      <c r="U78" s="72">
        <v>7.88</v>
      </c>
      <c r="V78" s="74">
        <v>3</v>
      </c>
      <c r="W78" s="74"/>
      <c r="X78" s="72"/>
      <c r="Y78" s="72"/>
      <c r="Z78" s="72" t="s">
        <v>82</v>
      </c>
      <c r="AA78" s="2"/>
      <c r="AB78" s="71"/>
      <c r="AC78" s="71"/>
      <c r="AD78" s="71"/>
      <c r="AE78" s="71"/>
      <c r="AF78" s="71"/>
      <c r="AG78" s="71"/>
      <c r="AH78" s="71"/>
      <c r="AI78" s="71"/>
      <c r="AJ78" s="71"/>
      <c r="AK78" s="71"/>
      <c r="AL78" s="71"/>
      <c r="AM78" s="71"/>
      <c r="AN78" s="71"/>
      <c r="AO78" s="71"/>
      <c r="AP78" s="71"/>
      <c r="AQ78" s="71"/>
      <c r="AR78" s="2"/>
      <c r="AS78" s="2"/>
      <c r="AT78" s="2"/>
    </row>
    <row r="79" spans="1:46" s="3" customFormat="1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3"/>
      <c r="L79" s="72"/>
      <c r="M79" s="72"/>
      <c r="N79" s="72"/>
      <c r="O79" s="72"/>
      <c r="P79" s="72"/>
      <c r="Q79" s="72"/>
      <c r="R79" s="74"/>
      <c r="S79" s="72">
        <v>6119.8680000000004</v>
      </c>
      <c r="T79" s="72">
        <v>7898.99</v>
      </c>
      <c r="U79" s="72">
        <v>8.0259999999999998</v>
      </c>
      <c r="V79" s="74">
        <v>4</v>
      </c>
      <c r="W79" s="74"/>
      <c r="X79" s="72"/>
      <c r="Y79" s="72"/>
      <c r="Z79" s="72" t="s">
        <v>82</v>
      </c>
      <c r="AA79" s="2"/>
      <c r="AB79" s="71"/>
      <c r="AC79" s="71"/>
      <c r="AD79" s="71"/>
      <c r="AE79" s="71"/>
      <c r="AF79" s="71"/>
      <c r="AG79" s="71"/>
      <c r="AH79" s="71"/>
      <c r="AI79" s="71"/>
      <c r="AJ79" s="71"/>
      <c r="AK79" s="71"/>
      <c r="AL79" s="71"/>
      <c r="AM79" s="71"/>
      <c r="AN79" s="71"/>
      <c r="AO79" s="71"/>
      <c r="AP79" s="71"/>
      <c r="AQ79" s="71"/>
      <c r="AR79" s="2"/>
      <c r="AS79" s="2"/>
      <c r="AT79" s="2"/>
    </row>
    <row r="80" spans="1:46" s="3" customFormat="1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3"/>
      <c r="L80" s="72"/>
      <c r="M80" s="72"/>
      <c r="N80" s="72"/>
      <c r="O80" s="72"/>
      <c r="P80" s="72"/>
      <c r="Q80" s="72"/>
      <c r="R80" s="74"/>
      <c r="S80" s="72">
        <v>5892.2</v>
      </c>
      <c r="T80" s="72">
        <v>7733.4059999999999</v>
      </c>
      <c r="U80" s="72">
        <v>7.625</v>
      </c>
      <c r="V80" s="74">
        <v>5</v>
      </c>
      <c r="W80" s="74"/>
      <c r="X80" s="72"/>
      <c r="Y80" s="72"/>
      <c r="Z80" s="72"/>
      <c r="AA80" s="2"/>
      <c r="AB80" s="71"/>
      <c r="AC80" s="71"/>
      <c r="AD80" s="71"/>
      <c r="AE80" s="71"/>
      <c r="AF80" s="71"/>
      <c r="AG80" s="71"/>
      <c r="AH80" s="71"/>
      <c r="AI80" s="71"/>
      <c r="AJ80" s="71"/>
      <c r="AK80" s="71"/>
      <c r="AL80" s="71"/>
      <c r="AM80" s="71"/>
      <c r="AN80" s="71"/>
      <c r="AO80" s="71"/>
      <c r="AP80" s="71"/>
      <c r="AQ80" s="71"/>
      <c r="AR80" s="2"/>
      <c r="AS80" s="2"/>
      <c r="AT80" s="2"/>
    </row>
    <row r="81" spans="1:46" s="3" customFormat="1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3"/>
      <c r="L81" s="72"/>
      <c r="M81" s="72"/>
      <c r="N81" s="72"/>
      <c r="O81" s="72"/>
      <c r="P81" s="72"/>
      <c r="Q81" s="72"/>
      <c r="R81" s="74"/>
      <c r="S81" s="72">
        <v>6076.5749999999998</v>
      </c>
      <c r="T81" s="72">
        <v>7971.9650000000001</v>
      </c>
      <c r="U81" s="72">
        <v>8.0050000000000008</v>
      </c>
      <c r="V81" s="74">
        <v>6</v>
      </c>
      <c r="W81" s="74"/>
      <c r="X81" s="72"/>
      <c r="Y81" s="72"/>
      <c r="Z81" s="72"/>
      <c r="AA81" s="2"/>
      <c r="AB81" s="71"/>
      <c r="AC81" s="71"/>
      <c r="AD81" s="71"/>
      <c r="AE81" s="71"/>
      <c r="AF81" s="71"/>
      <c r="AG81" s="71"/>
      <c r="AH81" s="71"/>
      <c r="AI81" s="71"/>
      <c r="AJ81" s="71"/>
      <c r="AK81" s="71"/>
      <c r="AL81" s="71"/>
      <c r="AM81" s="71"/>
      <c r="AN81" s="71"/>
      <c r="AO81" s="71"/>
      <c r="AP81" s="71"/>
      <c r="AQ81" s="71"/>
      <c r="AR81" s="2"/>
      <c r="AS81" s="2"/>
      <c r="AT81" s="2"/>
    </row>
    <row r="82" spans="1:46" s="3" customFormat="1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3"/>
      <c r="L82" s="72"/>
      <c r="M82" s="72"/>
      <c r="N82" s="72"/>
      <c r="O82" s="72"/>
      <c r="P82" s="72"/>
      <c r="Q82" s="72"/>
      <c r="R82" s="74"/>
      <c r="S82" s="72">
        <v>5848.7650000000003</v>
      </c>
      <c r="T82" s="72">
        <v>7733.8090000000002</v>
      </c>
      <c r="U82" s="72">
        <v>7.508</v>
      </c>
      <c r="V82" s="74">
        <v>7</v>
      </c>
      <c r="W82" s="74"/>
      <c r="X82" s="72"/>
      <c r="Y82" s="72"/>
      <c r="Z82" s="72"/>
      <c r="AA82" s="2"/>
      <c r="AB82" s="71"/>
      <c r="AC82" s="71"/>
      <c r="AD82" s="71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71"/>
      <c r="AR82" s="2"/>
      <c r="AS82" s="2"/>
      <c r="AT82" s="2"/>
    </row>
    <row r="83" spans="1:46" s="3" customFormat="1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3"/>
      <c r="L83" s="72"/>
      <c r="M83" s="72"/>
      <c r="N83" s="72"/>
      <c r="O83" s="72"/>
      <c r="P83" s="72"/>
      <c r="Q83" s="72"/>
      <c r="R83" s="74"/>
      <c r="S83" s="72">
        <v>5881.4290000000001</v>
      </c>
      <c r="T83" s="72">
        <v>7785.0969999999998</v>
      </c>
      <c r="U83" s="72">
        <v>7.7939999999999996</v>
      </c>
      <c r="V83" s="74">
        <v>8</v>
      </c>
      <c r="W83" s="74"/>
      <c r="X83" s="72"/>
      <c r="Y83" s="72"/>
      <c r="Z83" s="72"/>
      <c r="AA83" s="2"/>
      <c r="AB83" s="71"/>
      <c r="AC83" s="71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71"/>
      <c r="AR83" s="2"/>
      <c r="AS83" s="2"/>
      <c r="AT83" s="2"/>
    </row>
    <row r="84" spans="1:46" s="3" customFormat="1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3"/>
      <c r="L84" s="72"/>
      <c r="M84" s="72"/>
      <c r="N84" s="72"/>
      <c r="O84" s="72"/>
      <c r="P84" s="72"/>
      <c r="Q84" s="72"/>
      <c r="R84" s="74"/>
      <c r="S84" s="72">
        <v>5820.2510000000002</v>
      </c>
      <c r="T84" s="72">
        <v>7764.1509999999998</v>
      </c>
      <c r="U84" s="72">
        <v>7.4269999999999996</v>
      </c>
      <c r="V84" s="74">
        <v>9</v>
      </c>
      <c r="W84" s="74"/>
      <c r="X84" s="72"/>
      <c r="Y84" s="72"/>
      <c r="Z84" s="72"/>
      <c r="AA84" s="2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2"/>
      <c r="AS84" s="2"/>
      <c r="AT84" s="2"/>
    </row>
    <row r="85" spans="1:46" s="3" customFormat="1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3"/>
      <c r="L85" s="72"/>
      <c r="M85" s="72"/>
      <c r="N85" s="72"/>
      <c r="O85" s="72"/>
      <c r="P85" s="72"/>
      <c r="Q85" s="72"/>
      <c r="R85" s="74"/>
      <c r="S85" s="72">
        <v>5985.3040000000001</v>
      </c>
      <c r="T85" s="72">
        <v>8013.3620000000001</v>
      </c>
      <c r="U85" s="72">
        <v>7.8319999999999999</v>
      </c>
      <c r="V85" s="74">
        <v>10</v>
      </c>
      <c r="W85" s="74"/>
      <c r="X85" s="72"/>
      <c r="Y85" s="72"/>
      <c r="Z85" s="72"/>
      <c r="AA85" s="2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2"/>
      <c r="AS85" s="2"/>
      <c r="AT85" s="2"/>
    </row>
    <row r="86" spans="1:46" s="3" customFormat="1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3"/>
      <c r="L86" s="72"/>
      <c r="M86" s="72"/>
      <c r="N86" s="72"/>
      <c r="O86" s="72"/>
      <c r="P86" s="72"/>
      <c r="Q86" s="72"/>
      <c r="R86" s="74"/>
      <c r="S86" s="72">
        <v>5839.4939999999997</v>
      </c>
      <c r="T86" s="72">
        <v>7863.96</v>
      </c>
      <c r="U86" s="72">
        <v>7.4779999999999998</v>
      </c>
      <c r="V86" s="74">
        <v>11</v>
      </c>
      <c r="W86" s="74"/>
      <c r="X86" s="72"/>
      <c r="Y86" s="72"/>
      <c r="Z86" s="72"/>
      <c r="AA86" s="2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2"/>
      <c r="AS86" s="2"/>
      <c r="AT86" s="2"/>
    </row>
    <row r="87" spans="1:46" s="3" customFormat="1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3"/>
      <c r="L87" s="72"/>
      <c r="M87" s="72"/>
      <c r="N87" s="72"/>
      <c r="O87" s="72"/>
      <c r="P87" s="72"/>
      <c r="Q87" s="72"/>
      <c r="R87" s="74"/>
      <c r="S87" s="72">
        <v>5858.5209999999997</v>
      </c>
      <c r="T87" s="72">
        <v>7910.7640000000001</v>
      </c>
      <c r="U87" s="72">
        <v>7.6550000000000002</v>
      </c>
      <c r="V87" s="74">
        <v>12</v>
      </c>
      <c r="W87" s="74"/>
      <c r="X87" s="72"/>
      <c r="Y87" s="72"/>
      <c r="Z87" s="72"/>
      <c r="AA87" s="2"/>
      <c r="AB87" s="71"/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2"/>
      <c r="AS87" s="2"/>
      <c r="AT87" s="2"/>
    </row>
    <row r="88" spans="1:46" s="3" customFormat="1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3"/>
      <c r="L88" s="72"/>
      <c r="M88" s="72"/>
      <c r="N88" s="72"/>
      <c r="O88" s="72"/>
      <c r="P88" s="72"/>
      <c r="Q88" s="72"/>
      <c r="R88" s="74"/>
      <c r="S88" s="72">
        <v>5875.8869999999997</v>
      </c>
      <c r="T88" s="72">
        <v>8060.0929999999998</v>
      </c>
      <c r="U88" s="72">
        <v>7.5179999999999998</v>
      </c>
      <c r="V88" s="74">
        <v>13</v>
      </c>
      <c r="W88" s="74"/>
      <c r="X88" s="72"/>
      <c r="Y88" s="72"/>
      <c r="Z88" s="72"/>
      <c r="AA88" s="2"/>
      <c r="AB88" s="71"/>
      <c r="AC88" s="71"/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71"/>
      <c r="AR88" s="2"/>
      <c r="AS88" s="2"/>
      <c r="AT88" s="2"/>
    </row>
    <row r="89" spans="1:46" s="3" customFormat="1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3"/>
      <c r="L89" s="72"/>
      <c r="M89" s="72"/>
      <c r="N89" s="72"/>
      <c r="O89" s="72"/>
      <c r="P89" s="72"/>
      <c r="Q89" s="72"/>
      <c r="R89" s="74"/>
      <c r="S89" s="72">
        <v>5943.2089999999998</v>
      </c>
      <c r="T89" s="72">
        <v>7909.5190000000002</v>
      </c>
      <c r="U89" s="72">
        <v>7.6120000000000001</v>
      </c>
      <c r="V89" s="74">
        <v>14</v>
      </c>
      <c r="W89" s="74"/>
      <c r="X89" s="72"/>
      <c r="Y89" s="72"/>
      <c r="Z89" s="72"/>
      <c r="AA89" s="2"/>
      <c r="AB89" s="71"/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71"/>
      <c r="AR89" s="2"/>
      <c r="AS89" s="2"/>
      <c r="AT89" s="2"/>
    </row>
    <row r="90" spans="1:46" s="3" customFormat="1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3"/>
      <c r="L90" s="72"/>
      <c r="M90" s="72"/>
      <c r="N90" s="72"/>
      <c r="O90" s="72"/>
      <c r="P90" s="72"/>
      <c r="Q90" s="72"/>
      <c r="R90" s="74"/>
      <c r="S90" s="72">
        <v>6001.598</v>
      </c>
      <c r="T90" s="72">
        <v>7846.2950000000001</v>
      </c>
      <c r="U90" s="72">
        <v>7.7380000000000004</v>
      </c>
      <c r="V90" s="74">
        <v>15</v>
      </c>
      <c r="W90" s="74"/>
      <c r="X90" s="72"/>
      <c r="Y90" s="72"/>
      <c r="Z90" s="72"/>
      <c r="AA90" s="2"/>
      <c r="AB90" s="71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71"/>
      <c r="AR90" s="2"/>
      <c r="AS90" s="2"/>
      <c r="AT90" s="2"/>
    </row>
    <row r="91" spans="1:46" s="3" customFormat="1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3"/>
      <c r="L91" s="72"/>
      <c r="M91" s="72"/>
      <c r="N91" s="72"/>
      <c r="O91" s="72"/>
      <c r="P91" s="72"/>
      <c r="Q91" s="72"/>
      <c r="R91" s="74"/>
      <c r="S91" s="72">
        <v>5833.01</v>
      </c>
      <c r="T91" s="72">
        <v>7996.01</v>
      </c>
      <c r="U91" s="72">
        <v>7.7759999999999998</v>
      </c>
      <c r="V91" s="74">
        <v>16</v>
      </c>
      <c r="W91" s="74"/>
      <c r="X91" s="72"/>
      <c r="Y91" s="72"/>
      <c r="Z91" s="72"/>
      <c r="AA91" s="2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71"/>
      <c r="AR91" s="2"/>
      <c r="AS91" s="2"/>
      <c r="AT91" s="2"/>
    </row>
    <row r="92" spans="1:46" s="3" customFormat="1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3"/>
      <c r="L92" s="72"/>
      <c r="M92" s="72"/>
      <c r="N92" s="72"/>
      <c r="O92" s="72"/>
      <c r="P92" s="72"/>
      <c r="Q92" s="72"/>
      <c r="R92" s="74"/>
      <c r="S92" s="72">
        <v>6010.3639999999996</v>
      </c>
      <c r="T92" s="72">
        <v>7788.1589999999997</v>
      </c>
      <c r="U92" s="72">
        <v>7.548</v>
      </c>
      <c r="V92" s="74">
        <v>17</v>
      </c>
      <c r="W92" s="74"/>
      <c r="X92" s="72"/>
      <c r="Y92" s="72"/>
      <c r="Z92" s="72"/>
      <c r="AA92" s="2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71"/>
      <c r="AR92" s="2"/>
      <c r="AS92" s="2"/>
      <c r="AT92" s="2"/>
    </row>
    <row r="93" spans="1:46" s="3" customFormat="1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3"/>
      <c r="L93" s="72"/>
      <c r="M93" s="72"/>
      <c r="N93" s="72"/>
      <c r="O93" s="72"/>
      <c r="P93" s="72"/>
      <c r="Q93" s="72"/>
      <c r="R93" s="74"/>
      <c r="S93" s="72"/>
      <c r="T93" s="72"/>
      <c r="U93" s="72"/>
      <c r="V93" s="74"/>
      <c r="W93" s="74"/>
      <c r="X93" s="72"/>
      <c r="Y93" s="72"/>
      <c r="Z93" s="72"/>
      <c r="AA93" s="2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71"/>
      <c r="AR93" s="2"/>
      <c r="AS93" s="2"/>
      <c r="AT93" s="2"/>
    </row>
    <row r="94" spans="1:46" s="3" customFormat="1" x14ac:dyDescent="0.25">
      <c r="A94" s="72"/>
      <c r="B94" s="72"/>
      <c r="C94" s="72"/>
      <c r="D94" s="74"/>
      <c r="E94" s="72"/>
      <c r="F94" s="72"/>
      <c r="G94" s="72"/>
      <c r="H94" s="72"/>
      <c r="I94" s="72"/>
      <c r="J94" s="72"/>
      <c r="K94" s="73"/>
      <c r="L94" s="72"/>
      <c r="M94" s="72"/>
      <c r="N94" s="72"/>
      <c r="O94" s="72"/>
      <c r="P94" s="72"/>
      <c r="Q94" s="72"/>
      <c r="R94" s="74"/>
      <c r="S94" s="72">
        <v>6266.2470000000003</v>
      </c>
      <c r="T94" s="72">
        <v>7921.3940000000002</v>
      </c>
      <c r="U94" s="72">
        <v>9</v>
      </c>
      <c r="V94" s="74" t="s">
        <v>83</v>
      </c>
      <c r="W94" s="74" t="s">
        <v>73</v>
      </c>
      <c r="X94" s="72"/>
      <c r="Y94" s="72"/>
      <c r="Z94" s="72"/>
      <c r="AA94" s="2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71"/>
      <c r="AR94" s="2"/>
      <c r="AS94" s="2"/>
      <c r="AT94" s="2"/>
    </row>
    <row r="95" spans="1:46" s="3" customFormat="1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3"/>
      <c r="L95" s="72"/>
      <c r="M95" s="72"/>
      <c r="N95" s="72"/>
      <c r="O95" s="72"/>
      <c r="P95" s="72"/>
      <c r="Q95" s="72"/>
      <c r="R95" s="74"/>
      <c r="S95" s="72">
        <v>6268.7340000000004</v>
      </c>
      <c r="T95" s="72">
        <v>7992.5330000000004</v>
      </c>
      <c r="U95" s="72">
        <v>8.391</v>
      </c>
      <c r="V95" s="74">
        <v>1</v>
      </c>
      <c r="W95" s="74"/>
      <c r="X95" s="72"/>
      <c r="Y95" s="72"/>
      <c r="Z95" s="72"/>
      <c r="AA95" s="2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71"/>
      <c r="AR95" s="2"/>
      <c r="AS95" s="2"/>
      <c r="AT95" s="2"/>
    </row>
    <row r="96" spans="1:46" s="3" customFormat="1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3"/>
      <c r="L96" s="72"/>
      <c r="M96" s="72"/>
      <c r="N96" s="72"/>
      <c r="O96" s="72"/>
      <c r="P96" s="72"/>
      <c r="Q96" s="72"/>
      <c r="R96" s="74"/>
      <c r="S96" s="72">
        <v>6296.0150000000003</v>
      </c>
      <c r="T96" s="72">
        <v>8074.518</v>
      </c>
      <c r="U96" s="72">
        <v>8.4309999999999992</v>
      </c>
      <c r="V96" s="74">
        <v>2</v>
      </c>
      <c r="W96" s="74"/>
      <c r="X96" s="72"/>
      <c r="Y96" s="72"/>
      <c r="Z96" s="72"/>
      <c r="AA96" s="2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  <c r="AO96" s="71"/>
      <c r="AP96" s="71"/>
      <c r="AQ96" s="71"/>
      <c r="AR96" s="2"/>
      <c r="AS96" s="2"/>
      <c r="AT96" s="2"/>
    </row>
    <row r="97" spans="1:46" s="3" customFormat="1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3"/>
      <c r="L97" s="72"/>
      <c r="M97" s="72"/>
      <c r="N97" s="72"/>
      <c r="O97" s="72"/>
      <c r="P97" s="72"/>
      <c r="Q97" s="72"/>
      <c r="R97" s="74"/>
      <c r="S97" s="72">
        <v>6208.7619999999997</v>
      </c>
      <c r="T97" s="72">
        <v>7888.1989999999996</v>
      </c>
      <c r="U97" s="72">
        <v>8.3040000000000003</v>
      </c>
      <c r="V97" s="74">
        <v>3</v>
      </c>
      <c r="W97" s="74"/>
      <c r="X97" s="72"/>
      <c r="Y97" s="72"/>
      <c r="Z97" s="72"/>
      <c r="AA97" s="2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  <c r="AO97" s="71"/>
      <c r="AP97" s="71"/>
      <c r="AQ97" s="71"/>
      <c r="AR97" s="2"/>
      <c r="AS97" s="2"/>
      <c r="AT97" s="2"/>
    </row>
    <row r="98" spans="1:46" s="3" customFormat="1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3"/>
      <c r="L98" s="72"/>
      <c r="M98" s="72"/>
      <c r="N98" s="72"/>
      <c r="O98" s="72"/>
      <c r="P98" s="72"/>
      <c r="Q98" s="72"/>
      <c r="R98" s="74"/>
      <c r="S98" s="72">
        <v>6131.6189999999997</v>
      </c>
      <c r="T98" s="72">
        <v>7987.0540000000001</v>
      </c>
      <c r="U98" s="72">
        <v>8.2520000000000007</v>
      </c>
      <c r="V98" s="74">
        <v>4</v>
      </c>
      <c r="W98" s="74"/>
      <c r="X98" s="72"/>
      <c r="Y98" s="72"/>
      <c r="Z98" s="72"/>
      <c r="AA98" s="2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2"/>
      <c r="AS98" s="2"/>
      <c r="AT98" s="2"/>
    </row>
    <row r="99" spans="1:46" s="3" customFormat="1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3"/>
      <c r="L99" s="72"/>
      <c r="M99" s="72"/>
      <c r="N99" s="72"/>
      <c r="O99" s="72"/>
      <c r="P99" s="72"/>
      <c r="Q99" s="72"/>
      <c r="R99" s="74"/>
      <c r="S99" s="72">
        <v>6225.4359999999997</v>
      </c>
      <c r="T99" s="72">
        <v>7981.8990000000003</v>
      </c>
      <c r="U99" s="72">
        <v>8.4079999999999995</v>
      </c>
      <c r="V99" s="74">
        <v>5</v>
      </c>
      <c r="W99" s="74"/>
      <c r="X99" s="72"/>
      <c r="Y99" s="72"/>
      <c r="Z99" s="72"/>
      <c r="AA99" s="2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  <c r="AO99" s="71"/>
      <c r="AP99" s="71"/>
      <c r="AQ99" s="71"/>
      <c r="AR99" s="2"/>
      <c r="AS99" s="2"/>
      <c r="AT99" s="2"/>
    </row>
    <row r="100" spans="1:46" s="3" customFormat="1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3"/>
      <c r="L100" s="72"/>
      <c r="M100" s="72"/>
      <c r="N100" s="72"/>
      <c r="O100" s="72"/>
      <c r="P100" s="72"/>
      <c r="Q100" s="72"/>
      <c r="R100" s="74"/>
      <c r="S100" s="72">
        <v>6145.4070000000002</v>
      </c>
      <c r="T100" s="72">
        <v>8038.0870000000004</v>
      </c>
      <c r="U100" s="72">
        <v>8.2609999999999992</v>
      </c>
      <c r="V100" s="74">
        <v>6</v>
      </c>
      <c r="W100" s="74"/>
      <c r="X100" s="72"/>
      <c r="Y100" s="72"/>
      <c r="Z100" s="72"/>
      <c r="AA100" s="2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  <c r="AO100" s="71"/>
      <c r="AP100" s="71"/>
      <c r="AQ100" s="71"/>
      <c r="AR100" s="2"/>
      <c r="AS100" s="2"/>
      <c r="AT100" s="2"/>
    </row>
    <row r="101" spans="1:46" s="3" customFormat="1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3"/>
      <c r="L101" s="72"/>
      <c r="M101" s="72"/>
      <c r="N101" s="72"/>
      <c r="O101" s="72"/>
      <c r="P101" s="72"/>
      <c r="Q101" s="72"/>
      <c r="R101" s="74"/>
      <c r="S101" s="72">
        <v>6126.7219999999998</v>
      </c>
      <c r="T101" s="72">
        <v>8071.0150000000003</v>
      </c>
      <c r="U101" s="72">
        <v>7.7779999999999996</v>
      </c>
      <c r="V101" s="74">
        <v>7</v>
      </c>
      <c r="W101" s="74"/>
      <c r="X101" s="72"/>
      <c r="Y101" s="72"/>
      <c r="Z101" s="72"/>
      <c r="AA101" s="2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  <c r="AO101" s="71"/>
      <c r="AP101" s="71"/>
      <c r="AQ101" s="71"/>
      <c r="AR101" s="2"/>
      <c r="AS101" s="2"/>
      <c r="AT101" s="2"/>
    </row>
    <row r="102" spans="1:46" s="3" customFormat="1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3"/>
      <c r="L102" s="72"/>
      <c r="M102" s="72"/>
      <c r="N102" s="72"/>
      <c r="O102" s="72"/>
      <c r="P102" s="72"/>
      <c r="Q102" s="72"/>
      <c r="R102" s="74"/>
      <c r="S102" s="72">
        <v>6100.4939999999997</v>
      </c>
      <c r="T102" s="72">
        <v>8126.0820000000003</v>
      </c>
      <c r="U102" s="72">
        <v>7.6989999999999998</v>
      </c>
      <c r="V102" s="74">
        <v>8</v>
      </c>
      <c r="W102" s="74"/>
      <c r="X102" s="72"/>
      <c r="Y102" s="72"/>
      <c r="Z102" s="72"/>
      <c r="AA102" s="2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  <c r="AO102" s="71"/>
      <c r="AP102" s="71"/>
      <c r="AQ102" s="71"/>
      <c r="AR102" s="2"/>
      <c r="AS102" s="2"/>
      <c r="AT102" s="2"/>
    </row>
    <row r="103" spans="1:46" s="3" customFormat="1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3"/>
      <c r="L103" s="72"/>
      <c r="M103" s="72"/>
      <c r="N103" s="72"/>
      <c r="O103" s="72"/>
      <c r="P103" s="72"/>
      <c r="Q103" s="72"/>
      <c r="R103" s="74"/>
      <c r="S103" s="72"/>
      <c r="T103" s="72"/>
      <c r="U103" s="72"/>
      <c r="V103" s="74"/>
      <c r="W103" s="74"/>
      <c r="X103" s="72"/>
      <c r="Y103" s="72"/>
      <c r="Z103" s="72"/>
      <c r="AA103" s="2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  <c r="AO103" s="71"/>
      <c r="AP103" s="71"/>
      <c r="AQ103" s="71"/>
      <c r="AR103" s="2"/>
      <c r="AS103" s="2"/>
      <c r="AT103" s="2"/>
    </row>
    <row r="104" spans="1:46" s="3" customFormat="1" x14ac:dyDescent="0.25">
      <c r="A104" s="72"/>
      <c r="B104" s="72"/>
      <c r="C104" s="72"/>
      <c r="D104" s="74"/>
      <c r="E104" s="72"/>
      <c r="F104" s="72"/>
      <c r="G104" s="72"/>
      <c r="H104" s="72"/>
      <c r="I104" s="72"/>
      <c r="J104" s="72"/>
      <c r="K104" s="73"/>
      <c r="L104" s="72"/>
      <c r="M104" s="72"/>
      <c r="N104" s="72"/>
      <c r="O104" s="72"/>
      <c r="P104" s="72"/>
      <c r="Q104" s="72"/>
      <c r="R104" s="74"/>
      <c r="S104" s="72">
        <v>5719.5140000000001</v>
      </c>
      <c r="T104" s="72">
        <v>7990.5479999999998</v>
      </c>
      <c r="U104" s="72">
        <v>8</v>
      </c>
      <c r="V104" s="74" t="s">
        <v>84</v>
      </c>
      <c r="W104" s="74" t="s">
        <v>73</v>
      </c>
      <c r="X104" s="72"/>
      <c r="Y104" s="72"/>
      <c r="Z104" s="72"/>
      <c r="AA104" s="2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  <c r="AO104" s="71"/>
      <c r="AP104" s="71"/>
      <c r="AQ104" s="71"/>
      <c r="AR104" s="2"/>
      <c r="AS104" s="2"/>
      <c r="AT104" s="2"/>
    </row>
    <row r="105" spans="1:46" s="3" customFormat="1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3"/>
      <c r="L105" s="72"/>
      <c r="M105" s="72"/>
      <c r="N105" s="72"/>
      <c r="O105" s="72"/>
      <c r="P105" s="72"/>
      <c r="Q105" s="72"/>
      <c r="R105" s="74"/>
      <c r="S105" s="72">
        <v>5678.3339999999998</v>
      </c>
      <c r="T105" s="72">
        <v>7877.4189999999999</v>
      </c>
      <c r="U105" s="72">
        <v>7.2</v>
      </c>
      <c r="V105" s="74">
        <v>8</v>
      </c>
      <c r="W105" s="74"/>
      <c r="X105" s="72"/>
      <c r="Y105" s="72"/>
      <c r="Z105" s="72"/>
      <c r="AA105" s="2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  <c r="AO105" s="71"/>
      <c r="AP105" s="71"/>
      <c r="AQ105" s="71"/>
      <c r="AR105" s="2"/>
      <c r="AS105" s="2"/>
      <c r="AT105" s="2"/>
    </row>
    <row r="106" spans="1:46" s="3" customFormat="1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3"/>
      <c r="L106" s="72"/>
      <c r="M106" s="72"/>
      <c r="N106" s="72"/>
      <c r="O106" s="72"/>
      <c r="P106" s="72"/>
      <c r="Q106" s="72"/>
      <c r="R106" s="74"/>
      <c r="S106" s="72">
        <v>5794.98</v>
      </c>
      <c r="T106" s="72">
        <v>7943.3909999999996</v>
      </c>
      <c r="U106" s="72">
        <v>7.3780000000000001</v>
      </c>
      <c r="V106" s="74">
        <v>9</v>
      </c>
      <c r="W106" s="74"/>
      <c r="X106" s="72"/>
      <c r="Y106" s="72"/>
      <c r="Z106" s="72"/>
      <c r="AA106" s="2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  <c r="AO106" s="71"/>
      <c r="AP106" s="71"/>
      <c r="AQ106" s="71"/>
      <c r="AR106" s="2"/>
      <c r="AS106" s="2"/>
      <c r="AT106" s="2"/>
    </row>
    <row r="107" spans="1:46" s="3" customFormat="1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3"/>
      <c r="L107" s="72"/>
      <c r="M107" s="72"/>
      <c r="N107" s="72"/>
      <c r="O107" s="72"/>
      <c r="P107" s="72"/>
      <c r="Q107" s="72"/>
      <c r="R107" s="74"/>
      <c r="S107" s="72">
        <v>5749.4849999999997</v>
      </c>
      <c r="T107" s="72">
        <v>8082.8019999999997</v>
      </c>
      <c r="U107" s="72">
        <v>7.7249999999999996</v>
      </c>
      <c r="V107" s="74">
        <v>10</v>
      </c>
      <c r="W107" s="74"/>
      <c r="X107" s="72"/>
      <c r="Y107" s="72"/>
      <c r="Z107" s="72"/>
      <c r="AA107" s="2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  <c r="AO107" s="71"/>
      <c r="AP107" s="71"/>
      <c r="AQ107" s="71"/>
      <c r="AR107" s="2"/>
      <c r="AS107" s="2"/>
      <c r="AT107" s="2"/>
    </row>
    <row r="108" spans="1:46" s="3" customFormat="1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3"/>
      <c r="L108" s="72"/>
      <c r="M108" s="72"/>
      <c r="N108" s="72"/>
      <c r="O108" s="72"/>
      <c r="P108" s="72"/>
      <c r="Q108" s="72"/>
      <c r="R108" s="74"/>
      <c r="S108" s="72">
        <v>5790.9380000000001</v>
      </c>
      <c r="T108" s="72">
        <v>7940.5349999999999</v>
      </c>
      <c r="U108" s="72">
        <v>7.7240000000000002</v>
      </c>
      <c r="V108" s="74">
        <v>11</v>
      </c>
      <c r="W108" s="74"/>
      <c r="X108" s="72"/>
      <c r="Y108" s="72"/>
      <c r="Z108" s="72"/>
      <c r="AA108" s="2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  <c r="AO108" s="71"/>
      <c r="AP108" s="71"/>
      <c r="AQ108" s="71"/>
      <c r="AR108" s="2"/>
      <c r="AS108" s="2"/>
      <c r="AT108" s="2"/>
    </row>
    <row r="109" spans="1:46" s="3" customFormat="1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3"/>
      <c r="L109" s="72"/>
      <c r="M109" s="72"/>
      <c r="N109" s="72"/>
      <c r="O109" s="72"/>
      <c r="P109" s="72"/>
      <c r="Q109" s="72"/>
      <c r="R109" s="74"/>
      <c r="S109" s="72">
        <v>5806.7539999999999</v>
      </c>
      <c r="T109" s="72">
        <v>8069.1049999999996</v>
      </c>
      <c r="U109" s="72">
        <v>7.8079999999999998</v>
      </c>
      <c r="V109" s="74">
        <v>12</v>
      </c>
      <c r="W109" s="74"/>
      <c r="X109" s="72"/>
      <c r="Y109" s="72"/>
      <c r="Z109" s="72"/>
      <c r="AA109" s="2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  <c r="AO109" s="71"/>
      <c r="AP109" s="71"/>
      <c r="AQ109" s="71"/>
      <c r="AR109" s="2"/>
      <c r="AS109" s="2"/>
      <c r="AT109" s="2"/>
    </row>
    <row r="110" spans="1:46" s="3" customFormat="1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3"/>
      <c r="L110" s="72"/>
      <c r="M110" s="72"/>
      <c r="N110" s="72"/>
      <c r="O110" s="72"/>
      <c r="P110" s="72"/>
      <c r="Q110" s="72"/>
      <c r="R110" s="74"/>
      <c r="S110" s="72">
        <v>5761.1149999999998</v>
      </c>
      <c r="T110" s="72">
        <v>8023.0559999999996</v>
      </c>
      <c r="U110" s="72">
        <v>7.6429999999999998</v>
      </c>
      <c r="V110" s="74">
        <v>13</v>
      </c>
      <c r="W110" s="74"/>
      <c r="X110" s="72"/>
      <c r="Y110" s="72"/>
      <c r="Z110" s="72"/>
      <c r="AA110" s="2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  <c r="AO110" s="71"/>
      <c r="AP110" s="71"/>
      <c r="AQ110" s="71"/>
      <c r="AR110" s="2"/>
      <c r="AS110" s="2"/>
      <c r="AT110" s="2"/>
    </row>
    <row r="111" spans="1:46" s="3" customFormat="1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3"/>
      <c r="L111" s="72"/>
      <c r="M111" s="72"/>
      <c r="N111" s="72"/>
      <c r="O111" s="72"/>
      <c r="P111" s="72"/>
      <c r="Q111" s="72"/>
      <c r="R111" s="74"/>
      <c r="S111" s="72">
        <v>5689.0119999999997</v>
      </c>
      <c r="T111" s="72">
        <v>7937.7250000000004</v>
      </c>
      <c r="U111" s="72">
        <v>7.7370000000000001</v>
      </c>
      <c r="V111" s="74">
        <v>14</v>
      </c>
      <c r="W111" s="74"/>
      <c r="X111" s="72"/>
      <c r="Y111" s="72"/>
      <c r="Z111" s="72"/>
      <c r="AA111" s="2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  <c r="AO111" s="71"/>
      <c r="AP111" s="71"/>
      <c r="AQ111" s="71"/>
      <c r="AR111" s="2"/>
      <c r="AS111" s="2"/>
      <c r="AT111" s="2"/>
    </row>
    <row r="112" spans="1:46" s="3" customFormat="1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3"/>
      <c r="L112" s="72"/>
      <c r="M112" s="72"/>
      <c r="N112" s="72"/>
      <c r="O112" s="72"/>
      <c r="P112" s="72"/>
      <c r="Q112" s="72"/>
      <c r="R112" s="74"/>
      <c r="S112" s="72">
        <v>5820.3879999999999</v>
      </c>
      <c r="T112" s="72">
        <v>8140.1080000000002</v>
      </c>
      <c r="U112" s="72">
        <v>7.7969999999999997</v>
      </c>
      <c r="V112" s="74">
        <v>15</v>
      </c>
      <c r="W112" s="74" t="s">
        <v>73</v>
      </c>
      <c r="X112" s="72"/>
      <c r="Y112" s="72"/>
      <c r="Z112" s="72"/>
      <c r="AA112" s="2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  <c r="AO112" s="71"/>
      <c r="AP112" s="71"/>
      <c r="AQ112" s="71"/>
      <c r="AR112" s="2"/>
      <c r="AS112" s="2"/>
      <c r="AT112" s="2"/>
    </row>
    <row r="113" spans="1:46" s="3" customFormat="1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3"/>
      <c r="L113" s="72"/>
      <c r="M113" s="72"/>
      <c r="N113" s="72"/>
      <c r="O113" s="72"/>
      <c r="P113" s="72"/>
      <c r="Q113" s="72"/>
      <c r="R113" s="74"/>
      <c r="S113" s="72"/>
      <c r="T113" s="72"/>
      <c r="U113" s="72"/>
      <c r="V113" s="74"/>
      <c r="W113" s="74"/>
      <c r="X113" s="72"/>
      <c r="Y113" s="72"/>
      <c r="Z113" s="72"/>
      <c r="AA113" s="2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  <c r="AO113" s="71"/>
      <c r="AP113" s="71"/>
      <c r="AQ113" s="71"/>
      <c r="AR113" s="2"/>
      <c r="AS113" s="2"/>
      <c r="AT113" s="2"/>
    </row>
    <row r="114" spans="1:46" s="3" customFormat="1" x14ac:dyDescent="0.25">
      <c r="A114" s="72"/>
      <c r="B114" s="72"/>
      <c r="C114" s="72"/>
      <c r="D114" s="74"/>
      <c r="E114" s="72"/>
      <c r="F114" s="72"/>
      <c r="G114" s="72"/>
      <c r="H114" s="72"/>
      <c r="I114" s="72"/>
      <c r="J114" s="72"/>
      <c r="K114" s="73"/>
      <c r="L114" s="72"/>
      <c r="M114" s="72"/>
      <c r="N114" s="72"/>
      <c r="O114" s="72"/>
      <c r="P114" s="72"/>
      <c r="Q114" s="72"/>
      <c r="R114" s="74"/>
      <c r="S114" s="72">
        <v>5820.3879999999999</v>
      </c>
      <c r="T114" s="72">
        <v>8140.1080000000002</v>
      </c>
      <c r="U114" s="72">
        <v>7.7969999999999997</v>
      </c>
      <c r="V114" s="74">
        <v>15</v>
      </c>
      <c r="W114" s="74" t="s">
        <v>73</v>
      </c>
      <c r="X114" s="72"/>
      <c r="Y114" s="72"/>
      <c r="Z114" s="72"/>
      <c r="AA114" s="2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  <c r="AO114" s="71"/>
      <c r="AP114" s="71"/>
      <c r="AQ114" s="71"/>
      <c r="AR114" s="2"/>
      <c r="AS114" s="2"/>
      <c r="AT114" s="2"/>
    </row>
    <row r="115" spans="1:46" s="3" customFormat="1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3"/>
      <c r="L115" s="72"/>
      <c r="M115" s="72"/>
      <c r="N115" s="72"/>
      <c r="O115" s="72"/>
      <c r="P115" s="72"/>
      <c r="Q115" s="72"/>
      <c r="R115" s="74"/>
      <c r="S115" s="72">
        <v>5914.817</v>
      </c>
      <c r="T115" s="72">
        <v>8121.7520000000004</v>
      </c>
      <c r="U115" s="72">
        <v>7.6580000000000004</v>
      </c>
      <c r="V115" s="74">
        <v>1</v>
      </c>
      <c r="W115" s="74"/>
      <c r="X115" s="72"/>
      <c r="Y115" s="72"/>
      <c r="Z115" s="72"/>
      <c r="AA115" s="2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71"/>
      <c r="AR115" s="2"/>
      <c r="AS115" s="2"/>
      <c r="AT115" s="2"/>
    </row>
    <row r="116" spans="1:46" s="3" customFormat="1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3"/>
      <c r="L116" s="72"/>
      <c r="M116" s="72"/>
      <c r="N116" s="72"/>
      <c r="O116" s="72"/>
      <c r="P116" s="72"/>
      <c r="Q116" s="72"/>
      <c r="R116" s="74"/>
      <c r="S116" s="72">
        <v>6012.8850000000002</v>
      </c>
      <c r="T116" s="72">
        <v>8099.1909999999998</v>
      </c>
      <c r="U116" s="72">
        <v>7.59</v>
      </c>
      <c r="V116" s="74">
        <v>2</v>
      </c>
      <c r="W116" s="74"/>
      <c r="X116" s="72"/>
      <c r="Y116" s="72"/>
      <c r="Z116" s="72"/>
      <c r="AA116" s="2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  <c r="AO116" s="71"/>
      <c r="AP116" s="71"/>
      <c r="AQ116" s="71"/>
      <c r="AR116" s="2"/>
      <c r="AS116" s="2"/>
      <c r="AT116" s="2"/>
    </row>
    <row r="117" spans="1:46" s="3" customFormat="1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3"/>
      <c r="L117" s="72"/>
      <c r="M117" s="72"/>
      <c r="N117" s="72"/>
      <c r="O117" s="72"/>
      <c r="P117" s="72"/>
      <c r="Q117" s="72"/>
      <c r="R117" s="74"/>
      <c r="S117" s="72">
        <v>6032.4719999999998</v>
      </c>
      <c r="T117" s="72">
        <v>8209.018</v>
      </c>
      <c r="U117" s="72">
        <v>7.6429999999999998</v>
      </c>
      <c r="V117" s="74">
        <v>3</v>
      </c>
      <c r="W117" s="74"/>
      <c r="X117" s="72"/>
      <c r="Y117" s="72"/>
      <c r="Z117" s="72"/>
      <c r="AA117" s="2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  <c r="AO117" s="71"/>
      <c r="AP117" s="71"/>
      <c r="AQ117" s="71"/>
      <c r="AR117" s="2"/>
      <c r="AS117" s="2"/>
      <c r="AT117" s="2"/>
    </row>
    <row r="118" spans="1:46" s="3" customFormat="1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3"/>
      <c r="L118" s="72"/>
      <c r="M118" s="72"/>
      <c r="N118" s="72"/>
      <c r="O118" s="72"/>
      <c r="P118" s="72"/>
      <c r="Q118" s="72"/>
      <c r="R118" s="74"/>
      <c r="S118" s="72">
        <v>5922.6440000000002</v>
      </c>
      <c r="T118" s="72">
        <v>8214.4009999999998</v>
      </c>
      <c r="U118" s="72">
        <v>7.4630000000000001</v>
      </c>
      <c r="V118" s="74">
        <v>4</v>
      </c>
      <c r="W118" s="74"/>
      <c r="X118" s="72"/>
      <c r="Y118" s="72"/>
      <c r="Z118" s="72"/>
      <c r="AA118" s="2"/>
      <c r="AB118" s="71"/>
      <c r="AC118" s="71"/>
      <c r="AD118" s="71"/>
      <c r="AE118" s="71"/>
      <c r="AF118" s="71"/>
      <c r="AG118" s="71"/>
      <c r="AH118" s="71"/>
      <c r="AI118" s="71"/>
      <c r="AJ118" s="71"/>
      <c r="AK118" s="71"/>
      <c r="AL118" s="71"/>
      <c r="AM118" s="71"/>
      <c r="AN118" s="71"/>
      <c r="AO118" s="71"/>
      <c r="AP118" s="71"/>
      <c r="AQ118" s="71"/>
      <c r="AR118" s="2"/>
      <c r="AS118" s="2"/>
      <c r="AT118" s="2"/>
    </row>
    <row r="119" spans="1:46" s="3" customFormat="1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3"/>
      <c r="L119" s="72"/>
      <c r="M119" s="72"/>
      <c r="N119" s="72"/>
      <c r="O119" s="72"/>
      <c r="P119" s="72"/>
      <c r="Q119" s="72"/>
      <c r="R119" s="74"/>
      <c r="S119" s="72">
        <v>5836.3959999999997</v>
      </c>
      <c r="T119" s="72">
        <v>8215.42</v>
      </c>
      <c r="U119" s="72">
        <v>7.5119999999999996</v>
      </c>
      <c r="V119" s="74">
        <v>5</v>
      </c>
      <c r="W119" s="74"/>
      <c r="X119" s="72"/>
      <c r="Y119" s="72"/>
      <c r="Z119" s="72"/>
      <c r="AA119" s="2"/>
      <c r="AB119" s="71"/>
      <c r="AC119" s="71"/>
      <c r="AD119" s="71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71"/>
      <c r="AR119" s="2"/>
      <c r="AS119" s="2"/>
      <c r="AT119" s="2"/>
    </row>
    <row r="120" spans="1:46" s="3" customFormat="1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3"/>
      <c r="L120" s="72"/>
      <c r="M120" s="72"/>
      <c r="N120" s="72"/>
      <c r="O120" s="72"/>
      <c r="P120" s="72"/>
      <c r="Q120" s="72"/>
      <c r="R120" s="74"/>
      <c r="S120" s="72">
        <v>5894.3130000000001</v>
      </c>
      <c r="T120" s="72">
        <v>8314.2649999999994</v>
      </c>
      <c r="U120" s="72">
        <v>7.5570000000000004</v>
      </c>
      <c r="V120" s="74">
        <v>8</v>
      </c>
      <c r="W120" s="74"/>
      <c r="X120" s="72"/>
      <c r="Y120" s="72"/>
      <c r="Z120" s="72"/>
      <c r="AA120" s="2"/>
      <c r="AB120" s="71"/>
      <c r="AC120" s="71"/>
      <c r="AD120" s="71"/>
      <c r="AE120" s="71"/>
      <c r="AF120" s="71"/>
      <c r="AG120" s="71"/>
      <c r="AH120" s="71"/>
      <c r="AI120" s="71"/>
      <c r="AJ120" s="71"/>
      <c r="AK120" s="71"/>
      <c r="AL120" s="71"/>
      <c r="AM120" s="71"/>
      <c r="AN120" s="71"/>
      <c r="AO120" s="71"/>
      <c r="AP120" s="71"/>
      <c r="AQ120" s="71"/>
      <c r="AR120" s="2"/>
      <c r="AS120" s="2"/>
      <c r="AT120" s="2"/>
    </row>
    <row r="121" spans="1:46" s="3" customFormat="1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3"/>
      <c r="L121" s="72"/>
      <c r="M121" s="72"/>
      <c r="N121" s="72"/>
      <c r="O121" s="72"/>
      <c r="P121" s="72"/>
      <c r="Q121" s="72"/>
      <c r="R121" s="74"/>
      <c r="S121" s="72">
        <v>5986.41</v>
      </c>
      <c r="T121" s="72">
        <v>8312.0290000000005</v>
      </c>
      <c r="U121" s="72">
        <v>7.6749999999999998</v>
      </c>
      <c r="V121" s="74">
        <v>9</v>
      </c>
      <c r="W121" s="74"/>
      <c r="X121" s="72"/>
      <c r="Y121" s="72"/>
      <c r="Z121" s="72"/>
      <c r="AA121" s="2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/>
      <c r="AL121" s="71"/>
      <c r="AM121" s="71"/>
      <c r="AN121" s="71"/>
      <c r="AO121" s="71"/>
      <c r="AP121" s="71"/>
      <c r="AQ121" s="71"/>
      <c r="AR121" s="2"/>
      <c r="AS121" s="2"/>
      <c r="AT121" s="2"/>
    </row>
    <row r="122" spans="1:46" s="3" customFormat="1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3"/>
      <c r="L122" s="72"/>
      <c r="M122" s="72"/>
      <c r="N122" s="72"/>
      <c r="O122" s="72"/>
      <c r="P122" s="72"/>
      <c r="Q122" s="72"/>
      <c r="R122" s="74"/>
      <c r="S122" s="72">
        <v>6100.98</v>
      </c>
      <c r="T122" s="72">
        <v>8302.1080000000002</v>
      </c>
      <c r="U122" s="72">
        <v>7.9740000000000002</v>
      </c>
      <c r="V122" s="74">
        <v>10</v>
      </c>
      <c r="W122" s="74"/>
      <c r="X122" s="72"/>
      <c r="Y122" s="72"/>
      <c r="Z122" s="72"/>
      <c r="AA122" s="2"/>
      <c r="AB122" s="71"/>
      <c r="AC122" s="71"/>
      <c r="AD122" s="71"/>
      <c r="AE122" s="71"/>
      <c r="AF122" s="71"/>
      <c r="AG122" s="71"/>
      <c r="AH122" s="71"/>
      <c r="AI122" s="71"/>
      <c r="AJ122" s="71"/>
      <c r="AK122" s="71"/>
      <c r="AL122" s="71"/>
      <c r="AM122" s="71"/>
      <c r="AN122" s="71"/>
      <c r="AO122" s="71"/>
      <c r="AP122" s="71"/>
      <c r="AQ122" s="71"/>
      <c r="AR122" s="2"/>
      <c r="AS122" s="2"/>
      <c r="AT122" s="2"/>
    </row>
    <row r="123" spans="1:46" s="3" customFormat="1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3"/>
      <c r="L123" s="72"/>
      <c r="M123" s="72"/>
      <c r="N123" s="72"/>
      <c r="O123" s="72"/>
      <c r="P123" s="72"/>
      <c r="Q123" s="72"/>
      <c r="R123" s="74"/>
      <c r="S123" s="72">
        <v>5874.6530000000002</v>
      </c>
      <c r="T123" s="72">
        <v>8395.4030000000002</v>
      </c>
      <c r="U123" s="72">
        <v>7.7</v>
      </c>
      <c r="V123" s="74">
        <v>11</v>
      </c>
      <c r="W123" s="74"/>
      <c r="X123" s="72"/>
      <c r="Y123" s="72"/>
      <c r="Z123" s="72"/>
      <c r="AA123" s="2"/>
      <c r="AB123" s="71"/>
      <c r="AC123" s="71"/>
      <c r="AD123" s="71"/>
      <c r="AE123" s="71"/>
      <c r="AF123" s="71"/>
      <c r="AG123" s="71"/>
      <c r="AH123" s="71"/>
      <c r="AI123" s="71"/>
      <c r="AJ123" s="71"/>
      <c r="AK123" s="71"/>
      <c r="AL123" s="71"/>
      <c r="AM123" s="71"/>
      <c r="AN123" s="71"/>
      <c r="AO123" s="71"/>
      <c r="AP123" s="71"/>
      <c r="AQ123" s="71"/>
      <c r="AR123" s="2"/>
      <c r="AS123" s="2"/>
      <c r="AT123" s="2"/>
    </row>
    <row r="124" spans="1:46" s="3" customFormat="1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3"/>
      <c r="L124" s="72"/>
      <c r="M124" s="72"/>
      <c r="N124" s="72"/>
      <c r="O124" s="72"/>
      <c r="P124" s="72"/>
      <c r="Q124" s="72"/>
      <c r="R124" s="74"/>
      <c r="S124" s="72"/>
      <c r="T124" s="72"/>
      <c r="U124" s="72"/>
      <c r="V124" s="74"/>
      <c r="W124" s="74"/>
      <c r="X124" s="72"/>
      <c r="Y124" s="72"/>
      <c r="Z124" s="72"/>
      <c r="AA124" s="2"/>
      <c r="AB124" s="71"/>
      <c r="AC124" s="71"/>
      <c r="AD124" s="71"/>
      <c r="AE124" s="71"/>
      <c r="AF124" s="71"/>
      <c r="AG124" s="71"/>
      <c r="AH124" s="71"/>
      <c r="AI124" s="71"/>
      <c r="AJ124" s="71"/>
      <c r="AK124" s="71"/>
      <c r="AL124" s="71"/>
      <c r="AM124" s="71"/>
      <c r="AN124" s="71"/>
      <c r="AO124" s="71"/>
      <c r="AP124" s="71"/>
      <c r="AQ124" s="71"/>
      <c r="AR124" s="2"/>
      <c r="AS124" s="2"/>
      <c r="AT124" s="2"/>
    </row>
    <row r="125" spans="1:46" s="3" customFormat="1" x14ac:dyDescent="0.25">
      <c r="A125" s="72"/>
      <c r="B125" s="72"/>
      <c r="C125" s="72"/>
      <c r="D125" s="74"/>
      <c r="E125" s="72"/>
      <c r="F125" s="72"/>
      <c r="G125" s="72"/>
      <c r="H125" s="72"/>
      <c r="I125" s="72"/>
      <c r="J125" s="72"/>
      <c r="K125" s="73"/>
      <c r="L125" s="72"/>
      <c r="M125" s="72"/>
      <c r="N125" s="72"/>
      <c r="O125" s="72"/>
      <c r="P125" s="72"/>
      <c r="Q125" s="72"/>
      <c r="R125" s="74"/>
      <c r="S125" s="72">
        <v>5462.9920000000002</v>
      </c>
      <c r="T125" s="72">
        <v>8129.8010000000004</v>
      </c>
      <c r="U125" s="72">
        <v>7.5</v>
      </c>
      <c r="V125" s="74" t="s">
        <v>85</v>
      </c>
      <c r="W125" s="74" t="s">
        <v>73</v>
      </c>
      <c r="X125" s="72"/>
      <c r="Y125" s="72"/>
      <c r="Z125" s="72"/>
      <c r="AA125" s="2"/>
      <c r="AB125" s="71"/>
      <c r="AC125" s="71"/>
      <c r="AD125" s="71"/>
      <c r="AE125" s="71"/>
      <c r="AF125" s="71"/>
      <c r="AG125" s="71"/>
      <c r="AH125" s="71"/>
      <c r="AI125" s="71"/>
      <c r="AJ125" s="71"/>
      <c r="AK125" s="71"/>
      <c r="AL125" s="71"/>
      <c r="AM125" s="71"/>
      <c r="AN125" s="71"/>
      <c r="AO125" s="71"/>
      <c r="AP125" s="71"/>
      <c r="AQ125" s="71"/>
      <c r="AR125" s="2"/>
      <c r="AS125" s="2"/>
      <c r="AT125" s="2"/>
    </row>
    <row r="126" spans="1:46" s="3" customFormat="1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3"/>
      <c r="L126" s="72"/>
      <c r="M126" s="72"/>
      <c r="N126" s="72"/>
      <c r="O126" s="72"/>
      <c r="P126" s="72"/>
      <c r="Q126" s="72"/>
      <c r="R126" s="74"/>
      <c r="S126" s="72">
        <v>5565.3159999999998</v>
      </c>
      <c r="T126" s="72">
        <v>8003.4380000000001</v>
      </c>
      <c r="U126" s="72">
        <v>7.4109999999999996</v>
      </c>
      <c r="V126" s="74">
        <v>1</v>
      </c>
      <c r="W126" s="74"/>
      <c r="X126" s="72"/>
      <c r="Y126" s="72"/>
      <c r="Z126" s="72"/>
      <c r="AA126" s="2"/>
      <c r="AB126" s="71"/>
      <c r="AC126" s="71"/>
      <c r="AD126" s="71"/>
      <c r="AE126" s="71"/>
      <c r="AF126" s="71"/>
      <c r="AG126" s="71"/>
      <c r="AH126" s="71"/>
      <c r="AI126" s="71"/>
      <c r="AJ126" s="71"/>
      <c r="AK126" s="71"/>
      <c r="AL126" s="71"/>
      <c r="AM126" s="71"/>
      <c r="AN126" s="71"/>
      <c r="AO126" s="71"/>
      <c r="AP126" s="71"/>
      <c r="AQ126" s="71"/>
      <c r="AR126" s="2"/>
      <c r="AS126" s="2"/>
      <c r="AT126" s="2"/>
    </row>
    <row r="127" spans="1:46" s="3" customFormat="1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3"/>
      <c r="L127" s="72"/>
      <c r="M127" s="72"/>
      <c r="N127" s="72"/>
      <c r="O127" s="72"/>
      <c r="P127" s="72"/>
      <c r="Q127" s="72"/>
      <c r="R127" s="74"/>
      <c r="S127" s="72">
        <v>5543.6279999999997</v>
      </c>
      <c r="T127" s="72">
        <v>8085.1019999999999</v>
      </c>
      <c r="U127" s="72">
        <v>7.702</v>
      </c>
      <c r="V127" s="74">
        <v>2</v>
      </c>
      <c r="W127" s="74"/>
      <c r="X127" s="72"/>
      <c r="Y127" s="72"/>
      <c r="Z127" s="72"/>
      <c r="AA127" s="2"/>
      <c r="AB127" s="71"/>
      <c r="AC127" s="71"/>
      <c r="AD127" s="71"/>
      <c r="AE127" s="71"/>
      <c r="AF127" s="71"/>
      <c r="AG127" s="71"/>
      <c r="AH127" s="71"/>
      <c r="AI127" s="71"/>
      <c r="AJ127" s="71"/>
      <c r="AK127" s="71"/>
      <c r="AL127" s="71"/>
      <c r="AM127" s="71"/>
      <c r="AN127" s="71"/>
      <c r="AO127" s="71"/>
      <c r="AP127" s="71"/>
      <c r="AQ127" s="71"/>
      <c r="AR127" s="2"/>
      <c r="AS127" s="2"/>
      <c r="AT127" s="2"/>
    </row>
    <row r="128" spans="1:46" s="3" customFormat="1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3"/>
      <c r="L128" s="72"/>
      <c r="M128" s="72"/>
      <c r="N128" s="72"/>
      <c r="O128" s="72"/>
      <c r="P128" s="72"/>
      <c r="Q128" s="72"/>
      <c r="R128" s="74"/>
      <c r="S128" s="72">
        <v>5517.3580000000002</v>
      </c>
      <c r="T128" s="72">
        <v>7971.9040000000005</v>
      </c>
      <c r="U128" s="72">
        <v>7.2590000000000003</v>
      </c>
      <c r="V128" s="74">
        <v>3</v>
      </c>
      <c r="W128" s="74"/>
      <c r="X128" s="72"/>
      <c r="Y128" s="72"/>
      <c r="Z128" s="72"/>
      <c r="AA128" s="2"/>
      <c r="AB128" s="71"/>
      <c r="AC128" s="71"/>
      <c r="AD128" s="71"/>
      <c r="AE128" s="71"/>
      <c r="AF128" s="71"/>
      <c r="AG128" s="71"/>
      <c r="AH128" s="71"/>
      <c r="AI128" s="71"/>
      <c r="AJ128" s="71"/>
      <c r="AK128" s="71"/>
      <c r="AL128" s="71"/>
      <c r="AM128" s="71"/>
      <c r="AN128" s="71"/>
      <c r="AO128" s="71"/>
      <c r="AP128" s="71"/>
      <c r="AQ128" s="71"/>
      <c r="AR128" s="2"/>
      <c r="AS128" s="2"/>
      <c r="AT128" s="2"/>
    </row>
    <row r="129" spans="1:46" s="3" customFormat="1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3"/>
      <c r="L129" s="72"/>
      <c r="M129" s="72"/>
      <c r="N129" s="72"/>
      <c r="O129" s="72"/>
      <c r="P129" s="72"/>
      <c r="Q129" s="72"/>
      <c r="R129" s="74"/>
      <c r="S129" s="72">
        <v>5584.3159999999998</v>
      </c>
      <c r="T129" s="72">
        <v>8153.3829999999998</v>
      </c>
      <c r="U129" s="72">
        <v>7.52</v>
      </c>
      <c r="V129" s="74">
        <v>4</v>
      </c>
      <c r="W129" s="74"/>
      <c r="X129" s="72"/>
      <c r="Y129" s="72"/>
      <c r="Z129" s="72"/>
      <c r="AA129" s="2"/>
      <c r="AB129" s="71"/>
      <c r="AC129" s="71"/>
      <c r="AD129" s="71"/>
      <c r="AE129" s="71"/>
      <c r="AF129" s="71"/>
      <c r="AG129" s="71"/>
      <c r="AH129" s="71"/>
      <c r="AI129" s="71"/>
      <c r="AJ129" s="71"/>
      <c r="AK129" s="71"/>
      <c r="AL129" s="71"/>
      <c r="AM129" s="71"/>
      <c r="AN129" s="71"/>
      <c r="AO129" s="71"/>
      <c r="AP129" s="71"/>
      <c r="AQ129" s="71"/>
      <c r="AR129" s="2"/>
      <c r="AS129" s="2"/>
      <c r="AT129" s="2"/>
    </row>
    <row r="130" spans="1:46" s="3" customFormat="1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3"/>
      <c r="L130" s="72"/>
      <c r="M130" s="72"/>
      <c r="N130" s="72"/>
      <c r="O130" s="72"/>
      <c r="P130" s="72"/>
      <c r="Q130" s="72"/>
      <c r="R130" s="74"/>
      <c r="S130" s="72">
        <v>5447.9179999999997</v>
      </c>
      <c r="T130" s="72">
        <v>7986.3959999999997</v>
      </c>
      <c r="U130" s="72">
        <v>7.3079999999999998</v>
      </c>
      <c r="V130" s="74">
        <v>5</v>
      </c>
      <c r="W130" s="74"/>
      <c r="X130" s="72"/>
      <c r="Y130" s="72"/>
      <c r="Z130" s="72"/>
      <c r="AA130" s="2"/>
      <c r="AB130" s="71"/>
      <c r="AC130" s="71"/>
      <c r="AD130" s="71"/>
      <c r="AE130" s="71"/>
      <c r="AF130" s="71"/>
      <c r="AG130" s="71"/>
      <c r="AH130" s="71"/>
      <c r="AI130" s="71"/>
      <c r="AJ130" s="71"/>
      <c r="AK130" s="71"/>
      <c r="AL130" s="71"/>
      <c r="AM130" s="71"/>
      <c r="AN130" s="71"/>
      <c r="AO130" s="71"/>
      <c r="AP130" s="71"/>
      <c r="AQ130" s="71"/>
      <c r="AR130" s="2"/>
      <c r="AS130" s="2"/>
      <c r="AT130" s="2"/>
    </row>
    <row r="131" spans="1:46" s="3" customFormat="1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3"/>
      <c r="L131" s="72"/>
      <c r="M131" s="72"/>
      <c r="N131" s="72"/>
      <c r="O131" s="72"/>
      <c r="P131" s="72"/>
      <c r="Q131" s="72"/>
      <c r="R131" s="74"/>
      <c r="S131" s="72">
        <v>5644.88</v>
      </c>
      <c r="T131" s="72">
        <v>8239.0910000000003</v>
      </c>
      <c r="U131" s="72">
        <v>7.5750000000000002</v>
      </c>
      <c r="V131" s="74">
        <v>6</v>
      </c>
      <c r="W131" s="74"/>
      <c r="X131" s="72"/>
      <c r="Y131" s="72"/>
      <c r="Z131" s="72"/>
      <c r="AA131" s="2"/>
      <c r="AB131" s="71"/>
      <c r="AC131" s="71"/>
      <c r="AD131" s="71"/>
      <c r="AE131" s="71"/>
      <c r="AF131" s="71"/>
      <c r="AG131" s="71"/>
      <c r="AH131" s="71"/>
      <c r="AI131" s="71"/>
      <c r="AJ131" s="71"/>
      <c r="AK131" s="71"/>
      <c r="AL131" s="71"/>
      <c r="AM131" s="71"/>
      <c r="AN131" s="71"/>
      <c r="AO131" s="71"/>
      <c r="AP131" s="71"/>
      <c r="AQ131" s="71"/>
      <c r="AR131" s="2"/>
      <c r="AS131" s="2"/>
      <c r="AT131" s="2"/>
    </row>
    <row r="132" spans="1:46" s="3" customFormat="1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3"/>
      <c r="L132" s="72"/>
      <c r="M132" s="72"/>
      <c r="N132" s="72"/>
      <c r="O132" s="72"/>
      <c r="P132" s="72"/>
      <c r="Q132" s="72"/>
      <c r="R132" s="74"/>
      <c r="S132" s="72">
        <v>5357.3850000000002</v>
      </c>
      <c r="T132" s="72">
        <v>8031.3220000000001</v>
      </c>
      <c r="U132" s="72">
        <v>7.5170000000000003</v>
      </c>
      <c r="V132" s="74">
        <v>7</v>
      </c>
      <c r="W132" s="74"/>
      <c r="X132" s="72"/>
      <c r="Y132" s="72"/>
      <c r="Z132" s="72"/>
      <c r="AA132" s="2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/>
      <c r="AL132" s="71"/>
      <c r="AM132" s="71"/>
      <c r="AN132" s="71"/>
      <c r="AO132" s="71"/>
      <c r="AP132" s="71"/>
      <c r="AQ132" s="71"/>
      <c r="AR132" s="2"/>
      <c r="AS132" s="2"/>
      <c r="AT132" s="2"/>
    </row>
    <row r="133" spans="1:46" s="3" customFormat="1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3"/>
      <c r="L133" s="72"/>
      <c r="M133" s="72"/>
      <c r="N133" s="72"/>
      <c r="O133" s="72"/>
      <c r="P133" s="72"/>
      <c r="Q133" s="72"/>
      <c r="R133" s="74"/>
      <c r="S133" s="72">
        <v>5285.1660000000002</v>
      </c>
      <c r="T133" s="72">
        <v>8224.3510000000006</v>
      </c>
      <c r="U133" s="72">
        <v>7.4450000000000003</v>
      </c>
      <c r="V133" s="74">
        <v>8</v>
      </c>
      <c r="W133" s="74"/>
      <c r="X133" s="72"/>
      <c r="Y133" s="72"/>
      <c r="Z133" s="72"/>
      <c r="AA133" s="2"/>
      <c r="AB133" s="71"/>
      <c r="AC133" s="71"/>
      <c r="AD133" s="71"/>
      <c r="AE133" s="71"/>
      <c r="AF133" s="71"/>
      <c r="AG133" s="71"/>
      <c r="AH133" s="71"/>
      <c r="AI133" s="71"/>
      <c r="AJ133" s="71"/>
      <c r="AK133" s="71"/>
      <c r="AL133" s="71"/>
      <c r="AM133" s="71"/>
      <c r="AN133" s="71"/>
      <c r="AO133" s="71"/>
      <c r="AP133" s="71"/>
      <c r="AQ133" s="71"/>
      <c r="AR133" s="2"/>
      <c r="AS133" s="2"/>
      <c r="AT133" s="2"/>
    </row>
    <row r="134" spans="1:46" s="3" customFormat="1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3"/>
      <c r="L134" s="72"/>
      <c r="M134" s="72"/>
      <c r="N134" s="72"/>
      <c r="O134" s="72"/>
      <c r="P134" s="72"/>
      <c r="Q134" s="72"/>
      <c r="R134" s="74"/>
      <c r="S134" s="72">
        <v>5384.4690000000001</v>
      </c>
      <c r="T134" s="72">
        <v>8080.7349999999997</v>
      </c>
      <c r="U134" s="72">
        <v>7.2880000000000003</v>
      </c>
      <c r="V134" s="74">
        <v>9</v>
      </c>
      <c r="W134" s="74"/>
      <c r="X134" s="72"/>
      <c r="Y134" s="72"/>
      <c r="Z134" s="72"/>
      <c r="AA134" s="2"/>
      <c r="AB134" s="71"/>
      <c r="AC134" s="71"/>
      <c r="AD134" s="71"/>
      <c r="AE134" s="71"/>
      <c r="AF134" s="71"/>
      <c r="AG134" s="71"/>
      <c r="AH134" s="71"/>
      <c r="AI134" s="71"/>
      <c r="AJ134" s="71"/>
      <c r="AK134" s="71"/>
      <c r="AL134" s="71"/>
      <c r="AM134" s="71"/>
      <c r="AN134" s="71"/>
      <c r="AO134" s="71"/>
      <c r="AP134" s="71"/>
      <c r="AQ134" s="71"/>
      <c r="AR134" s="2"/>
      <c r="AS134" s="2"/>
      <c r="AT134" s="2"/>
    </row>
    <row r="135" spans="1:46" s="3" customFormat="1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3"/>
      <c r="L135" s="72"/>
      <c r="M135" s="72"/>
      <c r="N135" s="72"/>
      <c r="O135" s="72"/>
      <c r="P135" s="72"/>
      <c r="Q135" s="72"/>
      <c r="R135" s="74"/>
      <c r="S135" s="72">
        <v>5568.2790000000005</v>
      </c>
      <c r="T135" s="72">
        <v>8255.2780000000002</v>
      </c>
      <c r="U135" s="72">
        <v>7.94</v>
      </c>
      <c r="V135" s="74">
        <v>10</v>
      </c>
      <c r="W135" s="74"/>
      <c r="X135" s="72"/>
      <c r="Y135" s="72"/>
      <c r="Z135" s="72"/>
      <c r="AA135" s="2"/>
      <c r="AB135" s="71"/>
      <c r="AC135" s="71"/>
      <c r="AD135" s="71"/>
      <c r="AE135" s="71"/>
      <c r="AF135" s="71"/>
      <c r="AG135" s="71"/>
      <c r="AH135" s="71"/>
      <c r="AI135" s="71"/>
      <c r="AJ135" s="71"/>
      <c r="AK135" s="71"/>
      <c r="AL135" s="71"/>
      <c r="AM135" s="71"/>
      <c r="AN135" s="71"/>
      <c r="AO135" s="71"/>
      <c r="AP135" s="71"/>
      <c r="AQ135" s="71"/>
      <c r="AR135" s="2"/>
      <c r="AS135" s="2"/>
      <c r="AT135" s="2"/>
    </row>
    <row r="136" spans="1:46" s="3" customFormat="1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3"/>
      <c r="L136" s="72"/>
      <c r="M136" s="72"/>
      <c r="N136" s="72"/>
      <c r="O136" s="72"/>
      <c r="P136" s="72"/>
      <c r="Q136" s="72"/>
      <c r="R136" s="74"/>
      <c r="S136" s="72">
        <v>5421.7240000000002</v>
      </c>
      <c r="T136" s="72">
        <v>8178.9790000000003</v>
      </c>
      <c r="U136" s="72">
        <v>8.0069999999999997</v>
      </c>
      <c r="V136" s="74">
        <v>11</v>
      </c>
      <c r="W136" s="74"/>
      <c r="X136" s="72"/>
      <c r="Y136" s="72"/>
      <c r="Z136" s="72"/>
      <c r="AA136" s="2"/>
      <c r="AB136" s="71"/>
      <c r="AC136" s="71"/>
      <c r="AD136" s="71"/>
      <c r="AE136" s="71"/>
      <c r="AF136" s="71"/>
      <c r="AG136" s="71"/>
      <c r="AH136" s="71"/>
      <c r="AI136" s="71"/>
      <c r="AJ136" s="71"/>
      <c r="AK136" s="71"/>
      <c r="AL136" s="71"/>
      <c r="AM136" s="71"/>
      <c r="AN136" s="71"/>
      <c r="AO136" s="71"/>
      <c r="AP136" s="71"/>
      <c r="AQ136" s="71"/>
      <c r="AR136" s="2"/>
      <c r="AS136" s="2"/>
      <c r="AT136" s="2"/>
    </row>
    <row r="137" spans="1:46" s="3" customFormat="1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3"/>
      <c r="L137" s="72"/>
      <c r="M137" s="72"/>
      <c r="N137" s="72"/>
      <c r="O137" s="72"/>
      <c r="P137" s="72"/>
      <c r="Q137" s="72"/>
      <c r="R137" s="74"/>
      <c r="S137" s="72">
        <v>5481.5870000000004</v>
      </c>
      <c r="T137" s="72">
        <v>8281.2630000000008</v>
      </c>
      <c r="U137" s="72">
        <v>7.5979999999999999</v>
      </c>
      <c r="V137" s="74">
        <v>12</v>
      </c>
      <c r="W137" s="74"/>
      <c r="X137" s="72"/>
      <c r="Y137" s="72"/>
      <c r="Z137" s="72"/>
      <c r="AA137" s="2"/>
      <c r="AB137" s="71"/>
      <c r="AC137" s="71"/>
      <c r="AD137" s="71"/>
      <c r="AE137" s="71"/>
      <c r="AF137" s="71"/>
      <c r="AG137" s="71"/>
      <c r="AH137" s="71"/>
      <c r="AI137" s="71"/>
      <c r="AJ137" s="71"/>
      <c r="AK137" s="71"/>
      <c r="AL137" s="71"/>
      <c r="AM137" s="71"/>
      <c r="AN137" s="71"/>
      <c r="AO137" s="71"/>
      <c r="AP137" s="71"/>
      <c r="AQ137" s="71"/>
      <c r="AR137" s="2"/>
      <c r="AS137" s="2"/>
      <c r="AT137" s="2"/>
    </row>
    <row r="138" spans="1:46" s="3" customFormat="1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3"/>
      <c r="L138" s="72"/>
      <c r="M138" s="72"/>
      <c r="N138" s="72"/>
      <c r="O138" s="72"/>
      <c r="P138" s="72"/>
      <c r="Q138" s="72"/>
      <c r="R138" s="74"/>
      <c r="S138" s="72">
        <v>5437.34</v>
      </c>
      <c r="T138" s="72">
        <v>8200.2720000000008</v>
      </c>
      <c r="U138" s="72">
        <v>7.62</v>
      </c>
      <c r="V138" s="74">
        <v>13</v>
      </c>
      <c r="W138" s="74"/>
      <c r="X138" s="72"/>
      <c r="Y138" s="72"/>
      <c r="Z138" s="72"/>
      <c r="AA138" s="2"/>
      <c r="AB138" s="71"/>
      <c r="AC138" s="71"/>
      <c r="AD138" s="71"/>
      <c r="AE138" s="71"/>
      <c r="AF138" s="71"/>
      <c r="AG138" s="71"/>
      <c r="AH138" s="71"/>
      <c r="AI138" s="71"/>
      <c r="AJ138" s="71"/>
      <c r="AK138" s="71"/>
      <c r="AL138" s="71"/>
      <c r="AM138" s="71"/>
      <c r="AN138" s="71"/>
      <c r="AO138" s="71"/>
      <c r="AP138" s="71"/>
      <c r="AQ138" s="71"/>
      <c r="AR138" s="2"/>
      <c r="AS138" s="2"/>
      <c r="AT138" s="2"/>
    </row>
    <row r="139" spans="1:46" s="3" customFormat="1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3"/>
      <c r="L139" s="72"/>
      <c r="M139" s="72"/>
      <c r="N139" s="72"/>
      <c r="O139" s="72"/>
      <c r="P139" s="72"/>
      <c r="Q139" s="72"/>
      <c r="R139" s="74"/>
      <c r="S139" s="72">
        <v>5323.0450000000001</v>
      </c>
      <c r="T139" s="72">
        <v>7979.7269999999999</v>
      </c>
      <c r="U139" s="72">
        <v>7.694</v>
      </c>
      <c r="V139" s="74">
        <v>14</v>
      </c>
      <c r="W139" s="74"/>
      <c r="X139" s="72"/>
      <c r="Y139" s="72"/>
      <c r="Z139" s="72"/>
      <c r="AA139" s="2"/>
      <c r="AB139" s="71"/>
      <c r="AC139" s="71"/>
      <c r="AD139" s="71"/>
      <c r="AE139" s="71"/>
      <c r="AF139" s="71"/>
      <c r="AG139" s="71"/>
      <c r="AH139" s="71"/>
      <c r="AI139" s="71"/>
      <c r="AJ139" s="71"/>
      <c r="AK139" s="71"/>
      <c r="AL139" s="71"/>
      <c r="AM139" s="71"/>
      <c r="AN139" s="71"/>
      <c r="AO139" s="71"/>
      <c r="AP139" s="71"/>
      <c r="AQ139" s="71"/>
      <c r="AR139" s="2"/>
      <c r="AS139" s="2"/>
      <c r="AT139" s="2"/>
    </row>
    <row r="140" spans="1:46" s="3" customFormat="1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3"/>
      <c r="L140" s="72"/>
      <c r="M140" s="72"/>
      <c r="N140" s="72"/>
      <c r="O140" s="72"/>
      <c r="P140" s="72"/>
      <c r="Q140" s="72"/>
      <c r="R140" s="74"/>
      <c r="S140" s="72">
        <v>5411.1229999999996</v>
      </c>
      <c r="T140" s="72">
        <v>8323.3709999999992</v>
      </c>
      <c r="U140" s="72">
        <v>7.665</v>
      </c>
      <c r="V140" s="74">
        <v>15</v>
      </c>
      <c r="W140" s="74"/>
      <c r="X140" s="72"/>
      <c r="Y140" s="72"/>
      <c r="Z140" s="72"/>
      <c r="AA140" s="2"/>
      <c r="AB140" s="71"/>
      <c r="AC140" s="71"/>
      <c r="AD140" s="71"/>
      <c r="AE140" s="71"/>
      <c r="AF140" s="71"/>
      <c r="AG140" s="71"/>
      <c r="AH140" s="71"/>
      <c r="AI140" s="71"/>
      <c r="AJ140" s="71"/>
      <c r="AK140" s="71"/>
      <c r="AL140" s="71"/>
      <c r="AM140" s="71"/>
      <c r="AN140" s="71"/>
      <c r="AO140" s="71"/>
      <c r="AP140" s="71"/>
      <c r="AQ140" s="71"/>
      <c r="AR140" s="2"/>
      <c r="AS140" s="2"/>
      <c r="AT140" s="2"/>
    </row>
    <row r="141" spans="1:46" s="3" customFormat="1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3"/>
      <c r="L141" s="72"/>
      <c r="M141" s="72"/>
      <c r="N141" s="72"/>
      <c r="O141" s="72"/>
      <c r="P141" s="72"/>
      <c r="Q141" s="72"/>
      <c r="R141" s="74"/>
      <c r="S141" s="72"/>
      <c r="T141" s="72"/>
      <c r="U141" s="72"/>
      <c r="V141" s="74"/>
      <c r="W141" s="74"/>
      <c r="X141" s="72"/>
      <c r="Y141" s="72"/>
      <c r="Z141" s="72"/>
      <c r="AA141" s="2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  <c r="AO141" s="71"/>
      <c r="AP141" s="71"/>
      <c r="AQ141" s="71"/>
      <c r="AR141" s="2"/>
      <c r="AS141" s="2"/>
      <c r="AT141" s="2"/>
    </row>
    <row r="142" spans="1:46" s="3" customFormat="1" x14ac:dyDescent="0.25">
      <c r="A142" s="72"/>
      <c r="B142" s="72"/>
      <c r="C142" s="72"/>
      <c r="D142" s="74"/>
      <c r="E142" s="72"/>
      <c r="F142" s="72"/>
      <c r="G142" s="72"/>
      <c r="H142" s="72"/>
      <c r="I142" s="72"/>
      <c r="J142" s="72"/>
      <c r="K142" s="73"/>
      <c r="L142" s="72"/>
      <c r="M142" s="72"/>
      <c r="N142" s="72"/>
      <c r="O142" s="72"/>
      <c r="P142" s="72"/>
      <c r="Q142" s="72"/>
      <c r="R142" s="74"/>
      <c r="S142" s="72">
        <v>5295.2</v>
      </c>
      <c r="T142" s="72">
        <v>8460.5120000000006</v>
      </c>
      <c r="U142" s="72">
        <v>7.7</v>
      </c>
      <c r="V142" s="74" t="s">
        <v>86</v>
      </c>
      <c r="W142" s="74" t="s">
        <v>73</v>
      </c>
      <c r="X142" s="72"/>
      <c r="Y142" s="72"/>
      <c r="Z142" s="72"/>
      <c r="AA142" s="2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  <c r="AO142" s="71"/>
      <c r="AP142" s="71"/>
      <c r="AQ142" s="71"/>
      <c r="AR142" s="2"/>
      <c r="AS142" s="2"/>
      <c r="AT142" s="2"/>
    </row>
    <row r="143" spans="1:46" s="3" customFormat="1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3"/>
      <c r="L143" s="72"/>
      <c r="M143" s="72"/>
      <c r="N143" s="72"/>
      <c r="O143" s="72"/>
      <c r="P143" s="72"/>
      <c r="Q143" s="72"/>
      <c r="R143" s="74"/>
      <c r="S143" s="72">
        <v>5336.8239999999996</v>
      </c>
      <c r="T143" s="72">
        <v>8264.6859999999997</v>
      </c>
      <c r="U143" s="72">
        <v>7.6970000000000001</v>
      </c>
      <c r="V143" s="74">
        <v>1</v>
      </c>
      <c r="W143" s="74"/>
      <c r="X143" s="72"/>
      <c r="Y143" s="72"/>
      <c r="Z143" s="72"/>
      <c r="AA143" s="2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  <c r="AO143" s="71"/>
      <c r="AP143" s="71"/>
      <c r="AQ143" s="71"/>
      <c r="AR143" s="2"/>
      <c r="AS143" s="2"/>
      <c r="AT143" s="2"/>
    </row>
    <row r="144" spans="1:46" s="3" customFormat="1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3"/>
      <c r="L144" s="72"/>
      <c r="M144" s="72"/>
      <c r="N144" s="72"/>
      <c r="O144" s="72"/>
      <c r="P144" s="72"/>
      <c r="Q144" s="72"/>
      <c r="R144" s="74"/>
      <c r="S144" s="72">
        <v>5219.3720000000003</v>
      </c>
      <c r="T144" s="72">
        <v>8359.8829999999998</v>
      </c>
      <c r="U144" s="72">
        <v>7.8330000000000002</v>
      </c>
      <c r="V144" s="74">
        <v>2</v>
      </c>
      <c r="W144" s="74"/>
      <c r="X144" s="72"/>
      <c r="Y144" s="72"/>
      <c r="Z144" s="72"/>
      <c r="AA144" s="2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  <c r="AO144" s="71"/>
      <c r="AP144" s="71"/>
      <c r="AQ144" s="71"/>
      <c r="AR144" s="2"/>
      <c r="AS144" s="2"/>
      <c r="AT144" s="2"/>
    </row>
    <row r="145" spans="1:46" s="3" customFormat="1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3"/>
      <c r="L145" s="72"/>
      <c r="M145" s="72"/>
      <c r="N145" s="72"/>
      <c r="O145" s="72"/>
      <c r="P145" s="72"/>
      <c r="Q145" s="72"/>
      <c r="R145" s="74"/>
      <c r="S145" s="72">
        <v>5333.2460000000001</v>
      </c>
      <c r="T145" s="72">
        <v>8318.5190000000002</v>
      </c>
      <c r="U145" s="72">
        <v>7.7489999999999997</v>
      </c>
      <c r="V145" s="74">
        <v>3</v>
      </c>
      <c r="W145" s="74"/>
      <c r="X145" s="72"/>
      <c r="Y145" s="72"/>
      <c r="Z145" s="72"/>
      <c r="AA145" s="2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  <c r="AO145" s="71"/>
      <c r="AP145" s="71"/>
      <c r="AQ145" s="71"/>
      <c r="AR145" s="2"/>
      <c r="AS145" s="2"/>
      <c r="AT145" s="2"/>
    </row>
    <row r="146" spans="1:46" s="3" customFormat="1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3"/>
      <c r="L146" s="72"/>
      <c r="M146" s="72"/>
      <c r="N146" s="72"/>
      <c r="O146" s="72"/>
      <c r="P146" s="72"/>
      <c r="Q146" s="72"/>
      <c r="R146" s="74"/>
      <c r="S146" s="72">
        <v>5257.5209999999997</v>
      </c>
      <c r="T146" s="72">
        <v>8434.1270000000004</v>
      </c>
      <c r="U146" s="72">
        <v>7.532</v>
      </c>
      <c r="V146" s="74">
        <v>4</v>
      </c>
      <c r="W146" s="74"/>
      <c r="X146" s="72"/>
      <c r="Y146" s="72"/>
      <c r="Z146" s="72"/>
      <c r="AA146" s="2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  <c r="AO146" s="71"/>
      <c r="AP146" s="71"/>
      <c r="AQ146" s="71"/>
      <c r="AR146" s="2"/>
      <c r="AS146" s="2"/>
      <c r="AT146" s="2"/>
    </row>
    <row r="147" spans="1:46" s="3" customFormat="1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3"/>
      <c r="L147" s="72"/>
      <c r="M147" s="72"/>
      <c r="N147" s="72"/>
      <c r="O147" s="72"/>
      <c r="P147" s="72"/>
      <c r="Q147" s="72"/>
      <c r="R147" s="74"/>
      <c r="S147" s="72">
        <v>5399.5420000000004</v>
      </c>
      <c r="T147" s="72">
        <v>8344.6270000000004</v>
      </c>
      <c r="U147" s="72">
        <v>8.68</v>
      </c>
      <c r="V147" s="74">
        <v>5</v>
      </c>
      <c r="W147" s="74"/>
      <c r="X147" s="72"/>
      <c r="Y147" s="72"/>
      <c r="Z147" s="72" t="s">
        <v>87</v>
      </c>
      <c r="AA147" s="2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  <c r="AO147" s="71"/>
      <c r="AP147" s="71"/>
      <c r="AQ147" s="71"/>
      <c r="AR147" s="2"/>
      <c r="AS147" s="2"/>
      <c r="AT147" s="2"/>
    </row>
    <row r="148" spans="1:46" s="3" customFormat="1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3"/>
      <c r="L148" s="72"/>
      <c r="M148" s="72"/>
      <c r="N148" s="72"/>
      <c r="O148" s="72"/>
      <c r="P148" s="72"/>
      <c r="Q148" s="72"/>
      <c r="R148" s="74"/>
      <c r="S148" s="72">
        <v>5448.6329999999998</v>
      </c>
      <c r="T148" s="72">
        <v>8368.3179999999993</v>
      </c>
      <c r="U148" s="72">
        <v>7.6109999999999998</v>
      </c>
      <c r="V148" s="74">
        <v>6</v>
      </c>
      <c r="W148" s="74"/>
      <c r="X148" s="72"/>
      <c r="Y148" s="72"/>
      <c r="Z148" s="72"/>
      <c r="AA148" s="2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  <c r="AO148" s="71"/>
      <c r="AP148" s="71"/>
      <c r="AQ148" s="71"/>
      <c r="AR148" s="2"/>
      <c r="AS148" s="2"/>
      <c r="AT148" s="2"/>
    </row>
    <row r="149" spans="1:46" s="3" customFormat="1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3"/>
      <c r="L149" s="72"/>
      <c r="M149" s="72"/>
      <c r="N149" s="72"/>
      <c r="O149" s="72"/>
      <c r="P149" s="72"/>
      <c r="Q149" s="72"/>
      <c r="R149" s="74"/>
      <c r="S149" s="72">
        <v>5228.7060000000001</v>
      </c>
      <c r="T149" s="72">
        <v>8468.6740000000009</v>
      </c>
      <c r="U149" s="72">
        <v>7.5</v>
      </c>
      <c r="V149" s="74">
        <v>7</v>
      </c>
      <c r="W149" s="74"/>
      <c r="X149" s="72"/>
      <c r="Y149" s="72"/>
      <c r="Z149" s="72"/>
      <c r="AA149" s="2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  <c r="AO149" s="71"/>
      <c r="AP149" s="71"/>
      <c r="AQ149" s="71"/>
      <c r="AR149" s="2"/>
      <c r="AS149" s="2"/>
      <c r="AT149" s="2"/>
    </row>
    <row r="150" spans="1:46" s="3" customFormat="1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3"/>
      <c r="L150" s="72"/>
      <c r="M150" s="72"/>
      <c r="N150" s="72"/>
      <c r="O150" s="72"/>
      <c r="P150" s="72"/>
      <c r="Q150" s="72"/>
      <c r="R150" s="74"/>
      <c r="S150" s="72">
        <v>5492.7120000000004</v>
      </c>
      <c r="T150" s="72">
        <v>8439.7510000000002</v>
      </c>
      <c r="U150" s="72">
        <v>7.99</v>
      </c>
      <c r="V150" s="74">
        <v>8</v>
      </c>
      <c r="W150" s="74" t="s">
        <v>73</v>
      </c>
      <c r="X150" s="72"/>
      <c r="Y150" s="72"/>
      <c r="Z150" s="72"/>
      <c r="AA150" s="2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  <c r="AO150" s="71"/>
      <c r="AP150" s="71"/>
      <c r="AQ150" s="71"/>
      <c r="AR150" s="2"/>
      <c r="AS150" s="2"/>
      <c r="AT150" s="2"/>
    </row>
    <row r="151" spans="1:46" s="3" customFormat="1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3"/>
      <c r="L151" s="72"/>
      <c r="M151" s="72"/>
      <c r="N151" s="72"/>
      <c r="O151" s="72"/>
      <c r="P151" s="72"/>
      <c r="Q151" s="72"/>
      <c r="R151" s="74"/>
      <c r="S151" s="72">
        <v>5139.7960000000003</v>
      </c>
      <c r="T151" s="72">
        <v>8474.1059999999998</v>
      </c>
      <c r="U151" s="72">
        <v>7.6180000000000003</v>
      </c>
      <c r="V151" s="74">
        <v>9</v>
      </c>
      <c r="W151" s="74"/>
      <c r="X151" s="72"/>
      <c r="Y151" s="72"/>
      <c r="Z151" s="72"/>
      <c r="AA151" s="2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  <c r="AO151" s="71"/>
      <c r="AP151" s="71"/>
      <c r="AQ151" s="71"/>
      <c r="AR151" s="2"/>
      <c r="AS151" s="2"/>
      <c r="AT151" s="2"/>
    </row>
    <row r="152" spans="1:46" s="3" customFormat="1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3"/>
      <c r="L152" s="72"/>
      <c r="M152" s="72"/>
      <c r="N152" s="72"/>
      <c r="O152" s="72"/>
      <c r="P152" s="72"/>
      <c r="Q152" s="72"/>
      <c r="R152" s="74"/>
      <c r="S152" s="72">
        <v>5273.3940000000002</v>
      </c>
      <c r="T152" s="72">
        <v>8211.2630000000008</v>
      </c>
      <c r="U152" s="72">
        <v>7.7990000000000004</v>
      </c>
      <c r="V152" s="74">
        <v>10</v>
      </c>
      <c r="W152" s="74"/>
      <c r="X152" s="72"/>
      <c r="Y152" s="72"/>
      <c r="Z152" s="72"/>
      <c r="AA152" s="2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  <c r="AO152" s="71"/>
      <c r="AP152" s="71"/>
      <c r="AQ152" s="71"/>
      <c r="AR152" s="2"/>
      <c r="AS152" s="2"/>
      <c r="AT152" s="2"/>
    </row>
    <row r="153" spans="1:46" s="3" customFormat="1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3"/>
      <c r="L153" s="72"/>
      <c r="M153" s="72"/>
      <c r="N153" s="72"/>
      <c r="O153" s="72"/>
      <c r="P153" s="72"/>
      <c r="Q153" s="72"/>
      <c r="R153" s="74"/>
      <c r="S153" s="72">
        <v>5214.451</v>
      </c>
      <c r="T153" s="72">
        <v>8308.6440000000002</v>
      </c>
      <c r="U153" s="72">
        <v>7.7130000000000001</v>
      </c>
      <c r="V153" s="74">
        <v>11</v>
      </c>
      <c r="W153" s="74"/>
      <c r="X153" s="72"/>
      <c r="Y153" s="72"/>
      <c r="Z153" s="72"/>
      <c r="AA153" s="2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  <c r="AO153" s="71"/>
      <c r="AP153" s="71"/>
      <c r="AQ153" s="71"/>
      <c r="AR153" s="2"/>
      <c r="AS153" s="2"/>
      <c r="AT153" s="2"/>
    </row>
    <row r="154" spans="1:46" s="3" customFormat="1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3"/>
      <c r="L154" s="72"/>
      <c r="M154" s="72"/>
      <c r="N154" s="72"/>
      <c r="O154" s="72"/>
      <c r="P154" s="72"/>
      <c r="Q154" s="72"/>
      <c r="R154" s="74"/>
      <c r="S154" s="72">
        <v>5130.0330000000004</v>
      </c>
      <c r="T154" s="72">
        <v>8233.1769999999997</v>
      </c>
      <c r="U154" s="72">
        <v>7.5910000000000002</v>
      </c>
      <c r="V154" s="74">
        <v>12</v>
      </c>
      <c r="W154" s="74"/>
      <c r="X154" s="72"/>
      <c r="Y154" s="72"/>
      <c r="Z154" s="72"/>
      <c r="AA154" s="2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/>
      <c r="AL154" s="71"/>
      <c r="AM154" s="71"/>
      <c r="AN154" s="71"/>
      <c r="AO154" s="71"/>
      <c r="AP154" s="71"/>
      <c r="AQ154" s="71"/>
      <c r="AR154" s="2"/>
      <c r="AS154" s="2"/>
      <c r="AT154" s="2"/>
    </row>
    <row r="155" spans="1:46" s="3" customFormat="1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3"/>
      <c r="L155" s="72"/>
      <c r="M155" s="72"/>
      <c r="N155" s="72"/>
      <c r="O155" s="72"/>
      <c r="P155" s="72"/>
      <c r="Q155" s="72"/>
      <c r="R155" s="74"/>
      <c r="S155" s="72">
        <v>5135.8530000000001</v>
      </c>
      <c r="T155" s="72">
        <v>8357.0290000000005</v>
      </c>
      <c r="U155" s="72">
        <v>7.7210000000000001</v>
      </c>
      <c r="V155" s="74">
        <v>13</v>
      </c>
      <c r="W155" s="74"/>
      <c r="X155" s="72"/>
      <c r="Y155" s="72"/>
      <c r="Z155" s="72"/>
      <c r="AA155" s="2"/>
      <c r="AB155" s="71"/>
      <c r="AC155" s="71"/>
      <c r="AD155" s="71"/>
      <c r="AE155" s="71"/>
      <c r="AF155" s="71"/>
      <c r="AG155" s="71"/>
      <c r="AH155" s="71"/>
      <c r="AI155" s="71"/>
      <c r="AJ155" s="71"/>
      <c r="AK155" s="71"/>
      <c r="AL155" s="71"/>
      <c r="AM155" s="71"/>
      <c r="AN155" s="71"/>
      <c r="AO155" s="71"/>
      <c r="AP155" s="71"/>
      <c r="AQ155" s="71"/>
      <c r="AR155" s="2"/>
      <c r="AS155" s="2"/>
      <c r="AT155" s="2"/>
    </row>
    <row r="156" spans="1:46" s="3" customFormat="1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3"/>
      <c r="L156" s="72"/>
      <c r="M156" s="72"/>
      <c r="N156" s="72"/>
      <c r="O156" s="72"/>
      <c r="P156" s="72"/>
      <c r="Q156" s="72"/>
      <c r="R156" s="74"/>
      <c r="S156" s="72">
        <v>5083.1149999999998</v>
      </c>
      <c r="T156" s="72">
        <v>8391.6</v>
      </c>
      <c r="U156" s="72">
        <v>7.774</v>
      </c>
      <c r="V156" s="74">
        <v>14</v>
      </c>
      <c r="W156" s="74"/>
      <c r="X156" s="72"/>
      <c r="Y156" s="72"/>
      <c r="Z156" s="72"/>
      <c r="AA156" s="2"/>
      <c r="AB156" s="71"/>
      <c r="AC156" s="71"/>
      <c r="AD156" s="71"/>
      <c r="AE156" s="71"/>
      <c r="AF156" s="71"/>
      <c r="AG156" s="71"/>
      <c r="AH156" s="71"/>
      <c r="AI156" s="71"/>
      <c r="AJ156" s="71"/>
      <c r="AK156" s="71"/>
      <c r="AL156" s="71"/>
      <c r="AM156" s="71"/>
      <c r="AN156" s="71"/>
      <c r="AO156" s="71"/>
      <c r="AP156" s="71"/>
      <c r="AQ156" s="71"/>
      <c r="AR156" s="2"/>
      <c r="AS156" s="2"/>
      <c r="AT156" s="2"/>
    </row>
    <row r="157" spans="1:46" s="3" customFormat="1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3"/>
      <c r="L157" s="72"/>
      <c r="M157" s="72"/>
      <c r="N157" s="72"/>
      <c r="O157" s="72"/>
      <c r="P157" s="72"/>
      <c r="Q157" s="72"/>
      <c r="R157" s="74"/>
      <c r="S157" s="72">
        <v>5078.0020000000004</v>
      </c>
      <c r="T157" s="72">
        <v>8460.51</v>
      </c>
      <c r="U157" s="72">
        <v>7.5309999999999997</v>
      </c>
      <c r="V157" s="74">
        <v>15</v>
      </c>
      <c r="W157" s="74"/>
      <c r="X157" s="72"/>
      <c r="Y157" s="72"/>
      <c r="Z157" s="72"/>
      <c r="AA157" s="2"/>
      <c r="AB157" s="71"/>
      <c r="AC157" s="71"/>
      <c r="AD157" s="71"/>
      <c r="AE157" s="71"/>
      <c r="AF157" s="71"/>
      <c r="AG157" s="71"/>
      <c r="AH157" s="71"/>
      <c r="AI157" s="71"/>
      <c r="AJ157" s="71"/>
      <c r="AK157" s="71"/>
      <c r="AL157" s="71"/>
      <c r="AM157" s="71"/>
      <c r="AN157" s="71"/>
      <c r="AO157" s="71"/>
      <c r="AP157" s="71"/>
      <c r="AQ157" s="71"/>
      <c r="AR157" s="2"/>
      <c r="AS157" s="2"/>
      <c r="AT157" s="2"/>
    </row>
    <row r="158" spans="1:46" s="3" customFormat="1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3"/>
      <c r="L158" s="72"/>
      <c r="M158" s="72"/>
      <c r="N158" s="72"/>
      <c r="O158" s="72"/>
      <c r="P158" s="72"/>
      <c r="Q158" s="72"/>
      <c r="R158" s="74"/>
      <c r="S158" s="72">
        <v>5202.9669999999996</v>
      </c>
      <c r="T158" s="72">
        <v>8499.66</v>
      </c>
      <c r="U158" s="72">
        <v>7.6680000000000001</v>
      </c>
      <c r="V158" s="74">
        <v>16</v>
      </c>
      <c r="W158" s="74" t="s">
        <v>73</v>
      </c>
      <c r="X158" s="72"/>
      <c r="Y158" s="72"/>
      <c r="Z158" s="72"/>
      <c r="AA158" s="2"/>
      <c r="AB158" s="71"/>
      <c r="AC158" s="71"/>
      <c r="AD158" s="71"/>
      <c r="AE158" s="71"/>
      <c r="AF158" s="71"/>
      <c r="AG158" s="71"/>
      <c r="AH158" s="71"/>
      <c r="AI158" s="71"/>
      <c r="AJ158" s="71"/>
      <c r="AK158" s="71"/>
      <c r="AL158" s="71"/>
      <c r="AM158" s="71"/>
      <c r="AN158" s="71"/>
      <c r="AO158" s="71"/>
      <c r="AP158" s="71"/>
      <c r="AQ158" s="71"/>
      <c r="AR158" s="2"/>
      <c r="AS158" s="2"/>
      <c r="AT158" s="2"/>
    </row>
    <row r="159" spans="1:46" s="3" customFormat="1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3"/>
      <c r="L159" s="72"/>
      <c r="M159" s="72"/>
      <c r="N159" s="72"/>
      <c r="O159" s="72"/>
      <c r="P159" s="72"/>
      <c r="Q159" s="72"/>
      <c r="R159" s="74"/>
      <c r="S159" s="72">
        <v>5136.4530000000004</v>
      </c>
      <c r="T159" s="72">
        <v>8555.8950000000004</v>
      </c>
      <c r="U159" s="72">
        <v>7.8940000000000001</v>
      </c>
      <c r="V159" s="74">
        <v>17</v>
      </c>
      <c r="W159" s="74"/>
      <c r="X159" s="72"/>
      <c r="Y159" s="72"/>
      <c r="Z159" s="72"/>
      <c r="AA159" s="2"/>
      <c r="AB159" s="71"/>
      <c r="AC159" s="71"/>
      <c r="AD159" s="71"/>
      <c r="AE159" s="71"/>
      <c r="AF159" s="71"/>
      <c r="AG159" s="71"/>
      <c r="AH159" s="71"/>
      <c r="AI159" s="71"/>
      <c r="AJ159" s="71"/>
      <c r="AK159" s="71"/>
      <c r="AL159" s="71"/>
      <c r="AM159" s="71"/>
      <c r="AN159" s="71"/>
      <c r="AO159" s="71"/>
      <c r="AP159" s="71"/>
      <c r="AQ159" s="71"/>
      <c r="AR159" s="2"/>
      <c r="AS159" s="2"/>
      <c r="AT159" s="2"/>
    </row>
    <row r="160" spans="1:46" s="3" customFormat="1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3"/>
      <c r="L160" s="72"/>
      <c r="M160" s="72"/>
      <c r="N160" s="72"/>
      <c r="O160" s="72"/>
      <c r="P160" s="72"/>
      <c r="Q160" s="72"/>
      <c r="R160" s="74"/>
      <c r="S160" s="72">
        <v>5184.8909999999996</v>
      </c>
      <c r="T160" s="72">
        <v>8570.8189999999995</v>
      </c>
      <c r="U160" s="72">
        <v>8.0719999999999992</v>
      </c>
      <c r="V160" s="74">
        <v>18</v>
      </c>
      <c r="W160" s="74"/>
      <c r="X160" s="72"/>
      <c r="Y160" s="72"/>
      <c r="Z160" s="72"/>
      <c r="AA160" s="2"/>
      <c r="AB160" s="71"/>
      <c r="AC160" s="71"/>
      <c r="AD160" s="71"/>
      <c r="AE160" s="71"/>
      <c r="AF160" s="71"/>
      <c r="AG160" s="71"/>
      <c r="AH160" s="71"/>
      <c r="AI160" s="71"/>
      <c r="AJ160" s="71"/>
      <c r="AK160" s="71"/>
      <c r="AL160" s="71"/>
      <c r="AM160" s="71"/>
      <c r="AN160" s="71"/>
      <c r="AO160" s="71"/>
      <c r="AP160" s="71"/>
      <c r="AQ160" s="71"/>
      <c r="AR160" s="2"/>
      <c r="AS160" s="2"/>
      <c r="AT160" s="2"/>
    </row>
    <row r="161" spans="1:46" s="3" customFormat="1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3"/>
      <c r="L161" s="72"/>
      <c r="M161" s="72"/>
      <c r="N161" s="72"/>
      <c r="O161" s="72"/>
      <c r="P161" s="72"/>
      <c r="Q161" s="72"/>
      <c r="R161" s="74"/>
      <c r="S161" s="72">
        <v>5224.1840000000002</v>
      </c>
      <c r="T161" s="72">
        <v>8606.1149999999998</v>
      </c>
      <c r="U161" s="72">
        <v>8.1159999999999997</v>
      </c>
      <c r="V161" s="74">
        <v>19</v>
      </c>
      <c r="W161" s="74"/>
      <c r="X161" s="72"/>
      <c r="Y161" s="72"/>
      <c r="Z161" s="72"/>
      <c r="AA161" s="2"/>
      <c r="AB161" s="71"/>
      <c r="AC161" s="71"/>
      <c r="AD161" s="71"/>
      <c r="AE161" s="71"/>
      <c r="AF161" s="71"/>
      <c r="AG161" s="71"/>
      <c r="AH161" s="71"/>
      <c r="AI161" s="71"/>
      <c r="AJ161" s="71"/>
      <c r="AK161" s="71"/>
      <c r="AL161" s="71"/>
      <c r="AM161" s="71"/>
      <c r="AN161" s="71"/>
      <c r="AO161" s="71"/>
      <c r="AP161" s="71"/>
      <c r="AQ161" s="71"/>
      <c r="AR161" s="2"/>
      <c r="AS161" s="2"/>
      <c r="AT161" s="2"/>
    </row>
    <row r="162" spans="1:46" s="3" customFormat="1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3"/>
      <c r="L162" s="72"/>
      <c r="M162" s="72"/>
      <c r="N162" s="72"/>
      <c r="O162" s="72"/>
      <c r="P162" s="72"/>
      <c r="Q162" s="72"/>
      <c r="R162" s="74"/>
      <c r="S162" s="72">
        <v>5360.2389999999996</v>
      </c>
      <c r="T162" s="72">
        <v>8532.7430000000004</v>
      </c>
      <c r="U162" s="72">
        <v>7.8239999999999998</v>
      </c>
      <c r="V162" s="74">
        <v>20</v>
      </c>
      <c r="W162" s="74"/>
      <c r="X162" s="72"/>
      <c r="Y162" s="72"/>
      <c r="Z162" s="72"/>
      <c r="AA162" s="2"/>
      <c r="AB162" s="71"/>
      <c r="AC162" s="71"/>
      <c r="AD162" s="71"/>
      <c r="AE162" s="71"/>
      <c r="AF162" s="71"/>
      <c r="AG162" s="71"/>
      <c r="AH162" s="71"/>
      <c r="AI162" s="71"/>
      <c r="AJ162" s="71"/>
      <c r="AK162" s="71"/>
      <c r="AL162" s="71"/>
      <c r="AM162" s="71"/>
      <c r="AN162" s="71"/>
      <c r="AO162" s="71"/>
      <c r="AP162" s="71"/>
      <c r="AQ162" s="71"/>
      <c r="AR162" s="2"/>
      <c r="AS162" s="2"/>
      <c r="AT162" s="2"/>
    </row>
    <row r="163" spans="1:46" s="3" customFormat="1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3"/>
      <c r="L163" s="72"/>
      <c r="M163" s="72"/>
      <c r="N163" s="72"/>
      <c r="O163" s="72"/>
      <c r="P163" s="72"/>
      <c r="Q163" s="72"/>
      <c r="R163" s="74"/>
      <c r="S163" s="72"/>
      <c r="T163" s="72"/>
      <c r="U163" s="72"/>
      <c r="V163" s="74"/>
      <c r="W163" s="74"/>
      <c r="X163" s="72"/>
      <c r="Y163" s="72"/>
      <c r="Z163" s="72"/>
      <c r="AA163" s="2"/>
      <c r="AB163" s="71"/>
      <c r="AC163" s="71"/>
      <c r="AD163" s="71"/>
      <c r="AE163" s="71"/>
      <c r="AF163" s="71"/>
      <c r="AG163" s="71"/>
      <c r="AH163" s="71"/>
      <c r="AI163" s="71"/>
      <c r="AJ163" s="71"/>
      <c r="AK163" s="71"/>
      <c r="AL163" s="71"/>
      <c r="AM163" s="71"/>
      <c r="AN163" s="71"/>
      <c r="AO163" s="71"/>
      <c r="AP163" s="71"/>
      <c r="AQ163" s="71"/>
      <c r="AR163" s="2"/>
      <c r="AS163" s="2"/>
      <c r="AT163" s="2"/>
    </row>
    <row r="164" spans="1:46" s="3" customFormat="1" x14ac:dyDescent="0.25">
      <c r="A164" s="72"/>
      <c r="B164" s="72"/>
      <c r="C164" s="72"/>
      <c r="D164" s="74"/>
      <c r="E164" s="72"/>
      <c r="F164" s="72"/>
      <c r="G164" s="72"/>
      <c r="H164" s="72"/>
      <c r="I164" s="72"/>
      <c r="J164" s="72"/>
      <c r="K164" s="73"/>
      <c r="L164" s="72"/>
      <c r="M164" s="72"/>
      <c r="N164" s="72"/>
      <c r="O164" s="72"/>
      <c r="P164" s="72"/>
      <c r="Q164" s="72"/>
      <c r="R164" s="74"/>
      <c r="S164" s="72">
        <v>5492.7120000000004</v>
      </c>
      <c r="T164" s="72">
        <v>8439.7510000000002</v>
      </c>
      <c r="U164" s="72">
        <v>7.99</v>
      </c>
      <c r="V164" s="74" t="s">
        <v>88</v>
      </c>
      <c r="W164" s="74" t="s">
        <v>73</v>
      </c>
      <c r="X164" s="72"/>
      <c r="Y164" s="72"/>
      <c r="Z164" s="72"/>
      <c r="AA164" s="2"/>
      <c r="AB164" s="71"/>
      <c r="AC164" s="71"/>
      <c r="AD164" s="71"/>
      <c r="AE164" s="71"/>
      <c r="AF164" s="71"/>
      <c r="AG164" s="71"/>
      <c r="AH164" s="71"/>
      <c r="AI164" s="71"/>
      <c r="AJ164" s="71"/>
      <c r="AK164" s="71"/>
      <c r="AL164" s="71"/>
      <c r="AM164" s="71"/>
      <c r="AN164" s="71"/>
      <c r="AO164" s="71"/>
      <c r="AP164" s="71"/>
      <c r="AQ164" s="71"/>
      <c r="AR164" s="2"/>
      <c r="AS164" s="2"/>
      <c r="AT164" s="2"/>
    </row>
    <row r="165" spans="1:46" s="3" customFormat="1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3"/>
      <c r="L165" s="72"/>
      <c r="M165" s="72"/>
      <c r="N165" s="72"/>
      <c r="O165" s="72"/>
      <c r="P165" s="72"/>
      <c r="Q165" s="72"/>
      <c r="R165" s="74"/>
      <c r="S165" s="72">
        <v>5732.1270000000004</v>
      </c>
      <c r="T165" s="72">
        <v>8423.009</v>
      </c>
      <c r="U165" s="72">
        <v>8.2680000000000007</v>
      </c>
      <c r="V165" s="74" t="s">
        <v>89</v>
      </c>
      <c r="W165" s="74" t="s">
        <v>73</v>
      </c>
      <c r="X165" s="72"/>
      <c r="Y165" s="72"/>
      <c r="Z165" s="72"/>
      <c r="AA165" s="2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/>
      <c r="AL165" s="71"/>
      <c r="AM165" s="71"/>
      <c r="AN165" s="71"/>
      <c r="AO165" s="71"/>
      <c r="AP165" s="71"/>
      <c r="AQ165" s="71"/>
      <c r="AR165" s="2"/>
      <c r="AS165" s="2"/>
      <c r="AT165" s="2"/>
    </row>
    <row r="166" spans="1:46" s="3" customFormat="1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3"/>
      <c r="L166" s="72"/>
      <c r="M166" s="72"/>
      <c r="N166" s="72"/>
      <c r="O166" s="72"/>
      <c r="P166" s="72"/>
      <c r="Q166" s="72"/>
      <c r="R166" s="74"/>
      <c r="S166" s="72"/>
      <c r="T166" s="72"/>
      <c r="U166" s="72"/>
      <c r="V166" s="74"/>
      <c r="W166" s="74"/>
      <c r="X166" s="72"/>
      <c r="Y166" s="72"/>
      <c r="Z166" s="72"/>
      <c r="AA166" s="2"/>
      <c r="AB166" s="71"/>
      <c r="AC166" s="71"/>
      <c r="AD166" s="71"/>
      <c r="AE166" s="71"/>
      <c r="AF166" s="71"/>
      <c r="AG166" s="71"/>
      <c r="AH166" s="71"/>
      <c r="AI166" s="71"/>
      <c r="AJ166" s="71"/>
      <c r="AK166" s="71"/>
      <c r="AL166" s="71"/>
      <c r="AM166" s="71"/>
      <c r="AN166" s="71"/>
      <c r="AO166" s="71"/>
      <c r="AP166" s="71"/>
      <c r="AQ166" s="71"/>
      <c r="AR166" s="2"/>
      <c r="AS166" s="2"/>
      <c r="AT166" s="2"/>
    </row>
    <row r="167" spans="1:46" s="3" customFormat="1" x14ac:dyDescent="0.25">
      <c r="A167" s="72"/>
      <c r="B167" s="72"/>
      <c r="C167" s="72"/>
      <c r="D167" s="74"/>
      <c r="E167" s="72"/>
      <c r="F167" s="72"/>
      <c r="G167" s="72"/>
      <c r="H167" s="72"/>
      <c r="I167" s="72"/>
      <c r="J167" s="72"/>
      <c r="K167" s="73"/>
      <c r="L167" s="72"/>
      <c r="M167" s="72"/>
      <c r="N167" s="72"/>
      <c r="O167" s="72"/>
      <c r="P167" s="72"/>
      <c r="Q167" s="72"/>
      <c r="R167" s="74"/>
      <c r="S167" s="72">
        <v>5732.1270000000004</v>
      </c>
      <c r="T167" s="72">
        <v>8423.009</v>
      </c>
      <c r="U167" s="72">
        <v>8.2680000000000007</v>
      </c>
      <c r="V167" s="74" t="s">
        <v>89</v>
      </c>
      <c r="W167" s="74" t="s">
        <v>73</v>
      </c>
      <c r="X167" s="72"/>
      <c r="Y167" s="72"/>
      <c r="Z167" s="72"/>
      <c r="AA167" s="2"/>
      <c r="AB167" s="71"/>
      <c r="AC167" s="71"/>
      <c r="AD167" s="71"/>
      <c r="AE167" s="71"/>
      <c r="AF167" s="71"/>
      <c r="AG167" s="71"/>
      <c r="AH167" s="71"/>
      <c r="AI167" s="71"/>
      <c r="AJ167" s="71"/>
      <c r="AK167" s="71"/>
      <c r="AL167" s="71"/>
      <c r="AM167" s="71"/>
      <c r="AN167" s="71"/>
      <c r="AO167" s="71"/>
      <c r="AP167" s="71"/>
      <c r="AQ167" s="71"/>
      <c r="AR167" s="2"/>
      <c r="AS167" s="2"/>
      <c r="AT167" s="2"/>
    </row>
    <row r="168" spans="1:46" s="3" customFormat="1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3"/>
      <c r="L168" s="72"/>
      <c r="M168" s="72"/>
      <c r="N168" s="72"/>
      <c r="O168" s="72"/>
      <c r="P168" s="72"/>
      <c r="Q168" s="72"/>
      <c r="R168" s="74"/>
      <c r="S168" s="72">
        <v>5835.8410000000003</v>
      </c>
      <c r="T168" s="72">
        <v>8498.3610000000008</v>
      </c>
      <c r="U168" s="72">
        <v>9</v>
      </c>
      <c r="V168" s="74">
        <v>10</v>
      </c>
      <c r="W168" s="74" t="s">
        <v>73</v>
      </c>
      <c r="X168" s="72"/>
      <c r="Y168" s="72"/>
      <c r="Z168" s="72" t="s">
        <v>78</v>
      </c>
      <c r="AA168" s="2"/>
      <c r="AB168" s="71"/>
      <c r="AC168" s="71"/>
      <c r="AD168" s="71"/>
      <c r="AE168" s="71"/>
      <c r="AF168" s="71"/>
      <c r="AG168" s="71"/>
      <c r="AH168" s="71"/>
      <c r="AI168" s="71"/>
      <c r="AJ168" s="71"/>
      <c r="AK168" s="71"/>
      <c r="AL168" s="71"/>
      <c r="AM168" s="71"/>
      <c r="AN168" s="71"/>
      <c r="AO168" s="71"/>
      <c r="AP168" s="71"/>
      <c r="AQ168" s="71"/>
      <c r="AR168" s="2"/>
      <c r="AS168" s="2"/>
      <c r="AT168" s="2"/>
    </row>
    <row r="169" spans="1:46" s="3" customFormat="1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3"/>
      <c r="L169" s="72"/>
      <c r="M169" s="72"/>
      <c r="N169" s="72"/>
      <c r="O169" s="72"/>
      <c r="P169" s="72"/>
      <c r="Q169" s="72"/>
      <c r="R169" s="74"/>
      <c r="S169" s="72">
        <v>5525.5680000000002</v>
      </c>
      <c r="T169" s="72">
        <v>8486.1610000000001</v>
      </c>
      <c r="U169" s="72">
        <v>7.8140000000000001</v>
      </c>
      <c r="V169" s="74">
        <v>1</v>
      </c>
      <c r="W169" s="74"/>
      <c r="X169" s="72"/>
      <c r="Y169" s="72"/>
      <c r="Z169" s="72"/>
      <c r="AA169" s="2"/>
      <c r="AB169" s="71"/>
      <c r="AC169" s="71"/>
      <c r="AD169" s="71"/>
      <c r="AE169" s="71"/>
      <c r="AF169" s="71"/>
      <c r="AG169" s="71"/>
      <c r="AH169" s="71"/>
      <c r="AI169" s="71"/>
      <c r="AJ169" s="71"/>
      <c r="AK169" s="71"/>
      <c r="AL169" s="71"/>
      <c r="AM169" s="71"/>
      <c r="AN169" s="71"/>
      <c r="AO169" s="71"/>
      <c r="AP169" s="71"/>
      <c r="AQ169" s="71"/>
      <c r="AR169" s="2"/>
      <c r="AS169" s="2"/>
      <c r="AT169" s="2"/>
    </row>
    <row r="170" spans="1:46" s="3" customFormat="1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3"/>
      <c r="L170" s="72"/>
      <c r="M170" s="72"/>
      <c r="N170" s="72"/>
      <c r="O170" s="72"/>
      <c r="P170" s="72"/>
      <c r="Q170" s="72"/>
      <c r="R170" s="74"/>
      <c r="S170" s="72">
        <v>5519.2240000000002</v>
      </c>
      <c r="T170" s="72">
        <v>8393.0869999999995</v>
      </c>
      <c r="U170" s="72">
        <v>7.7919999999999998</v>
      </c>
      <c r="V170" s="74">
        <v>2</v>
      </c>
      <c r="W170" s="74"/>
      <c r="X170" s="72"/>
      <c r="Y170" s="72"/>
      <c r="Z170" s="72"/>
      <c r="AA170" s="2"/>
      <c r="AB170" s="71"/>
      <c r="AC170" s="71"/>
      <c r="AD170" s="71"/>
      <c r="AE170" s="71"/>
      <c r="AF170" s="71"/>
      <c r="AG170" s="71"/>
      <c r="AH170" s="71"/>
      <c r="AI170" s="71"/>
      <c r="AJ170" s="71"/>
      <c r="AK170" s="71"/>
      <c r="AL170" s="71"/>
      <c r="AM170" s="71"/>
      <c r="AN170" s="71"/>
      <c r="AO170" s="71"/>
      <c r="AP170" s="71"/>
      <c r="AQ170" s="71"/>
      <c r="AR170" s="2"/>
      <c r="AS170" s="2"/>
      <c r="AT170" s="2"/>
    </row>
    <row r="171" spans="1:46" s="3" customFormat="1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3"/>
      <c r="L171" s="72"/>
      <c r="M171" s="72"/>
      <c r="N171" s="72"/>
      <c r="O171" s="72"/>
      <c r="P171" s="72"/>
      <c r="Q171" s="72"/>
      <c r="R171" s="74"/>
      <c r="S171" s="72">
        <v>5603.0649999999996</v>
      </c>
      <c r="T171" s="72">
        <v>8475.1540000000005</v>
      </c>
      <c r="U171" s="72">
        <v>8.1820000000000004</v>
      </c>
      <c r="V171" s="74">
        <v>3</v>
      </c>
      <c r="W171" s="74"/>
      <c r="X171" s="72"/>
      <c r="Y171" s="72"/>
      <c r="Z171" s="72"/>
      <c r="AA171" s="2"/>
      <c r="AB171" s="71"/>
      <c r="AC171" s="71"/>
      <c r="AD171" s="71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  <c r="AO171" s="71"/>
      <c r="AP171" s="71"/>
      <c r="AQ171" s="71"/>
      <c r="AR171" s="2"/>
      <c r="AS171" s="2"/>
      <c r="AT171" s="2"/>
    </row>
    <row r="172" spans="1:46" s="3" customFormat="1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3"/>
      <c r="L172" s="72"/>
      <c r="M172" s="72"/>
      <c r="N172" s="72"/>
      <c r="O172" s="72"/>
      <c r="P172" s="72"/>
      <c r="Q172" s="72"/>
      <c r="R172" s="74"/>
      <c r="S172" s="72">
        <v>5610.6769999999997</v>
      </c>
      <c r="T172" s="72">
        <v>8385.8780000000006</v>
      </c>
      <c r="U172" s="72">
        <v>7.9459999999999997</v>
      </c>
      <c r="V172" s="74">
        <v>4</v>
      </c>
      <c r="W172" s="74"/>
      <c r="X172" s="72"/>
      <c r="Y172" s="72"/>
      <c r="Z172" s="72"/>
      <c r="AA172" s="2"/>
      <c r="AB172" s="71"/>
      <c r="AC172" s="71"/>
      <c r="AD172" s="71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  <c r="AO172" s="71"/>
      <c r="AP172" s="71"/>
      <c r="AQ172" s="71"/>
      <c r="AR172" s="2"/>
      <c r="AS172" s="2"/>
      <c r="AT172" s="2"/>
    </row>
    <row r="173" spans="1:46" s="3" customFormat="1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3"/>
      <c r="L173" s="72"/>
      <c r="M173" s="72"/>
      <c r="N173" s="72"/>
      <c r="O173" s="72"/>
      <c r="P173" s="72"/>
      <c r="Q173" s="72"/>
      <c r="R173" s="74"/>
      <c r="S173" s="72">
        <v>5647.6450000000004</v>
      </c>
      <c r="T173" s="72">
        <v>8464.2139999999999</v>
      </c>
      <c r="U173" s="72">
        <v>8.0120000000000005</v>
      </c>
      <c r="V173" s="74">
        <v>5</v>
      </c>
      <c r="W173" s="74"/>
      <c r="X173" s="72"/>
      <c r="Y173" s="72"/>
      <c r="Z173" s="72"/>
      <c r="AA173" s="2"/>
      <c r="AB173" s="71"/>
      <c r="AC173" s="71"/>
      <c r="AD173" s="71"/>
      <c r="AE173" s="71"/>
      <c r="AF173" s="71"/>
      <c r="AG173" s="71"/>
      <c r="AH173" s="71"/>
      <c r="AI173" s="71"/>
      <c r="AJ173" s="71"/>
      <c r="AK173" s="71"/>
      <c r="AL173" s="71"/>
      <c r="AM173" s="71"/>
      <c r="AN173" s="71"/>
      <c r="AO173" s="71"/>
      <c r="AP173" s="71"/>
      <c r="AQ173" s="71"/>
      <c r="AR173" s="2"/>
      <c r="AS173" s="2"/>
      <c r="AT173" s="2"/>
    </row>
    <row r="174" spans="1:46" s="3" customFormat="1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3"/>
      <c r="L174" s="72"/>
      <c r="M174" s="72"/>
      <c r="N174" s="72"/>
      <c r="O174" s="72"/>
      <c r="P174" s="72"/>
      <c r="Q174" s="72"/>
      <c r="R174" s="74"/>
      <c r="S174" s="72">
        <v>5683.0810000000001</v>
      </c>
      <c r="T174" s="72">
        <v>8378.8469999999998</v>
      </c>
      <c r="U174" s="72">
        <v>8.0150000000000006</v>
      </c>
      <c r="V174" s="74">
        <v>6</v>
      </c>
      <c r="W174" s="74"/>
      <c r="X174" s="72"/>
      <c r="Y174" s="72"/>
      <c r="Z174" s="72"/>
      <c r="AA174" s="2"/>
      <c r="AB174" s="71"/>
      <c r="AC174" s="71"/>
      <c r="AD174" s="71"/>
      <c r="AE174" s="71"/>
      <c r="AF174" s="71"/>
      <c r="AG174" s="71"/>
      <c r="AH174" s="71"/>
      <c r="AI174" s="71"/>
      <c r="AJ174" s="71"/>
      <c r="AK174" s="71"/>
      <c r="AL174" s="71"/>
      <c r="AM174" s="71"/>
      <c r="AN174" s="71"/>
      <c r="AO174" s="71"/>
      <c r="AP174" s="71"/>
      <c r="AQ174" s="71"/>
      <c r="AR174" s="2"/>
      <c r="AS174" s="2"/>
      <c r="AT174" s="2"/>
    </row>
    <row r="175" spans="1:46" s="3" customFormat="1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3"/>
      <c r="L175" s="72"/>
      <c r="M175" s="72"/>
      <c r="N175" s="72"/>
      <c r="O175" s="72"/>
      <c r="P175" s="72"/>
      <c r="Q175" s="72"/>
      <c r="R175" s="74"/>
      <c r="S175" s="72">
        <v>5702.7709999999997</v>
      </c>
      <c r="T175" s="72">
        <v>8332.66</v>
      </c>
      <c r="U175" s="72">
        <v>7.9219999999999997</v>
      </c>
      <c r="V175" s="74">
        <v>7</v>
      </c>
      <c r="W175" s="74"/>
      <c r="X175" s="72"/>
      <c r="Y175" s="72"/>
      <c r="Z175" s="72"/>
      <c r="AA175" s="2"/>
      <c r="AB175" s="71"/>
      <c r="AC175" s="71"/>
      <c r="AD175" s="71"/>
      <c r="AE175" s="71"/>
      <c r="AF175" s="71"/>
      <c r="AG175" s="71"/>
      <c r="AH175" s="71"/>
      <c r="AI175" s="71"/>
      <c r="AJ175" s="71"/>
      <c r="AK175" s="71"/>
      <c r="AL175" s="71"/>
      <c r="AM175" s="71"/>
      <c r="AN175" s="71"/>
      <c r="AO175" s="71"/>
      <c r="AP175" s="71"/>
      <c r="AQ175" s="71"/>
      <c r="AR175" s="2"/>
      <c r="AS175" s="2"/>
      <c r="AT175" s="2"/>
    </row>
    <row r="176" spans="1:46" s="3" customFormat="1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3"/>
      <c r="L176" s="72"/>
      <c r="M176" s="72"/>
      <c r="N176" s="72"/>
      <c r="O176" s="72"/>
      <c r="P176" s="72"/>
      <c r="Q176" s="72"/>
      <c r="R176" s="74"/>
      <c r="S176" s="72">
        <v>5695.4430000000002</v>
      </c>
      <c r="T176" s="72">
        <v>8458.4349999999995</v>
      </c>
      <c r="U176" s="72">
        <v>8.2970000000000006</v>
      </c>
      <c r="V176" s="74">
        <v>8</v>
      </c>
      <c r="W176" s="74"/>
      <c r="X176" s="72"/>
      <c r="Y176" s="72"/>
      <c r="Z176" s="72"/>
      <c r="AA176" s="2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/>
      <c r="AL176" s="71"/>
      <c r="AM176" s="71"/>
      <c r="AN176" s="71"/>
      <c r="AO176" s="71"/>
      <c r="AP176" s="71"/>
      <c r="AQ176" s="71"/>
      <c r="AR176" s="2"/>
      <c r="AS176" s="2"/>
      <c r="AT176" s="2"/>
    </row>
    <row r="177" spans="1:46" s="3" customFormat="1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3"/>
      <c r="L177" s="72"/>
      <c r="M177" s="72"/>
      <c r="N177" s="72"/>
      <c r="O177" s="72"/>
      <c r="P177" s="72"/>
      <c r="Q177" s="72"/>
      <c r="R177" s="74"/>
      <c r="S177" s="72"/>
      <c r="T177" s="72"/>
      <c r="U177" s="72"/>
      <c r="V177" s="74"/>
      <c r="W177" s="74"/>
      <c r="X177" s="72"/>
      <c r="Y177" s="72"/>
      <c r="Z177" s="72"/>
      <c r="AA177" s="2"/>
      <c r="AB177" s="71"/>
      <c r="AC177" s="71"/>
      <c r="AD177" s="71"/>
      <c r="AE177" s="71"/>
      <c r="AF177" s="71"/>
      <c r="AG177" s="71"/>
      <c r="AH177" s="71"/>
      <c r="AI177" s="71"/>
      <c r="AJ177" s="71"/>
      <c r="AK177" s="71"/>
      <c r="AL177" s="71"/>
      <c r="AM177" s="71"/>
      <c r="AN177" s="71"/>
      <c r="AO177" s="71"/>
      <c r="AP177" s="71"/>
      <c r="AQ177" s="71"/>
      <c r="AR177" s="2"/>
      <c r="AS177" s="2"/>
      <c r="AT177" s="2"/>
    </row>
    <row r="178" spans="1:46" s="3" customFormat="1" x14ac:dyDescent="0.25">
      <c r="A178" s="72"/>
      <c r="B178" s="72"/>
      <c r="C178" s="72"/>
      <c r="D178" s="74"/>
      <c r="E178" s="72"/>
      <c r="F178" s="72"/>
      <c r="G178" s="72"/>
      <c r="H178" s="72"/>
      <c r="I178" s="72"/>
      <c r="J178" s="72"/>
      <c r="K178" s="73"/>
      <c r="L178" s="72"/>
      <c r="M178" s="72"/>
      <c r="N178" s="72"/>
      <c r="O178" s="72"/>
      <c r="P178" s="72"/>
      <c r="Q178" s="72"/>
      <c r="R178" s="74"/>
      <c r="S178" s="72">
        <v>5835.8410000000003</v>
      </c>
      <c r="T178" s="72">
        <v>8498.3610000000008</v>
      </c>
      <c r="U178" s="72">
        <v>9</v>
      </c>
      <c r="V178" s="74">
        <v>10</v>
      </c>
      <c r="W178" s="74" t="s">
        <v>73</v>
      </c>
      <c r="X178" s="72"/>
      <c r="Y178" s="72"/>
      <c r="Z178" s="72"/>
      <c r="AA178" s="2"/>
      <c r="AB178" s="71"/>
      <c r="AC178" s="71"/>
      <c r="AD178" s="71"/>
      <c r="AE178" s="71"/>
      <c r="AF178" s="71"/>
      <c r="AG178" s="71"/>
      <c r="AH178" s="71"/>
      <c r="AI178" s="71"/>
      <c r="AJ178" s="71"/>
      <c r="AK178" s="71"/>
      <c r="AL178" s="71"/>
      <c r="AM178" s="71"/>
      <c r="AN178" s="71"/>
      <c r="AO178" s="71"/>
      <c r="AP178" s="71"/>
      <c r="AQ178" s="71"/>
      <c r="AR178" s="2"/>
      <c r="AS178" s="2"/>
      <c r="AT178" s="2"/>
    </row>
    <row r="179" spans="1:46" s="3" customFormat="1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3"/>
      <c r="L179" s="72"/>
      <c r="M179" s="72"/>
      <c r="N179" s="72"/>
      <c r="O179" s="72"/>
      <c r="P179" s="72"/>
      <c r="Q179" s="72"/>
      <c r="R179" s="74"/>
      <c r="S179" s="72">
        <v>5860.6239999999998</v>
      </c>
      <c r="T179" s="72">
        <v>8574.6360000000004</v>
      </c>
      <c r="U179" s="72">
        <v>9.1999999999999993</v>
      </c>
      <c r="V179" s="74" t="s">
        <v>90</v>
      </c>
      <c r="W179" s="74" t="s">
        <v>73</v>
      </c>
      <c r="X179" s="72"/>
      <c r="Y179" s="72"/>
      <c r="Z179" s="72"/>
      <c r="AA179" s="2"/>
      <c r="AB179" s="71"/>
      <c r="AC179" s="71"/>
      <c r="AD179" s="71"/>
      <c r="AE179" s="71"/>
      <c r="AF179" s="71"/>
      <c r="AG179" s="71"/>
      <c r="AH179" s="71"/>
      <c r="AI179" s="71"/>
      <c r="AJ179" s="71"/>
      <c r="AK179" s="71"/>
      <c r="AL179" s="71"/>
      <c r="AM179" s="71"/>
      <c r="AN179" s="71"/>
      <c r="AO179" s="71"/>
      <c r="AP179" s="71"/>
      <c r="AQ179" s="71"/>
      <c r="AR179" s="2"/>
      <c r="AS179" s="2"/>
      <c r="AT179" s="2"/>
    </row>
    <row r="180" spans="1:46" s="3" customFormat="1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3"/>
      <c r="L180" s="72"/>
      <c r="M180" s="72"/>
      <c r="N180" s="72"/>
      <c r="O180" s="72"/>
      <c r="P180" s="72"/>
      <c r="Q180" s="72"/>
      <c r="R180" s="74"/>
      <c r="S180" s="72"/>
      <c r="T180" s="72"/>
      <c r="U180" s="72"/>
      <c r="V180" s="74"/>
      <c r="W180" s="74"/>
      <c r="X180" s="72"/>
      <c r="Y180" s="72"/>
      <c r="Z180" s="72"/>
      <c r="AA180" s="2"/>
      <c r="AB180" s="71"/>
      <c r="AC180" s="71"/>
      <c r="AD180" s="71"/>
      <c r="AE180" s="71"/>
      <c r="AF180" s="71"/>
      <c r="AG180" s="71"/>
      <c r="AH180" s="71"/>
      <c r="AI180" s="71"/>
      <c r="AJ180" s="71"/>
      <c r="AK180" s="71"/>
      <c r="AL180" s="71"/>
      <c r="AM180" s="71"/>
      <c r="AN180" s="71"/>
      <c r="AO180" s="71"/>
      <c r="AP180" s="71"/>
      <c r="AQ180" s="71"/>
      <c r="AR180" s="2"/>
      <c r="AS180" s="2"/>
      <c r="AT180" s="2"/>
    </row>
    <row r="181" spans="1:46" s="3" customFormat="1" x14ac:dyDescent="0.25">
      <c r="A181" s="72"/>
      <c r="B181" s="72"/>
      <c r="C181" s="72"/>
      <c r="D181" s="74"/>
      <c r="E181" s="72"/>
      <c r="F181" s="72"/>
      <c r="G181" s="72"/>
      <c r="H181" s="72"/>
      <c r="I181" s="72"/>
      <c r="J181" s="72"/>
      <c r="K181" s="73"/>
      <c r="L181" s="72"/>
      <c r="M181" s="72"/>
      <c r="N181" s="72"/>
      <c r="O181" s="72"/>
      <c r="P181" s="72"/>
      <c r="Q181" s="72"/>
      <c r="R181" s="74"/>
      <c r="S181" s="72">
        <v>5860.6239999999998</v>
      </c>
      <c r="T181" s="72">
        <v>8574.6360000000004</v>
      </c>
      <c r="U181" s="72">
        <v>9.1999999999999993</v>
      </c>
      <c r="V181" s="74" t="s">
        <v>90</v>
      </c>
      <c r="W181" s="74" t="s">
        <v>73</v>
      </c>
      <c r="X181" s="72"/>
      <c r="Y181" s="72"/>
      <c r="Z181" s="72"/>
      <c r="AA181" s="2"/>
      <c r="AB181" s="71"/>
      <c r="AC181" s="71"/>
      <c r="AD181" s="71"/>
      <c r="AE181" s="71"/>
      <c r="AF181" s="71"/>
      <c r="AG181" s="71"/>
      <c r="AH181" s="71"/>
      <c r="AI181" s="71"/>
      <c r="AJ181" s="71"/>
      <c r="AK181" s="71"/>
      <c r="AL181" s="71"/>
      <c r="AM181" s="71"/>
      <c r="AN181" s="71"/>
      <c r="AO181" s="71"/>
      <c r="AP181" s="71"/>
      <c r="AQ181" s="71"/>
      <c r="AR181" s="2"/>
      <c r="AS181" s="2"/>
      <c r="AT181" s="2"/>
    </row>
    <row r="182" spans="1:46" s="3" customFormat="1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3"/>
      <c r="L182" s="72"/>
      <c r="M182" s="72"/>
      <c r="N182" s="72"/>
      <c r="O182" s="72"/>
      <c r="P182" s="72"/>
      <c r="Q182" s="72"/>
      <c r="R182" s="74"/>
      <c r="S182" s="72">
        <v>5890.8329999999996</v>
      </c>
      <c r="T182" s="72">
        <v>8679.9879999999994</v>
      </c>
      <c r="U182" s="72">
        <v>8.92</v>
      </c>
      <c r="V182" s="74" t="s">
        <v>91</v>
      </c>
      <c r="W182" s="74" t="s">
        <v>73</v>
      </c>
      <c r="X182" s="72"/>
      <c r="Y182" s="72"/>
      <c r="Z182" s="72"/>
      <c r="AA182" s="2"/>
      <c r="AB182" s="71"/>
      <c r="AC182" s="71"/>
      <c r="AD182" s="71"/>
      <c r="AE182" s="71"/>
      <c r="AF182" s="71"/>
      <c r="AG182" s="71"/>
      <c r="AH182" s="71"/>
      <c r="AI182" s="71"/>
      <c r="AJ182" s="71"/>
      <c r="AK182" s="71"/>
      <c r="AL182" s="71"/>
      <c r="AM182" s="71"/>
      <c r="AN182" s="71"/>
      <c r="AO182" s="71"/>
      <c r="AP182" s="71"/>
      <c r="AQ182" s="71"/>
      <c r="AR182" s="2"/>
      <c r="AS182" s="2"/>
      <c r="AT182" s="2"/>
    </row>
    <row r="183" spans="1:46" s="3" customFormat="1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3"/>
      <c r="L183" s="72"/>
      <c r="M183" s="72"/>
      <c r="N183" s="72"/>
      <c r="O183" s="72"/>
      <c r="P183" s="72"/>
      <c r="Q183" s="72"/>
      <c r="R183" s="74"/>
      <c r="S183" s="72"/>
      <c r="T183" s="72"/>
      <c r="U183" s="72"/>
      <c r="V183" s="74"/>
      <c r="W183" s="74"/>
      <c r="X183" s="72"/>
      <c r="Y183" s="72"/>
      <c r="Z183" s="72"/>
      <c r="AA183" s="2"/>
      <c r="AB183" s="71"/>
      <c r="AC183" s="71"/>
      <c r="AD183" s="71"/>
      <c r="AE183" s="71"/>
      <c r="AF183" s="71"/>
      <c r="AG183" s="71"/>
      <c r="AH183" s="71"/>
      <c r="AI183" s="71"/>
      <c r="AJ183" s="71"/>
      <c r="AK183" s="71"/>
      <c r="AL183" s="71"/>
      <c r="AM183" s="71"/>
      <c r="AN183" s="71"/>
      <c r="AO183" s="71"/>
      <c r="AP183" s="71"/>
      <c r="AQ183" s="71"/>
      <c r="AR183" s="2"/>
      <c r="AS183" s="2"/>
      <c r="AT183" s="2"/>
    </row>
    <row r="184" spans="1:46" s="3" customFormat="1" x14ac:dyDescent="0.25">
      <c r="A184" s="72"/>
      <c r="B184" s="72"/>
      <c r="C184" s="72"/>
      <c r="D184" s="74"/>
      <c r="E184" s="72"/>
      <c r="F184" s="72"/>
      <c r="G184" s="72"/>
      <c r="H184" s="72"/>
      <c r="I184" s="72"/>
      <c r="J184" s="72"/>
      <c r="K184" s="73"/>
      <c r="L184" s="72"/>
      <c r="M184" s="72"/>
      <c r="N184" s="72"/>
      <c r="O184" s="72"/>
      <c r="P184" s="72"/>
      <c r="Q184" s="72"/>
      <c r="R184" s="74"/>
      <c r="S184" s="72">
        <v>5890.8329999999996</v>
      </c>
      <c r="T184" s="72">
        <v>8679.9879999999994</v>
      </c>
      <c r="U184" s="72">
        <v>8.92</v>
      </c>
      <c r="V184" s="74" t="s">
        <v>91</v>
      </c>
      <c r="W184" s="74" t="s">
        <v>73</v>
      </c>
      <c r="X184" s="72"/>
      <c r="Y184" s="72"/>
      <c r="Z184" s="72"/>
      <c r="AA184" s="2"/>
      <c r="AB184" s="71"/>
      <c r="AC184" s="71"/>
      <c r="AD184" s="71"/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  <c r="AO184" s="71"/>
      <c r="AP184" s="71"/>
      <c r="AQ184" s="71"/>
      <c r="AR184" s="2"/>
      <c r="AS184" s="2"/>
      <c r="AT184" s="2"/>
    </row>
    <row r="185" spans="1:46" s="3" customFormat="1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3"/>
      <c r="L185" s="72"/>
      <c r="M185" s="72"/>
      <c r="N185" s="72"/>
      <c r="O185" s="72"/>
      <c r="P185" s="72"/>
      <c r="Q185" s="72"/>
      <c r="R185" s="74"/>
      <c r="S185" s="72">
        <v>5935.92</v>
      </c>
      <c r="T185" s="72">
        <v>8848.2530000000006</v>
      </c>
      <c r="U185" s="72">
        <v>8.84</v>
      </c>
      <c r="V185" s="74" t="s">
        <v>92</v>
      </c>
      <c r="W185" s="74" t="s">
        <v>73</v>
      </c>
      <c r="X185" s="72"/>
      <c r="Y185" s="72"/>
      <c r="Z185" s="72"/>
      <c r="AA185" s="2"/>
      <c r="AB185" s="71"/>
      <c r="AC185" s="71"/>
      <c r="AD185" s="71"/>
      <c r="AE185" s="71"/>
      <c r="AF185" s="71"/>
      <c r="AG185" s="71"/>
      <c r="AH185" s="71"/>
      <c r="AI185" s="71"/>
      <c r="AJ185" s="71"/>
      <c r="AK185" s="71"/>
      <c r="AL185" s="71"/>
      <c r="AM185" s="71"/>
      <c r="AN185" s="71"/>
      <c r="AO185" s="71"/>
      <c r="AP185" s="71"/>
      <c r="AQ185" s="71"/>
      <c r="AR185" s="2"/>
      <c r="AS185" s="2"/>
      <c r="AT185" s="2"/>
    </row>
    <row r="186" spans="1:46" s="3" customFormat="1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3"/>
      <c r="L186" s="72"/>
      <c r="M186" s="72"/>
      <c r="N186" s="72"/>
      <c r="O186" s="72"/>
      <c r="P186" s="72"/>
      <c r="Q186" s="72"/>
      <c r="R186" s="74"/>
      <c r="S186" s="72"/>
      <c r="T186" s="72"/>
      <c r="U186" s="72"/>
      <c r="V186" s="74"/>
      <c r="W186" s="74"/>
      <c r="X186" s="72"/>
      <c r="Y186" s="72"/>
      <c r="Z186" s="72"/>
      <c r="AA186" s="2"/>
      <c r="AB186" s="71"/>
      <c r="AC186" s="71"/>
      <c r="AD186" s="71"/>
      <c r="AE186" s="71"/>
      <c r="AF186" s="71"/>
      <c r="AG186" s="71"/>
      <c r="AH186" s="71"/>
      <c r="AI186" s="71"/>
      <c r="AJ186" s="71"/>
      <c r="AK186" s="71"/>
      <c r="AL186" s="71"/>
      <c r="AM186" s="71"/>
      <c r="AN186" s="71"/>
      <c r="AO186" s="71"/>
      <c r="AP186" s="71"/>
      <c r="AQ186" s="71"/>
      <c r="AR186" s="2"/>
      <c r="AS186" s="2"/>
      <c r="AT186" s="2"/>
    </row>
    <row r="187" spans="1:46" s="3" customFormat="1" x14ac:dyDescent="0.25">
      <c r="A187" s="72"/>
      <c r="B187" s="72"/>
      <c r="C187" s="72"/>
      <c r="D187" s="74"/>
      <c r="E187" s="72"/>
      <c r="F187" s="72"/>
      <c r="G187" s="72"/>
      <c r="H187" s="72"/>
      <c r="I187" s="72"/>
      <c r="J187" s="72"/>
      <c r="K187" s="73"/>
      <c r="L187" s="72"/>
      <c r="M187" s="72"/>
      <c r="N187" s="72"/>
      <c r="O187" s="72"/>
      <c r="P187" s="72"/>
      <c r="Q187" s="72"/>
      <c r="R187" s="74"/>
      <c r="S187" s="72">
        <v>5935.92</v>
      </c>
      <c r="T187" s="72">
        <v>8848.2530000000006</v>
      </c>
      <c r="U187" s="72">
        <v>8.84</v>
      </c>
      <c r="V187" s="74" t="s">
        <v>92</v>
      </c>
      <c r="W187" s="74" t="s">
        <v>73</v>
      </c>
      <c r="X187" s="72"/>
      <c r="Y187" s="72"/>
      <c r="Z187" s="72"/>
      <c r="AA187" s="2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/>
      <c r="AL187" s="71"/>
      <c r="AM187" s="71"/>
      <c r="AN187" s="71"/>
      <c r="AO187" s="71"/>
      <c r="AP187" s="71"/>
      <c r="AQ187" s="71"/>
      <c r="AR187" s="2"/>
      <c r="AS187" s="2"/>
      <c r="AT187" s="2"/>
    </row>
    <row r="188" spans="1:46" s="3" customFormat="1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3"/>
      <c r="L188" s="72"/>
      <c r="M188" s="72"/>
      <c r="N188" s="72"/>
      <c r="O188" s="72"/>
      <c r="P188" s="72"/>
      <c r="Q188" s="72"/>
      <c r="R188" s="74"/>
      <c r="S188" s="72">
        <v>5973.6840000000002</v>
      </c>
      <c r="T188" s="72">
        <v>8957.9290000000001</v>
      </c>
      <c r="U188" s="72">
        <v>8.76</v>
      </c>
      <c r="V188" s="74" t="s">
        <v>93</v>
      </c>
      <c r="W188" s="74" t="s">
        <v>73</v>
      </c>
      <c r="X188" s="72"/>
      <c r="Y188" s="72"/>
      <c r="Z188" s="72"/>
      <c r="AA188" s="2"/>
      <c r="AB188" s="71"/>
      <c r="AC188" s="71"/>
      <c r="AD188" s="71"/>
      <c r="AE188" s="71"/>
      <c r="AF188" s="71"/>
      <c r="AG188" s="71"/>
      <c r="AH188" s="71"/>
      <c r="AI188" s="71"/>
      <c r="AJ188" s="71"/>
      <c r="AK188" s="71"/>
      <c r="AL188" s="71"/>
      <c r="AM188" s="71"/>
      <c r="AN188" s="71"/>
      <c r="AO188" s="71"/>
      <c r="AP188" s="71"/>
      <c r="AQ188" s="71"/>
      <c r="AR188" s="2"/>
      <c r="AS188" s="2"/>
      <c r="AT188" s="2"/>
    </row>
    <row r="189" spans="1:46" s="3" customFormat="1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3"/>
      <c r="L189" s="72"/>
      <c r="M189" s="72"/>
      <c r="N189" s="72"/>
      <c r="O189" s="72"/>
      <c r="P189" s="72"/>
      <c r="Q189" s="72"/>
      <c r="R189" s="74"/>
      <c r="S189" s="72">
        <v>5917.2489999999998</v>
      </c>
      <c r="T189" s="72">
        <v>8767.3809999999994</v>
      </c>
      <c r="U189" s="72">
        <v>8.6999999999999993</v>
      </c>
      <c r="V189" s="74">
        <v>1</v>
      </c>
      <c r="W189" s="74"/>
      <c r="X189" s="72"/>
      <c r="Y189" s="72"/>
      <c r="Z189" s="72" t="s">
        <v>78</v>
      </c>
      <c r="AA189" s="2"/>
      <c r="AB189" s="71"/>
      <c r="AC189" s="71"/>
      <c r="AD189" s="71"/>
      <c r="AE189" s="71"/>
      <c r="AF189" s="71"/>
      <c r="AG189" s="71"/>
      <c r="AH189" s="71"/>
      <c r="AI189" s="71"/>
      <c r="AJ189" s="71"/>
      <c r="AK189" s="71"/>
      <c r="AL189" s="71"/>
      <c r="AM189" s="71"/>
      <c r="AN189" s="71"/>
      <c r="AO189" s="71"/>
      <c r="AP189" s="71"/>
      <c r="AQ189" s="71"/>
      <c r="AR189" s="2"/>
      <c r="AS189" s="2"/>
      <c r="AT189" s="2"/>
    </row>
    <row r="190" spans="1:46" s="3" customFormat="1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3"/>
      <c r="L190" s="72"/>
      <c r="M190" s="72"/>
      <c r="N190" s="72"/>
      <c r="O190" s="72"/>
      <c r="P190" s="72"/>
      <c r="Q190" s="72"/>
      <c r="R190" s="74"/>
      <c r="S190" s="72">
        <v>5837.9369999999999</v>
      </c>
      <c r="T190" s="72">
        <v>8849.9629999999997</v>
      </c>
      <c r="U190" s="72">
        <v>8.3420000000000005</v>
      </c>
      <c r="V190" s="74">
        <v>2</v>
      </c>
      <c r="W190" s="74"/>
      <c r="X190" s="72"/>
      <c r="Y190" s="72"/>
      <c r="Z190" s="72"/>
      <c r="AA190" s="2"/>
      <c r="AB190" s="71"/>
      <c r="AC190" s="71"/>
      <c r="AD190" s="71"/>
      <c r="AE190" s="71"/>
      <c r="AF190" s="71"/>
      <c r="AG190" s="71"/>
      <c r="AH190" s="71"/>
      <c r="AI190" s="71"/>
      <c r="AJ190" s="71"/>
      <c r="AK190" s="71"/>
      <c r="AL190" s="71"/>
      <c r="AM190" s="71"/>
      <c r="AN190" s="71"/>
      <c r="AO190" s="71"/>
      <c r="AP190" s="71"/>
      <c r="AQ190" s="71"/>
      <c r="AR190" s="2"/>
      <c r="AS190" s="2"/>
      <c r="AT190" s="2"/>
    </row>
    <row r="191" spans="1:46" s="3" customFormat="1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3"/>
      <c r="L191" s="72"/>
      <c r="M191" s="72"/>
      <c r="N191" s="72"/>
      <c r="O191" s="72"/>
      <c r="P191" s="72"/>
      <c r="Q191" s="72"/>
      <c r="R191" s="74"/>
      <c r="S191" s="72">
        <v>5754.9229999999998</v>
      </c>
      <c r="T191" s="72">
        <v>8848.2530000000006</v>
      </c>
      <c r="U191" s="72">
        <v>8.2799999999999994</v>
      </c>
      <c r="V191" s="74">
        <v>3</v>
      </c>
      <c r="W191" s="74"/>
      <c r="X191" s="72"/>
      <c r="Y191" s="72"/>
      <c r="Z191" s="72"/>
      <c r="AA191" s="2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  <c r="AO191" s="71"/>
      <c r="AP191" s="71"/>
      <c r="AQ191" s="71"/>
      <c r="AR191" s="2"/>
      <c r="AS191" s="2"/>
      <c r="AT191" s="2"/>
    </row>
    <row r="192" spans="1:46" s="3" customFormat="1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3"/>
      <c r="L192" s="72"/>
      <c r="M192" s="72"/>
      <c r="N192" s="72"/>
      <c r="O192" s="72"/>
      <c r="P192" s="72"/>
      <c r="Q192" s="72"/>
      <c r="R192" s="74"/>
      <c r="S192" s="72">
        <v>6025.902</v>
      </c>
      <c r="T192" s="72">
        <v>8846.6820000000007</v>
      </c>
      <c r="U192" s="72">
        <v>8.6679999999999993</v>
      </c>
      <c r="V192" s="74">
        <v>4</v>
      </c>
      <c r="W192" s="74"/>
      <c r="X192" s="72"/>
      <c r="Y192" s="72"/>
      <c r="Z192" s="72"/>
      <c r="AA192" s="2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  <c r="AO192" s="71"/>
      <c r="AP192" s="71"/>
      <c r="AQ192" s="71"/>
      <c r="AR192" s="2"/>
      <c r="AS192" s="2"/>
      <c r="AT192" s="2"/>
    </row>
    <row r="193" spans="1:46" s="3" customFormat="1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3"/>
      <c r="L193" s="72"/>
      <c r="M193" s="72"/>
      <c r="N193" s="72"/>
      <c r="O193" s="72"/>
      <c r="P193" s="72"/>
      <c r="Q193" s="72"/>
      <c r="R193" s="74"/>
      <c r="S193" s="72">
        <v>5957.5540000000001</v>
      </c>
      <c r="T193" s="72">
        <v>8919.0159999999996</v>
      </c>
      <c r="U193" s="72">
        <v>0</v>
      </c>
      <c r="V193" s="74">
        <v>5</v>
      </c>
      <c r="W193" s="74"/>
      <c r="X193" s="72"/>
      <c r="Y193" s="72"/>
      <c r="Z193" s="72" t="s">
        <v>78</v>
      </c>
      <c r="AA193" s="2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  <c r="AO193" s="71"/>
      <c r="AP193" s="71"/>
      <c r="AQ193" s="71"/>
      <c r="AR193" s="2"/>
      <c r="AS193" s="2"/>
      <c r="AT193" s="2"/>
    </row>
    <row r="194" spans="1:46" s="3" customFormat="1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3"/>
      <c r="L194" s="72"/>
      <c r="M194" s="72"/>
      <c r="N194" s="72"/>
      <c r="O194" s="72"/>
      <c r="P194" s="72"/>
      <c r="Q194" s="72"/>
      <c r="R194" s="74"/>
      <c r="S194" s="72">
        <v>6085.893</v>
      </c>
      <c r="T194" s="72">
        <v>8845.6350000000002</v>
      </c>
      <c r="U194" s="72">
        <v>8.4849999999999994</v>
      </c>
      <c r="V194" s="74">
        <v>6</v>
      </c>
      <c r="W194" s="74"/>
      <c r="X194" s="72"/>
      <c r="Y194" s="72"/>
      <c r="Z194" s="72"/>
      <c r="AA194" s="2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  <c r="AO194" s="71"/>
      <c r="AP194" s="71"/>
      <c r="AQ194" s="71"/>
      <c r="AR194" s="2"/>
      <c r="AS194" s="2"/>
      <c r="AT194" s="2"/>
    </row>
    <row r="195" spans="1:46" s="3" customFormat="1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3"/>
      <c r="L195" s="72"/>
      <c r="M195" s="72"/>
      <c r="N195" s="72"/>
      <c r="O195" s="72"/>
      <c r="P195" s="72"/>
      <c r="Q195" s="72"/>
      <c r="R195" s="74"/>
      <c r="S195" s="72"/>
      <c r="T195" s="72"/>
      <c r="U195" s="72"/>
      <c r="V195" s="74"/>
      <c r="W195" s="74"/>
      <c r="X195" s="72"/>
      <c r="Y195" s="72"/>
      <c r="Z195" s="72"/>
      <c r="AA195" s="2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  <c r="AO195" s="71"/>
      <c r="AP195" s="71"/>
      <c r="AQ195" s="71"/>
      <c r="AR195" s="2"/>
      <c r="AS195" s="2"/>
      <c r="AT195" s="2"/>
    </row>
    <row r="196" spans="1:46" s="3" customFormat="1" x14ac:dyDescent="0.25">
      <c r="A196" s="72"/>
      <c r="B196" s="72"/>
      <c r="C196" s="72"/>
      <c r="D196" s="74"/>
      <c r="E196" s="72"/>
      <c r="F196" s="72"/>
      <c r="G196" s="72"/>
      <c r="H196" s="72"/>
      <c r="I196" s="72"/>
      <c r="J196" s="72"/>
      <c r="K196" s="73"/>
      <c r="L196" s="72"/>
      <c r="M196" s="72"/>
      <c r="N196" s="72"/>
      <c r="O196" s="72"/>
      <c r="P196" s="72"/>
      <c r="Q196" s="72"/>
      <c r="R196" s="74"/>
      <c r="S196" s="72">
        <v>5835.8410000000003</v>
      </c>
      <c r="T196" s="72">
        <v>8498.3610000000008</v>
      </c>
      <c r="U196" s="72">
        <v>9</v>
      </c>
      <c r="V196" s="74">
        <v>10</v>
      </c>
      <c r="W196" s="74" t="s">
        <v>73</v>
      </c>
      <c r="X196" s="72"/>
      <c r="Y196" s="72"/>
      <c r="Z196" s="72"/>
      <c r="AA196" s="2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  <c r="AO196" s="71"/>
      <c r="AP196" s="71"/>
      <c r="AQ196" s="71"/>
      <c r="AR196" s="2"/>
      <c r="AS196" s="2"/>
      <c r="AT196" s="2"/>
    </row>
    <row r="197" spans="1:46" s="3" customFormat="1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3"/>
      <c r="L197" s="72"/>
      <c r="M197" s="72"/>
      <c r="N197" s="72"/>
      <c r="O197" s="72"/>
      <c r="P197" s="72"/>
      <c r="Q197" s="72"/>
      <c r="R197" s="74"/>
      <c r="S197" s="72">
        <v>5900.4009999999998</v>
      </c>
      <c r="T197" s="72">
        <v>8489.2880000000005</v>
      </c>
      <c r="U197" s="72">
        <v>7.7160000000000002</v>
      </c>
      <c r="V197" s="74">
        <v>1</v>
      </c>
      <c r="W197" s="74"/>
      <c r="X197" s="72"/>
      <c r="Y197" s="72"/>
      <c r="Z197" s="72"/>
      <c r="AA197" s="2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  <c r="AO197" s="71"/>
      <c r="AP197" s="71"/>
      <c r="AQ197" s="71"/>
      <c r="AR197" s="2"/>
      <c r="AS197" s="2"/>
      <c r="AT197" s="2"/>
    </row>
    <row r="198" spans="1:46" s="3" customFormat="1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3"/>
      <c r="L198" s="72"/>
      <c r="M198" s="72"/>
      <c r="N198" s="72"/>
      <c r="O198" s="72"/>
      <c r="P198" s="72"/>
      <c r="Q198" s="72"/>
      <c r="R198" s="74"/>
      <c r="S198" s="72">
        <v>6002.5870000000004</v>
      </c>
      <c r="T198" s="72">
        <v>8477.8880000000008</v>
      </c>
      <c r="U198" s="72">
        <v>7.7750000000000004</v>
      </c>
      <c r="V198" s="74">
        <v>2</v>
      </c>
      <c r="W198" s="74"/>
      <c r="X198" s="72"/>
      <c r="Y198" s="72"/>
      <c r="Z198" s="72"/>
      <c r="AA198" s="2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  <c r="AO198" s="71"/>
      <c r="AP198" s="71"/>
      <c r="AQ198" s="71"/>
      <c r="AR198" s="2"/>
      <c r="AS198" s="2"/>
      <c r="AT198" s="2"/>
    </row>
    <row r="199" spans="1:46" s="3" customFormat="1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3"/>
      <c r="L199" s="72"/>
      <c r="M199" s="72"/>
      <c r="N199" s="72"/>
      <c r="O199" s="72"/>
      <c r="P199" s="72"/>
      <c r="Q199" s="72"/>
      <c r="R199" s="74"/>
      <c r="S199" s="72">
        <v>6097.5770000000002</v>
      </c>
      <c r="T199" s="72">
        <v>8456.9060000000009</v>
      </c>
      <c r="U199" s="72">
        <v>7.8209999999999997</v>
      </c>
      <c r="V199" s="74">
        <v>3</v>
      </c>
      <c r="W199" s="74"/>
      <c r="X199" s="72"/>
      <c r="Y199" s="72"/>
      <c r="Z199" s="72"/>
      <c r="AA199" s="2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  <c r="AO199" s="71"/>
      <c r="AP199" s="71"/>
      <c r="AQ199" s="71"/>
      <c r="AR199" s="2"/>
      <c r="AS199" s="2"/>
      <c r="AT199" s="2"/>
    </row>
    <row r="200" spans="1:46" s="3" customFormat="1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3"/>
      <c r="L200" s="72"/>
      <c r="M200" s="72"/>
      <c r="N200" s="72"/>
      <c r="O200" s="72"/>
      <c r="P200" s="72"/>
      <c r="Q200" s="72"/>
      <c r="R200" s="74"/>
      <c r="S200" s="72">
        <v>5752.0460000000003</v>
      </c>
      <c r="T200" s="72">
        <v>8504.2209999999995</v>
      </c>
      <c r="U200" s="72">
        <v>8.2140000000000004</v>
      </c>
      <c r="V200" s="74">
        <v>4</v>
      </c>
      <c r="W200" s="74"/>
      <c r="X200" s="72"/>
      <c r="Y200" s="72"/>
      <c r="Z200" s="72"/>
      <c r="AA200" s="2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  <c r="AO200" s="71"/>
      <c r="AP200" s="71"/>
      <c r="AQ200" s="71"/>
      <c r="AR200" s="2"/>
      <c r="AS200" s="2"/>
      <c r="AT200" s="2"/>
    </row>
    <row r="201" spans="1:46" s="3" customFormat="1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3"/>
      <c r="L201" s="72"/>
      <c r="M201" s="72"/>
      <c r="N201" s="72"/>
      <c r="O201" s="72"/>
      <c r="P201" s="72"/>
      <c r="Q201" s="72"/>
      <c r="R201" s="74"/>
      <c r="S201" s="72">
        <v>5650.4629999999997</v>
      </c>
      <c r="T201" s="72">
        <v>8524.4150000000009</v>
      </c>
      <c r="U201" s="72">
        <v>8.2520000000000007</v>
      </c>
      <c r="V201" s="74">
        <v>5</v>
      </c>
      <c r="W201" s="74"/>
      <c r="X201" s="72"/>
      <c r="Y201" s="72"/>
      <c r="Z201" s="72"/>
      <c r="AA201" s="2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  <c r="AO201" s="71"/>
      <c r="AP201" s="71"/>
      <c r="AQ201" s="71"/>
      <c r="AR201" s="2"/>
      <c r="AS201" s="2"/>
      <c r="AT201" s="2"/>
    </row>
    <row r="202" spans="1:46" s="3" customFormat="1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3"/>
      <c r="L202" s="72"/>
      <c r="M202" s="72"/>
      <c r="N202" s="72"/>
      <c r="O202" s="72"/>
      <c r="P202" s="72"/>
      <c r="Q202" s="72"/>
      <c r="R202" s="74"/>
      <c r="S202" s="72">
        <v>5548.9960000000001</v>
      </c>
      <c r="T202" s="72">
        <v>8533.5820000000003</v>
      </c>
      <c r="U202" s="72">
        <v>7.9409999999999998</v>
      </c>
      <c r="V202" s="74">
        <v>6</v>
      </c>
      <c r="W202" s="74"/>
      <c r="X202" s="72"/>
      <c r="Y202" s="72"/>
      <c r="Z202" s="72"/>
      <c r="AA202" s="2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  <c r="AO202" s="71"/>
      <c r="AP202" s="71"/>
      <c r="AQ202" s="71"/>
      <c r="AR202" s="2"/>
      <c r="AS202" s="2"/>
      <c r="AT202" s="2"/>
    </row>
    <row r="203" spans="1:46" s="3" customFormat="1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3"/>
      <c r="L203" s="72"/>
      <c r="M203" s="72"/>
      <c r="N203" s="72"/>
      <c r="O203" s="72"/>
      <c r="P203" s="72"/>
      <c r="Q203" s="72"/>
      <c r="R203" s="74"/>
      <c r="S203" s="72"/>
      <c r="T203" s="72"/>
      <c r="U203" s="72"/>
      <c r="V203" s="74"/>
      <c r="W203" s="74"/>
      <c r="X203" s="72"/>
      <c r="Y203" s="72"/>
      <c r="Z203" s="72"/>
      <c r="AA203" s="2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  <c r="AO203" s="71"/>
      <c r="AP203" s="71"/>
      <c r="AQ203" s="71"/>
      <c r="AR203" s="2"/>
      <c r="AS203" s="2"/>
      <c r="AT203" s="2"/>
    </row>
    <row r="204" spans="1:46" s="3" customFormat="1" x14ac:dyDescent="0.25">
      <c r="A204" s="72"/>
      <c r="B204" s="72"/>
      <c r="C204" s="72"/>
      <c r="D204" s="74"/>
      <c r="E204" s="72"/>
      <c r="F204" s="72"/>
      <c r="G204" s="72"/>
      <c r="H204" s="72"/>
      <c r="I204" s="72"/>
      <c r="J204" s="72"/>
      <c r="K204" s="73"/>
      <c r="L204" s="72"/>
      <c r="M204" s="72"/>
      <c r="N204" s="72"/>
      <c r="O204" s="72"/>
      <c r="P204" s="72"/>
      <c r="Q204" s="72"/>
      <c r="R204" s="74"/>
      <c r="S204" s="72">
        <v>5860.6239999999998</v>
      </c>
      <c r="T204" s="72">
        <v>8574.6360000000004</v>
      </c>
      <c r="U204" s="72">
        <v>9.1999999999999993</v>
      </c>
      <c r="V204" s="74" t="s">
        <v>90</v>
      </c>
      <c r="W204" s="74" t="s">
        <v>73</v>
      </c>
      <c r="X204" s="72"/>
      <c r="Y204" s="72"/>
      <c r="Z204" s="72"/>
      <c r="AA204" s="2"/>
      <c r="AB204" s="71"/>
      <c r="AC204" s="71"/>
      <c r="AD204" s="71"/>
      <c r="AE204" s="71"/>
      <c r="AF204" s="71"/>
      <c r="AG204" s="71"/>
      <c r="AH204" s="71"/>
      <c r="AI204" s="71"/>
      <c r="AJ204" s="71"/>
      <c r="AK204" s="71"/>
      <c r="AL204" s="71"/>
      <c r="AM204" s="71"/>
      <c r="AN204" s="71"/>
      <c r="AO204" s="71"/>
      <c r="AP204" s="71"/>
      <c r="AQ204" s="71"/>
      <c r="AR204" s="2"/>
      <c r="AS204" s="2"/>
      <c r="AT204" s="2"/>
    </row>
    <row r="205" spans="1:46" s="3" customFormat="1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3"/>
      <c r="L205" s="72"/>
      <c r="M205" s="72"/>
      <c r="N205" s="72"/>
      <c r="O205" s="72"/>
      <c r="P205" s="72"/>
      <c r="Q205" s="72"/>
      <c r="R205" s="74"/>
      <c r="S205" s="72">
        <v>5959.3850000000002</v>
      </c>
      <c r="T205" s="72">
        <v>8558.9940000000006</v>
      </c>
      <c r="U205" s="72">
        <v>7.8310000000000004</v>
      </c>
      <c r="V205" s="74">
        <v>1</v>
      </c>
      <c r="W205" s="74"/>
      <c r="X205" s="72"/>
      <c r="Y205" s="72"/>
      <c r="Z205" s="72"/>
      <c r="AA205" s="2"/>
      <c r="AB205" s="71"/>
      <c r="AC205" s="71"/>
      <c r="AD205" s="71"/>
      <c r="AE205" s="71"/>
      <c r="AF205" s="71"/>
      <c r="AG205" s="71"/>
      <c r="AH205" s="71"/>
      <c r="AI205" s="71"/>
      <c r="AJ205" s="71"/>
      <c r="AK205" s="71"/>
      <c r="AL205" s="71"/>
      <c r="AM205" s="71"/>
      <c r="AN205" s="71"/>
      <c r="AO205" s="71"/>
      <c r="AP205" s="71"/>
      <c r="AQ205" s="71"/>
      <c r="AR205" s="2"/>
      <c r="AS205" s="2"/>
      <c r="AT205" s="2"/>
    </row>
    <row r="206" spans="1:46" s="3" customFormat="1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3"/>
      <c r="L206" s="72"/>
      <c r="M206" s="72"/>
      <c r="N206" s="72"/>
      <c r="O206" s="72"/>
      <c r="P206" s="72"/>
      <c r="Q206" s="72"/>
      <c r="R206" s="74"/>
      <c r="S206" s="72">
        <v>6037.0829999999996</v>
      </c>
      <c r="T206" s="72">
        <v>8549.8359999999993</v>
      </c>
      <c r="U206" s="72">
        <v>7.6150000000000002</v>
      </c>
      <c r="V206" s="74">
        <v>2</v>
      </c>
      <c r="W206" s="74"/>
      <c r="X206" s="72"/>
      <c r="Y206" s="72"/>
      <c r="Z206" s="72"/>
      <c r="AA206" s="2"/>
      <c r="AB206" s="71"/>
      <c r="AC206" s="71"/>
      <c r="AD206" s="71"/>
      <c r="AE206" s="71"/>
      <c r="AF206" s="71"/>
      <c r="AG206" s="71"/>
      <c r="AH206" s="71"/>
      <c r="AI206" s="71"/>
      <c r="AJ206" s="71"/>
      <c r="AK206" s="71"/>
      <c r="AL206" s="71"/>
      <c r="AM206" s="71"/>
      <c r="AN206" s="71"/>
      <c r="AO206" s="71"/>
      <c r="AP206" s="71"/>
      <c r="AQ206" s="71"/>
      <c r="AR206" s="2"/>
      <c r="AS206" s="2"/>
      <c r="AT206" s="2"/>
    </row>
    <row r="207" spans="1:46" s="3" customFormat="1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3"/>
      <c r="L207" s="72"/>
      <c r="M207" s="72"/>
      <c r="N207" s="72"/>
      <c r="O207" s="72"/>
      <c r="P207" s="72"/>
      <c r="Q207" s="72"/>
      <c r="R207" s="74"/>
      <c r="S207" s="72">
        <v>6141.0929999999998</v>
      </c>
      <c r="T207" s="72">
        <v>8525.1820000000007</v>
      </c>
      <c r="U207" s="72">
        <v>7.6269999999999998</v>
      </c>
      <c r="V207" s="74">
        <v>3</v>
      </c>
      <c r="W207" s="74"/>
      <c r="X207" s="72"/>
      <c r="Y207" s="72"/>
      <c r="Z207" s="72"/>
      <c r="AA207" s="2"/>
      <c r="AB207" s="71"/>
      <c r="AC207" s="71"/>
      <c r="AD207" s="71"/>
      <c r="AE207" s="71"/>
      <c r="AF207" s="71"/>
      <c r="AG207" s="71"/>
      <c r="AH207" s="71"/>
      <c r="AI207" s="71"/>
      <c r="AJ207" s="71"/>
      <c r="AK207" s="71"/>
      <c r="AL207" s="71"/>
      <c r="AM207" s="71"/>
      <c r="AN207" s="71"/>
      <c r="AO207" s="71"/>
      <c r="AP207" s="71"/>
      <c r="AQ207" s="71"/>
      <c r="AR207" s="2"/>
      <c r="AS207" s="2"/>
      <c r="AT207" s="2"/>
    </row>
    <row r="208" spans="1:46" s="3" customFormat="1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3"/>
      <c r="L208" s="72"/>
      <c r="M208" s="72"/>
      <c r="N208" s="72"/>
      <c r="O208" s="72"/>
      <c r="P208" s="72"/>
      <c r="Q208" s="72"/>
      <c r="R208" s="74"/>
      <c r="S208" s="72">
        <v>5764.0349999999999</v>
      </c>
      <c r="T208" s="72">
        <v>8593.4110000000001</v>
      </c>
      <c r="U208" s="72">
        <v>8.16</v>
      </c>
      <c r="V208" s="74">
        <v>4</v>
      </c>
      <c r="W208" s="74"/>
      <c r="X208" s="72"/>
      <c r="Y208" s="72"/>
      <c r="Z208" s="72"/>
      <c r="AA208" s="2"/>
      <c r="AB208" s="71"/>
      <c r="AC208" s="71"/>
      <c r="AD208" s="71"/>
      <c r="AE208" s="71"/>
      <c r="AF208" s="71"/>
      <c r="AG208" s="71"/>
      <c r="AH208" s="71"/>
      <c r="AI208" s="71"/>
      <c r="AJ208" s="71"/>
      <c r="AK208" s="71"/>
      <c r="AL208" s="71"/>
      <c r="AM208" s="71"/>
      <c r="AN208" s="71"/>
      <c r="AO208" s="71"/>
      <c r="AP208" s="71"/>
      <c r="AQ208" s="71"/>
      <c r="AR208" s="2"/>
      <c r="AS208" s="2"/>
      <c r="AT208" s="2"/>
    </row>
    <row r="209" spans="1:46" s="3" customFormat="1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3"/>
      <c r="L209" s="72"/>
      <c r="M209" s="72"/>
      <c r="N209" s="72"/>
      <c r="O209" s="72"/>
      <c r="P209" s="72"/>
      <c r="Q209" s="72"/>
      <c r="R209" s="74"/>
      <c r="S209" s="72">
        <v>5687.1030000000001</v>
      </c>
      <c r="T209" s="72">
        <v>8605.2330000000002</v>
      </c>
      <c r="U209" s="72">
        <v>8.14</v>
      </c>
      <c r="V209" s="74">
        <v>5</v>
      </c>
      <c r="W209" s="74"/>
      <c r="X209" s="72"/>
      <c r="Y209" s="72"/>
      <c r="Z209" s="72"/>
      <c r="AA209" s="2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/>
      <c r="AL209" s="71"/>
      <c r="AM209" s="71"/>
      <c r="AN209" s="71"/>
      <c r="AO209" s="71"/>
      <c r="AP209" s="71"/>
      <c r="AQ209" s="71"/>
      <c r="AR209" s="2"/>
      <c r="AS209" s="2"/>
      <c r="AT209" s="2"/>
    </row>
    <row r="210" spans="1:46" s="3" customFormat="1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3"/>
      <c r="L210" s="72"/>
      <c r="M210" s="72"/>
      <c r="N210" s="72"/>
      <c r="O210" s="72"/>
      <c r="P210" s="72"/>
      <c r="Q210" s="72"/>
      <c r="R210" s="74"/>
      <c r="S210" s="72">
        <v>5622.0910000000003</v>
      </c>
      <c r="T210" s="72">
        <v>8621.0020000000004</v>
      </c>
      <c r="U210" s="72">
        <v>7.9969999999999999</v>
      </c>
      <c r="V210" s="74">
        <v>6</v>
      </c>
      <c r="W210" s="74"/>
      <c r="X210" s="72"/>
      <c r="Y210" s="72"/>
      <c r="Z210" s="72"/>
      <c r="AA210" s="2"/>
      <c r="AB210" s="71"/>
      <c r="AC210" s="71"/>
      <c r="AD210" s="71"/>
      <c r="AE210" s="71"/>
      <c r="AF210" s="71"/>
      <c r="AG210" s="71"/>
      <c r="AH210" s="71"/>
      <c r="AI210" s="71"/>
      <c r="AJ210" s="71"/>
      <c r="AK210" s="71"/>
      <c r="AL210" s="71"/>
      <c r="AM210" s="71"/>
      <c r="AN210" s="71"/>
      <c r="AO210" s="71"/>
      <c r="AP210" s="71"/>
      <c r="AQ210" s="71"/>
      <c r="AR210" s="2"/>
      <c r="AS210" s="2"/>
      <c r="AT210" s="2"/>
    </row>
    <row r="211" spans="1:46" s="3" customFormat="1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3"/>
      <c r="L211" s="72"/>
      <c r="M211" s="72"/>
      <c r="N211" s="72"/>
      <c r="O211" s="72"/>
      <c r="P211" s="72"/>
      <c r="Q211" s="72"/>
      <c r="R211" s="74"/>
      <c r="S211" s="72">
        <v>5558.1959999999999</v>
      </c>
      <c r="T211" s="72">
        <v>8622.5360000000001</v>
      </c>
      <c r="U211" s="72">
        <v>7.9020000000000001</v>
      </c>
      <c r="V211" s="74">
        <v>7</v>
      </c>
      <c r="W211" s="74"/>
      <c r="X211" s="72"/>
      <c r="Y211" s="72"/>
      <c r="Z211" s="72"/>
      <c r="AA211" s="2"/>
      <c r="AB211" s="71"/>
      <c r="AC211" s="71"/>
      <c r="AD211" s="71"/>
      <c r="AE211" s="71"/>
      <c r="AF211" s="71"/>
      <c r="AG211" s="71"/>
      <c r="AH211" s="71"/>
      <c r="AI211" s="71"/>
      <c r="AJ211" s="71"/>
      <c r="AK211" s="71"/>
      <c r="AL211" s="71"/>
      <c r="AM211" s="71"/>
      <c r="AN211" s="71"/>
      <c r="AO211" s="71"/>
      <c r="AP211" s="71"/>
      <c r="AQ211" s="71"/>
      <c r="AR211" s="2"/>
      <c r="AS211" s="2"/>
      <c r="AT211" s="2"/>
    </row>
    <row r="212" spans="1:46" s="3" customFormat="1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3"/>
      <c r="L212" s="72"/>
      <c r="M212" s="72"/>
      <c r="N212" s="72"/>
      <c r="O212" s="72"/>
      <c r="P212" s="72"/>
      <c r="Q212" s="72"/>
      <c r="R212" s="74"/>
      <c r="S212" s="72"/>
      <c r="T212" s="72"/>
      <c r="U212" s="72"/>
      <c r="V212" s="74"/>
      <c r="W212" s="74"/>
      <c r="X212" s="72"/>
      <c r="Y212" s="72"/>
      <c r="Z212" s="72"/>
      <c r="AA212" s="2"/>
      <c r="AB212" s="71"/>
      <c r="AC212" s="71"/>
      <c r="AD212" s="71"/>
      <c r="AE212" s="71"/>
      <c r="AF212" s="71"/>
      <c r="AG212" s="71"/>
      <c r="AH212" s="71"/>
      <c r="AI212" s="71"/>
      <c r="AJ212" s="71"/>
      <c r="AK212" s="71"/>
      <c r="AL212" s="71"/>
      <c r="AM212" s="71"/>
      <c r="AN212" s="71"/>
      <c r="AO212" s="71"/>
      <c r="AP212" s="71"/>
      <c r="AQ212" s="71"/>
      <c r="AR212" s="2"/>
      <c r="AS212" s="2"/>
      <c r="AT212" s="2"/>
    </row>
    <row r="213" spans="1:46" s="3" customFormat="1" x14ac:dyDescent="0.25">
      <c r="A213" s="72"/>
      <c r="B213" s="72"/>
      <c r="C213" s="72"/>
      <c r="D213" s="74"/>
      <c r="E213" s="72"/>
      <c r="F213" s="72"/>
      <c r="G213" s="72"/>
      <c r="H213" s="72"/>
      <c r="I213" s="72"/>
      <c r="J213" s="72"/>
      <c r="K213" s="73"/>
      <c r="L213" s="72"/>
      <c r="M213" s="72"/>
      <c r="N213" s="72"/>
      <c r="O213" s="72"/>
      <c r="P213" s="72"/>
      <c r="Q213" s="72"/>
      <c r="R213" s="74"/>
      <c r="S213" s="72">
        <v>5890.8329999999996</v>
      </c>
      <c r="T213" s="72">
        <v>8679.9879999999994</v>
      </c>
      <c r="U213" s="72">
        <v>8.92</v>
      </c>
      <c r="V213" s="74" t="s">
        <v>91</v>
      </c>
      <c r="W213" s="74" t="s">
        <v>73</v>
      </c>
      <c r="X213" s="72"/>
      <c r="Y213" s="72"/>
      <c r="Z213" s="72"/>
      <c r="AA213" s="2"/>
      <c r="AB213" s="71"/>
      <c r="AC213" s="71"/>
      <c r="AD213" s="71"/>
      <c r="AE213" s="71"/>
      <c r="AF213" s="71"/>
      <c r="AG213" s="71"/>
      <c r="AH213" s="71"/>
      <c r="AI213" s="71"/>
      <c r="AJ213" s="71"/>
      <c r="AK213" s="71"/>
      <c r="AL213" s="71"/>
      <c r="AM213" s="71"/>
      <c r="AN213" s="71"/>
      <c r="AO213" s="71"/>
      <c r="AP213" s="71"/>
      <c r="AQ213" s="71"/>
      <c r="AR213" s="2"/>
      <c r="AS213" s="2"/>
      <c r="AT213" s="2"/>
    </row>
    <row r="214" spans="1:46" s="3" customFormat="1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3"/>
      <c r="L214" s="72"/>
      <c r="M214" s="72"/>
      <c r="N214" s="72"/>
      <c r="O214" s="72"/>
      <c r="P214" s="72"/>
      <c r="Q214" s="72"/>
      <c r="R214" s="74"/>
      <c r="S214" s="72">
        <v>5950.4520000000002</v>
      </c>
      <c r="T214" s="72">
        <v>8666.2240000000002</v>
      </c>
      <c r="U214" s="72">
        <v>7.8369999999999997</v>
      </c>
      <c r="V214" s="74">
        <v>1</v>
      </c>
      <c r="W214" s="74"/>
      <c r="X214" s="72"/>
      <c r="Y214" s="72"/>
      <c r="Z214" s="72"/>
      <c r="AA214" s="2"/>
      <c r="AB214" s="71"/>
      <c r="AC214" s="71"/>
      <c r="AD214" s="71"/>
      <c r="AE214" s="71"/>
      <c r="AF214" s="71"/>
      <c r="AG214" s="71"/>
      <c r="AH214" s="71"/>
      <c r="AI214" s="71"/>
      <c r="AJ214" s="71"/>
      <c r="AK214" s="71"/>
      <c r="AL214" s="71"/>
      <c r="AM214" s="71"/>
      <c r="AN214" s="71"/>
      <c r="AO214" s="71"/>
      <c r="AP214" s="71"/>
      <c r="AQ214" s="71"/>
      <c r="AR214" s="2"/>
      <c r="AS214" s="2"/>
      <c r="AT214" s="2"/>
    </row>
    <row r="215" spans="1:46" s="3" customFormat="1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3"/>
      <c r="L215" s="72"/>
      <c r="M215" s="72"/>
      <c r="N215" s="72"/>
      <c r="O215" s="72"/>
      <c r="P215" s="72"/>
      <c r="Q215" s="72"/>
      <c r="R215" s="74"/>
      <c r="S215" s="72">
        <v>6021.31</v>
      </c>
      <c r="T215" s="72">
        <v>8652.2549999999992</v>
      </c>
      <c r="U215" s="72">
        <v>7.62</v>
      </c>
      <c r="V215" s="74">
        <v>2</v>
      </c>
      <c r="W215" s="74"/>
      <c r="X215" s="72"/>
      <c r="Y215" s="72"/>
      <c r="Z215" s="72"/>
      <c r="AA215" s="2"/>
      <c r="AB215" s="71"/>
      <c r="AC215" s="71"/>
      <c r="AD215" s="71"/>
      <c r="AE215" s="71"/>
      <c r="AF215" s="71"/>
      <c r="AG215" s="71"/>
      <c r="AH215" s="71"/>
      <c r="AI215" s="71"/>
      <c r="AJ215" s="71"/>
      <c r="AK215" s="71"/>
      <c r="AL215" s="71"/>
      <c r="AM215" s="71"/>
      <c r="AN215" s="71"/>
      <c r="AO215" s="71"/>
      <c r="AP215" s="71"/>
      <c r="AQ215" s="71"/>
      <c r="AR215" s="2"/>
      <c r="AS215" s="2"/>
      <c r="AT215" s="2"/>
    </row>
    <row r="216" spans="1:46" s="3" customFormat="1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3"/>
      <c r="L216" s="72"/>
      <c r="M216" s="72"/>
      <c r="N216" s="72"/>
      <c r="O216" s="72"/>
      <c r="P216" s="72"/>
      <c r="Q216" s="72"/>
      <c r="R216" s="74"/>
      <c r="S216" s="72">
        <v>6141.2340000000004</v>
      </c>
      <c r="T216" s="72">
        <v>8626.7639999999992</v>
      </c>
      <c r="U216" s="72">
        <v>7.74</v>
      </c>
      <c r="V216" s="74">
        <v>3</v>
      </c>
      <c r="W216" s="74"/>
      <c r="X216" s="72"/>
      <c r="Y216" s="72"/>
      <c r="Z216" s="72"/>
      <c r="AA216" s="2"/>
      <c r="AB216" s="71"/>
      <c r="AC216" s="71"/>
      <c r="AD216" s="71"/>
      <c r="AE216" s="71"/>
      <c r="AF216" s="71"/>
      <c r="AG216" s="71"/>
      <c r="AH216" s="71"/>
      <c r="AI216" s="71"/>
      <c r="AJ216" s="71"/>
      <c r="AK216" s="71"/>
      <c r="AL216" s="71"/>
      <c r="AM216" s="71"/>
      <c r="AN216" s="71"/>
      <c r="AO216" s="71"/>
      <c r="AP216" s="71"/>
      <c r="AQ216" s="71"/>
      <c r="AR216" s="2"/>
      <c r="AS216" s="2"/>
      <c r="AT216" s="2"/>
    </row>
    <row r="217" spans="1:46" s="3" customFormat="1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3"/>
      <c r="L217" s="72"/>
      <c r="M217" s="72"/>
      <c r="N217" s="72"/>
      <c r="O217" s="72"/>
      <c r="P217" s="72"/>
      <c r="Q217" s="72"/>
      <c r="R217" s="74"/>
      <c r="S217" s="72">
        <v>6180.0230000000001</v>
      </c>
      <c r="T217" s="72">
        <v>8613.2240000000002</v>
      </c>
      <c r="U217" s="72">
        <v>7.7089999999999996</v>
      </c>
      <c r="V217" s="74">
        <v>4</v>
      </c>
      <c r="W217" s="74"/>
      <c r="X217" s="72"/>
      <c r="Y217" s="72"/>
      <c r="Z217" s="72"/>
      <c r="AA217" s="2"/>
      <c r="AB217" s="71"/>
      <c r="AC217" s="71"/>
      <c r="AD217" s="71"/>
      <c r="AE217" s="71"/>
      <c r="AF217" s="71"/>
      <c r="AG217" s="71"/>
      <c r="AH217" s="71"/>
      <c r="AI217" s="71"/>
      <c r="AJ217" s="71"/>
      <c r="AK217" s="71"/>
      <c r="AL217" s="71"/>
      <c r="AM217" s="71"/>
      <c r="AN217" s="71"/>
      <c r="AO217" s="71"/>
      <c r="AP217" s="71"/>
      <c r="AQ217" s="71"/>
      <c r="AR217" s="2"/>
      <c r="AS217" s="2"/>
      <c r="AT217" s="2"/>
    </row>
    <row r="218" spans="1:46" s="3" customFormat="1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3"/>
      <c r="L218" s="72"/>
      <c r="M218" s="72"/>
      <c r="N218" s="72"/>
      <c r="O218" s="72"/>
      <c r="P218" s="72"/>
      <c r="Q218" s="72"/>
      <c r="R218" s="74"/>
      <c r="S218" s="72">
        <v>5811.7179999999998</v>
      </c>
      <c r="T218" s="72">
        <v>8695.3670000000002</v>
      </c>
      <c r="U218" s="72">
        <v>8.1590000000000007</v>
      </c>
      <c r="V218" s="74">
        <v>5</v>
      </c>
      <c r="W218" s="74"/>
      <c r="X218" s="72"/>
      <c r="Y218" s="72"/>
      <c r="Z218" s="72"/>
      <c r="AA218" s="2"/>
      <c r="AB218" s="71"/>
      <c r="AC218" s="71"/>
      <c r="AD218" s="71"/>
      <c r="AE218" s="71"/>
      <c r="AF218" s="71"/>
      <c r="AG218" s="71"/>
      <c r="AH218" s="71"/>
      <c r="AI218" s="71"/>
      <c r="AJ218" s="71"/>
      <c r="AK218" s="71"/>
      <c r="AL218" s="71"/>
      <c r="AM218" s="71"/>
      <c r="AN218" s="71"/>
      <c r="AO218" s="71"/>
      <c r="AP218" s="71"/>
      <c r="AQ218" s="71"/>
      <c r="AR218" s="2"/>
      <c r="AS218" s="2"/>
      <c r="AT218" s="2"/>
    </row>
    <row r="219" spans="1:46" s="3" customFormat="1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3"/>
      <c r="L219" s="72"/>
      <c r="M219" s="72"/>
      <c r="N219" s="72"/>
      <c r="O219" s="72"/>
      <c r="P219" s="72"/>
      <c r="Q219" s="72"/>
      <c r="R219" s="74"/>
      <c r="S219" s="72">
        <v>5731.9840000000004</v>
      </c>
      <c r="T219" s="72">
        <v>8713.7530000000006</v>
      </c>
      <c r="U219" s="72">
        <v>8.1780000000000008</v>
      </c>
      <c r="V219" s="74">
        <v>6</v>
      </c>
      <c r="W219" s="74"/>
      <c r="X219" s="72"/>
      <c r="Y219" s="72"/>
      <c r="Z219" s="72"/>
      <c r="AA219" s="2"/>
      <c r="AB219" s="71"/>
      <c r="AC219" s="71"/>
      <c r="AD219" s="71"/>
      <c r="AE219" s="71"/>
      <c r="AF219" s="71"/>
      <c r="AG219" s="71"/>
      <c r="AH219" s="71"/>
      <c r="AI219" s="71"/>
      <c r="AJ219" s="71"/>
      <c r="AK219" s="71"/>
      <c r="AL219" s="71"/>
      <c r="AM219" s="71"/>
      <c r="AN219" s="71"/>
      <c r="AO219" s="71"/>
      <c r="AP219" s="71"/>
      <c r="AQ219" s="71"/>
      <c r="AR219" s="2"/>
      <c r="AS219" s="2"/>
      <c r="AT219" s="2"/>
    </row>
    <row r="220" spans="1:46" s="3" customFormat="1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3"/>
      <c r="L220" s="72"/>
      <c r="M220" s="72"/>
      <c r="N220" s="72"/>
      <c r="O220" s="72"/>
      <c r="P220" s="72"/>
      <c r="Q220" s="72"/>
      <c r="R220" s="74"/>
      <c r="S220" s="72">
        <v>5662.5119999999997</v>
      </c>
      <c r="T220" s="72">
        <v>8724.3700000000008</v>
      </c>
      <c r="U220" s="72">
        <v>7.6619999999999999</v>
      </c>
      <c r="V220" s="74">
        <v>7</v>
      </c>
      <c r="W220" s="74"/>
      <c r="X220" s="72"/>
      <c r="Y220" s="72"/>
      <c r="Z220" s="72"/>
      <c r="AA220" s="2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/>
      <c r="AL220" s="71"/>
      <c r="AM220" s="71"/>
      <c r="AN220" s="71"/>
      <c r="AO220" s="71"/>
      <c r="AP220" s="71"/>
      <c r="AQ220" s="71"/>
      <c r="AR220" s="2"/>
      <c r="AS220" s="2"/>
      <c r="AT220" s="2"/>
    </row>
    <row r="221" spans="1:46" s="3" customFormat="1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3"/>
      <c r="L221" s="72"/>
      <c r="M221" s="72"/>
      <c r="N221" s="72"/>
      <c r="O221" s="72"/>
      <c r="P221" s="72"/>
      <c r="Q221" s="72"/>
      <c r="R221" s="74"/>
      <c r="S221" s="72">
        <v>5599.1530000000002</v>
      </c>
      <c r="T221" s="72">
        <v>8741.9869999999992</v>
      </c>
      <c r="U221" s="72">
        <v>7.298</v>
      </c>
      <c r="V221" s="74">
        <v>8</v>
      </c>
      <c r="W221" s="74"/>
      <c r="X221" s="72"/>
      <c r="Y221" s="72"/>
      <c r="Z221" s="72"/>
      <c r="AA221" s="2"/>
      <c r="AB221" s="71"/>
      <c r="AC221" s="71"/>
      <c r="AD221" s="71"/>
      <c r="AE221" s="71"/>
      <c r="AF221" s="71"/>
      <c r="AG221" s="71"/>
      <c r="AH221" s="71"/>
      <c r="AI221" s="71"/>
      <c r="AJ221" s="71"/>
      <c r="AK221" s="71"/>
      <c r="AL221" s="71"/>
      <c r="AM221" s="71"/>
      <c r="AN221" s="71"/>
      <c r="AO221" s="71"/>
      <c r="AP221" s="71"/>
      <c r="AQ221" s="71"/>
      <c r="AR221" s="2"/>
      <c r="AS221" s="2"/>
      <c r="AT221" s="2"/>
    </row>
    <row r="222" spans="1:46" s="3" customFormat="1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3"/>
      <c r="L222" s="72"/>
      <c r="M222" s="72"/>
      <c r="N222" s="72"/>
      <c r="O222" s="72"/>
      <c r="P222" s="72"/>
      <c r="Q222" s="72"/>
      <c r="R222" s="74"/>
      <c r="S222" s="72"/>
      <c r="T222" s="72"/>
      <c r="U222" s="72"/>
      <c r="V222" s="74"/>
      <c r="W222" s="74"/>
      <c r="X222" s="72"/>
      <c r="Y222" s="72"/>
      <c r="Z222" s="72"/>
      <c r="AA222" s="2"/>
      <c r="AB222" s="71"/>
      <c r="AC222" s="71"/>
      <c r="AD222" s="71"/>
      <c r="AE222" s="71"/>
      <c r="AF222" s="71"/>
      <c r="AG222" s="71"/>
      <c r="AH222" s="71"/>
      <c r="AI222" s="71"/>
      <c r="AJ222" s="71"/>
      <c r="AK222" s="71"/>
      <c r="AL222" s="71"/>
      <c r="AM222" s="71"/>
      <c r="AN222" s="71"/>
      <c r="AO222" s="71"/>
      <c r="AP222" s="71"/>
      <c r="AQ222" s="71"/>
      <c r="AR222" s="2"/>
      <c r="AS222" s="2"/>
      <c r="AT222" s="2"/>
    </row>
    <row r="223" spans="1:46" s="3" customFormat="1" x14ac:dyDescent="0.25">
      <c r="A223" s="72"/>
      <c r="B223" s="72"/>
      <c r="C223" s="72"/>
      <c r="D223" s="74"/>
      <c r="E223" s="72"/>
      <c r="F223" s="72"/>
      <c r="G223" s="72"/>
      <c r="H223" s="72"/>
      <c r="I223" s="72"/>
      <c r="J223" s="72"/>
      <c r="K223" s="73"/>
      <c r="L223" s="72"/>
      <c r="M223" s="72"/>
      <c r="N223" s="72"/>
      <c r="O223" s="72"/>
      <c r="P223" s="72"/>
      <c r="Q223" s="72"/>
      <c r="R223" s="74"/>
      <c r="S223" s="72">
        <v>5935.92</v>
      </c>
      <c r="T223" s="72">
        <v>8848.2530000000006</v>
      </c>
      <c r="U223" s="72">
        <v>8.84</v>
      </c>
      <c r="V223" s="74" t="s">
        <v>92</v>
      </c>
      <c r="W223" s="74" t="s">
        <v>73</v>
      </c>
      <c r="X223" s="72"/>
      <c r="Y223" s="72"/>
      <c r="Z223" s="72"/>
      <c r="AA223" s="2"/>
      <c r="AB223" s="71"/>
      <c r="AC223" s="71"/>
      <c r="AD223" s="71"/>
      <c r="AE223" s="71"/>
      <c r="AF223" s="71"/>
      <c r="AG223" s="71"/>
      <c r="AH223" s="71"/>
      <c r="AI223" s="71"/>
      <c r="AJ223" s="71"/>
      <c r="AK223" s="71"/>
      <c r="AL223" s="71"/>
      <c r="AM223" s="71"/>
      <c r="AN223" s="71"/>
      <c r="AO223" s="71"/>
      <c r="AP223" s="71"/>
      <c r="AQ223" s="71"/>
      <c r="AR223" s="2"/>
      <c r="AS223" s="2"/>
      <c r="AT223" s="2"/>
    </row>
    <row r="224" spans="1:46" s="3" customFormat="1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3"/>
      <c r="L224" s="72"/>
      <c r="M224" s="72"/>
      <c r="N224" s="72"/>
      <c r="O224" s="72"/>
      <c r="P224" s="72"/>
      <c r="Q224" s="72"/>
      <c r="R224" s="74"/>
      <c r="S224" s="72">
        <v>6162.0829999999996</v>
      </c>
      <c r="T224" s="72">
        <v>8844.3050000000003</v>
      </c>
      <c r="U224" s="72">
        <v>8.6530000000000005</v>
      </c>
      <c r="V224" s="74">
        <v>5</v>
      </c>
      <c r="W224" s="74"/>
      <c r="X224" s="72"/>
      <c r="Y224" s="72"/>
      <c r="Z224" s="72"/>
      <c r="AA224" s="2"/>
      <c r="AB224" s="71"/>
      <c r="AC224" s="71"/>
      <c r="AD224" s="71"/>
      <c r="AE224" s="71"/>
      <c r="AF224" s="71"/>
      <c r="AG224" s="71"/>
      <c r="AH224" s="71"/>
      <c r="AI224" s="71"/>
      <c r="AJ224" s="71"/>
      <c r="AK224" s="71"/>
      <c r="AL224" s="71"/>
      <c r="AM224" s="71"/>
      <c r="AN224" s="71"/>
      <c r="AO224" s="71"/>
      <c r="AP224" s="71"/>
      <c r="AQ224" s="71"/>
      <c r="AR224" s="2"/>
      <c r="AS224" s="2"/>
      <c r="AT224" s="2"/>
    </row>
    <row r="225" spans="1:46" s="3" customFormat="1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3"/>
      <c r="L225" s="72"/>
      <c r="M225" s="72"/>
      <c r="N225" s="72"/>
      <c r="O225" s="72"/>
      <c r="P225" s="72"/>
      <c r="Q225" s="72"/>
      <c r="R225" s="74"/>
      <c r="S225" s="72">
        <v>6249.87</v>
      </c>
      <c r="T225" s="72">
        <v>8842.7729999999992</v>
      </c>
      <c r="U225" s="72">
        <v>8.423</v>
      </c>
      <c r="V225" s="74">
        <v>6</v>
      </c>
      <c r="W225" s="74"/>
      <c r="X225" s="72"/>
      <c r="Y225" s="72"/>
      <c r="Z225" s="72"/>
      <c r="AA225" s="2"/>
      <c r="AB225" s="71"/>
      <c r="AC225" s="71"/>
      <c r="AD225" s="71"/>
      <c r="AE225" s="71"/>
      <c r="AF225" s="71"/>
      <c r="AG225" s="71"/>
      <c r="AH225" s="71"/>
      <c r="AI225" s="71"/>
      <c r="AJ225" s="71"/>
      <c r="AK225" s="71"/>
      <c r="AL225" s="71"/>
      <c r="AM225" s="71"/>
      <c r="AN225" s="71"/>
      <c r="AO225" s="71"/>
      <c r="AP225" s="71"/>
      <c r="AQ225" s="71"/>
      <c r="AR225" s="2"/>
      <c r="AS225" s="2"/>
      <c r="AT225" s="2"/>
    </row>
    <row r="226" spans="1:46" s="3" customFormat="1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3"/>
      <c r="L226" s="72"/>
      <c r="M226" s="72"/>
      <c r="N226" s="72"/>
      <c r="O226" s="72"/>
      <c r="P226" s="72"/>
      <c r="Q226" s="72"/>
      <c r="R226" s="74"/>
      <c r="S226" s="72">
        <v>5680.0820000000003</v>
      </c>
      <c r="T226" s="72">
        <v>8839.3189999999995</v>
      </c>
      <c r="U226" s="72">
        <v>8.0540000000000003</v>
      </c>
      <c r="V226" s="74">
        <v>7</v>
      </c>
      <c r="W226" s="74"/>
      <c r="X226" s="72"/>
      <c r="Y226" s="72"/>
      <c r="Z226" s="72"/>
      <c r="AA226" s="2"/>
      <c r="AB226" s="71"/>
      <c r="AC226" s="71"/>
      <c r="AD226" s="71"/>
      <c r="AE226" s="71"/>
      <c r="AF226" s="71"/>
      <c r="AG226" s="71"/>
      <c r="AH226" s="71"/>
      <c r="AI226" s="71"/>
      <c r="AJ226" s="71"/>
      <c r="AK226" s="71"/>
      <c r="AL226" s="71"/>
      <c r="AM226" s="71"/>
      <c r="AN226" s="71"/>
      <c r="AO226" s="71"/>
      <c r="AP226" s="71"/>
      <c r="AQ226" s="71"/>
      <c r="AR226" s="2"/>
      <c r="AS226" s="2"/>
      <c r="AT226" s="2"/>
    </row>
    <row r="227" spans="1:46" s="3" customFormat="1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3"/>
      <c r="L227" s="72"/>
      <c r="M227" s="72"/>
      <c r="N227" s="72"/>
      <c r="O227" s="72"/>
      <c r="P227" s="72"/>
      <c r="Q227" s="72"/>
      <c r="R227" s="74"/>
      <c r="S227" s="72">
        <v>5607.1760000000004</v>
      </c>
      <c r="T227" s="72">
        <v>8831.0239999999994</v>
      </c>
      <c r="U227" s="72">
        <v>7.9039999999999999</v>
      </c>
      <c r="V227" s="74">
        <v>8</v>
      </c>
      <c r="W227" s="74"/>
      <c r="X227" s="72"/>
      <c r="Y227" s="72"/>
      <c r="Z227" s="72"/>
      <c r="AA227" s="2"/>
      <c r="AB227" s="71"/>
      <c r="AC227" s="71"/>
      <c r="AD227" s="71"/>
      <c r="AE227" s="71"/>
      <c r="AF227" s="71"/>
      <c r="AG227" s="71"/>
      <c r="AH227" s="71"/>
      <c r="AI227" s="71"/>
      <c r="AJ227" s="71"/>
      <c r="AK227" s="71"/>
      <c r="AL227" s="71"/>
      <c r="AM227" s="71"/>
      <c r="AN227" s="71"/>
      <c r="AO227" s="71"/>
      <c r="AP227" s="71"/>
      <c r="AQ227" s="71"/>
      <c r="AR227" s="2"/>
      <c r="AS227" s="2"/>
      <c r="AT227" s="2"/>
    </row>
    <row r="228" spans="1:46" s="3" customFormat="1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3"/>
      <c r="L228" s="72"/>
      <c r="M228" s="72"/>
      <c r="N228" s="72"/>
      <c r="O228" s="72"/>
      <c r="P228" s="72"/>
      <c r="Q228" s="72"/>
      <c r="R228" s="74"/>
      <c r="S228" s="72">
        <v>5823.509</v>
      </c>
      <c r="T228" s="72">
        <v>8772.4310000000005</v>
      </c>
      <c r="U228" s="72">
        <v>8.2189999999999994</v>
      </c>
      <c r="V228" s="74">
        <v>9</v>
      </c>
      <c r="W228" s="74"/>
      <c r="X228" s="72"/>
      <c r="Y228" s="72"/>
      <c r="Z228" s="72"/>
      <c r="AA228" s="2"/>
      <c r="AB228" s="71"/>
      <c r="AC228" s="71"/>
      <c r="AD228" s="71"/>
      <c r="AE228" s="71"/>
      <c r="AF228" s="71"/>
      <c r="AG228" s="71"/>
      <c r="AH228" s="71"/>
      <c r="AI228" s="71"/>
      <c r="AJ228" s="71"/>
      <c r="AK228" s="71"/>
      <c r="AL228" s="71"/>
      <c r="AM228" s="71"/>
      <c r="AN228" s="71"/>
      <c r="AO228" s="71"/>
      <c r="AP228" s="71"/>
      <c r="AQ228" s="71"/>
      <c r="AR228" s="2"/>
      <c r="AS228" s="2"/>
      <c r="AT228" s="2"/>
    </row>
    <row r="229" spans="1:46" s="3" customFormat="1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3"/>
      <c r="L229" s="72"/>
      <c r="M229" s="72"/>
      <c r="N229" s="72"/>
      <c r="O229" s="72"/>
      <c r="P229" s="72"/>
      <c r="Q229" s="72"/>
      <c r="R229" s="74"/>
      <c r="S229" s="72">
        <v>6090.7550000000001</v>
      </c>
      <c r="T229" s="72">
        <v>8785.6949999999997</v>
      </c>
      <c r="U229" s="72">
        <v>8.3710000000000004</v>
      </c>
      <c r="V229" s="74">
        <v>10</v>
      </c>
      <c r="W229" s="74"/>
      <c r="X229" s="72"/>
      <c r="Y229" s="72"/>
      <c r="Z229" s="72"/>
      <c r="AA229" s="2"/>
      <c r="AB229" s="71"/>
      <c r="AC229" s="71"/>
      <c r="AD229" s="71"/>
      <c r="AE229" s="71"/>
      <c r="AF229" s="71"/>
      <c r="AG229" s="71"/>
      <c r="AH229" s="71"/>
      <c r="AI229" s="71"/>
      <c r="AJ229" s="71"/>
      <c r="AK229" s="71"/>
      <c r="AL229" s="71"/>
      <c r="AM229" s="71"/>
      <c r="AN229" s="71"/>
      <c r="AO229" s="71"/>
      <c r="AP229" s="71"/>
      <c r="AQ229" s="71"/>
      <c r="AR229" s="2"/>
      <c r="AS229" s="2"/>
      <c r="AT229" s="2"/>
    </row>
    <row r="230" spans="1:46" s="3" customFormat="1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3"/>
      <c r="L230" s="72"/>
      <c r="M230" s="72"/>
      <c r="N230" s="72"/>
      <c r="O230" s="72"/>
      <c r="P230" s="72"/>
      <c r="Q230" s="72"/>
      <c r="R230" s="74"/>
      <c r="S230" s="72">
        <v>6158.0910000000003</v>
      </c>
      <c r="T230" s="72">
        <v>8749.3359999999993</v>
      </c>
      <c r="U230" s="72">
        <v>8.3249999999999993</v>
      </c>
      <c r="V230" s="74">
        <v>11</v>
      </c>
      <c r="W230" s="74"/>
      <c r="X230" s="72"/>
      <c r="Y230" s="72"/>
      <c r="Z230" s="72"/>
      <c r="AA230" s="2"/>
      <c r="AB230" s="71"/>
      <c r="AC230" s="71"/>
      <c r="AD230" s="71"/>
      <c r="AE230" s="71"/>
      <c r="AF230" s="71"/>
      <c r="AG230" s="71"/>
      <c r="AH230" s="71"/>
      <c r="AI230" s="71"/>
      <c r="AJ230" s="71"/>
      <c r="AK230" s="71"/>
      <c r="AL230" s="71"/>
      <c r="AM230" s="71"/>
      <c r="AN230" s="71"/>
      <c r="AO230" s="71"/>
      <c r="AP230" s="71"/>
      <c r="AQ230" s="71"/>
      <c r="AR230" s="2"/>
      <c r="AS230" s="2"/>
      <c r="AT230" s="2"/>
    </row>
    <row r="231" spans="1:46" s="3" customFormat="1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3"/>
      <c r="L231" s="72"/>
      <c r="M231" s="72"/>
      <c r="N231" s="72"/>
      <c r="O231" s="72"/>
      <c r="P231" s="72"/>
      <c r="Q231" s="72"/>
      <c r="R231" s="74"/>
      <c r="S231" s="72">
        <v>6243.3639999999996</v>
      </c>
      <c r="T231" s="72">
        <v>8717.7510000000002</v>
      </c>
      <c r="U231" s="72">
        <v>7.9820000000000002</v>
      </c>
      <c r="V231" s="74">
        <v>12</v>
      </c>
      <c r="W231" s="74"/>
      <c r="X231" s="72"/>
      <c r="Y231" s="72"/>
      <c r="Z231" s="72"/>
      <c r="AA231" s="2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/>
      <c r="AL231" s="71"/>
      <c r="AM231" s="71"/>
      <c r="AN231" s="71"/>
      <c r="AO231" s="71"/>
      <c r="AP231" s="71"/>
      <c r="AQ231" s="71"/>
      <c r="AR231" s="2"/>
      <c r="AS231" s="2"/>
      <c r="AT231" s="2"/>
    </row>
    <row r="232" spans="1:46" s="3" customFormat="1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3"/>
      <c r="L232" s="72"/>
      <c r="M232" s="72"/>
      <c r="N232" s="72"/>
      <c r="O232" s="72"/>
      <c r="P232" s="72"/>
      <c r="Q232" s="72"/>
      <c r="R232" s="74"/>
      <c r="S232" s="72">
        <v>6015.3339999999998</v>
      </c>
      <c r="T232" s="72">
        <v>8750.1849999999995</v>
      </c>
      <c r="U232" s="72">
        <v>8.1440000000000001</v>
      </c>
      <c r="V232" s="74">
        <v>13</v>
      </c>
      <c r="W232" s="74"/>
      <c r="X232" s="72"/>
      <c r="Y232" s="72"/>
      <c r="Z232" s="72"/>
      <c r="AA232" s="2"/>
      <c r="AB232" s="71"/>
      <c r="AC232" s="71"/>
      <c r="AD232" s="71"/>
      <c r="AE232" s="71"/>
      <c r="AF232" s="71"/>
      <c r="AG232" s="71"/>
      <c r="AH232" s="71"/>
      <c r="AI232" s="71"/>
      <c r="AJ232" s="71"/>
      <c r="AK232" s="71"/>
      <c r="AL232" s="71"/>
      <c r="AM232" s="71"/>
      <c r="AN232" s="71"/>
      <c r="AO232" s="71"/>
      <c r="AP232" s="71"/>
      <c r="AQ232" s="71"/>
      <c r="AR232" s="2"/>
      <c r="AS232" s="2"/>
      <c r="AT232" s="2"/>
    </row>
    <row r="233" spans="1:46" s="3" customFormat="1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3"/>
      <c r="L233" s="72"/>
      <c r="M233" s="72"/>
      <c r="N233" s="72"/>
      <c r="O233" s="72"/>
      <c r="P233" s="72"/>
      <c r="Q233" s="72"/>
      <c r="R233" s="74"/>
      <c r="S233" s="72"/>
      <c r="T233" s="72"/>
      <c r="U233" s="72"/>
      <c r="V233" s="74"/>
      <c r="W233" s="74"/>
      <c r="X233" s="72"/>
      <c r="Y233" s="72"/>
      <c r="Z233" s="72"/>
      <c r="AA233" s="2"/>
      <c r="AB233" s="71"/>
      <c r="AC233" s="71"/>
      <c r="AD233" s="71"/>
      <c r="AE233" s="71"/>
      <c r="AF233" s="71"/>
      <c r="AG233" s="71"/>
      <c r="AH233" s="71"/>
      <c r="AI233" s="71"/>
      <c r="AJ233" s="71"/>
      <c r="AK233" s="71"/>
      <c r="AL233" s="71"/>
      <c r="AM233" s="71"/>
      <c r="AN233" s="71"/>
      <c r="AO233" s="71"/>
      <c r="AP233" s="71"/>
      <c r="AQ233" s="71"/>
      <c r="AR233" s="2"/>
      <c r="AS233" s="2"/>
      <c r="AT233" s="2"/>
    </row>
    <row r="234" spans="1:46" s="3" customFormat="1" x14ac:dyDescent="0.25">
      <c r="A234" s="72"/>
      <c r="B234" s="72"/>
      <c r="C234" s="72"/>
      <c r="D234" s="74"/>
      <c r="E234" s="72"/>
      <c r="F234" s="72"/>
      <c r="G234" s="72"/>
      <c r="H234" s="72"/>
      <c r="I234" s="72"/>
      <c r="J234" s="72"/>
      <c r="K234" s="73"/>
      <c r="L234" s="72"/>
      <c r="M234" s="72"/>
      <c r="N234" s="72"/>
      <c r="O234" s="72"/>
      <c r="P234" s="72"/>
      <c r="Q234" s="72"/>
      <c r="R234" s="74"/>
      <c r="S234" s="72">
        <v>5973.6840000000002</v>
      </c>
      <c r="T234" s="72">
        <v>8957.9290000000001</v>
      </c>
      <c r="U234" s="72">
        <v>8.76</v>
      </c>
      <c r="V234" s="74" t="s">
        <v>93</v>
      </c>
      <c r="W234" s="74" t="s">
        <v>73</v>
      </c>
      <c r="X234" s="72"/>
      <c r="Y234" s="72"/>
      <c r="Z234" s="72"/>
      <c r="AA234" s="2"/>
      <c r="AB234" s="71"/>
      <c r="AC234" s="71"/>
      <c r="AD234" s="71"/>
      <c r="AE234" s="71"/>
      <c r="AF234" s="71"/>
      <c r="AG234" s="71"/>
      <c r="AH234" s="71"/>
      <c r="AI234" s="71"/>
      <c r="AJ234" s="71"/>
      <c r="AK234" s="71"/>
      <c r="AL234" s="71"/>
      <c r="AM234" s="71"/>
      <c r="AN234" s="71"/>
      <c r="AO234" s="71"/>
      <c r="AP234" s="71"/>
      <c r="AQ234" s="71"/>
      <c r="AR234" s="2"/>
      <c r="AS234" s="2"/>
      <c r="AT234" s="2"/>
    </row>
    <row r="235" spans="1:46" s="3" customFormat="1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3"/>
      <c r="L235" s="72"/>
      <c r="M235" s="72"/>
      <c r="N235" s="72"/>
      <c r="O235" s="72"/>
      <c r="P235" s="72"/>
      <c r="Q235" s="72"/>
      <c r="R235" s="74"/>
      <c r="S235" s="72">
        <v>6044.2830000000004</v>
      </c>
      <c r="T235" s="72">
        <v>8957.9290000000001</v>
      </c>
      <c r="U235" s="72">
        <v>8.4939999999999998</v>
      </c>
      <c r="V235" s="74">
        <v>1</v>
      </c>
      <c r="W235" s="74"/>
      <c r="X235" s="72"/>
      <c r="Y235" s="72"/>
      <c r="Z235" s="72"/>
      <c r="AA235" s="2"/>
      <c r="AB235" s="71"/>
      <c r="AC235" s="71"/>
      <c r="AD235" s="71"/>
      <c r="AE235" s="71"/>
      <c r="AF235" s="71"/>
      <c r="AG235" s="71"/>
      <c r="AH235" s="71"/>
      <c r="AI235" s="71"/>
      <c r="AJ235" s="71"/>
      <c r="AK235" s="71"/>
      <c r="AL235" s="71"/>
      <c r="AM235" s="71"/>
      <c r="AN235" s="71"/>
      <c r="AO235" s="71"/>
      <c r="AP235" s="71"/>
      <c r="AQ235" s="71"/>
      <c r="AR235" s="2"/>
      <c r="AS235" s="2"/>
      <c r="AT235" s="2"/>
    </row>
    <row r="236" spans="1:46" s="3" customFormat="1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3"/>
      <c r="L236" s="72"/>
      <c r="M236" s="72"/>
      <c r="N236" s="72"/>
      <c r="O236" s="72"/>
      <c r="P236" s="72"/>
      <c r="Q236" s="72"/>
      <c r="R236" s="74"/>
      <c r="S236" s="72">
        <v>6109.8609999999999</v>
      </c>
      <c r="T236" s="72">
        <v>8955.5519999999997</v>
      </c>
      <c r="U236" s="72">
        <v>8.1270000000000007</v>
      </c>
      <c r="V236" s="74">
        <v>2</v>
      </c>
      <c r="W236" s="74"/>
      <c r="X236" s="72"/>
      <c r="Y236" s="72"/>
      <c r="Z236" s="72"/>
      <c r="AA236" s="2"/>
      <c r="AB236" s="71"/>
      <c r="AC236" s="71"/>
      <c r="AD236" s="71"/>
      <c r="AE236" s="71"/>
      <c r="AF236" s="71"/>
      <c r="AG236" s="71"/>
      <c r="AH236" s="71"/>
      <c r="AI236" s="71"/>
      <c r="AJ236" s="71"/>
      <c r="AK236" s="71"/>
      <c r="AL236" s="71"/>
      <c r="AM236" s="71"/>
      <c r="AN236" s="71"/>
      <c r="AO236" s="71"/>
      <c r="AP236" s="71"/>
      <c r="AQ236" s="71"/>
      <c r="AR236" s="2"/>
      <c r="AS236" s="2"/>
      <c r="AT236" s="2"/>
    </row>
    <row r="237" spans="1:46" s="3" customFormat="1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3"/>
      <c r="L237" s="72"/>
      <c r="M237" s="72"/>
      <c r="N237" s="72"/>
      <c r="O237" s="72"/>
      <c r="P237" s="72"/>
      <c r="Q237" s="72"/>
      <c r="R237" s="74"/>
      <c r="S237" s="72">
        <v>6189.6819999999998</v>
      </c>
      <c r="T237" s="72">
        <v>8957.9290000000001</v>
      </c>
      <c r="U237" s="72">
        <v>8.07</v>
      </c>
      <c r="V237" s="74">
        <v>3</v>
      </c>
      <c r="W237" s="74"/>
      <c r="X237" s="72"/>
      <c r="Y237" s="72"/>
      <c r="Z237" s="72"/>
      <c r="AA237" s="2"/>
      <c r="AB237" s="71"/>
      <c r="AC237" s="71"/>
      <c r="AD237" s="71"/>
      <c r="AE237" s="71"/>
      <c r="AF237" s="71"/>
      <c r="AG237" s="71"/>
      <c r="AH237" s="71"/>
      <c r="AI237" s="71"/>
      <c r="AJ237" s="71"/>
      <c r="AK237" s="71"/>
      <c r="AL237" s="71"/>
      <c r="AM237" s="71"/>
      <c r="AN237" s="71"/>
      <c r="AO237" s="71"/>
      <c r="AP237" s="71"/>
      <c r="AQ237" s="71"/>
      <c r="AR237" s="2"/>
      <c r="AS237" s="2"/>
      <c r="AT237" s="2"/>
    </row>
    <row r="238" spans="1:46" s="3" customFormat="1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3"/>
      <c r="L238" s="72"/>
      <c r="M238" s="72"/>
      <c r="N238" s="72"/>
      <c r="O238" s="72"/>
      <c r="P238" s="72"/>
      <c r="Q238" s="72"/>
      <c r="R238" s="74"/>
      <c r="S238" s="72">
        <v>6266.7039999999997</v>
      </c>
      <c r="T238" s="72">
        <v>8947.6970000000001</v>
      </c>
      <c r="U238" s="72">
        <v>8.0690000000000008</v>
      </c>
      <c r="V238" s="74">
        <v>4</v>
      </c>
      <c r="W238" s="74"/>
      <c r="X238" s="72"/>
      <c r="Y238" s="72"/>
      <c r="Z238" s="72"/>
      <c r="AA238" s="2"/>
      <c r="AB238" s="71"/>
      <c r="AC238" s="71"/>
      <c r="AD238" s="71"/>
      <c r="AE238" s="71"/>
      <c r="AF238" s="71"/>
      <c r="AG238" s="71"/>
      <c r="AH238" s="71"/>
      <c r="AI238" s="71"/>
      <c r="AJ238" s="71"/>
      <c r="AK238" s="71"/>
      <c r="AL238" s="71"/>
      <c r="AM238" s="71"/>
      <c r="AN238" s="71"/>
      <c r="AO238" s="71"/>
      <c r="AP238" s="71"/>
      <c r="AQ238" s="71"/>
      <c r="AR238" s="2"/>
      <c r="AS238" s="2"/>
      <c r="AT238" s="2"/>
    </row>
    <row r="239" spans="1:46" s="3" customFormat="1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3"/>
      <c r="L239" s="72"/>
      <c r="M239" s="72"/>
      <c r="N239" s="72"/>
      <c r="O239" s="72"/>
      <c r="P239" s="72"/>
      <c r="Q239" s="72"/>
      <c r="R239" s="74"/>
      <c r="S239" s="72">
        <v>5882.5</v>
      </c>
      <c r="T239" s="72">
        <v>8956.3379999999997</v>
      </c>
      <c r="U239" s="72">
        <v>8.3629999999999995</v>
      </c>
      <c r="V239" s="74">
        <v>5</v>
      </c>
      <c r="W239" s="74"/>
      <c r="X239" s="72"/>
      <c r="Y239" s="72"/>
      <c r="Z239" s="72"/>
      <c r="AA239" s="2"/>
      <c r="AB239" s="71"/>
      <c r="AC239" s="71"/>
      <c r="AD239" s="71"/>
      <c r="AE239" s="71"/>
      <c r="AF239" s="71"/>
      <c r="AG239" s="71"/>
      <c r="AH239" s="71"/>
      <c r="AI239" s="71"/>
      <c r="AJ239" s="71"/>
      <c r="AK239" s="71"/>
      <c r="AL239" s="71"/>
      <c r="AM239" s="71"/>
      <c r="AN239" s="71"/>
      <c r="AO239" s="71"/>
      <c r="AP239" s="71"/>
      <c r="AQ239" s="71"/>
      <c r="AR239" s="2"/>
      <c r="AS239" s="2"/>
      <c r="AT239" s="2"/>
    </row>
    <row r="240" spans="1:46" s="3" customFormat="1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3"/>
      <c r="L240" s="72"/>
      <c r="M240" s="72"/>
      <c r="N240" s="72"/>
      <c r="O240" s="72"/>
      <c r="P240" s="72"/>
      <c r="Q240" s="72"/>
      <c r="R240" s="74"/>
      <c r="S240" s="72">
        <v>5799.6859999999997</v>
      </c>
      <c r="T240" s="72">
        <v>8957.9290000000001</v>
      </c>
      <c r="U240" s="72">
        <v>8.2040000000000006</v>
      </c>
      <c r="V240" s="74">
        <v>6</v>
      </c>
      <c r="W240" s="74"/>
      <c r="X240" s="72"/>
      <c r="Y240" s="72"/>
      <c r="Z240" s="72"/>
      <c r="AA240" s="2"/>
      <c r="AB240" s="71"/>
      <c r="AC240" s="71"/>
      <c r="AD240" s="71"/>
      <c r="AE240" s="71"/>
      <c r="AF240" s="71"/>
      <c r="AG240" s="71"/>
      <c r="AH240" s="71"/>
      <c r="AI240" s="71"/>
      <c r="AJ240" s="71"/>
      <c r="AK240" s="71"/>
      <c r="AL240" s="71"/>
      <c r="AM240" s="71"/>
      <c r="AN240" s="71"/>
      <c r="AO240" s="71"/>
      <c r="AP240" s="71"/>
      <c r="AQ240" s="71"/>
      <c r="AR240" s="2"/>
      <c r="AS240" s="2"/>
      <c r="AT240" s="2"/>
    </row>
    <row r="241" spans="1:55" s="3" customFormat="1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3"/>
      <c r="L241" s="72"/>
      <c r="M241" s="72"/>
      <c r="N241" s="72"/>
      <c r="O241" s="72"/>
      <c r="P241" s="72"/>
      <c r="Q241" s="72"/>
      <c r="R241" s="74"/>
      <c r="S241" s="72">
        <v>5721.2860000000001</v>
      </c>
      <c r="T241" s="72">
        <v>8957.9290000000001</v>
      </c>
      <c r="U241" s="72">
        <v>8.1</v>
      </c>
      <c r="V241" s="74">
        <v>7</v>
      </c>
      <c r="W241" s="74"/>
      <c r="X241" s="72"/>
      <c r="Y241" s="72"/>
      <c r="Z241" s="72"/>
      <c r="AA241" s="2"/>
      <c r="AB241" s="71"/>
      <c r="AC241" s="71"/>
      <c r="AD241" s="71"/>
      <c r="AE241" s="71"/>
      <c r="AF241" s="71"/>
      <c r="AG241" s="71"/>
      <c r="AH241" s="71"/>
      <c r="AI241" s="71"/>
      <c r="AJ241" s="71"/>
      <c r="AK241" s="71"/>
      <c r="AL241" s="71"/>
      <c r="AM241" s="71"/>
      <c r="AN241" s="71"/>
      <c r="AO241" s="71"/>
      <c r="AP241" s="71"/>
      <c r="AQ241" s="71"/>
      <c r="AR241" s="2"/>
      <c r="AS241" s="2"/>
      <c r="AT241" s="2"/>
    </row>
    <row r="242" spans="1:55" s="3" customFormat="1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3"/>
      <c r="L242" s="72"/>
      <c r="M242" s="72"/>
      <c r="N242" s="72"/>
      <c r="O242" s="72"/>
      <c r="P242" s="72"/>
      <c r="Q242" s="72"/>
      <c r="R242" s="74"/>
      <c r="S242" s="72">
        <v>5634.7380000000003</v>
      </c>
      <c r="T242" s="72">
        <v>8952.0130000000008</v>
      </c>
      <c r="U242" s="72">
        <v>7.9720000000000004</v>
      </c>
      <c r="V242" s="74">
        <v>8</v>
      </c>
      <c r="W242" s="74"/>
      <c r="X242" s="72"/>
      <c r="Y242" s="72"/>
      <c r="Z242" s="72"/>
      <c r="AA242" s="2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/>
      <c r="AL242" s="71"/>
      <c r="AM242" s="71"/>
      <c r="AN242" s="71"/>
      <c r="AO242" s="71"/>
      <c r="AP242" s="71"/>
      <c r="AQ242" s="71"/>
      <c r="AR242" s="2"/>
      <c r="AS242" s="2"/>
      <c r="AT242" s="2"/>
    </row>
    <row r="243" spans="1:55" s="3" customFormat="1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3"/>
      <c r="L243" s="72"/>
      <c r="M243" s="72"/>
      <c r="N243" s="72"/>
      <c r="O243" s="72"/>
      <c r="P243" s="72"/>
      <c r="Q243" s="72"/>
      <c r="R243" s="74"/>
      <c r="S243" s="72">
        <v>6016.6880000000001</v>
      </c>
      <c r="T243" s="72">
        <v>9069.9590000000007</v>
      </c>
      <c r="U243" s="72">
        <v>8.072000000000001</v>
      </c>
      <c r="V243" s="74">
        <v>15</v>
      </c>
      <c r="W243" s="74" t="s">
        <v>73</v>
      </c>
      <c r="X243" s="72"/>
      <c r="Y243" s="72"/>
      <c r="Z243" s="72"/>
      <c r="AA243" s="2"/>
      <c r="AB243" s="71"/>
      <c r="AC243" s="71"/>
      <c r="AD243" s="71"/>
      <c r="AE243" s="71"/>
      <c r="AF243" s="71"/>
      <c r="AG243" s="71"/>
      <c r="AH243" s="71"/>
      <c r="AI243" s="71"/>
      <c r="AJ243" s="71"/>
      <c r="AK243" s="71"/>
      <c r="AL243" s="71"/>
      <c r="AM243" s="71"/>
      <c r="AN243" s="71"/>
      <c r="AO243" s="71"/>
      <c r="AP243" s="71"/>
      <c r="AQ243" s="71"/>
      <c r="AR243" s="2"/>
      <c r="AS243" s="2"/>
      <c r="AT243" s="2"/>
    </row>
    <row r="244" spans="1:55" s="3" customFormat="1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3"/>
      <c r="L244" s="72"/>
      <c r="M244" s="72"/>
      <c r="N244" s="72"/>
      <c r="O244" s="72"/>
      <c r="P244" s="72"/>
      <c r="Q244" s="72"/>
      <c r="R244" s="74"/>
      <c r="S244" s="72">
        <v>5998.375</v>
      </c>
      <c r="T244" s="72">
        <v>9025.7659999999996</v>
      </c>
      <c r="U244" s="72">
        <v>7.6720000000000006</v>
      </c>
      <c r="V244" s="74" t="s">
        <v>94</v>
      </c>
      <c r="W244" s="74"/>
      <c r="X244" s="72"/>
      <c r="Y244" s="72"/>
      <c r="Z244" s="72" t="s">
        <v>78</v>
      </c>
      <c r="AA244" s="2"/>
      <c r="AB244" s="71"/>
      <c r="AC244" s="71"/>
      <c r="AD244" s="71"/>
      <c r="AE244" s="71"/>
      <c r="AF244" s="71"/>
      <c r="AG244" s="71"/>
      <c r="AH244" s="71"/>
      <c r="AI244" s="71"/>
      <c r="AJ244" s="71"/>
      <c r="AK244" s="71"/>
      <c r="AL244" s="71"/>
      <c r="AM244" s="71"/>
      <c r="AN244" s="71"/>
      <c r="AO244" s="71"/>
      <c r="AP244" s="71"/>
      <c r="AQ244" s="71"/>
      <c r="AR244" s="2"/>
      <c r="AS244" s="2"/>
      <c r="AT244" s="2"/>
    </row>
    <row r="245" spans="1:55" s="3" customFormat="1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3"/>
      <c r="L245" s="72"/>
      <c r="M245" s="72"/>
      <c r="N245" s="72"/>
      <c r="O245" s="72"/>
      <c r="P245" s="72"/>
      <c r="Q245" s="72"/>
      <c r="R245" s="74"/>
      <c r="S245" s="72"/>
      <c r="T245" s="72"/>
      <c r="U245" s="72"/>
      <c r="V245" s="74"/>
      <c r="W245" s="74"/>
      <c r="X245" s="72"/>
      <c r="Y245" s="72"/>
      <c r="Z245" s="72"/>
      <c r="AA245" s="2"/>
      <c r="AB245" s="71"/>
      <c r="AC245" s="71"/>
      <c r="AD245" s="71"/>
      <c r="AE245" s="71"/>
      <c r="AF245" s="71"/>
      <c r="AG245" s="71"/>
      <c r="AH245" s="71"/>
      <c r="AI245" s="71"/>
      <c r="AJ245" s="71"/>
      <c r="AK245" s="71"/>
      <c r="AL245" s="71"/>
      <c r="AM245" s="71"/>
      <c r="AN245" s="71"/>
      <c r="AO245" s="71"/>
      <c r="AP245" s="71"/>
      <c r="AQ245" s="71"/>
      <c r="AR245" s="2"/>
      <c r="AS245" s="2"/>
      <c r="AT245" s="2"/>
    </row>
    <row r="246" spans="1:55" s="3" customFormat="1" x14ac:dyDescent="0.25">
      <c r="A246" s="72"/>
      <c r="B246" s="72"/>
      <c r="C246" s="72"/>
      <c r="D246" s="74"/>
      <c r="E246" s="72"/>
      <c r="F246" s="72"/>
      <c r="G246" s="72"/>
      <c r="H246" s="72"/>
      <c r="I246" s="72"/>
      <c r="J246" s="72"/>
      <c r="K246" s="73"/>
      <c r="L246" s="72"/>
      <c r="M246" s="72"/>
      <c r="N246" s="72"/>
      <c r="O246" s="72"/>
      <c r="P246" s="72"/>
      <c r="Q246" s="72"/>
      <c r="R246" s="74"/>
      <c r="S246" s="72">
        <v>6016.6880000000001</v>
      </c>
      <c r="T246" s="72">
        <v>9069.9590000000007</v>
      </c>
      <c r="U246" s="72">
        <v>8.072000000000001</v>
      </c>
      <c r="V246" s="74">
        <v>15</v>
      </c>
      <c r="W246" s="74" t="s">
        <v>73</v>
      </c>
      <c r="X246" s="72"/>
      <c r="Y246" s="72"/>
      <c r="Z246" s="72"/>
      <c r="AA246" s="2"/>
      <c r="AB246" s="71"/>
      <c r="AC246" s="71"/>
      <c r="AD246" s="71"/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2"/>
      <c r="AS246" s="2"/>
      <c r="AT246" s="2"/>
    </row>
    <row r="247" spans="1:55" s="3" customFormat="1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3"/>
      <c r="L247" s="72"/>
      <c r="M247" s="72"/>
      <c r="N247" s="72"/>
      <c r="O247" s="72"/>
      <c r="P247" s="72"/>
      <c r="Q247" s="72"/>
      <c r="R247" s="74"/>
      <c r="S247" s="72">
        <v>6056.4309999999996</v>
      </c>
      <c r="T247" s="72">
        <v>9179.1509999999998</v>
      </c>
      <c r="U247" s="72">
        <v>8.15</v>
      </c>
      <c r="V247" s="74">
        <v>16</v>
      </c>
      <c r="W247" s="74" t="s">
        <v>73</v>
      </c>
      <c r="X247" s="72"/>
      <c r="Y247" s="72"/>
      <c r="Z247" s="72"/>
      <c r="AA247" s="2"/>
      <c r="AB247" s="71"/>
      <c r="AC247" s="71"/>
      <c r="AD247" s="71"/>
      <c r="AE247" s="71"/>
      <c r="AF247" s="71"/>
      <c r="AG247" s="71"/>
      <c r="AH247" s="71"/>
      <c r="AI247" s="71"/>
      <c r="AJ247" s="71"/>
      <c r="AK247" s="71"/>
      <c r="AL247" s="71"/>
      <c r="AM247" s="71"/>
      <c r="AN247" s="71"/>
      <c r="AO247" s="71"/>
      <c r="AP247" s="71"/>
      <c r="AQ247" s="71"/>
      <c r="AR247" s="2"/>
      <c r="AS247" s="2"/>
      <c r="AT247" s="2"/>
    </row>
    <row r="248" spans="1:55" s="3" customFormat="1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3"/>
      <c r="L248" s="72"/>
      <c r="M248" s="72"/>
      <c r="N248" s="72"/>
      <c r="O248" s="72"/>
      <c r="P248" s="72"/>
      <c r="Q248" s="72"/>
      <c r="R248" s="74"/>
      <c r="S248" s="72">
        <v>6092.683</v>
      </c>
      <c r="T248" s="72">
        <v>9069.9590000000007</v>
      </c>
      <c r="U248" s="72">
        <v>8.3219999999999992</v>
      </c>
      <c r="V248" s="74">
        <v>1</v>
      </c>
      <c r="W248" s="74"/>
      <c r="X248" s="72"/>
      <c r="Y248" s="72"/>
      <c r="Z248" s="72"/>
      <c r="AA248" s="2"/>
      <c r="AB248" s="71"/>
      <c r="AC248" s="71"/>
      <c r="AD248" s="71"/>
      <c r="AE248" s="71"/>
      <c r="AF248" s="71"/>
      <c r="AG248" s="71"/>
      <c r="AH248" s="71"/>
      <c r="AI248" s="71"/>
      <c r="AJ248" s="71"/>
      <c r="AK248" s="71"/>
      <c r="AL248" s="71"/>
      <c r="AM248" s="71"/>
      <c r="AN248" s="71"/>
      <c r="AO248" s="71"/>
      <c r="AP248" s="71"/>
      <c r="AQ248" s="71"/>
      <c r="AR248" s="2"/>
      <c r="AS248" s="2"/>
      <c r="AT248" s="2"/>
    </row>
    <row r="249" spans="1:55" s="3" customFormat="1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3"/>
      <c r="L249" s="72"/>
      <c r="M249" s="72"/>
      <c r="N249" s="72"/>
      <c r="O249" s="72"/>
      <c r="P249" s="72"/>
      <c r="Q249" s="72"/>
      <c r="R249" s="74"/>
      <c r="S249" s="72">
        <v>6164.8639999999996</v>
      </c>
      <c r="T249" s="72">
        <v>9072.5450000000001</v>
      </c>
      <c r="U249" s="72">
        <v>8.4030000000000005</v>
      </c>
      <c r="V249" s="74">
        <v>2</v>
      </c>
      <c r="W249" s="74"/>
      <c r="X249" s="72"/>
      <c r="Y249" s="72"/>
      <c r="Z249" s="72"/>
      <c r="AA249" s="2"/>
      <c r="AB249" s="71"/>
      <c r="AC249" s="71"/>
      <c r="AD249" s="71"/>
      <c r="AE249" s="71"/>
      <c r="AF249" s="71"/>
      <c r="AG249" s="71"/>
      <c r="AH249" s="71"/>
      <c r="AI249" s="71"/>
      <c r="AJ249" s="71"/>
      <c r="AK249" s="71"/>
      <c r="AL249" s="71"/>
      <c r="AM249" s="71"/>
      <c r="AN249" s="71"/>
      <c r="AO249" s="71"/>
      <c r="AP249" s="71"/>
      <c r="AQ249" s="71"/>
      <c r="AR249" s="2"/>
      <c r="AS249" s="2"/>
      <c r="AT249" s="2"/>
    </row>
    <row r="250" spans="1:55" s="3" customFormat="1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3"/>
      <c r="L250" s="72"/>
      <c r="M250" s="72"/>
      <c r="N250" s="72"/>
      <c r="O250" s="72"/>
      <c r="P250" s="72"/>
      <c r="Q250" s="72"/>
      <c r="R250" s="74"/>
      <c r="S250" s="72">
        <v>6231.0519999999997</v>
      </c>
      <c r="T250" s="72">
        <v>9066.2170000000006</v>
      </c>
      <c r="U250" s="72">
        <v>8.09</v>
      </c>
      <c r="V250" s="74">
        <v>3</v>
      </c>
      <c r="W250" s="74"/>
      <c r="X250" s="72"/>
      <c r="Y250" s="72"/>
      <c r="Z250" s="72"/>
      <c r="AA250" s="2"/>
      <c r="AB250" s="71"/>
      <c r="AC250" s="71"/>
      <c r="AD250" s="71"/>
      <c r="AE250" s="71"/>
      <c r="AF250" s="71"/>
      <c r="AG250" s="71"/>
      <c r="AH250" s="71"/>
      <c r="AI250" s="71"/>
      <c r="AJ250" s="71"/>
      <c r="AK250" s="71"/>
      <c r="AL250" s="71"/>
      <c r="AM250" s="71"/>
      <c r="AN250" s="71"/>
      <c r="AO250" s="71"/>
      <c r="AP250" s="71"/>
      <c r="AQ250" s="71"/>
      <c r="AR250" s="2"/>
      <c r="AS250" s="2"/>
      <c r="AT250" s="2"/>
    </row>
    <row r="251" spans="1:55" s="3" customFormat="1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3"/>
      <c r="L251" s="72"/>
      <c r="M251" s="72"/>
      <c r="N251" s="72"/>
      <c r="O251" s="72"/>
      <c r="P251" s="72"/>
      <c r="Q251" s="72"/>
      <c r="R251" s="74"/>
      <c r="S251" s="72">
        <v>6303.8860000000004</v>
      </c>
      <c r="T251" s="72">
        <v>9069.9590000000007</v>
      </c>
      <c r="U251" s="72">
        <v>8.1280000000000001</v>
      </c>
      <c r="V251" s="74">
        <v>4</v>
      </c>
      <c r="W251" s="74"/>
      <c r="X251" s="72"/>
      <c r="Y251" s="72"/>
      <c r="Z251" s="72"/>
      <c r="AA251" s="2"/>
      <c r="AB251" s="71"/>
      <c r="AC251" s="71"/>
      <c r="AD251" s="71"/>
      <c r="AE251" s="71"/>
      <c r="AF251" s="71"/>
      <c r="AG251" s="71"/>
      <c r="AH251" s="71"/>
      <c r="AI251" s="71"/>
      <c r="AJ251" s="71"/>
      <c r="AK251" s="71"/>
      <c r="AL251" s="71"/>
      <c r="AM251" s="71"/>
      <c r="AN251" s="71"/>
      <c r="AO251" s="71"/>
      <c r="AP251" s="71"/>
      <c r="AQ251" s="71"/>
      <c r="AR251" s="2"/>
      <c r="AS251" s="2"/>
      <c r="AT251" s="2"/>
    </row>
    <row r="252" spans="1:55" s="3" customFormat="1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3"/>
      <c r="L252" s="72"/>
      <c r="M252" s="72"/>
      <c r="N252" s="72"/>
      <c r="O252" s="72"/>
      <c r="P252" s="72"/>
      <c r="Q252" s="72"/>
      <c r="R252" s="74"/>
      <c r="S252" s="72">
        <v>5938.3059999999996</v>
      </c>
      <c r="T252" s="72">
        <v>9068.5910000000003</v>
      </c>
      <c r="U252" s="72">
        <v>8.3019999999999996</v>
      </c>
      <c r="V252" s="74">
        <v>5</v>
      </c>
      <c r="W252" s="74"/>
      <c r="X252" s="72"/>
      <c r="Y252" s="72"/>
      <c r="Z252" s="72"/>
      <c r="AA252" s="2"/>
      <c r="AB252" s="71"/>
      <c r="AC252" s="71"/>
      <c r="AD252" s="71"/>
      <c r="AE252" s="71"/>
      <c r="AF252" s="71"/>
      <c r="AG252" s="71"/>
      <c r="AH252" s="71"/>
      <c r="AI252" s="71"/>
      <c r="AJ252" s="71"/>
      <c r="AK252" s="71"/>
      <c r="AL252" s="71"/>
      <c r="AM252" s="71"/>
      <c r="AN252" s="71"/>
      <c r="AO252" s="71"/>
      <c r="AP252" s="71"/>
      <c r="AQ252" s="71"/>
      <c r="AR252" s="2"/>
      <c r="AS252" s="2"/>
      <c r="AT252" s="2"/>
    </row>
    <row r="253" spans="1:55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3"/>
      <c r="L253" s="72"/>
      <c r="M253" s="72"/>
      <c r="N253" s="72"/>
      <c r="O253" s="72"/>
      <c r="P253" s="72"/>
      <c r="Q253" s="72"/>
      <c r="R253" s="72"/>
      <c r="S253" s="72">
        <v>5840.491</v>
      </c>
      <c r="T253" s="72">
        <v>9069.9590000000007</v>
      </c>
      <c r="U253" s="72">
        <v>8.2970000000000006</v>
      </c>
      <c r="V253" s="72">
        <v>6</v>
      </c>
      <c r="W253" s="72"/>
      <c r="X253" s="72"/>
      <c r="Y253" s="72"/>
      <c r="Z253" s="72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/>
      <c r="AL253" s="71"/>
      <c r="AM253" s="71"/>
      <c r="AN253" s="71"/>
      <c r="AO253" s="71"/>
      <c r="AP253" s="71"/>
      <c r="AQ253" s="71"/>
      <c r="AU253" s="3"/>
      <c r="AV253" s="3"/>
      <c r="AW253" s="3"/>
      <c r="AX253" s="3"/>
      <c r="AY253" s="3"/>
      <c r="AZ253" s="3"/>
      <c r="BA253" s="3"/>
      <c r="BB253" s="3"/>
      <c r="BC253" s="3"/>
    </row>
    <row r="254" spans="1:55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3"/>
      <c r="L254" s="72"/>
      <c r="M254" s="72"/>
      <c r="N254" s="72"/>
      <c r="O254" s="72"/>
      <c r="P254" s="72"/>
      <c r="Q254" s="72"/>
      <c r="R254" s="72"/>
      <c r="S254" s="72">
        <v>5767.8440000000001</v>
      </c>
      <c r="T254" s="72">
        <v>9061.2690000000002</v>
      </c>
      <c r="U254" s="72">
        <v>7.9489999999999998</v>
      </c>
      <c r="V254" s="72">
        <v>7</v>
      </c>
      <c r="W254" s="72"/>
      <c r="X254" s="72"/>
      <c r="Y254" s="72"/>
      <c r="Z254" s="72"/>
      <c r="AB254" s="71"/>
      <c r="AC254" s="71"/>
      <c r="AD254" s="71"/>
      <c r="AE254" s="71"/>
      <c r="AF254" s="71"/>
      <c r="AG254" s="71"/>
      <c r="AH254" s="71"/>
      <c r="AI254" s="71"/>
      <c r="AJ254" s="71"/>
      <c r="AK254" s="71"/>
      <c r="AL254" s="71"/>
      <c r="AM254" s="71"/>
      <c r="AN254" s="71"/>
      <c r="AO254" s="71"/>
      <c r="AP254" s="71"/>
      <c r="AQ254" s="71"/>
    </row>
    <row r="255" spans="1:55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3"/>
      <c r="L255" s="72"/>
      <c r="M255" s="72"/>
      <c r="N255" s="72"/>
      <c r="O255" s="72"/>
      <c r="P255" s="72"/>
      <c r="Q255" s="72"/>
      <c r="R255" s="72"/>
      <c r="S255" s="72">
        <v>5702.9229999999998</v>
      </c>
      <c r="T255" s="72">
        <v>9053.5149999999994</v>
      </c>
      <c r="U255" s="72">
        <v>7.8659999999999997</v>
      </c>
      <c r="V255" s="72">
        <v>8</v>
      </c>
      <c r="W255" s="72"/>
      <c r="X255" s="72"/>
      <c r="Y255" s="72"/>
      <c r="Z255" s="72"/>
      <c r="AB255" s="71"/>
      <c r="AC255" s="71"/>
      <c r="AD255" s="71"/>
      <c r="AE255" s="71"/>
      <c r="AF255" s="71"/>
      <c r="AG255" s="71"/>
      <c r="AH255" s="71"/>
      <c r="AI255" s="71"/>
      <c r="AJ255" s="71"/>
      <c r="AK255" s="71"/>
      <c r="AL255" s="71"/>
      <c r="AM255" s="71"/>
      <c r="AN255" s="71"/>
      <c r="AO255" s="71"/>
      <c r="AP255" s="71"/>
      <c r="AQ255" s="71"/>
    </row>
    <row r="256" spans="1:55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3"/>
      <c r="L256" s="72"/>
      <c r="M256" s="72"/>
      <c r="N256" s="72"/>
      <c r="O256" s="72"/>
      <c r="P256" s="72"/>
      <c r="Q256" s="72"/>
      <c r="R256" s="72"/>
      <c r="S256" s="72">
        <v>6043.1750000000002</v>
      </c>
      <c r="T256" s="72">
        <v>9132.3580000000002</v>
      </c>
      <c r="U256" s="72">
        <v>7.9</v>
      </c>
      <c r="V256" s="72" t="s">
        <v>94</v>
      </c>
      <c r="W256" s="72"/>
      <c r="X256" s="72"/>
      <c r="Y256" s="72"/>
      <c r="Z256" s="72" t="s">
        <v>78</v>
      </c>
      <c r="AB256" s="71"/>
      <c r="AC256" s="71"/>
      <c r="AD256" s="71"/>
      <c r="AE256" s="71"/>
      <c r="AF256" s="71"/>
      <c r="AG256" s="71"/>
      <c r="AH256" s="71"/>
      <c r="AI256" s="71"/>
      <c r="AJ256" s="71"/>
      <c r="AK256" s="71"/>
      <c r="AL256" s="71"/>
      <c r="AM256" s="71"/>
      <c r="AN256" s="71"/>
      <c r="AO256" s="71"/>
      <c r="AP256" s="71"/>
      <c r="AQ256" s="71"/>
    </row>
    <row r="257" spans="1:43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3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  <c r="AB257" s="71"/>
      <c r="AC257" s="71"/>
      <c r="AD257" s="71"/>
      <c r="AE257" s="71"/>
      <c r="AF257" s="71"/>
      <c r="AG257" s="71"/>
      <c r="AH257" s="71"/>
      <c r="AI257" s="71"/>
      <c r="AJ257" s="71"/>
      <c r="AK257" s="71"/>
      <c r="AL257" s="71"/>
      <c r="AM257" s="71"/>
      <c r="AN257" s="71"/>
      <c r="AO257" s="71"/>
      <c r="AP257" s="71"/>
      <c r="AQ257" s="71"/>
    </row>
    <row r="258" spans="1:43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3"/>
      <c r="L258" s="72"/>
      <c r="M258" s="72"/>
      <c r="N258" s="72"/>
      <c r="O258" s="72"/>
      <c r="P258" s="72"/>
      <c r="Q258" s="72"/>
      <c r="R258" s="72"/>
      <c r="S258" s="72">
        <v>6056.4309999999996</v>
      </c>
      <c r="T258" s="72">
        <v>9179.1509999999998</v>
      </c>
      <c r="U258" s="72">
        <v>8.15</v>
      </c>
      <c r="V258" s="72">
        <v>16</v>
      </c>
      <c r="W258" s="72" t="s">
        <v>73</v>
      </c>
      <c r="X258" s="72"/>
      <c r="Y258" s="72"/>
      <c r="Z258" s="72"/>
      <c r="AB258" s="71"/>
      <c r="AC258" s="71"/>
      <c r="AD258" s="71"/>
      <c r="AE258" s="71"/>
      <c r="AF258" s="71"/>
      <c r="AG258" s="71"/>
      <c r="AH258" s="71"/>
      <c r="AI258" s="71"/>
      <c r="AJ258" s="71"/>
      <c r="AK258" s="71"/>
      <c r="AL258" s="71"/>
      <c r="AM258" s="71"/>
      <c r="AN258" s="71"/>
      <c r="AO258" s="71"/>
      <c r="AP258" s="71"/>
      <c r="AQ258" s="71"/>
    </row>
    <row r="259" spans="1:43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3"/>
      <c r="L259" s="72"/>
      <c r="M259" s="72"/>
      <c r="N259" s="72"/>
      <c r="O259" s="72"/>
      <c r="P259" s="72"/>
      <c r="Q259" s="72"/>
      <c r="R259" s="72"/>
      <c r="S259" s="72">
        <v>6120.692</v>
      </c>
      <c r="T259" s="72">
        <v>9278.1029999999992</v>
      </c>
      <c r="U259" s="72">
        <v>8.25</v>
      </c>
      <c r="V259" s="72">
        <v>17</v>
      </c>
      <c r="W259" s="72" t="s">
        <v>73</v>
      </c>
      <c r="X259" s="72"/>
      <c r="Y259" s="72"/>
      <c r="Z259" s="72"/>
      <c r="AB259" s="71"/>
      <c r="AC259" s="71"/>
      <c r="AD259" s="71"/>
      <c r="AE259" s="71"/>
      <c r="AF259" s="71"/>
      <c r="AG259" s="71"/>
      <c r="AH259" s="71"/>
      <c r="AI259" s="71"/>
      <c r="AJ259" s="71"/>
      <c r="AK259" s="71"/>
      <c r="AL259" s="71"/>
      <c r="AM259" s="71"/>
      <c r="AN259" s="71"/>
      <c r="AO259" s="71"/>
      <c r="AP259" s="71"/>
      <c r="AQ259" s="71"/>
    </row>
    <row r="260" spans="1:43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3"/>
      <c r="L260" s="72"/>
      <c r="M260" s="72"/>
      <c r="N260" s="72"/>
      <c r="O260" s="72"/>
      <c r="P260" s="72"/>
      <c r="Q260" s="72"/>
      <c r="R260" s="72"/>
      <c r="S260" s="72">
        <v>6123.4179999999997</v>
      </c>
      <c r="T260" s="72">
        <v>9179.1509999999998</v>
      </c>
      <c r="U260" s="72">
        <v>8.4209999999999994</v>
      </c>
      <c r="V260" s="72">
        <v>1</v>
      </c>
      <c r="W260" s="72"/>
      <c r="X260" s="72"/>
      <c r="Y260" s="72"/>
      <c r="Z260" s="72"/>
      <c r="AB260" s="71"/>
      <c r="AC260" s="71"/>
      <c r="AD260" s="71"/>
      <c r="AE260" s="71"/>
      <c r="AF260" s="71"/>
      <c r="AG260" s="71"/>
      <c r="AH260" s="71"/>
      <c r="AI260" s="71"/>
      <c r="AJ260" s="71"/>
      <c r="AK260" s="71"/>
      <c r="AL260" s="71"/>
      <c r="AM260" s="71"/>
      <c r="AN260" s="71"/>
      <c r="AO260" s="71"/>
      <c r="AP260" s="71"/>
      <c r="AQ260" s="71"/>
    </row>
    <row r="261" spans="1:43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3"/>
      <c r="L261" s="72"/>
      <c r="M261" s="72"/>
      <c r="N261" s="72"/>
      <c r="O261" s="72"/>
      <c r="P261" s="72"/>
      <c r="Q261" s="72"/>
      <c r="R261" s="72"/>
      <c r="S261" s="72">
        <v>6195.741</v>
      </c>
      <c r="T261" s="72">
        <v>9174.2860000000001</v>
      </c>
      <c r="U261" s="72">
        <v>8.5259999999999998</v>
      </c>
      <c r="V261" s="72">
        <v>2</v>
      </c>
      <c r="W261" s="72"/>
      <c r="X261" s="72"/>
      <c r="Y261" s="72"/>
      <c r="Z261" s="72"/>
      <c r="AB261" s="71"/>
      <c r="AC261" s="71"/>
      <c r="AD261" s="71"/>
      <c r="AE261" s="71"/>
      <c r="AF261" s="71"/>
      <c r="AG261" s="71"/>
      <c r="AH261" s="71"/>
      <c r="AI261" s="71"/>
      <c r="AJ261" s="71"/>
      <c r="AK261" s="71"/>
      <c r="AL261" s="71"/>
      <c r="AM261" s="71"/>
      <c r="AN261" s="71"/>
      <c r="AO261" s="71"/>
      <c r="AP261" s="71"/>
      <c r="AQ261" s="71"/>
    </row>
    <row r="262" spans="1:43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3"/>
      <c r="L262" s="72"/>
      <c r="M262" s="72"/>
      <c r="N262" s="72"/>
      <c r="O262" s="72"/>
      <c r="P262" s="72"/>
      <c r="Q262" s="72"/>
      <c r="R262" s="72"/>
      <c r="S262" s="72">
        <v>6261.6210000000001</v>
      </c>
      <c r="T262" s="72">
        <v>9179.1509999999998</v>
      </c>
      <c r="U262" s="72">
        <v>8.68</v>
      </c>
      <c r="V262" s="72">
        <v>3</v>
      </c>
      <c r="W262" s="72"/>
      <c r="X262" s="72"/>
      <c r="Y262" s="72"/>
      <c r="Z262" s="72"/>
      <c r="AB262" s="71"/>
      <c r="AC262" s="71"/>
      <c r="AD262" s="71"/>
      <c r="AE262" s="71"/>
      <c r="AF262" s="71"/>
      <c r="AG262" s="71"/>
      <c r="AH262" s="71"/>
      <c r="AI262" s="71"/>
      <c r="AJ262" s="71"/>
      <c r="AK262" s="71"/>
      <c r="AL262" s="71"/>
      <c r="AM262" s="71"/>
      <c r="AN262" s="71"/>
      <c r="AO262" s="71"/>
      <c r="AP262" s="71"/>
      <c r="AQ262" s="71"/>
    </row>
    <row r="263" spans="1:43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3"/>
      <c r="L263" s="72"/>
      <c r="M263" s="72"/>
      <c r="N263" s="72"/>
      <c r="O263" s="72"/>
      <c r="P263" s="72"/>
      <c r="Q263" s="72"/>
      <c r="R263" s="72"/>
      <c r="S263" s="72">
        <v>6319.3869999999997</v>
      </c>
      <c r="T263" s="72">
        <v>9174.5609999999997</v>
      </c>
      <c r="U263" s="72">
        <v>8.266</v>
      </c>
      <c r="V263" s="72">
        <v>4</v>
      </c>
      <c r="W263" s="72"/>
      <c r="X263" s="72"/>
      <c r="Y263" s="72"/>
      <c r="Z263" s="72"/>
      <c r="AB263" s="71"/>
      <c r="AC263" s="71"/>
      <c r="AD263" s="71"/>
      <c r="AE263" s="71"/>
      <c r="AF263" s="71"/>
      <c r="AG263" s="71"/>
      <c r="AH263" s="71"/>
      <c r="AI263" s="71"/>
      <c r="AJ263" s="71"/>
      <c r="AK263" s="71"/>
      <c r="AL263" s="71"/>
      <c r="AM263" s="71"/>
      <c r="AN263" s="71"/>
      <c r="AO263" s="71"/>
      <c r="AP263" s="71"/>
      <c r="AQ263" s="71"/>
    </row>
    <row r="264" spans="1:43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3"/>
      <c r="L264" s="72"/>
      <c r="M264" s="72"/>
      <c r="N264" s="72"/>
      <c r="O264" s="72"/>
      <c r="P264" s="72"/>
      <c r="Q264" s="72"/>
      <c r="R264" s="72"/>
      <c r="S264" s="72">
        <v>6385.5789999999997</v>
      </c>
      <c r="T264" s="72">
        <v>9184.8960000000006</v>
      </c>
      <c r="U264" s="72">
        <v>8.4749999999999996</v>
      </c>
      <c r="V264" s="72">
        <v>5</v>
      </c>
      <c r="W264" s="72"/>
      <c r="X264" s="72"/>
      <c r="Y264" s="72"/>
      <c r="Z264" s="72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/>
      <c r="AL264" s="71"/>
      <c r="AM264" s="71"/>
      <c r="AN264" s="71"/>
      <c r="AO264" s="71"/>
      <c r="AP264" s="71"/>
      <c r="AQ264" s="71"/>
    </row>
    <row r="265" spans="1:43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3"/>
      <c r="L265" s="72"/>
      <c r="M265" s="72"/>
      <c r="N265" s="72"/>
      <c r="O265" s="72"/>
      <c r="P265" s="72"/>
      <c r="Q265" s="72"/>
      <c r="R265" s="72"/>
      <c r="S265" s="72">
        <v>5990.8519999999999</v>
      </c>
      <c r="T265" s="72">
        <v>9178.0059999999994</v>
      </c>
      <c r="U265" s="72">
        <v>8.4969999999999999</v>
      </c>
      <c r="V265" s="72">
        <v>6</v>
      </c>
      <c r="W265" s="72"/>
      <c r="X265" s="72"/>
      <c r="Y265" s="72"/>
      <c r="Z265" s="72"/>
      <c r="AB265" s="71"/>
      <c r="AC265" s="71"/>
      <c r="AD265" s="71"/>
      <c r="AE265" s="71"/>
      <c r="AF265" s="71"/>
      <c r="AG265" s="71"/>
      <c r="AH265" s="71"/>
      <c r="AI265" s="71"/>
      <c r="AJ265" s="71"/>
      <c r="AK265" s="71"/>
      <c r="AL265" s="71"/>
      <c r="AM265" s="71"/>
      <c r="AN265" s="71"/>
      <c r="AO265" s="71"/>
      <c r="AP265" s="71"/>
      <c r="AQ265" s="71"/>
    </row>
    <row r="266" spans="1:43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3"/>
      <c r="L266" s="72"/>
      <c r="M266" s="72"/>
      <c r="N266" s="72"/>
      <c r="O266" s="72"/>
      <c r="P266" s="72"/>
      <c r="Q266" s="72"/>
      <c r="R266" s="72"/>
      <c r="S266" s="72">
        <v>5913.0349999999999</v>
      </c>
      <c r="T266" s="72">
        <v>9179.1509999999998</v>
      </c>
      <c r="U266" s="72">
        <v>8.5860000000000003</v>
      </c>
      <c r="V266" s="72">
        <v>7</v>
      </c>
      <c r="W266" s="72"/>
      <c r="X266" s="72"/>
      <c r="Y266" s="72"/>
      <c r="Z266" s="72"/>
      <c r="AB266" s="71"/>
      <c r="AC266" s="71"/>
      <c r="AD266" s="71"/>
      <c r="AE266" s="71"/>
      <c r="AF266" s="71"/>
      <c r="AG266" s="71"/>
      <c r="AH266" s="71"/>
      <c r="AI266" s="71"/>
      <c r="AJ266" s="71"/>
      <c r="AK266" s="71"/>
      <c r="AL266" s="71"/>
      <c r="AM266" s="71"/>
      <c r="AN266" s="71"/>
      <c r="AO266" s="71"/>
      <c r="AP266" s="71"/>
      <c r="AQ266" s="71"/>
    </row>
    <row r="267" spans="1:43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3"/>
      <c r="L267" s="72"/>
      <c r="M267" s="72"/>
      <c r="N267" s="72"/>
      <c r="O267" s="72"/>
      <c r="P267" s="72"/>
      <c r="Q267" s="72"/>
      <c r="R267" s="72"/>
      <c r="S267" s="72">
        <v>5823.5770000000002</v>
      </c>
      <c r="T267" s="72">
        <v>9171.02</v>
      </c>
      <c r="U267" s="72">
        <v>8.32</v>
      </c>
      <c r="V267" s="72">
        <v>8</v>
      </c>
      <c r="W267" s="72"/>
      <c r="X267" s="72"/>
      <c r="Y267" s="72"/>
      <c r="Z267" s="72"/>
      <c r="AB267" s="71"/>
      <c r="AC267" s="71"/>
      <c r="AD267" s="71"/>
      <c r="AE267" s="71"/>
      <c r="AF267" s="71"/>
      <c r="AG267" s="71"/>
      <c r="AH267" s="71"/>
      <c r="AI267" s="71"/>
      <c r="AJ267" s="71"/>
      <c r="AK267" s="71"/>
      <c r="AL267" s="71"/>
      <c r="AM267" s="71"/>
      <c r="AN267" s="71"/>
      <c r="AO267" s="71"/>
      <c r="AP267" s="71"/>
      <c r="AQ267" s="71"/>
    </row>
    <row r="268" spans="1:43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3"/>
      <c r="L268" s="72"/>
      <c r="M268" s="72"/>
      <c r="N268" s="72"/>
      <c r="O268" s="72"/>
      <c r="P268" s="72"/>
      <c r="Q268" s="72"/>
      <c r="R268" s="72"/>
      <c r="S268" s="72">
        <v>5740.4840000000004</v>
      </c>
      <c r="T268" s="72">
        <v>9184.6659999999993</v>
      </c>
      <c r="U268" s="72">
        <v>8.1419999999999995</v>
      </c>
      <c r="V268" s="72">
        <v>9</v>
      </c>
      <c r="W268" s="72"/>
      <c r="X268" s="72"/>
      <c r="Y268" s="72"/>
      <c r="Z268" s="72"/>
      <c r="AB268" s="71"/>
      <c r="AC268" s="71"/>
      <c r="AD268" s="71"/>
      <c r="AE268" s="71"/>
      <c r="AF268" s="71"/>
      <c r="AG268" s="71"/>
      <c r="AH268" s="71"/>
      <c r="AI268" s="71"/>
      <c r="AJ268" s="71"/>
      <c r="AK268" s="71"/>
      <c r="AL268" s="71"/>
      <c r="AM268" s="71"/>
      <c r="AN268" s="71"/>
      <c r="AO268" s="71"/>
      <c r="AP268" s="71"/>
      <c r="AQ268" s="71"/>
    </row>
    <row r="269" spans="1:43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3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  <c r="AB269" s="71"/>
      <c r="AC269" s="71"/>
      <c r="AD269" s="71"/>
      <c r="AE269" s="71"/>
      <c r="AF269" s="71"/>
      <c r="AG269" s="71"/>
      <c r="AH269" s="71"/>
      <c r="AI269" s="71"/>
      <c r="AJ269" s="71"/>
      <c r="AK269" s="71"/>
      <c r="AL269" s="71"/>
      <c r="AM269" s="71"/>
      <c r="AN269" s="71"/>
      <c r="AO269" s="71"/>
      <c r="AP269" s="71"/>
      <c r="AQ269" s="71"/>
    </row>
    <row r="270" spans="1:43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3"/>
      <c r="L270" s="72"/>
      <c r="M270" s="72"/>
      <c r="N270" s="72"/>
      <c r="O270" s="72"/>
      <c r="P270" s="72"/>
      <c r="Q270" s="72"/>
      <c r="R270" s="72"/>
      <c r="S270" s="72">
        <v>6120.692</v>
      </c>
      <c r="T270" s="72">
        <v>9278.1029999999992</v>
      </c>
      <c r="U270" s="72">
        <v>8.25</v>
      </c>
      <c r="V270" s="72">
        <v>17</v>
      </c>
      <c r="W270" s="72" t="s">
        <v>73</v>
      </c>
      <c r="X270" s="72"/>
      <c r="Y270" s="72"/>
      <c r="Z270" s="72"/>
      <c r="AB270" s="71"/>
      <c r="AC270" s="71"/>
      <c r="AD270" s="71"/>
      <c r="AE270" s="71"/>
      <c r="AF270" s="71"/>
      <c r="AG270" s="71"/>
      <c r="AH270" s="71"/>
      <c r="AI270" s="71"/>
      <c r="AJ270" s="71"/>
      <c r="AK270" s="71"/>
      <c r="AL270" s="71"/>
      <c r="AM270" s="71"/>
      <c r="AN270" s="71"/>
      <c r="AO270" s="71"/>
      <c r="AP270" s="71"/>
      <c r="AQ270" s="71"/>
    </row>
    <row r="271" spans="1:43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3"/>
      <c r="L271" s="72"/>
      <c r="M271" s="72"/>
      <c r="N271" s="72"/>
      <c r="O271" s="72"/>
      <c r="P271" s="72"/>
      <c r="Q271" s="72"/>
      <c r="R271" s="72"/>
      <c r="S271" s="72">
        <v>6159.4809999999998</v>
      </c>
      <c r="T271" s="72">
        <v>9340.18</v>
      </c>
      <c r="U271" s="72">
        <v>8.4</v>
      </c>
      <c r="V271" s="72">
        <v>18</v>
      </c>
      <c r="W271" s="72" t="s">
        <v>73</v>
      </c>
      <c r="X271" s="72"/>
      <c r="Y271" s="72"/>
      <c r="Z271" s="72"/>
      <c r="AB271" s="71"/>
      <c r="AC271" s="71"/>
      <c r="AD271" s="71"/>
      <c r="AE271" s="71"/>
      <c r="AF271" s="71"/>
      <c r="AG271" s="71"/>
      <c r="AH271" s="71"/>
      <c r="AI271" s="71"/>
      <c r="AJ271" s="71"/>
      <c r="AK271" s="71"/>
      <c r="AL271" s="71"/>
      <c r="AM271" s="71"/>
      <c r="AN271" s="71"/>
      <c r="AO271" s="71"/>
      <c r="AP271" s="71"/>
      <c r="AQ271" s="71"/>
    </row>
    <row r="272" spans="1:43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3"/>
      <c r="L272" s="72"/>
      <c r="M272" s="72"/>
      <c r="N272" s="72"/>
      <c r="O272" s="72"/>
      <c r="P272" s="72"/>
      <c r="Q272" s="72"/>
      <c r="R272" s="72"/>
      <c r="S272" s="72">
        <v>6207.8689999999997</v>
      </c>
      <c r="T272" s="72">
        <v>9279.625</v>
      </c>
      <c r="U272" s="72">
        <v>8.8390000000000004</v>
      </c>
      <c r="V272" s="72">
        <v>1</v>
      </c>
      <c r="W272" s="72"/>
      <c r="X272" s="72"/>
      <c r="Y272" s="72"/>
      <c r="Z272" s="72"/>
      <c r="AB272" s="71"/>
      <c r="AC272" s="71"/>
      <c r="AD272" s="71"/>
      <c r="AE272" s="71"/>
      <c r="AF272" s="71"/>
      <c r="AG272" s="71"/>
      <c r="AH272" s="71"/>
      <c r="AI272" s="71"/>
      <c r="AJ272" s="71"/>
      <c r="AK272" s="71"/>
      <c r="AL272" s="71"/>
      <c r="AM272" s="71"/>
      <c r="AN272" s="71"/>
      <c r="AO272" s="71"/>
      <c r="AP272" s="71"/>
      <c r="AQ272" s="71"/>
    </row>
    <row r="273" spans="1:43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3"/>
      <c r="L273" s="72"/>
      <c r="M273" s="72"/>
      <c r="N273" s="72"/>
      <c r="O273" s="72"/>
      <c r="P273" s="72"/>
      <c r="Q273" s="72"/>
      <c r="R273" s="72"/>
      <c r="S273" s="72">
        <v>6276.6890000000003</v>
      </c>
      <c r="T273" s="72">
        <v>9278.1029999999992</v>
      </c>
      <c r="U273" s="72">
        <v>8.7460000000000004</v>
      </c>
      <c r="V273" s="72">
        <v>2</v>
      </c>
      <c r="W273" s="72"/>
      <c r="X273" s="72"/>
      <c r="Y273" s="72"/>
      <c r="Z273" s="72"/>
      <c r="AB273" s="71"/>
      <c r="AC273" s="71"/>
      <c r="AD273" s="71"/>
      <c r="AE273" s="71"/>
      <c r="AF273" s="71"/>
      <c r="AG273" s="71"/>
      <c r="AH273" s="71"/>
      <c r="AI273" s="71"/>
      <c r="AJ273" s="71"/>
      <c r="AK273" s="71"/>
      <c r="AL273" s="71"/>
      <c r="AM273" s="71"/>
      <c r="AN273" s="71"/>
      <c r="AO273" s="71"/>
      <c r="AP273" s="71"/>
      <c r="AQ273" s="71"/>
    </row>
    <row r="274" spans="1:43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3"/>
      <c r="L274" s="72"/>
      <c r="M274" s="72"/>
      <c r="N274" s="72"/>
      <c r="O274" s="72"/>
      <c r="P274" s="72"/>
      <c r="Q274" s="72"/>
      <c r="R274" s="72"/>
      <c r="S274" s="72">
        <v>6339.6580000000004</v>
      </c>
      <c r="T274" s="72">
        <v>9274.2810000000009</v>
      </c>
      <c r="U274" s="72">
        <v>8.2360000000000007</v>
      </c>
      <c r="V274" s="72">
        <v>3</v>
      </c>
      <c r="W274" s="72"/>
      <c r="X274" s="72"/>
      <c r="Y274" s="72"/>
      <c r="Z274" s="72"/>
      <c r="AB274" s="71"/>
      <c r="AC274" s="71"/>
      <c r="AD274" s="71"/>
      <c r="AE274" s="71"/>
      <c r="AF274" s="71"/>
      <c r="AG274" s="71"/>
      <c r="AH274" s="71"/>
      <c r="AI274" s="71"/>
      <c r="AJ274" s="71"/>
      <c r="AK274" s="71"/>
      <c r="AL274" s="71"/>
      <c r="AM274" s="71"/>
      <c r="AN274" s="71"/>
      <c r="AO274" s="71"/>
      <c r="AP274" s="71"/>
      <c r="AQ274" s="71"/>
    </row>
    <row r="275" spans="1:43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3"/>
      <c r="L275" s="72"/>
      <c r="M275" s="72"/>
      <c r="N275" s="72"/>
      <c r="O275" s="72"/>
      <c r="P275" s="72"/>
      <c r="Q275" s="72"/>
      <c r="R275" s="72"/>
      <c r="S275" s="72">
        <v>6414.8919999999998</v>
      </c>
      <c r="T275" s="72">
        <v>9278.1029999999992</v>
      </c>
      <c r="U275" s="72">
        <v>9.3409999999999993</v>
      </c>
      <c r="V275" s="72">
        <v>4</v>
      </c>
      <c r="W275" s="72"/>
      <c r="X275" s="72"/>
      <c r="Y275" s="72"/>
      <c r="Z275" s="72"/>
      <c r="AB275" s="71"/>
      <c r="AC275" s="71"/>
      <c r="AD275" s="71"/>
      <c r="AE275" s="71"/>
      <c r="AF275" s="71"/>
      <c r="AG275" s="71"/>
      <c r="AH275" s="71"/>
      <c r="AI275" s="71"/>
      <c r="AJ275" s="71"/>
      <c r="AK275" s="71"/>
      <c r="AL275" s="71"/>
      <c r="AM275" s="71"/>
      <c r="AN275" s="71"/>
      <c r="AO275" s="71"/>
      <c r="AP275" s="71"/>
      <c r="AQ275" s="71"/>
    </row>
    <row r="276" spans="1:43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3"/>
      <c r="L276" s="72"/>
      <c r="M276" s="72"/>
      <c r="N276" s="72"/>
      <c r="O276" s="72"/>
      <c r="P276" s="72"/>
      <c r="Q276" s="72"/>
      <c r="R276" s="72"/>
      <c r="S276" s="72">
        <v>6041.0959999999995</v>
      </c>
      <c r="T276" s="72">
        <v>9278.1029999999992</v>
      </c>
      <c r="U276" s="72">
        <v>8.8940000000000001</v>
      </c>
      <c r="V276" s="72">
        <v>5</v>
      </c>
      <c r="W276" s="72"/>
      <c r="X276" s="72"/>
      <c r="Y276" s="72"/>
      <c r="Z276" s="72"/>
      <c r="AB276" s="71"/>
      <c r="AC276" s="71"/>
      <c r="AD276" s="71"/>
      <c r="AE276" s="71"/>
      <c r="AF276" s="71"/>
      <c r="AG276" s="71"/>
      <c r="AH276" s="71"/>
      <c r="AI276" s="71"/>
      <c r="AJ276" s="71"/>
      <c r="AK276" s="71"/>
      <c r="AL276" s="71"/>
      <c r="AM276" s="71"/>
      <c r="AN276" s="71"/>
      <c r="AO276" s="71"/>
      <c r="AP276" s="71"/>
      <c r="AQ276" s="71"/>
    </row>
    <row r="277" spans="1:43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3"/>
      <c r="L277" s="72"/>
      <c r="M277" s="72"/>
      <c r="N277" s="72"/>
      <c r="O277" s="72"/>
      <c r="P277" s="72"/>
      <c r="Q277" s="72"/>
      <c r="R277" s="72"/>
      <c r="S277" s="72">
        <v>5926.5249999999996</v>
      </c>
      <c r="T277" s="72">
        <v>9274.7139999999999</v>
      </c>
      <c r="U277" s="72">
        <v>8.6150000000000002</v>
      </c>
      <c r="V277" s="72">
        <v>6</v>
      </c>
      <c r="W277" s="72"/>
      <c r="X277" s="72"/>
      <c r="Y277" s="72"/>
      <c r="Z277" s="72"/>
      <c r="AB277" s="71"/>
      <c r="AC277" s="71"/>
      <c r="AD277" s="71"/>
      <c r="AE277" s="71"/>
      <c r="AF277" s="71"/>
      <c r="AG277" s="71"/>
      <c r="AH277" s="71"/>
      <c r="AI277" s="71"/>
      <c r="AJ277" s="71"/>
      <c r="AK277" s="71"/>
      <c r="AL277" s="71"/>
      <c r="AM277" s="71"/>
      <c r="AN277" s="71"/>
      <c r="AO277" s="71"/>
      <c r="AP277" s="71"/>
      <c r="AQ277" s="71"/>
    </row>
    <row r="278" spans="1:43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3"/>
      <c r="L278" s="72"/>
      <c r="M278" s="72"/>
      <c r="N278" s="72"/>
      <c r="O278" s="72"/>
      <c r="P278" s="72"/>
      <c r="Q278" s="72"/>
      <c r="R278" s="72"/>
      <c r="S278" s="72">
        <v>5891.33</v>
      </c>
      <c r="T278" s="72">
        <v>9282.107</v>
      </c>
      <c r="U278" s="72">
        <v>8.4260000000000002</v>
      </c>
      <c r="V278" s="72">
        <v>7</v>
      </c>
      <c r="W278" s="72"/>
      <c r="X278" s="72"/>
      <c r="Y278" s="72"/>
      <c r="Z278" s="72"/>
      <c r="AB278" s="71"/>
      <c r="AC278" s="71"/>
      <c r="AD278" s="71"/>
      <c r="AE278" s="71"/>
      <c r="AF278" s="71"/>
      <c r="AG278" s="71"/>
      <c r="AH278" s="71"/>
      <c r="AI278" s="71"/>
      <c r="AJ278" s="71"/>
      <c r="AK278" s="71"/>
      <c r="AL278" s="71"/>
      <c r="AM278" s="71"/>
      <c r="AN278" s="71"/>
      <c r="AO278" s="71"/>
      <c r="AP278" s="71"/>
      <c r="AQ278" s="71"/>
    </row>
    <row r="279" spans="1:43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3"/>
      <c r="L279" s="72"/>
      <c r="M279" s="72"/>
      <c r="N279" s="72"/>
      <c r="O279" s="72"/>
      <c r="P279" s="72"/>
      <c r="Q279" s="72"/>
      <c r="R279" s="72"/>
      <c r="S279" s="72">
        <v>5833.4960000000001</v>
      </c>
      <c r="T279" s="72">
        <v>9278.1029999999992</v>
      </c>
      <c r="U279" s="72">
        <v>8.3409999999999993</v>
      </c>
      <c r="V279" s="72">
        <v>8</v>
      </c>
      <c r="W279" s="72"/>
      <c r="X279" s="72"/>
      <c r="Y279" s="72"/>
      <c r="Z279" s="72"/>
      <c r="AB279" s="71"/>
      <c r="AC279" s="71"/>
      <c r="AD279" s="71"/>
      <c r="AE279" s="71"/>
      <c r="AF279" s="71"/>
      <c r="AG279" s="71"/>
      <c r="AH279" s="71"/>
      <c r="AI279" s="71"/>
      <c r="AJ279" s="71"/>
      <c r="AK279" s="71"/>
      <c r="AL279" s="71"/>
      <c r="AM279" s="71"/>
      <c r="AN279" s="71"/>
      <c r="AO279" s="71"/>
      <c r="AP279" s="71"/>
      <c r="AQ279" s="71"/>
    </row>
    <row r="280" spans="1:43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3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  <c r="AB280" s="71"/>
      <c r="AC280" s="71"/>
      <c r="AD280" s="71"/>
      <c r="AE280" s="71"/>
      <c r="AF280" s="71"/>
      <c r="AG280" s="71"/>
      <c r="AH280" s="71"/>
      <c r="AI280" s="71"/>
      <c r="AJ280" s="71"/>
      <c r="AK280" s="71"/>
      <c r="AL280" s="71"/>
      <c r="AM280" s="71"/>
      <c r="AN280" s="71"/>
      <c r="AO280" s="71"/>
      <c r="AP280" s="71"/>
      <c r="AQ280" s="71"/>
    </row>
    <row r="281" spans="1:43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3"/>
      <c r="L281" s="72"/>
      <c r="M281" s="72"/>
      <c r="N281" s="72"/>
      <c r="O281" s="72"/>
      <c r="P281" s="72"/>
      <c r="Q281" s="72"/>
      <c r="R281" s="72"/>
      <c r="S281" s="72">
        <v>6159.4809999999998</v>
      </c>
      <c r="T281" s="72">
        <v>9340.18</v>
      </c>
      <c r="U281" s="72">
        <v>8.4</v>
      </c>
      <c r="V281" s="72">
        <v>18</v>
      </c>
      <c r="W281" s="72" t="s">
        <v>73</v>
      </c>
      <c r="X281" s="72"/>
      <c r="Y281" s="72"/>
      <c r="Z281" s="72"/>
      <c r="AB281" s="71"/>
      <c r="AC281" s="71"/>
      <c r="AD281" s="71"/>
      <c r="AE281" s="71"/>
      <c r="AF281" s="71"/>
      <c r="AG281" s="71"/>
      <c r="AH281" s="71"/>
      <c r="AI281" s="71"/>
      <c r="AJ281" s="71"/>
      <c r="AK281" s="71"/>
      <c r="AL281" s="71"/>
      <c r="AM281" s="71"/>
      <c r="AN281" s="71"/>
      <c r="AO281" s="71"/>
      <c r="AP281" s="71"/>
      <c r="AQ281" s="71"/>
    </row>
    <row r="282" spans="1:43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3"/>
      <c r="L282" s="72"/>
      <c r="M282" s="72"/>
      <c r="N282" s="72"/>
      <c r="O282" s="72"/>
      <c r="P282" s="72"/>
      <c r="Q282" s="72"/>
      <c r="R282" s="72"/>
      <c r="S282" s="72">
        <v>6166.1890000000003</v>
      </c>
      <c r="T282" s="72">
        <v>9387.91</v>
      </c>
      <c r="U282" s="72">
        <v>8.5</v>
      </c>
      <c r="V282" s="72" t="s">
        <v>95</v>
      </c>
      <c r="W282" s="72" t="s">
        <v>73</v>
      </c>
      <c r="X282" s="72"/>
      <c r="Y282" s="72"/>
      <c r="Z282" s="72"/>
      <c r="AB282" s="71"/>
      <c r="AC282" s="71"/>
      <c r="AD282" s="71"/>
      <c r="AE282" s="71"/>
      <c r="AF282" s="71"/>
      <c r="AG282" s="71"/>
      <c r="AH282" s="71"/>
      <c r="AI282" s="71"/>
      <c r="AJ282" s="71"/>
      <c r="AK282" s="71"/>
      <c r="AL282" s="71"/>
      <c r="AM282" s="71"/>
      <c r="AN282" s="71"/>
      <c r="AO282" s="71"/>
      <c r="AP282" s="71"/>
      <c r="AQ282" s="71"/>
    </row>
    <row r="283" spans="1:43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3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  <c r="AB283" s="71"/>
      <c r="AC283" s="71"/>
      <c r="AD283" s="71"/>
      <c r="AE283" s="71"/>
      <c r="AF283" s="71"/>
      <c r="AG283" s="71"/>
      <c r="AH283" s="71"/>
      <c r="AI283" s="71"/>
      <c r="AJ283" s="71"/>
      <c r="AK283" s="71"/>
      <c r="AL283" s="71"/>
      <c r="AM283" s="71"/>
      <c r="AN283" s="71"/>
      <c r="AO283" s="71"/>
      <c r="AP283" s="71"/>
      <c r="AQ283" s="71"/>
    </row>
    <row r="284" spans="1:43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3"/>
      <c r="L284" s="72"/>
      <c r="M284" s="72"/>
      <c r="N284" s="72"/>
      <c r="O284" s="72"/>
      <c r="P284" s="72"/>
      <c r="Q284" s="72"/>
      <c r="R284" s="72"/>
      <c r="S284" s="72">
        <v>5276.5969999999998</v>
      </c>
      <c r="T284" s="72">
        <v>9947.8060000000005</v>
      </c>
      <c r="U284" s="72">
        <v>8.5</v>
      </c>
      <c r="V284" s="72" t="s">
        <v>96</v>
      </c>
      <c r="W284" s="72" t="s">
        <v>73</v>
      </c>
      <c r="X284" s="72"/>
      <c r="Y284" s="72"/>
      <c r="Z284" s="72"/>
      <c r="AB284" s="71"/>
      <c r="AC284" s="71"/>
      <c r="AD284" s="71"/>
      <c r="AE284" s="71"/>
      <c r="AF284" s="71"/>
      <c r="AG284" s="71"/>
      <c r="AH284" s="71"/>
      <c r="AI284" s="71"/>
      <c r="AJ284" s="71"/>
      <c r="AK284" s="71"/>
      <c r="AL284" s="71"/>
      <c r="AM284" s="71"/>
      <c r="AN284" s="71"/>
      <c r="AO284" s="71"/>
      <c r="AP284" s="71"/>
      <c r="AQ284" s="71"/>
    </row>
    <row r="285" spans="1:43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3"/>
      <c r="L285" s="72"/>
      <c r="M285" s="72"/>
      <c r="N285" s="72"/>
      <c r="O285" s="72"/>
      <c r="P285" s="72"/>
      <c r="Q285" s="72"/>
      <c r="R285" s="72"/>
      <c r="S285" s="72">
        <v>5285.1019999999999</v>
      </c>
      <c r="T285" s="72">
        <v>9930.9269999999997</v>
      </c>
      <c r="U285" s="72">
        <v>9.3000000000000007</v>
      </c>
      <c r="V285" s="72">
        <v>1</v>
      </c>
      <c r="W285" s="72"/>
      <c r="X285" s="72"/>
      <c r="Y285" s="72"/>
      <c r="Z285" s="72"/>
      <c r="AB285" s="71"/>
      <c r="AC285" s="71"/>
      <c r="AD285" s="71"/>
      <c r="AE285" s="71"/>
      <c r="AF285" s="71"/>
      <c r="AG285" s="71"/>
      <c r="AH285" s="71"/>
      <c r="AI285" s="71"/>
      <c r="AJ285" s="71"/>
      <c r="AK285" s="71"/>
      <c r="AL285" s="71"/>
      <c r="AM285" s="71"/>
      <c r="AN285" s="71"/>
      <c r="AO285" s="71"/>
      <c r="AP285" s="71"/>
      <c r="AQ285" s="71"/>
    </row>
    <row r="286" spans="1:43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3"/>
      <c r="L286" s="72"/>
      <c r="M286" s="72"/>
      <c r="N286" s="72"/>
      <c r="O286" s="72"/>
      <c r="P286" s="72"/>
      <c r="Q286" s="72"/>
      <c r="R286" s="72"/>
      <c r="S286" s="72">
        <v>5267.5730000000003</v>
      </c>
      <c r="T286" s="72">
        <v>9901.2970000000005</v>
      </c>
      <c r="U286" s="72">
        <v>8.5749999999999993</v>
      </c>
      <c r="V286" s="72">
        <v>2</v>
      </c>
      <c r="W286" s="72"/>
      <c r="X286" s="72"/>
      <c r="Y286" s="72"/>
      <c r="Z286" s="72"/>
      <c r="AB286" s="71"/>
      <c r="AC286" s="71"/>
      <c r="AD286" s="71"/>
      <c r="AE286" s="71"/>
      <c r="AF286" s="71"/>
      <c r="AG286" s="71"/>
      <c r="AH286" s="71"/>
      <c r="AI286" s="71"/>
      <c r="AJ286" s="71"/>
      <c r="AK286" s="71"/>
      <c r="AL286" s="71"/>
      <c r="AM286" s="71"/>
      <c r="AN286" s="71"/>
      <c r="AO286" s="71"/>
      <c r="AP286" s="71"/>
      <c r="AQ286" s="71"/>
    </row>
    <row r="287" spans="1:43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3"/>
      <c r="L287" s="72"/>
      <c r="M287" s="72"/>
      <c r="N287" s="72"/>
      <c r="O287" s="72"/>
      <c r="P287" s="72"/>
      <c r="Q287" s="72"/>
      <c r="R287" s="72"/>
      <c r="S287" s="72">
        <v>5294.7290000000003</v>
      </c>
      <c r="T287" s="72">
        <v>9867.0560000000005</v>
      </c>
      <c r="U287" s="72">
        <v>9.0329999999999995</v>
      </c>
      <c r="V287" s="72">
        <v>3</v>
      </c>
      <c r="W287" s="72"/>
      <c r="X287" s="72"/>
      <c r="Y287" s="72"/>
      <c r="Z287" s="72"/>
      <c r="AB287" s="71"/>
      <c r="AC287" s="71"/>
      <c r="AD287" s="71"/>
      <c r="AE287" s="71"/>
      <c r="AF287" s="71"/>
      <c r="AG287" s="71"/>
      <c r="AH287" s="71"/>
      <c r="AI287" s="71"/>
      <c r="AJ287" s="71"/>
      <c r="AK287" s="71"/>
      <c r="AL287" s="71"/>
      <c r="AM287" s="71"/>
      <c r="AN287" s="71"/>
      <c r="AO287" s="71"/>
      <c r="AP287" s="71"/>
      <c r="AQ287" s="71"/>
    </row>
    <row r="288" spans="1:43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3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B288" s="71"/>
      <c r="AC288" s="71"/>
      <c r="AD288" s="71"/>
      <c r="AE288" s="71"/>
      <c r="AF288" s="71"/>
      <c r="AG288" s="71"/>
      <c r="AH288" s="71"/>
      <c r="AI288" s="71"/>
      <c r="AJ288" s="71"/>
      <c r="AK288" s="71"/>
      <c r="AL288" s="71"/>
      <c r="AM288" s="71"/>
      <c r="AN288" s="71"/>
      <c r="AO288" s="71"/>
      <c r="AP288" s="71"/>
      <c r="AQ288" s="71"/>
    </row>
    <row r="289" spans="1:43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3"/>
      <c r="L289" s="72"/>
      <c r="M289" s="72"/>
      <c r="N289" s="72"/>
      <c r="O289" s="72"/>
      <c r="P289" s="72"/>
      <c r="Q289" s="72"/>
      <c r="R289" s="72"/>
      <c r="S289" s="72">
        <v>5392.4740000000002</v>
      </c>
      <c r="T289" s="72">
        <v>9851.2279999999992</v>
      </c>
      <c r="U289" s="72">
        <v>9.5</v>
      </c>
      <c r="V289" s="72" t="s">
        <v>97</v>
      </c>
      <c r="W289" s="72" t="s">
        <v>73</v>
      </c>
      <c r="X289" s="72"/>
      <c r="Y289" s="72"/>
      <c r="Z289" s="72"/>
      <c r="AB289" s="71"/>
      <c r="AC289" s="71"/>
      <c r="AD289" s="71"/>
      <c r="AE289" s="71"/>
      <c r="AF289" s="71"/>
      <c r="AG289" s="71"/>
      <c r="AH289" s="71"/>
      <c r="AI289" s="71"/>
      <c r="AJ289" s="71"/>
      <c r="AK289" s="71"/>
      <c r="AL289" s="71"/>
      <c r="AM289" s="71"/>
      <c r="AN289" s="71"/>
      <c r="AO289" s="71"/>
      <c r="AP289" s="71"/>
      <c r="AQ289" s="71"/>
    </row>
    <row r="290" spans="1:43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3"/>
      <c r="L290" s="72"/>
      <c r="M290" s="72"/>
      <c r="N290" s="72"/>
      <c r="O290" s="72"/>
      <c r="P290" s="72"/>
      <c r="Q290" s="72"/>
      <c r="R290" s="72"/>
      <c r="S290" s="72">
        <v>5367.2529999999997</v>
      </c>
      <c r="T290" s="72">
        <v>9824.1820000000007</v>
      </c>
      <c r="U290" s="72">
        <v>9.3670000000000009</v>
      </c>
      <c r="V290" s="72">
        <v>1</v>
      </c>
      <c r="W290" s="72"/>
      <c r="X290" s="72"/>
      <c r="Y290" s="72"/>
      <c r="Z290" s="72"/>
      <c r="AB290" s="71"/>
      <c r="AC290" s="71"/>
      <c r="AD290" s="71"/>
      <c r="AE290" s="71"/>
      <c r="AF290" s="71"/>
      <c r="AG290" s="71"/>
      <c r="AH290" s="71"/>
      <c r="AI290" s="71"/>
      <c r="AJ290" s="71"/>
      <c r="AK290" s="71"/>
      <c r="AL290" s="71"/>
      <c r="AM290" s="71"/>
      <c r="AN290" s="71"/>
      <c r="AO290" s="71"/>
      <c r="AP290" s="71"/>
      <c r="AQ290" s="71"/>
    </row>
    <row r="291" spans="1:43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3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B291" s="71"/>
      <c r="AC291" s="71"/>
      <c r="AD291" s="71"/>
      <c r="AE291" s="71"/>
      <c r="AF291" s="71"/>
      <c r="AG291" s="71"/>
      <c r="AH291" s="71"/>
      <c r="AI291" s="71"/>
      <c r="AJ291" s="71"/>
      <c r="AK291" s="71"/>
      <c r="AL291" s="71"/>
      <c r="AM291" s="71"/>
      <c r="AN291" s="71"/>
      <c r="AO291" s="71"/>
      <c r="AP291" s="71"/>
      <c r="AQ291" s="71"/>
    </row>
    <row r="292" spans="1:43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3"/>
      <c r="L292" s="72"/>
      <c r="M292" s="72"/>
      <c r="N292" s="72"/>
      <c r="O292" s="72"/>
      <c r="P292" s="72"/>
      <c r="Q292" s="72"/>
      <c r="R292" s="72"/>
      <c r="S292" s="72">
        <v>5470.8729999999996</v>
      </c>
      <c r="T292" s="72">
        <v>9789.1569999999992</v>
      </c>
      <c r="U292" s="72">
        <v>9.8000000000000007</v>
      </c>
      <c r="V292" s="72" t="s">
        <v>98</v>
      </c>
      <c r="W292" s="72" t="s">
        <v>73</v>
      </c>
      <c r="X292" s="72"/>
      <c r="Y292" s="72"/>
      <c r="Z292" s="72"/>
      <c r="AB292" s="71"/>
      <c r="AC292" s="71"/>
      <c r="AD292" s="71"/>
      <c r="AE292" s="71"/>
      <c r="AF292" s="71"/>
      <c r="AG292" s="71"/>
      <c r="AH292" s="71"/>
      <c r="AI292" s="71"/>
      <c r="AJ292" s="71"/>
      <c r="AK292" s="71"/>
      <c r="AL292" s="71"/>
      <c r="AM292" s="71"/>
      <c r="AN292" s="71"/>
      <c r="AO292" s="71"/>
      <c r="AP292" s="71"/>
      <c r="AQ292" s="71"/>
    </row>
    <row r="293" spans="1:43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3"/>
      <c r="L293" s="72"/>
      <c r="M293" s="72"/>
      <c r="N293" s="72"/>
      <c r="O293" s="72"/>
      <c r="P293" s="72"/>
      <c r="Q293" s="72"/>
      <c r="R293" s="72"/>
      <c r="S293" s="72">
        <v>5467.6869999999999</v>
      </c>
      <c r="T293" s="72">
        <v>9752.7389999999996</v>
      </c>
      <c r="U293" s="72">
        <v>9.6590000000000007</v>
      </c>
      <c r="V293" s="72">
        <v>2</v>
      </c>
      <c r="W293" s="72"/>
      <c r="X293" s="72"/>
      <c r="Y293" s="72"/>
      <c r="Z293" s="72" t="s">
        <v>99</v>
      </c>
      <c r="AB293" s="71"/>
      <c r="AC293" s="71"/>
      <c r="AD293" s="71"/>
      <c r="AE293" s="71"/>
      <c r="AF293" s="71"/>
      <c r="AG293" s="71"/>
      <c r="AH293" s="71"/>
      <c r="AI293" s="71"/>
      <c r="AJ293" s="71"/>
      <c r="AK293" s="71"/>
      <c r="AL293" s="71"/>
      <c r="AM293" s="71"/>
      <c r="AN293" s="71"/>
      <c r="AO293" s="71"/>
      <c r="AP293" s="71"/>
      <c r="AQ293" s="71"/>
    </row>
    <row r="294" spans="1:43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3"/>
      <c r="L294" s="72"/>
      <c r="M294" s="72"/>
      <c r="N294" s="72"/>
      <c r="O294" s="72"/>
      <c r="P294" s="72"/>
      <c r="Q294" s="72"/>
      <c r="R294" s="72"/>
      <c r="S294" s="72">
        <v>5424.2550000000001</v>
      </c>
      <c r="T294" s="72">
        <v>9751.4069999999992</v>
      </c>
      <c r="U294" s="72">
        <v>9.5069999999999997</v>
      </c>
      <c r="V294" s="72">
        <v>3</v>
      </c>
      <c r="W294" s="72"/>
      <c r="X294" s="72"/>
      <c r="Y294" s="72"/>
      <c r="Z294" s="72" t="s">
        <v>99</v>
      </c>
      <c r="AB294" s="71"/>
      <c r="AC294" s="71"/>
      <c r="AD294" s="71"/>
      <c r="AE294" s="71"/>
      <c r="AF294" s="71"/>
      <c r="AG294" s="71"/>
      <c r="AH294" s="71"/>
      <c r="AI294" s="71"/>
      <c r="AJ294" s="71"/>
      <c r="AK294" s="71"/>
      <c r="AL294" s="71"/>
      <c r="AM294" s="71"/>
      <c r="AN294" s="71"/>
      <c r="AO294" s="71"/>
      <c r="AP294" s="71"/>
      <c r="AQ294" s="71"/>
    </row>
    <row r="295" spans="1:43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3"/>
      <c r="L295" s="72"/>
      <c r="M295" s="72"/>
      <c r="N295" s="72"/>
      <c r="O295" s="72"/>
      <c r="P295" s="72"/>
      <c r="Q295" s="72"/>
      <c r="R295" s="72"/>
      <c r="S295" s="72">
        <v>5402.1229999999996</v>
      </c>
      <c r="T295" s="72">
        <v>9790.357</v>
      </c>
      <c r="U295" s="72">
        <v>9.2539999999999996</v>
      </c>
      <c r="V295" s="72">
        <v>5</v>
      </c>
      <c r="W295" s="72"/>
      <c r="X295" s="72"/>
      <c r="Y295" s="72"/>
      <c r="Z295" s="72" t="s">
        <v>99</v>
      </c>
      <c r="AB295" s="71"/>
      <c r="AC295" s="71"/>
      <c r="AD295" s="71"/>
      <c r="AE295" s="71"/>
      <c r="AF295" s="71"/>
      <c r="AG295" s="71"/>
      <c r="AH295" s="71"/>
      <c r="AI295" s="71"/>
      <c r="AJ295" s="71"/>
      <c r="AK295" s="71"/>
      <c r="AL295" s="71"/>
      <c r="AM295" s="71"/>
      <c r="AN295" s="71"/>
      <c r="AO295" s="71"/>
      <c r="AP295" s="71"/>
      <c r="AQ295" s="71"/>
    </row>
    <row r="296" spans="1:43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3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B296" s="71"/>
      <c r="AC296" s="71"/>
      <c r="AD296" s="71"/>
      <c r="AE296" s="71"/>
      <c r="AF296" s="71"/>
      <c r="AG296" s="71"/>
      <c r="AH296" s="71"/>
      <c r="AI296" s="71"/>
      <c r="AJ296" s="71"/>
      <c r="AK296" s="71"/>
      <c r="AL296" s="71"/>
      <c r="AM296" s="71"/>
      <c r="AN296" s="71"/>
      <c r="AO296" s="71"/>
      <c r="AP296" s="71"/>
      <c r="AQ296" s="71"/>
    </row>
    <row r="297" spans="1:43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3"/>
      <c r="L297" s="72"/>
      <c r="M297" s="72"/>
      <c r="N297" s="72"/>
      <c r="O297" s="72"/>
      <c r="P297" s="72"/>
      <c r="Q297" s="72"/>
      <c r="R297" s="72"/>
      <c r="S297" s="72">
        <v>5549.9780000000001</v>
      </c>
      <c r="T297" s="72">
        <v>9740.8430000000008</v>
      </c>
      <c r="U297" s="72">
        <v>10.1</v>
      </c>
      <c r="V297" s="72">
        <v>2</v>
      </c>
      <c r="W297" s="72" t="s">
        <v>73</v>
      </c>
      <c r="X297" s="72"/>
      <c r="Y297" s="72"/>
      <c r="Z297" s="72"/>
      <c r="AB297" s="71"/>
      <c r="AC297" s="71"/>
      <c r="AD297" s="71"/>
      <c r="AE297" s="71"/>
      <c r="AF297" s="71"/>
      <c r="AG297" s="71"/>
      <c r="AH297" s="71"/>
      <c r="AI297" s="71"/>
      <c r="AJ297" s="71"/>
      <c r="AK297" s="71"/>
      <c r="AL297" s="71"/>
      <c r="AM297" s="71"/>
      <c r="AN297" s="71"/>
      <c r="AO297" s="71"/>
      <c r="AP297" s="71"/>
      <c r="AQ297" s="71"/>
    </row>
    <row r="298" spans="1:43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3"/>
      <c r="L298" s="72"/>
      <c r="M298" s="72"/>
      <c r="N298" s="72"/>
      <c r="O298" s="72"/>
      <c r="P298" s="72"/>
      <c r="Q298" s="72"/>
      <c r="R298" s="72"/>
      <c r="S298" s="72">
        <v>5555.634</v>
      </c>
      <c r="T298" s="72">
        <v>9736.0969999999998</v>
      </c>
      <c r="U298" s="72">
        <v>10</v>
      </c>
      <c r="V298" s="72" t="s">
        <v>100</v>
      </c>
      <c r="W298" s="72" t="s">
        <v>73</v>
      </c>
      <c r="X298" s="72"/>
      <c r="Y298" s="72"/>
      <c r="Z298" s="72"/>
      <c r="AB298" s="71"/>
      <c r="AC298" s="71"/>
      <c r="AD298" s="71"/>
      <c r="AE298" s="71"/>
      <c r="AF298" s="71"/>
      <c r="AG298" s="71"/>
      <c r="AH298" s="71"/>
      <c r="AI298" s="71"/>
      <c r="AJ298" s="71"/>
      <c r="AK298" s="71"/>
      <c r="AL298" s="71"/>
      <c r="AM298" s="71"/>
      <c r="AN298" s="71"/>
      <c r="AO298" s="71"/>
      <c r="AP298" s="71"/>
      <c r="AQ298" s="71"/>
    </row>
    <row r="299" spans="1:43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3"/>
      <c r="L299" s="72"/>
      <c r="M299" s="72"/>
      <c r="N299" s="72"/>
      <c r="O299" s="72"/>
      <c r="P299" s="72"/>
      <c r="Q299" s="72"/>
      <c r="R299" s="72"/>
      <c r="S299" s="72">
        <v>5484.116</v>
      </c>
      <c r="T299" s="72">
        <v>9685.5789999999997</v>
      </c>
      <c r="U299" s="72">
        <v>9.0670000000000002</v>
      </c>
      <c r="V299" s="72">
        <v>3</v>
      </c>
      <c r="W299" s="72" t="s">
        <v>73</v>
      </c>
      <c r="X299" s="72"/>
      <c r="Y299" s="72"/>
      <c r="Z299" s="72"/>
      <c r="AB299" s="71"/>
      <c r="AC299" s="71"/>
      <c r="AD299" s="71"/>
      <c r="AE299" s="71"/>
      <c r="AF299" s="71"/>
      <c r="AG299" s="71"/>
      <c r="AH299" s="71"/>
      <c r="AI299" s="71"/>
      <c r="AJ299" s="71"/>
      <c r="AK299" s="71"/>
      <c r="AL299" s="71"/>
      <c r="AM299" s="71"/>
      <c r="AN299" s="71"/>
      <c r="AO299" s="71"/>
      <c r="AP299" s="71"/>
      <c r="AQ299" s="71"/>
    </row>
    <row r="300" spans="1:43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3"/>
      <c r="L300" s="72"/>
      <c r="M300" s="72"/>
      <c r="N300" s="72"/>
      <c r="O300" s="72"/>
      <c r="P300" s="72"/>
      <c r="Q300" s="72"/>
      <c r="R300" s="72"/>
      <c r="S300" s="72">
        <v>5569.9459999999999</v>
      </c>
      <c r="T300" s="72">
        <v>9627.5949999999993</v>
      </c>
      <c r="U300" s="72">
        <v>10.224</v>
      </c>
      <c r="V300" s="72">
        <v>4</v>
      </c>
      <c r="W300" s="72"/>
      <c r="X300" s="72"/>
      <c r="Y300" s="72"/>
      <c r="Z300" s="72"/>
      <c r="AB300" s="71"/>
      <c r="AC300" s="71"/>
      <c r="AD300" s="71"/>
      <c r="AE300" s="71"/>
      <c r="AF300" s="71"/>
      <c r="AG300" s="71"/>
      <c r="AH300" s="71"/>
      <c r="AI300" s="71"/>
      <c r="AJ300" s="71"/>
      <c r="AK300" s="71"/>
      <c r="AL300" s="71"/>
      <c r="AM300" s="71"/>
      <c r="AN300" s="71"/>
      <c r="AO300" s="71"/>
      <c r="AP300" s="71"/>
      <c r="AQ300" s="71"/>
    </row>
    <row r="301" spans="1:43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3"/>
      <c r="L301" s="72"/>
      <c r="M301" s="72"/>
      <c r="N301" s="72"/>
      <c r="O301" s="72"/>
      <c r="P301" s="72"/>
      <c r="Q301" s="72"/>
      <c r="R301" s="72"/>
      <c r="S301" s="72">
        <v>5547.0810000000001</v>
      </c>
      <c r="T301" s="72">
        <v>9657.9079999999994</v>
      </c>
      <c r="U301" s="72">
        <v>9.3070000000000004</v>
      </c>
      <c r="V301" s="72">
        <v>5</v>
      </c>
      <c r="W301" s="72"/>
      <c r="X301" s="72"/>
      <c r="Y301" s="72"/>
      <c r="Z301" s="72"/>
      <c r="AB301" s="71"/>
      <c r="AC301" s="71"/>
      <c r="AD301" s="71"/>
      <c r="AE301" s="71"/>
      <c r="AF301" s="71"/>
      <c r="AG301" s="71"/>
      <c r="AH301" s="71"/>
      <c r="AI301" s="71"/>
      <c r="AJ301" s="71"/>
      <c r="AK301" s="71"/>
      <c r="AL301" s="71"/>
      <c r="AM301" s="71"/>
      <c r="AN301" s="71"/>
      <c r="AO301" s="71"/>
      <c r="AP301" s="71"/>
      <c r="AQ301" s="71"/>
    </row>
    <row r="302" spans="1:43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3"/>
      <c r="L302" s="72"/>
      <c r="M302" s="72"/>
      <c r="N302" s="72"/>
      <c r="O302" s="72"/>
      <c r="P302" s="72"/>
      <c r="Q302" s="72"/>
      <c r="R302" s="72"/>
      <c r="S302" s="72">
        <v>5564.1509999999998</v>
      </c>
      <c r="T302" s="72">
        <v>9538.15</v>
      </c>
      <c r="U302" s="72">
        <v>8.9559999999999995</v>
      </c>
      <c r="V302" s="72">
        <v>6</v>
      </c>
      <c r="W302" s="72"/>
      <c r="X302" s="72"/>
      <c r="Y302" s="72"/>
      <c r="Z302" s="72"/>
      <c r="AB302" s="71"/>
      <c r="AC302" s="71"/>
      <c r="AD302" s="71"/>
      <c r="AE302" s="71"/>
      <c r="AF302" s="71"/>
      <c r="AG302" s="71"/>
      <c r="AH302" s="71"/>
      <c r="AI302" s="71"/>
      <c r="AJ302" s="71"/>
      <c r="AK302" s="71"/>
      <c r="AL302" s="71"/>
      <c r="AM302" s="71"/>
      <c r="AN302" s="71"/>
      <c r="AO302" s="71"/>
      <c r="AP302" s="71"/>
      <c r="AQ302" s="71"/>
    </row>
    <row r="303" spans="1:43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3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B303" s="71"/>
      <c r="AC303" s="71"/>
      <c r="AD303" s="71"/>
      <c r="AE303" s="71"/>
      <c r="AF303" s="71"/>
      <c r="AG303" s="71"/>
      <c r="AH303" s="71"/>
      <c r="AI303" s="71"/>
      <c r="AJ303" s="71"/>
      <c r="AK303" s="71"/>
      <c r="AL303" s="71"/>
      <c r="AM303" s="71"/>
      <c r="AN303" s="71"/>
      <c r="AO303" s="71"/>
      <c r="AP303" s="71"/>
      <c r="AQ303" s="71"/>
    </row>
    <row r="304" spans="1:43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3"/>
      <c r="L304" s="72"/>
      <c r="M304" s="72"/>
      <c r="N304" s="72"/>
      <c r="O304" s="72"/>
      <c r="P304" s="72"/>
      <c r="Q304" s="72"/>
      <c r="R304" s="72"/>
      <c r="S304" s="72">
        <v>5667.7790000000005</v>
      </c>
      <c r="T304" s="72">
        <v>9570.2620000000006</v>
      </c>
      <c r="U304" s="72">
        <v>9.4</v>
      </c>
      <c r="V304" s="72">
        <v>3</v>
      </c>
      <c r="W304" s="72" t="s">
        <v>73</v>
      </c>
      <c r="X304" s="72"/>
      <c r="Y304" s="72"/>
      <c r="Z304" s="72"/>
      <c r="AB304" s="71"/>
      <c r="AC304" s="71"/>
      <c r="AD304" s="71"/>
      <c r="AE304" s="71"/>
      <c r="AF304" s="71"/>
      <c r="AG304" s="71"/>
      <c r="AH304" s="71"/>
      <c r="AI304" s="71"/>
      <c r="AJ304" s="71"/>
      <c r="AK304" s="71"/>
      <c r="AL304" s="71"/>
      <c r="AM304" s="71"/>
      <c r="AN304" s="71"/>
      <c r="AO304" s="71"/>
      <c r="AP304" s="71"/>
      <c r="AQ304" s="71"/>
    </row>
    <row r="305" spans="1:43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3"/>
      <c r="L305" s="72"/>
      <c r="M305" s="72"/>
      <c r="N305" s="72"/>
      <c r="O305" s="72"/>
      <c r="P305" s="72"/>
      <c r="Q305" s="72"/>
      <c r="R305" s="72"/>
      <c r="S305" s="72">
        <v>5661.2569999999996</v>
      </c>
      <c r="T305" s="72">
        <v>9577.0159999999996</v>
      </c>
      <c r="U305" s="72">
        <v>9.5</v>
      </c>
      <c r="V305" s="72" t="s">
        <v>101</v>
      </c>
      <c r="W305" s="72" t="s">
        <v>73</v>
      </c>
      <c r="X305" s="72"/>
      <c r="Y305" s="72"/>
      <c r="Z305" s="72"/>
      <c r="AB305" s="71"/>
      <c r="AC305" s="71"/>
      <c r="AD305" s="71"/>
      <c r="AE305" s="71"/>
      <c r="AF305" s="71"/>
      <c r="AG305" s="71"/>
      <c r="AH305" s="71"/>
      <c r="AI305" s="71"/>
      <c r="AJ305" s="71"/>
      <c r="AK305" s="71"/>
      <c r="AL305" s="71"/>
      <c r="AM305" s="71"/>
      <c r="AN305" s="71"/>
      <c r="AO305" s="71"/>
      <c r="AP305" s="71"/>
      <c r="AQ305" s="71"/>
    </row>
    <row r="306" spans="1:43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3"/>
      <c r="L306" s="72"/>
      <c r="M306" s="72"/>
      <c r="N306" s="72"/>
      <c r="O306" s="72"/>
      <c r="P306" s="72"/>
      <c r="Q306" s="72"/>
      <c r="R306" s="72"/>
      <c r="S306" s="72">
        <v>5587.8639999999996</v>
      </c>
      <c r="T306" s="72">
        <v>9464.2109999999993</v>
      </c>
      <c r="U306" s="72">
        <v>8.984</v>
      </c>
      <c r="V306" s="72">
        <v>1</v>
      </c>
      <c r="W306" s="72"/>
      <c r="X306" s="72"/>
      <c r="Y306" s="72"/>
      <c r="Z306" s="72"/>
      <c r="AB306" s="71"/>
      <c r="AC306" s="71"/>
      <c r="AD306" s="71"/>
      <c r="AE306" s="71"/>
      <c r="AF306" s="71"/>
      <c r="AG306" s="71"/>
      <c r="AH306" s="71"/>
      <c r="AI306" s="71"/>
      <c r="AJ306" s="71"/>
      <c r="AK306" s="71"/>
      <c r="AL306" s="71"/>
      <c r="AM306" s="71"/>
      <c r="AN306" s="71"/>
      <c r="AO306" s="71"/>
      <c r="AP306" s="71"/>
      <c r="AQ306" s="71"/>
    </row>
    <row r="307" spans="1:43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3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B307" s="71"/>
      <c r="AC307" s="71"/>
      <c r="AD307" s="71"/>
      <c r="AE307" s="71"/>
      <c r="AF307" s="71"/>
      <c r="AG307" s="71"/>
      <c r="AH307" s="71"/>
      <c r="AI307" s="71"/>
      <c r="AJ307" s="71"/>
      <c r="AK307" s="71"/>
      <c r="AL307" s="71"/>
      <c r="AM307" s="71"/>
      <c r="AN307" s="71"/>
      <c r="AO307" s="71"/>
      <c r="AP307" s="71"/>
      <c r="AQ307" s="71"/>
    </row>
    <row r="308" spans="1:43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3"/>
      <c r="L308" s="72"/>
      <c r="M308" s="72"/>
      <c r="N308" s="72"/>
      <c r="O308" s="72"/>
      <c r="P308" s="72"/>
      <c r="Q308" s="72"/>
      <c r="R308" s="72"/>
      <c r="S308" s="72">
        <v>6076.9709999999995</v>
      </c>
      <c r="T308" s="72">
        <v>9404.9459999999999</v>
      </c>
      <c r="U308" s="72">
        <v>9.5</v>
      </c>
      <c r="V308" s="72" t="s">
        <v>102</v>
      </c>
      <c r="W308" s="72" t="s">
        <v>73</v>
      </c>
      <c r="X308" s="72"/>
      <c r="Y308" s="72"/>
      <c r="Z308" s="72"/>
      <c r="AB308" s="71"/>
      <c r="AC308" s="71"/>
      <c r="AD308" s="71"/>
      <c r="AE308" s="71"/>
      <c r="AF308" s="71"/>
      <c r="AG308" s="71"/>
      <c r="AH308" s="71"/>
      <c r="AI308" s="71"/>
      <c r="AJ308" s="71"/>
      <c r="AK308" s="71"/>
      <c r="AL308" s="71"/>
      <c r="AM308" s="71"/>
      <c r="AN308" s="71"/>
      <c r="AO308" s="71"/>
      <c r="AP308" s="71"/>
      <c r="AQ308" s="71"/>
    </row>
    <row r="309" spans="1:43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3"/>
      <c r="L309" s="72"/>
      <c r="M309" s="72"/>
      <c r="N309" s="72"/>
      <c r="O309" s="72"/>
      <c r="P309" s="72"/>
      <c r="Q309" s="72"/>
      <c r="R309" s="72"/>
      <c r="S309" s="72">
        <v>6070.5479999999998</v>
      </c>
      <c r="T309" s="72">
        <v>9379.1849999999995</v>
      </c>
      <c r="U309" s="72">
        <v>9.6110000000000007</v>
      </c>
      <c r="V309" s="72">
        <v>1</v>
      </c>
      <c r="W309" s="72"/>
      <c r="X309" s="72"/>
      <c r="Y309" s="72"/>
      <c r="Z309" s="72" t="s">
        <v>99</v>
      </c>
      <c r="AB309" s="71"/>
      <c r="AC309" s="71"/>
      <c r="AD309" s="71"/>
      <c r="AE309" s="71"/>
      <c r="AF309" s="71"/>
      <c r="AG309" s="71"/>
      <c r="AH309" s="71"/>
      <c r="AI309" s="71"/>
      <c r="AJ309" s="71"/>
      <c r="AK309" s="71"/>
      <c r="AL309" s="71"/>
      <c r="AM309" s="71"/>
      <c r="AN309" s="71"/>
      <c r="AO309" s="71"/>
      <c r="AP309" s="71"/>
      <c r="AQ309" s="71"/>
    </row>
    <row r="310" spans="1:43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3"/>
      <c r="L310" s="72"/>
      <c r="M310" s="72"/>
      <c r="N310" s="72"/>
      <c r="O310" s="72"/>
      <c r="P310" s="72"/>
      <c r="Q310" s="72"/>
      <c r="R310" s="72"/>
      <c r="S310" s="72">
        <v>6061.0529999999999</v>
      </c>
      <c r="T310" s="72">
        <v>9335.9969999999994</v>
      </c>
      <c r="U310" s="72">
        <v>9.1129999999999995</v>
      </c>
      <c r="V310" s="72">
        <v>2</v>
      </c>
      <c r="W310" s="72"/>
      <c r="X310" s="72"/>
      <c r="Y310" s="72"/>
      <c r="Z310" s="72"/>
      <c r="AB310" s="71"/>
      <c r="AC310" s="71"/>
      <c r="AD310" s="71"/>
      <c r="AE310" s="71"/>
      <c r="AF310" s="71"/>
      <c r="AG310" s="71"/>
      <c r="AH310" s="71"/>
      <c r="AI310" s="71"/>
      <c r="AJ310" s="71"/>
      <c r="AK310" s="71"/>
      <c r="AL310" s="71"/>
      <c r="AM310" s="71"/>
      <c r="AN310" s="71"/>
      <c r="AO310" s="71"/>
      <c r="AP310" s="71"/>
      <c r="AQ310" s="71"/>
    </row>
    <row r="311" spans="1:43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3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B311" s="71"/>
      <c r="AC311" s="71"/>
      <c r="AD311" s="71"/>
      <c r="AE311" s="71"/>
      <c r="AF311" s="71"/>
      <c r="AG311" s="71"/>
      <c r="AH311" s="71"/>
      <c r="AI311" s="71"/>
      <c r="AJ311" s="71"/>
      <c r="AK311" s="71"/>
      <c r="AL311" s="71"/>
      <c r="AM311" s="71"/>
      <c r="AN311" s="71"/>
      <c r="AO311" s="71"/>
      <c r="AP311" s="71"/>
      <c r="AQ311" s="71"/>
    </row>
    <row r="312" spans="1:43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3"/>
      <c r="L312" s="72"/>
      <c r="M312" s="72"/>
      <c r="N312" s="72"/>
      <c r="O312" s="72"/>
      <c r="P312" s="72"/>
      <c r="Q312" s="72"/>
      <c r="R312" s="72"/>
      <c r="S312" s="72">
        <v>6614.7950000000001</v>
      </c>
      <c r="T312" s="72">
        <v>9335.7890000000007</v>
      </c>
      <c r="U312" s="72">
        <v>11.5</v>
      </c>
      <c r="V312" s="72" t="s">
        <v>103</v>
      </c>
      <c r="W312" s="72" t="s">
        <v>73</v>
      </c>
      <c r="X312" s="72"/>
      <c r="Y312" s="72"/>
      <c r="Z312" s="72"/>
      <c r="AB312" s="71"/>
      <c r="AC312" s="71"/>
      <c r="AD312" s="71"/>
      <c r="AE312" s="71"/>
      <c r="AF312" s="71"/>
      <c r="AG312" s="71"/>
      <c r="AH312" s="71"/>
      <c r="AI312" s="71"/>
      <c r="AJ312" s="71"/>
      <c r="AK312" s="71"/>
      <c r="AL312" s="71"/>
      <c r="AM312" s="71"/>
      <c r="AN312" s="71"/>
      <c r="AO312" s="71"/>
      <c r="AP312" s="71"/>
      <c r="AQ312" s="71"/>
    </row>
    <row r="313" spans="1:43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3"/>
      <c r="L313" s="72"/>
      <c r="M313" s="72"/>
      <c r="N313" s="72"/>
      <c r="O313" s="72"/>
      <c r="P313" s="72"/>
      <c r="Q313" s="72"/>
      <c r="R313" s="72"/>
      <c r="S313" s="72">
        <v>6613.41</v>
      </c>
      <c r="T313" s="72">
        <v>9415.125</v>
      </c>
      <c r="U313" s="72">
        <v>11.035</v>
      </c>
      <c r="V313" s="72">
        <v>1</v>
      </c>
      <c r="W313" s="72"/>
      <c r="X313" s="72"/>
      <c r="Y313" s="72"/>
      <c r="Z313" s="72" t="s">
        <v>104</v>
      </c>
      <c r="AB313" s="71"/>
      <c r="AC313" s="71"/>
      <c r="AD313" s="71"/>
      <c r="AE313" s="71"/>
      <c r="AF313" s="71"/>
      <c r="AG313" s="71"/>
      <c r="AH313" s="71"/>
      <c r="AI313" s="71"/>
      <c r="AJ313" s="71"/>
      <c r="AK313" s="71"/>
      <c r="AL313" s="71"/>
      <c r="AM313" s="71"/>
      <c r="AN313" s="71"/>
      <c r="AO313" s="71"/>
      <c r="AP313" s="71"/>
      <c r="AQ313" s="71"/>
    </row>
    <row r="314" spans="1:43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3"/>
      <c r="L314" s="72"/>
      <c r="M314" s="72"/>
      <c r="N314" s="72"/>
      <c r="O314" s="72"/>
      <c r="P314" s="72"/>
      <c r="Q314" s="72"/>
      <c r="R314" s="72"/>
      <c r="S314" s="72">
        <v>6672.9340000000002</v>
      </c>
      <c r="T314" s="72">
        <v>9334.7739999999994</v>
      </c>
      <c r="U314" s="72">
        <v>9.7080000000000002</v>
      </c>
      <c r="V314" s="72">
        <v>2</v>
      </c>
      <c r="W314" s="72"/>
      <c r="X314" s="72"/>
      <c r="Y314" s="72"/>
      <c r="Z314" s="72" t="s">
        <v>104</v>
      </c>
      <c r="AB314" s="71"/>
      <c r="AC314" s="71"/>
      <c r="AD314" s="71"/>
      <c r="AE314" s="71"/>
      <c r="AF314" s="71"/>
      <c r="AG314" s="71"/>
      <c r="AH314" s="71"/>
      <c r="AI314" s="71"/>
      <c r="AJ314" s="71"/>
      <c r="AK314" s="71"/>
      <c r="AL314" s="71"/>
      <c r="AM314" s="71"/>
      <c r="AN314" s="71"/>
      <c r="AO314" s="71"/>
      <c r="AP314" s="71"/>
      <c r="AQ314" s="71"/>
    </row>
    <row r="315" spans="1:43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3"/>
      <c r="L315" s="72"/>
      <c r="M315" s="72"/>
      <c r="N315" s="72"/>
      <c r="O315" s="72"/>
      <c r="P315" s="72"/>
      <c r="Q315" s="72"/>
      <c r="R315" s="72"/>
      <c r="S315" s="72">
        <v>6578.8710000000001</v>
      </c>
      <c r="T315" s="72">
        <v>9314.2039999999997</v>
      </c>
      <c r="U315" s="72">
        <v>9.5109999999999992</v>
      </c>
      <c r="V315" s="72">
        <v>3</v>
      </c>
      <c r="W315" s="72"/>
      <c r="X315" s="72"/>
      <c r="Y315" s="72"/>
      <c r="Z315" s="72" t="s">
        <v>104</v>
      </c>
      <c r="AB315" s="71"/>
      <c r="AC315" s="71"/>
      <c r="AD315" s="71"/>
      <c r="AE315" s="71"/>
      <c r="AF315" s="71"/>
      <c r="AG315" s="71"/>
      <c r="AH315" s="71"/>
      <c r="AI315" s="71"/>
      <c r="AJ315" s="71"/>
      <c r="AK315" s="71"/>
      <c r="AL315" s="71"/>
      <c r="AM315" s="71"/>
      <c r="AN315" s="71"/>
      <c r="AO315" s="71"/>
      <c r="AP315" s="71"/>
      <c r="AQ315" s="71"/>
    </row>
    <row r="316" spans="1:43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3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B316" s="71"/>
      <c r="AC316" s="71"/>
      <c r="AD316" s="71"/>
      <c r="AE316" s="71"/>
      <c r="AF316" s="71"/>
      <c r="AG316" s="71"/>
      <c r="AH316" s="71"/>
      <c r="AI316" s="71"/>
      <c r="AJ316" s="71"/>
      <c r="AK316" s="71"/>
      <c r="AL316" s="71"/>
      <c r="AM316" s="71"/>
      <c r="AN316" s="71"/>
      <c r="AO316" s="71"/>
      <c r="AP316" s="71"/>
      <c r="AQ316" s="71"/>
    </row>
    <row r="317" spans="1:43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3"/>
      <c r="L317" s="72"/>
      <c r="M317" s="72"/>
      <c r="N317" s="72"/>
      <c r="O317" s="72"/>
      <c r="P317" s="72"/>
      <c r="Q317" s="72"/>
      <c r="R317" s="72"/>
      <c r="S317" s="72">
        <v>6603.28</v>
      </c>
      <c r="T317" s="72">
        <v>9236.2649999999994</v>
      </c>
      <c r="U317" s="72">
        <v>9</v>
      </c>
      <c r="V317" s="72" t="s">
        <v>105</v>
      </c>
      <c r="W317" s="72" t="s">
        <v>73</v>
      </c>
      <c r="X317" s="72"/>
      <c r="Y317" s="72"/>
      <c r="Z317" s="72"/>
      <c r="AB317" s="71"/>
      <c r="AC317" s="71"/>
      <c r="AD317" s="71"/>
      <c r="AE317" s="71"/>
      <c r="AF317" s="71"/>
      <c r="AG317" s="71"/>
      <c r="AH317" s="71"/>
      <c r="AI317" s="71"/>
      <c r="AJ317" s="71"/>
      <c r="AK317" s="71"/>
      <c r="AL317" s="71"/>
      <c r="AM317" s="71"/>
      <c r="AN317" s="71"/>
      <c r="AO317" s="71"/>
      <c r="AP317" s="71"/>
      <c r="AQ317" s="71"/>
    </row>
    <row r="318" spans="1:43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3"/>
      <c r="L318" s="72"/>
      <c r="M318" s="72"/>
      <c r="N318" s="72"/>
      <c r="O318" s="72"/>
      <c r="P318" s="72"/>
      <c r="Q318" s="72"/>
      <c r="R318" s="72"/>
      <c r="S318" s="72">
        <v>6560.3739999999998</v>
      </c>
      <c r="T318" s="72">
        <v>9230.2350000000006</v>
      </c>
      <c r="U318" s="72">
        <v>9.4179999999999993</v>
      </c>
      <c r="V318" s="72">
        <v>1</v>
      </c>
      <c r="W318" s="72"/>
      <c r="X318" s="72"/>
      <c r="Y318" s="72"/>
      <c r="Z318" s="72" t="s">
        <v>106</v>
      </c>
      <c r="AB318" s="71"/>
      <c r="AC318" s="71"/>
      <c r="AD318" s="71"/>
      <c r="AE318" s="71"/>
      <c r="AF318" s="71"/>
      <c r="AG318" s="71"/>
      <c r="AH318" s="71"/>
      <c r="AI318" s="71"/>
      <c r="AJ318" s="71"/>
      <c r="AK318" s="71"/>
      <c r="AL318" s="71"/>
      <c r="AM318" s="71"/>
      <c r="AN318" s="71"/>
      <c r="AO318" s="71"/>
      <c r="AP318" s="71"/>
      <c r="AQ318" s="71"/>
    </row>
    <row r="319" spans="1:43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3"/>
      <c r="L319" s="72"/>
      <c r="M319" s="72"/>
      <c r="N319" s="72"/>
      <c r="O319" s="72"/>
      <c r="P319" s="72"/>
      <c r="Q319" s="72"/>
      <c r="R319" s="72"/>
      <c r="S319" s="72">
        <v>6551.54</v>
      </c>
      <c r="T319" s="72">
        <v>9220.4470000000001</v>
      </c>
      <c r="U319" s="72">
        <v>9.2140000000000004</v>
      </c>
      <c r="V319" s="72">
        <v>2</v>
      </c>
      <c r="W319" s="72"/>
      <c r="X319" s="72"/>
      <c r="Y319" s="72"/>
      <c r="Z319" s="72" t="s">
        <v>106</v>
      </c>
      <c r="AB319" s="71"/>
      <c r="AC319" s="71"/>
      <c r="AD319" s="71"/>
      <c r="AE319" s="71"/>
      <c r="AF319" s="71"/>
      <c r="AG319" s="71"/>
      <c r="AH319" s="71"/>
      <c r="AI319" s="71"/>
      <c r="AJ319" s="71"/>
      <c r="AK319" s="71"/>
      <c r="AL319" s="71"/>
      <c r="AM319" s="71"/>
      <c r="AN319" s="71"/>
      <c r="AO319" s="71"/>
      <c r="AP319" s="71"/>
      <c r="AQ319" s="71"/>
    </row>
    <row r="320" spans="1:43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3"/>
      <c r="L320" s="72"/>
      <c r="M320" s="72"/>
      <c r="N320" s="72"/>
      <c r="O320" s="72"/>
      <c r="P320" s="72"/>
      <c r="Q320" s="72"/>
      <c r="R320" s="72"/>
      <c r="S320" s="72">
        <v>6665.28</v>
      </c>
      <c r="T320" s="72">
        <v>9225.3330000000005</v>
      </c>
      <c r="U320" s="72">
        <v>9.516</v>
      </c>
      <c r="V320" s="72">
        <v>3</v>
      </c>
      <c r="W320" s="72"/>
      <c r="X320" s="72"/>
      <c r="Y320" s="72"/>
      <c r="Z320" s="72" t="s">
        <v>104</v>
      </c>
      <c r="AB320" s="71"/>
      <c r="AC320" s="71"/>
      <c r="AD320" s="71"/>
      <c r="AE320" s="71"/>
      <c r="AF320" s="71"/>
      <c r="AG320" s="71"/>
      <c r="AH320" s="71"/>
      <c r="AI320" s="71"/>
      <c r="AJ320" s="71"/>
      <c r="AK320" s="71"/>
      <c r="AL320" s="71"/>
      <c r="AM320" s="71"/>
      <c r="AN320" s="71"/>
      <c r="AO320" s="71"/>
      <c r="AP320" s="71"/>
      <c r="AQ320" s="71"/>
    </row>
    <row r="321" spans="1:43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3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B321" s="71"/>
      <c r="AC321" s="71"/>
      <c r="AD321" s="71"/>
      <c r="AE321" s="71"/>
      <c r="AF321" s="71"/>
      <c r="AG321" s="71"/>
      <c r="AH321" s="71"/>
      <c r="AI321" s="71"/>
      <c r="AJ321" s="71"/>
      <c r="AK321" s="71"/>
      <c r="AL321" s="71"/>
      <c r="AM321" s="71"/>
      <c r="AN321" s="71"/>
      <c r="AO321" s="71"/>
      <c r="AP321" s="71"/>
      <c r="AQ321" s="71"/>
    </row>
    <row r="322" spans="1:43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3"/>
      <c r="L322" s="72"/>
      <c r="M322" s="72"/>
      <c r="N322" s="72"/>
      <c r="O322" s="72"/>
      <c r="P322" s="72"/>
      <c r="Q322" s="72"/>
      <c r="R322" s="72"/>
      <c r="S322" s="72">
        <v>6522.3530000000001</v>
      </c>
      <c r="T322" s="72">
        <v>9109.5190000000002</v>
      </c>
      <c r="U322" s="72">
        <v>9</v>
      </c>
      <c r="V322" s="72" t="s">
        <v>107</v>
      </c>
      <c r="W322" s="72" t="s">
        <v>73</v>
      </c>
      <c r="X322" s="72"/>
      <c r="Y322" s="72"/>
      <c r="Z322" s="72"/>
      <c r="AB322" s="71"/>
      <c r="AC322" s="71"/>
      <c r="AD322" s="71"/>
      <c r="AE322" s="71"/>
      <c r="AF322" s="71"/>
      <c r="AG322" s="71"/>
      <c r="AH322" s="71"/>
      <c r="AI322" s="71"/>
      <c r="AJ322" s="71"/>
      <c r="AK322" s="71"/>
      <c r="AL322" s="71"/>
      <c r="AM322" s="71"/>
      <c r="AN322" s="71"/>
      <c r="AO322" s="71"/>
      <c r="AP322" s="71"/>
      <c r="AQ322" s="71"/>
    </row>
    <row r="323" spans="1:43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3"/>
      <c r="L323" s="72"/>
      <c r="M323" s="72"/>
      <c r="N323" s="72"/>
      <c r="O323" s="72"/>
      <c r="P323" s="72"/>
      <c r="Q323" s="72"/>
      <c r="R323" s="72"/>
      <c r="S323" s="72">
        <v>6485.05</v>
      </c>
      <c r="T323" s="72">
        <v>9110.17</v>
      </c>
      <c r="U323" s="72">
        <v>9.2810000000000006</v>
      </c>
      <c r="V323" s="72">
        <v>1</v>
      </c>
      <c r="W323" s="72"/>
      <c r="X323" s="72"/>
      <c r="Y323" s="72"/>
      <c r="Z323" s="72" t="s">
        <v>104</v>
      </c>
      <c r="AB323" s="71"/>
      <c r="AC323" s="71"/>
      <c r="AD323" s="71"/>
      <c r="AE323" s="71"/>
      <c r="AF323" s="71"/>
      <c r="AG323" s="71"/>
      <c r="AH323" s="71"/>
      <c r="AI323" s="71"/>
      <c r="AJ323" s="71"/>
      <c r="AK323" s="71"/>
      <c r="AL323" s="71"/>
      <c r="AM323" s="71"/>
      <c r="AN323" s="71"/>
      <c r="AO323" s="71"/>
      <c r="AP323" s="71"/>
      <c r="AQ323" s="71"/>
    </row>
    <row r="324" spans="1:43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3"/>
      <c r="L324" s="72"/>
      <c r="M324" s="72"/>
      <c r="N324" s="72"/>
      <c r="O324" s="72"/>
      <c r="P324" s="72"/>
      <c r="Q324" s="72"/>
      <c r="R324" s="72"/>
      <c r="S324" s="72">
        <v>6424.4</v>
      </c>
      <c r="T324" s="72">
        <v>9109.5190000000002</v>
      </c>
      <c r="U324" s="72">
        <v>8.99</v>
      </c>
      <c r="V324" s="72">
        <v>2</v>
      </c>
      <c r="W324" s="72"/>
      <c r="X324" s="72"/>
      <c r="Y324" s="72"/>
      <c r="Z324" s="72" t="s">
        <v>79</v>
      </c>
      <c r="AB324" s="71"/>
      <c r="AC324" s="71"/>
      <c r="AD324" s="71"/>
      <c r="AE324" s="71"/>
      <c r="AF324" s="71"/>
      <c r="AG324" s="71"/>
      <c r="AH324" s="71"/>
      <c r="AI324" s="71"/>
      <c r="AJ324" s="71"/>
      <c r="AK324" s="71"/>
      <c r="AL324" s="71"/>
      <c r="AM324" s="71"/>
      <c r="AN324" s="71"/>
      <c r="AO324" s="71"/>
      <c r="AP324" s="71"/>
      <c r="AQ324" s="71"/>
    </row>
    <row r="325" spans="1:43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3"/>
      <c r="L325" s="72"/>
      <c r="M325" s="72"/>
      <c r="N325" s="72"/>
      <c r="O325" s="72"/>
      <c r="P325" s="72"/>
      <c r="Q325" s="72"/>
      <c r="R325" s="72"/>
      <c r="S325" s="72">
        <v>6352.6949999999997</v>
      </c>
      <c r="T325" s="72">
        <v>9103.5939999999991</v>
      </c>
      <c r="U325" s="72">
        <v>8.5589999999999993</v>
      </c>
      <c r="V325" s="72">
        <v>3</v>
      </c>
      <c r="W325" s="72"/>
      <c r="X325" s="72"/>
      <c r="Y325" s="72"/>
      <c r="Z325" s="72" t="s">
        <v>79</v>
      </c>
      <c r="AB325" s="71"/>
      <c r="AC325" s="71"/>
      <c r="AD325" s="71"/>
      <c r="AE325" s="71"/>
      <c r="AF325" s="71"/>
      <c r="AG325" s="71"/>
      <c r="AH325" s="71"/>
      <c r="AI325" s="71"/>
      <c r="AJ325" s="71"/>
      <c r="AK325" s="71"/>
      <c r="AL325" s="71"/>
      <c r="AM325" s="71"/>
      <c r="AN325" s="71"/>
      <c r="AO325" s="71"/>
      <c r="AP325" s="71"/>
      <c r="AQ325" s="71"/>
    </row>
    <row r="326" spans="1:43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3"/>
      <c r="L326" s="72"/>
      <c r="M326" s="72"/>
      <c r="N326" s="72"/>
      <c r="O326" s="72"/>
      <c r="P326" s="72"/>
      <c r="Q326" s="72"/>
      <c r="R326" s="72"/>
      <c r="S326" s="72">
        <v>6558.4179999999997</v>
      </c>
      <c r="T326" s="72">
        <v>9108.26</v>
      </c>
      <c r="U326" s="72">
        <v>9.109</v>
      </c>
      <c r="V326" s="72">
        <v>4</v>
      </c>
      <c r="W326" s="72"/>
      <c r="X326" s="72"/>
      <c r="Y326" s="72"/>
      <c r="Z326" s="72" t="s">
        <v>104</v>
      </c>
      <c r="AB326" s="71"/>
      <c r="AC326" s="71"/>
      <c r="AD326" s="71"/>
      <c r="AE326" s="71"/>
      <c r="AF326" s="71"/>
      <c r="AG326" s="71"/>
      <c r="AH326" s="71"/>
      <c r="AI326" s="71"/>
      <c r="AJ326" s="71"/>
      <c r="AK326" s="71"/>
      <c r="AL326" s="71"/>
      <c r="AM326" s="71"/>
      <c r="AN326" s="71"/>
      <c r="AO326" s="71"/>
      <c r="AP326" s="71"/>
      <c r="AQ326" s="71"/>
    </row>
    <row r="327" spans="1:43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3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B327" s="71"/>
      <c r="AC327" s="71"/>
      <c r="AD327" s="71"/>
      <c r="AE327" s="71"/>
      <c r="AF327" s="71"/>
      <c r="AG327" s="71"/>
      <c r="AH327" s="71"/>
      <c r="AI327" s="71"/>
      <c r="AJ327" s="71"/>
      <c r="AK327" s="71"/>
      <c r="AL327" s="71"/>
      <c r="AM327" s="71"/>
      <c r="AN327" s="71"/>
      <c r="AO327" s="71"/>
      <c r="AP327" s="71"/>
      <c r="AQ327" s="71"/>
    </row>
    <row r="328" spans="1:43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3"/>
      <c r="L328" s="72"/>
      <c r="M328" s="72"/>
      <c r="N328" s="72"/>
      <c r="O328" s="72"/>
      <c r="P328" s="72"/>
      <c r="Q328" s="72"/>
      <c r="R328" s="72"/>
      <c r="S328" s="72">
        <v>6516.5320000000002</v>
      </c>
      <c r="T328" s="72">
        <v>9009.7039999999997</v>
      </c>
      <c r="U328" s="72">
        <v>9</v>
      </c>
      <c r="V328" s="72" t="s">
        <v>108</v>
      </c>
      <c r="W328" s="72" t="s">
        <v>73</v>
      </c>
      <c r="X328" s="72"/>
      <c r="Y328" s="72"/>
      <c r="Z328" s="72"/>
      <c r="AB328" s="71"/>
      <c r="AC328" s="71"/>
      <c r="AD328" s="71"/>
      <c r="AE328" s="71"/>
      <c r="AF328" s="71"/>
      <c r="AG328" s="71"/>
      <c r="AH328" s="71"/>
      <c r="AI328" s="71"/>
      <c r="AJ328" s="71"/>
      <c r="AK328" s="71"/>
      <c r="AL328" s="71"/>
      <c r="AM328" s="71"/>
      <c r="AN328" s="71"/>
      <c r="AO328" s="71"/>
      <c r="AP328" s="71"/>
      <c r="AQ328" s="71"/>
    </row>
    <row r="329" spans="1:43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3"/>
      <c r="L329" s="72"/>
      <c r="M329" s="72"/>
      <c r="N329" s="72"/>
      <c r="O329" s="72"/>
      <c r="P329" s="72"/>
      <c r="Q329" s="72"/>
      <c r="R329" s="72"/>
      <c r="S329" s="72">
        <v>6612.585</v>
      </c>
      <c r="T329" s="72">
        <v>9004.67</v>
      </c>
      <c r="U329" s="72">
        <v>9.2279999999999998</v>
      </c>
      <c r="V329" s="72">
        <v>1</v>
      </c>
      <c r="W329" s="72"/>
      <c r="X329" s="72"/>
      <c r="Y329" s="72"/>
      <c r="Z329" s="72" t="s">
        <v>104</v>
      </c>
      <c r="AB329" s="71"/>
      <c r="AC329" s="71"/>
      <c r="AD329" s="71"/>
      <c r="AE329" s="71"/>
      <c r="AF329" s="71"/>
      <c r="AG329" s="71"/>
      <c r="AH329" s="71"/>
      <c r="AI329" s="71"/>
      <c r="AJ329" s="71"/>
      <c r="AK329" s="71"/>
      <c r="AL329" s="71"/>
      <c r="AM329" s="71"/>
      <c r="AN329" s="71"/>
      <c r="AO329" s="71"/>
      <c r="AP329" s="71"/>
      <c r="AQ329" s="71"/>
    </row>
    <row r="330" spans="1:43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3"/>
      <c r="L330" s="72"/>
      <c r="M330" s="72"/>
      <c r="N330" s="72"/>
      <c r="O330" s="72"/>
      <c r="P330" s="72"/>
      <c r="Q330" s="72"/>
      <c r="R330" s="72"/>
      <c r="S330" s="72">
        <v>6474.6030000000001</v>
      </c>
      <c r="T330" s="72">
        <v>9008.24</v>
      </c>
      <c r="U330" s="72">
        <v>9.0510000000000002</v>
      </c>
      <c r="V330" s="72">
        <v>2</v>
      </c>
      <c r="W330" s="72"/>
      <c r="X330" s="72"/>
      <c r="Y330" s="72"/>
      <c r="Z330" s="72" t="s">
        <v>104</v>
      </c>
      <c r="AB330" s="71"/>
      <c r="AC330" s="71"/>
      <c r="AD330" s="71"/>
      <c r="AE330" s="71"/>
      <c r="AF330" s="71"/>
      <c r="AG330" s="71"/>
      <c r="AH330" s="71"/>
      <c r="AI330" s="71"/>
      <c r="AJ330" s="71"/>
      <c r="AK330" s="71"/>
      <c r="AL330" s="71"/>
      <c r="AM330" s="71"/>
      <c r="AN330" s="71"/>
      <c r="AO330" s="71"/>
      <c r="AP330" s="71"/>
      <c r="AQ330" s="71"/>
    </row>
    <row r="331" spans="1:43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3"/>
      <c r="L331" s="72"/>
      <c r="M331" s="72"/>
      <c r="N331" s="72"/>
      <c r="O331" s="72"/>
      <c r="P331" s="72"/>
      <c r="Q331" s="72"/>
      <c r="R331" s="72"/>
      <c r="S331" s="72">
        <v>6412.9709999999995</v>
      </c>
      <c r="T331" s="72">
        <v>9007.8960000000006</v>
      </c>
      <c r="U331" s="72">
        <v>8.8940000000000001</v>
      </c>
      <c r="V331" s="72">
        <v>3</v>
      </c>
      <c r="W331" s="72"/>
      <c r="X331" s="72"/>
      <c r="Y331" s="72"/>
      <c r="Z331" s="72" t="s">
        <v>79</v>
      </c>
      <c r="AB331" s="71"/>
      <c r="AC331" s="71"/>
      <c r="AD331" s="71"/>
      <c r="AE331" s="71"/>
      <c r="AF331" s="71"/>
      <c r="AG331" s="71"/>
      <c r="AH331" s="71"/>
      <c r="AI331" s="71"/>
      <c r="AJ331" s="71"/>
      <c r="AK331" s="71"/>
      <c r="AL331" s="71"/>
      <c r="AM331" s="71"/>
      <c r="AN331" s="71"/>
      <c r="AO331" s="71"/>
      <c r="AP331" s="71"/>
      <c r="AQ331" s="71"/>
    </row>
    <row r="332" spans="1:43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3"/>
      <c r="L332" s="72"/>
      <c r="M332" s="72"/>
      <c r="N332" s="72"/>
      <c r="O332" s="72"/>
      <c r="P332" s="72"/>
      <c r="Q332" s="72"/>
      <c r="R332" s="72"/>
      <c r="S332" s="72">
        <v>6342.5469999999996</v>
      </c>
      <c r="T332" s="72">
        <v>9009.7039999999997</v>
      </c>
      <c r="U332" s="72">
        <v>8.8109999999999999</v>
      </c>
      <c r="V332" s="72">
        <v>4</v>
      </c>
      <c r="W332" s="72"/>
      <c r="X332" s="72"/>
      <c r="Y332" s="72"/>
      <c r="Z332" s="72" t="s">
        <v>79</v>
      </c>
      <c r="AB332" s="71"/>
      <c r="AC332" s="71"/>
      <c r="AD332" s="71"/>
      <c r="AE332" s="71"/>
      <c r="AF332" s="71"/>
      <c r="AG332" s="71"/>
      <c r="AH332" s="71"/>
      <c r="AI332" s="71"/>
      <c r="AJ332" s="71"/>
      <c r="AK332" s="71"/>
      <c r="AL332" s="71"/>
      <c r="AM332" s="71"/>
      <c r="AN332" s="71"/>
      <c r="AO332" s="71"/>
      <c r="AP332" s="71"/>
      <c r="AQ332" s="71"/>
    </row>
    <row r="333" spans="1:43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3"/>
      <c r="L333" s="72"/>
      <c r="M333" s="72"/>
      <c r="N333" s="72"/>
      <c r="O333" s="72"/>
      <c r="P333" s="72"/>
      <c r="Q333" s="72"/>
      <c r="R333" s="72"/>
      <c r="S333" s="72">
        <v>6442.6310000000003</v>
      </c>
      <c r="T333" s="72">
        <v>9086.2309999999998</v>
      </c>
      <c r="U333" s="72">
        <v>9.1620000000000008</v>
      </c>
      <c r="V333" s="72">
        <v>5</v>
      </c>
      <c r="W333" s="72"/>
      <c r="X333" s="72"/>
      <c r="Y333" s="72"/>
      <c r="Z333" s="72" t="s">
        <v>79</v>
      </c>
      <c r="AB333" s="71"/>
      <c r="AC333" s="71"/>
      <c r="AD333" s="71"/>
      <c r="AE333" s="71"/>
      <c r="AF333" s="71"/>
      <c r="AG333" s="71"/>
      <c r="AH333" s="71"/>
      <c r="AI333" s="71"/>
      <c r="AJ333" s="71"/>
      <c r="AK333" s="71"/>
      <c r="AL333" s="71"/>
      <c r="AM333" s="71"/>
      <c r="AN333" s="71"/>
      <c r="AO333" s="71"/>
      <c r="AP333" s="71"/>
      <c r="AQ333" s="71"/>
    </row>
    <row r="334" spans="1:43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3"/>
      <c r="L334" s="72"/>
      <c r="M334" s="72"/>
      <c r="N334" s="72"/>
      <c r="O334" s="72"/>
      <c r="P334" s="72"/>
      <c r="Q334" s="72"/>
      <c r="R334" s="72"/>
      <c r="S334" s="72">
        <v>6509.1639999999998</v>
      </c>
      <c r="T334" s="72">
        <v>9004.9189999999999</v>
      </c>
      <c r="U334" s="72">
        <v>8.7850000000000001</v>
      </c>
      <c r="V334" s="72">
        <v>6</v>
      </c>
      <c r="W334" s="72"/>
      <c r="X334" s="72"/>
      <c r="Y334" s="72"/>
      <c r="Z334" s="72" t="s">
        <v>79</v>
      </c>
      <c r="AB334" s="71"/>
      <c r="AC334" s="71"/>
      <c r="AD334" s="71"/>
      <c r="AE334" s="71"/>
      <c r="AF334" s="71"/>
      <c r="AG334" s="71"/>
      <c r="AH334" s="71"/>
      <c r="AI334" s="71"/>
      <c r="AJ334" s="71"/>
      <c r="AK334" s="71"/>
      <c r="AL334" s="71"/>
      <c r="AM334" s="71"/>
      <c r="AN334" s="71"/>
      <c r="AO334" s="71"/>
      <c r="AP334" s="71"/>
      <c r="AQ334" s="71"/>
    </row>
    <row r="335" spans="1:43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3"/>
      <c r="L335" s="72"/>
      <c r="M335" s="72"/>
      <c r="N335" s="72"/>
      <c r="O335" s="72"/>
      <c r="P335" s="72"/>
      <c r="Q335" s="72"/>
      <c r="R335" s="72"/>
      <c r="S335" s="72">
        <v>6508.4769999999999</v>
      </c>
      <c r="T335" s="72">
        <v>9006.1180000000004</v>
      </c>
      <c r="U335" s="72">
        <v>8.8170000000000002</v>
      </c>
      <c r="V335" s="72">
        <v>7</v>
      </c>
      <c r="W335" s="72"/>
      <c r="X335" s="72"/>
      <c r="Y335" s="72"/>
      <c r="Z335" s="72" t="s">
        <v>79</v>
      </c>
      <c r="AB335" s="71"/>
      <c r="AC335" s="71"/>
      <c r="AD335" s="71"/>
      <c r="AE335" s="71"/>
      <c r="AF335" s="71"/>
      <c r="AG335" s="71"/>
      <c r="AH335" s="71"/>
      <c r="AI335" s="71"/>
      <c r="AJ335" s="71"/>
      <c r="AK335" s="71"/>
      <c r="AL335" s="71"/>
      <c r="AM335" s="71"/>
      <c r="AN335" s="71"/>
      <c r="AO335" s="71"/>
      <c r="AP335" s="71"/>
      <c r="AQ335" s="71"/>
    </row>
    <row r="336" spans="1:43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3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B336" s="71"/>
      <c r="AC336" s="71"/>
      <c r="AD336" s="71"/>
      <c r="AE336" s="71"/>
      <c r="AF336" s="71"/>
      <c r="AG336" s="71"/>
      <c r="AH336" s="71"/>
      <c r="AI336" s="71"/>
      <c r="AJ336" s="71"/>
      <c r="AK336" s="71"/>
      <c r="AL336" s="71"/>
      <c r="AM336" s="71"/>
      <c r="AN336" s="71"/>
      <c r="AO336" s="71"/>
      <c r="AP336" s="71"/>
      <c r="AQ336" s="71"/>
    </row>
    <row r="337" spans="1:43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3"/>
      <c r="L337" s="72"/>
      <c r="M337" s="72"/>
      <c r="N337" s="72"/>
      <c r="O337" s="72"/>
      <c r="P337" s="72"/>
      <c r="Q337" s="72"/>
      <c r="R337" s="72"/>
      <c r="S337" s="72">
        <v>6652.7370000000001</v>
      </c>
      <c r="T337" s="72">
        <v>8358.7459999999992</v>
      </c>
      <c r="U337" s="72">
        <v>9.5</v>
      </c>
      <c r="V337" s="72" t="s">
        <v>109</v>
      </c>
      <c r="W337" s="72" t="s">
        <v>73</v>
      </c>
      <c r="X337" s="72"/>
      <c r="Y337" s="72"/>
      <c r="Z337" s="72"/>
      <c r="AB337" s="71"/>
      <c r="AC337" s="71"/>
      <c r="AD337" s="71"/>
      <c r="AE337" s="71"/>
      <c r="AF337" s="71"/>
      <c r="AG337" s="71"/>
      <c r="AH337" s="71"/>
      <c r="AI337" s="71"/>
      <c r="AJ337" s="71"/>
      <c r="AK337" s="71"/>
      <c r="AL337" s="71"/>
      <c r="AM337" s="71"/>
      <c r="AN337" s="71"/>
      <c r="AO337" s="71"/>
      <c r="AP337" s="71"/>
      <c r="AQ337" s="71"/>
    </row>
    <row r="338" spans="1:43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3"/>
      <c r="L338" s="72"/>
      <c r="M338" s="72"/>
      <c r="N338" s="72"/>
      <c r="O338" s="72"/>
      <c r="P338" s="72"/>
      <c r="Q338" s="72"/>
      <c r="R338" s="72"/>
      <c r="S338" s="72">
        <v>6719.0829999999996</v>
      </c>
      <c r="T338" s="72">
        <v>8342.2039999999997</v>
      </c>
      <c r="U338" s="72">
        <v>9.3460000000000001</v>
      </c>
      <c r="V338" s="72">
        <v>1</v>
      </c>
      <c r="W338" s="72"/>
      <c r="X338" s="72"/>
      <c r="Y338" s="72"/>
      <c r="Z338" s="72"/>
      <c r="AB338" s="71"/>
      <c r="AC338" s="71"/>
      <c r="AD338" s="71"/>
      <c r="AE338" s="71"/>
      <c r="AF338" s="71"/>
      <c r="AG338" s="71"/>
      <c r="AH338" s="71"/>
      <c r="AI338" s="71"/>
      <c r="AJ338" s="71"/>
      <c r="AK338" s="71"/>
      <c r="AL338" s="71"/>
      <c r="AM338" s="71"/>
      <c r="AN338" s="71"/>
      <c r="AO338" s="71"/>
      <c r="AP338" s="71"/>
      <c r="AQ338" s="71"/>
    </row>
    <row r="339" spans="1:43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3"/>
      <c r="L339" s="72"/>
      <c r="M339" s="72"/>
      <c r="N339" s="72"/>
      <c r="O339" s="72"/>
      <c r="P339" s="72"/>
      <c r="Q339" s="72"/>
      <c r="R339" s="72"/>
      <c r="S339" s="72">
        <v>6594.95</v>
      </c>
      <c r="T339" s="72">
        <v>8378.6440000000002</v>
      </c>
      <c r="U339" s="72">
        <v>8.34</v>
      </c>
      <c r="V339" s="72">
        <v>2</v>
      </c>
      <c r="W339" s="72"/>
      <c r="X339" s="72"/>
      <c r="Y339" s="72"/>
      <c r="Z339" s="72"/>
      <c r="AB339" s="71"/>
      <c r="AC339" s="71"/>
      <c r="AD339" s="71"/>
      <c r="AE339" s="71"/>
      <c r="AF339" s="71"/>
      <c r="AG339" s="71"/>
      <c r="AH339" s="71"/>
      <c r="AI339" s="71"/>
      <c r="AJ339" s="71"/>
      <c r="AK339" s="71"/>
      <c r="AL339" s="71"/>
      <c r="AM339" s="71"/>
      <c r="AN339" s="71"/>
      <c r="AO339" s="71"/>
      <c r="AP339" s="71"/>
      <c r="AQ339" s="71"/>
    </row>
    <row r="340" spans="1:43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3"/>
      <c r="L340" s="72"/>
      <c r="M340" s="72"/>
      <c r="N340" s="72"/>
      <c r="O340" s="72"/>
      <c r="P340" s="72"/>
      <c r="Q340" s="72"/>
      <c r="R340" s="72"/>
      <c r="S340" s="72">
        <v>6531.57</v>
      </c>
      <c r="T340" s="72">
        <v>8402.8469999999998</v>
      </c>
      <c r="U340" s="72">
        <v>7.8979999999999997</v>
      </c>
      <c r="V340" s="72">
        <v>3</v>
      </c>
      <c r="W340" s="72"/>
      <c r="X340" s="72"/>
      <c r="Y340" s="72"/>
      <c r="Z340" s="72"/>
      <c r="AB340" s="71"/>
      <c r="AC340" s="71"/>
      <c r="AD340" s="71"/>
      <c r="AE340" s="71"/>
      <c r="AF340" s="71"/>
      <c r="AG340" s="71"/>
      <c r="AH340" s="71"/>
      <c r="AI340" s="71"/>
      <c r="AJ340" s="71"/>
      <c r="AK340" s="71"/>
      <c r="AL340" s="71"/>
      <c r="AM340" s="71"/>
      <c r="AN340" s="71"/>
      <c r="AO340" s="71"/>
      <c r="AP340" s="71"/>
      <c r="AQ340" s="71"/>
    </row>
    <row r="341" spans="1:43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3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B341" s="71"/>
      <c r="AC341" s="71"/>
      <c r="AD341" s="71"/>
      <c r="AE341" s="71"/>
      <c r="AF341" s="71"/>
      <c r="AG341" s="71"/>
      <c r="AH341" s="71"/>
      <c r="AI341" s="71"/>
      <c r="AJ341" s="71"/>
      <c r="AK341" s="71"/>
      <c r="AL341" s="71"/>
      <c r="AM341" s="71"/>
      <c r="AN341" s="71"/>
      <c r="AO341" s="71"/>
      <c r="AP341" s="71"/>
      <c r="AQ341" s="71"/>
    </row>
    <row r="342" spans="1:43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3"/>
      <c r="L342" s="72"/>
      <c r="M342" s="72"/>
      <c r="N342" s="72"/>
      <c r="O342" s="72"/>
      <c r="P342" s="72"/>
      <c r="Q342" s="72"/>
      <c r="R342" s="72"/>
      <c r="S342" s="72">
        <v>6540.424</v>
      </c>
      <c r="T342" s="72">
        <v>8191.8019999999997</v>
      </c>
      <c r="U342" s="72">
        <v>9.1</v>
      </c>
      <c r="V342" s="72" t="s">
        <v>110</v>
      </c>
      <c r="W342" s="72" t="s">
        <v>73</v>
      </c>
      <c r="X342" s="72"/>
      <c r="Y342" s="72"/>
      <c r="Z342" s="72"/>
      <c r="AB342" s="71"/>
      <c r="AC342" s="71"/>
      <c r="AD342" s="71"/>
      <c r="AE342" s="71"/>
      <c r="AF342" s="71"/>
      <c r="AG342" s="71"/>
      <c r="AH342" s="71"/>
      <c r="AI342" s="71"/>
      <c r="AJ342" s="71"/>
      <c r="AK342" s="71"/>
      <c r="AL342" s="71"/>
      <c r="AM342" s="71"/>
      <c r="AN342" s="71"/>
      <c r="AO342" s="71"/>
      <c r="AP342" s="71"/>
      <c r="AQ342" s="71"/>
    </row>
    <row r="343" spans="1:43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3"/>
      <c r="L343" s="72"/>
      <c r="M343" s="72"/>
      <c r="N343" s="72"/>
      <c r="O343" s="72"/>
      <c r="P343" s="72"/>
      <c r="Q343" s="72"/>
      <c r="R343" s="72"/>
      <c r="S343" s="72">
        <v>6533.1350000000002</v>
      </c>
      <c r="T343" s="72">
        <v>8243.6630000000005</v>
      </c>
      <c r="U343" s="72">
        <v>9.0820000000000007</v>
      </c>
      <c r="V343" s="72">
        <v>1</v>
      </c>
      <c r="W343" s="72"/>
      <c r="X343" s="72"/>
      <c r="Y343" s="72"/>
      <c r="Z343" s="72" t="s">
        <v>106</v>
      </c>
      <c r="AB343" s="71"/>
      <c r="AC343" s="71"/>
      <c r="AD343" s="71"/>
      <c r="AE343" s="71"/>
      <c r="AF343" s="71"/>
      <c r="AG343" s="71"/>
      <c r="AH343" s="71"/>
      <c r="AI343" s="71"/>
      <c r="AJ343" s="71"/>
      <c r="AK343" s="71"/>
      <c r="AL343" s="71"/>
      <c r="AM343" s="71"/>
      <c r="AN343" s="71"/>
      <c r="AO343" s="71"/>
      <c r="AP343" s="71"/>
      <c r="AQ343" s="71"/>
    </row>
    <row r="344" spans="1:43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3"/>
      <c r="L344" s="72"/>
      <c r="M344" s="72"/>
      <c r="N344" s="72"/>
      <c r="O344" s="72"/>
      <c r="P344" s="72"/>
      <c r="Q344" s="72"/>
      <c r="R344" s="72"/>
      <c r="S344" s="72">
        <v>6525.6260000000002</v>
      </c>
      <c r="T344" s="72">
        <v>8232.4580000000005</v>
      </c>
      <c r="U344" s="72">
        <v>9.0920000000000005</v>
      </c>
      <c r="V344" s="72">
        <v>2</v>
      </c>
      <c r="W344" s="72"/>
      <c r="X344" s="72"/>
      <c r="Y344" s="72"/>
      <c r="Z344" s="72" t="s">
        <v>106</v>
      </c>
      <c r="AB344" s="71"/>
      <c r="AC344" s="71"/>
      <c r="AD344" s="71"/>
      <c r="AE344" s="71"/>
      <c r="AF344" s="71"/>
      <c r="AG344" s="71"/>
      <c r="AH344" s="71"/>
      <c r="AI344" s="71"/>
      <c r="AJ344" s="71"/>
      <c r="AK344" s="71"/>
      <c r="AL344" s="71"/>
      <c r="AM344" s="71"/>
      <c r="AN344" s="71"/>
      <c r="AO344" s="71"/>
      <c r="AP344" s="71"/>
      <c r="AQ344" s="71"/>
    </row>
    <row r="345" spans="1:43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3"/>
      <c r="L345" s="72"/>
      <c r="M345" s="72"/>
      <c r="N345" s="72"/>
      <c r="O345" s="72"/>
      <c r="P345" s="72"/>
      <c r="Q345" s="72"/>
      <c r="R345" s="72"/>
      <c r="S345" s="72">
        <v>6502.7190000000001</v>
      </c>
      <c r="T345" s="72">
        <v>8207.8070000000007</v>
      </c>
      <c r="U345" s="72">
        <v>9.0530000000000008</v>
      </c>
      <c r="V345" s="72">
        <v>3</v>
      </c>
      <c r="W345" s="72"/>
      <c r="X345" s="72"/>
      <c r="Y345" s="72"/>
      <c r="Z345" s="72" t="s">
        <v>104</v>
      </c>
      <c r="AB345" s="71"/>
      <c r="AC345" s="71"/>
      <c r="AD345" s="71"/>
      <c r="AE345" s="71"/>
      <c r="AF345" s="71"/>
      <c r="AG345" s="71"/>
      <c r="AH345" s="71"/>
      <c r="AI345" s="71"/>
      <c r="AJ345" s="71"/>
      <c r="AK345" s="71"/>
      <c r="AL345" s="71"/>
      <c r="AM345" s="71"/>
      <c r="AN345" s="71"/>
      <c r="AO345" s="71"/>
      <c r="AP345" s="71"/>
      <c r="AQ345" s="71"/>
    </row>
    <row r="346" spans="1:43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3"/>
      <c r="L346" s="72"/>
      <c r="M346" s="72"/>
      <c r="N346" s="72"/>
      <c r="O346" s="72"/>
      <c r="P346" s="72"/>
      <c r="Q346" s="72"/>
      <c r="R346" s="72"/>
      <c r="S346" s="72">
        <v>6442.6130000000003</v>
      </c>
      <c r="T346" s="72">
        <v>8241.6389999999992</v>
      </c>
      <c r="U346" s="72">
        <v>8.6869999999999994</v>
      </c>
      <c r="V346" s="72">
        <v>4</v>
      </c>
      <c r="W346" s="72"/>
      <c r="X346" s="72"/>
      <c r="Y346" s="72"/>
      <c r="Z346" s="72" t="s">
        <v>79</v>
      </c>
      <c r="AB346" s="71"/>
      <c r="AC346" s="71"/>
      <c r="AD346" s="71"/>
      <c r="AE346" s="71"/>
      <c r="AF346" s="71"/>
      <c r="AG346" s="71"/>
      <c r="AH346" s="71"/>
      <c r="AI346" s="71"/>
      <c r="AJ346" s="71"/>
      <c r="AK346" s="71"/>
      <c r="AL346" s="71"/>
      <c r="AM346" s="71"/>
      <c r="AN346" s="71"/>
      <c r="AO346" s="71"/>
      <c r="AP346" s="71"/>
      <c r="AQ346" s="71"/>
    </row>
    <row r="347" spans="1:43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3"/>
      <c r="L347" s="72"/>
      <c r="M347" s="72"/>
      <c r="N347" s="72"/>
      <c r="O347" s="72"/>
      <c r="P347" s="72"/>
      <c r="Q347" s="72"/>
      <c r="R347" s="72"/>
      <c r="S347" s="72">
        <v>6590.2780000000002</v>
      </c>
      <c r="T347" s="72">
        <v>8169.6059999999998</v>
      </c>
      <c r="U347" s="72">
        <v>9.0779999999999994</v>
      </c>
      <c r="V347" s="72">
        <v>5</v>
      </c>
      <c r="W347" s="72"/>
      <c r="X347" s="72"/>
      <c r="Y347" s="72"/>
      <c r="Z347" s="72" t="s">
        <v>104</v>
      </c>
      <c r="AB347" s="71"/>
      <c r="AC347" s="71"/>
      <c r="AD347" s="71"/>
      <c r="AE347" s="71"/>
      <c r="AF347" s="71"/>
      <c r="AG347" s="71"/>
      <c r="AH347" s="71"/>
      <c r="AI347" s="71"/>
      <c r="AJ347" s="71"/>
      <c r="AK347" s="71"/>
      <c r="AL347" s="71"/>
      <c r="AM347" s="71"/>
      <c r="AN347" s="71"/>
      <c r="AO347" s="71"/>
      <c r="AP347" s="71"/>
      <c r="AQ347" s="71"/>
    </row>
    <row r="348" spans="1:43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3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B348" s="71"/>
      <c r="AC348" s="71"/>
      <c r="AD348" s="71"/>
      <c r="AE348" s="71"/>
      <c r="AF348" s="71"/>
      <c r="AG348" s="71"/>
      <c r="AH348" s="71"/>
      <c r="AI348" s="71"/>
      <c r="AJ348" s="71"/>
      <c r="AK348" s="71"/>
      <c r="AL348" s="71"/>
      <c r="AM348" s="71"/>
      <c r="AN348" s="71"/>
      <c r="AO348" s="71"/>
      <c r="AP348" s="71"/>
      <c r="AQ348" s="71"/>
    </row>
    <row r="349" spans="1:43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3"/>
      <c r="L349" s="72"/>
      <c r="M349" s="72"/>
      <c r="N349" s="72"/>
      <c r="O349" s="72"/>
      <c r="P349" s="72"/>
      <c r="Q349" s="72"/>
      <c r="R349" s="72"/>
      <c r="S349" s="72">
        <v>6500.5950000000003</v>
      </c>
      <c r="T349" s="72">
        <v>8104.3630000000003</v>
      </c>
      <c r="U349" s="72">
        <v>9.5</v>
      </c>
      <c r="V349" s="72" t="s">
        <v>111</v>
      </c>
      <c r="W349" s="72" t="s">
        <v>73</v>
      </c>
      <c r="X349" s="72"/>
      <c r="Y349" s="72"/>
      <c r="Z349" s="72"/>
      <c r="AB349" s="71"/>
      <c r="AC349" s="71"/>
      <c r="AD349" s="71"/>
      <c r="AE349" s="71"/>
      <c r="AF349" s="71"/>
      <c r="AG349" s="71"/>
      <c r="AH349" s="71"/>
      <c r="AI349" s="71"/>
      <c r="AJ349" s="71"/>
      <c r="AK349" s="71"/>
      <c r="AL349" s="71"/>
      <c r="AM349" s="71"/>
      <c r="AN349" s="71"/>
      <c r="AO349" s="71"/>
      <c r="AP349" s="71"/>
      <c r="AQ349" s="71"/>
    </row>
    <row r="350" spans="1:43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3"/>
      <c r="L350" s="72"/>
      <c r="M350" s="72"/>
      <c r="N350" s="72"/>
      <c r="O350" s="72"/>
      <c r="P350" s="72"/>
      <c r="Q350" s="72"/>
      <c r="R350" s="72"/>
      <c r="S350" s="72">
        <v>6472.9939999999997</v>
      </c>
      <c r="T350" s="72">
        <v>8096.9669999999996</v>
      </c>
      <c r="U350" s="72">
        <v>9.3409999999999993</v>
      </c>
      <c r="V350" s="72">
        <v>1</v>
      </c>
      <c r="W350" s="72"/>
      <c r="X350" s="72"/>
      <c r="Y350" s="72"/>
      <c r="Z350" s="72"/>
      <c r="AB350" s="71"/>
      <c r="AC350" s="71"/>
      <c r="AD350" s="71"/>
      <c r="AE350" s="71"/>
      <c r="AF350" s="71"/>
      <c r="AG350" s="71"/>
      <c r="AH350" s="71"/>
      <c r="AI350" s="71"/>
      <c r="AJ350" s="71"/>
      <c r="AK350" s="71"/>
      <c r="AL350" s="71"/>
      <c r="AM350" s="71"/>
      <c r="AN350" s="71"/>
      <c r="AO350" s="71"/>
      <c r="AP350" s="71"/>
      <c r="AQ350" s="71"/>
    </row>
    <row r="351" spans="1:43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3"/>
      <c r="L351" s="72"/>
      <c r="M351" s="72"/>
      <c r="N351" s="72"/>
      <c r="O351" s="72"/>
      <c r="P351" s="72"/>
      <c r="Q351" s="72"/>
      <c r="R351" s="72"/>
      <c r="S351" s="72">
        <v>6445.6750000000002</v>
      </c>
      <c r="T351" s="72">
        <v>8116.0370000000003</v>
      </c>
      <c r="U351" s="72">
        <v>8.4489999999999998</v>
      </c>
      <c r="V351" s="72">
        <v>2</v>
      </c>
      <c r="W351" s="72"/>
      <c r="X351" s="72"/>
      <c r="Y351" s="72"/>
      <c r="Z351" s="72"/>
      <c r="AB351" s="71"/>
      <c r="AC351" s="71"/>
      <c r="AD351" s="71"/>
      <c r="AE351" s="71"/>
      <c r="AF351" s="71"/>
      <c r="AG351" s="71"/>
      <c r="AH351" s="71"/>
      <c r="AI351" s="71"/>
      <c r="AJ351" s="71"/>
      <c r="AK351" s="71"/>
      <c r="AL351" s="71"/>
      <c r="AM351" s="71"/>
      <c r="AN351" s="71"/>
      <c r="AO351" s="71"/>
      <c r="AP351" s="71"/>
      <c r="AQ351" s="71"/>
    </row>
    <row r="352" spans="1:43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3"/>
      <c r="L352" s="72"/>
      <c r="M352" s="72"/>
      <c r="N352" s="72"/>
      <c r="O352" s="72"/>
      <c r="P352" s="72"/>
      <c r="Q352" s="72"/>
      <c r="R352" s="72"/>
      <c r="S352" s="72">
        <v>6511.5060000000003</v>
      </c>
      <c r="T352" s="72">
        <v>8063.6440000000002</v>
      </c>
      <c r="U352" s="72">
        <v>8.8070000000000004</v>
      </c>
      <c r="V352" s="72">
        <v>3</v>
      </c>
      <c r="W352" s="72"/>
      <c r="X352" s="72"/>
      <c r="Y352" s="72"/>
      <c r="Z352" s="72"/>
      <c r="AB352" s="71"/>
      <c r="AC352" s="71"/>
      <c r="AD352" s="71"/>
      <c r="AE352" s="71"/>
      <c r="AF352" s="71"/>
      <c r="AG352" s="71"/>
      <c r="AH352" s="71"/>
      <c r="AI352" s="71"/>
      <c r="AJ352" s="71"/>
      <c r="AK352" s="71"/>
      <c r="AL352" s="71"/>
      <c r="AM352" s="71"/>
      <c r="AN352" s="71"/>
      <c r="AO352" s="71"/>
      <c r="AP352" s="71"/>
      <c r="AQ352" s="71"/>
    </row>
    <row r="353" spans="1:43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3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B353" s="71"/>
      <c r="AC353" s="71"/>
      <c r="AD353" s="71"/>
      <c r="AE353" s="71"/>
      <c r="AF353" s="71"/>
      <c r="AG353" s="71"/>
      <c r="AH353" s="71"/>
      <c r="AI353" s="71"/>
      <c r="AJ353" s="71"/>
      <c r="AK353" s="71"/>
      <c r="AL353" s="71"/>
      <c r="AM353" s="71"/>
      <c r="AN353" s="71"/>
      <c r="AO353" s="71"/>
      <c r="AP353" s="71"/>
      <c r="AQ353" s="71"/>
    </row>
    <row r="354" spans="1:43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3"/>
      <c r="L354" s="72"/>
      <c r="M354" s="72"/>
      <c r="N354" s="72"/>
      <c r="O354" s="72"/>
      <c r="P354" s="72"/>
      <c r="Q354" s="72"/>
      <c r="R354" s="72"/>
      <c r="S354" s="72">
        <v>6016.0429999999997</v>
      </c>
      <c r="T354" s="72">
        <v>7705.9780000000001</v>
      </c>
      <c r="U354" s="72">
        <v>8.5</v>
      </c>
      <c r="V354" s="72" t="s">
        <v>112</v>
      </c>
      <c r="W354" s="72" t="s">
        <v>73</v>
      </c>
      <c r="X354" s="72"/>
      <c r="Y354" s="72"/>
      <c r="Z354" s="72"/>
      <c r="AB354" s="71"/>
      <c r="AC354" s="71"/>
      <c r="AD354" s="71"/>
      <c r="AE354" s="71"/>
      <c r="AF354" s="71"/>
      <c r="AG354" s="71"/>
      <c r="AH354" s="71"/>
      <c r="AI354" s="71"/>
      <c r="AJ354" s="71"/>
      <c r="AK354" s="71"/>
      <c r="AL354" s="71"/>
      <c r="AM354" s="71"/>
      <c r="AN354" s="71"/>
      <c r="AO354" s="71"/>
      <c r="AP354" s="71"/>
      <c r="AQ354" s="71"/>
    </row>
    <row r="355" spans="1:43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3"/>
      <c r="L355" s="72"/>
      <c r="M355" s="72"/>
      <c r="N355" s="72"/>
      <c r="O355" s="72"/>
      <c r="P355" s="72"/>
      <c r="Q355" s="72"/>
      <c r="R355" s="72"/>
      <c r="S355" s="72">
        <v>5907.8739999999998</v>
      </c>
      <c r="T355" s="72">
        <v>7640.9830000000002</v>
      </c>
      <c r="U355" s="72">
        <v>8.4369999999999994</v>
      </c>
      <c r="V355" s="72" t="s">
        <v>113</v>
      </c>
      <c r="W355" s="72" t="s">
        <v>73</v>
      </c>
      <c r="X355" s="72"/>
      <c r="Y355" s="72"/>
      <c r="Z355" s="72"/>
      <c r="AB355" s="71"/>
      <c r="AC355" s="71"/>
      <c r="AD355" s="71"/>
      <c r="AE355" s="71"/>
      <c r="AF355" s="71"/>
      <c r="AG355" s="71"/>
      <c r="AH355" s="71"/>
      <c r="AI355" s="71"/>
      <c r="AJ355" s="71"/>
      <c r="AK355" s="71"/>
      <c r="AL355" s="71"/>
      <c r="AM355" s="71"/>
      <c r="AN355" s="71"/>
      <c r="AO355" s="71"/>
      <c r="AP355" s="71"/>
      <c r="AQ355" s="71"/>
    </row>
    <row r="356" spans="1:43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3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B356" s="71"/>
      <c r="AC356" s="71"/>
      <c r="AD356" s="71"/>
      <c r="AE356" s="71"/>
      <c r="AF356" s="71"/>
      <c r="AG356" s="71"/>
      <c r="AH356" s="71"/>
      <c r="AI356" s="71"/>
      <c r="AJ356" s="71"/>
      <c r="AK356" s="71"/>
      <c r="AL356" s="71"/>
      <c r="AM356" s="71"/>
      <c r="AN356" s="71"/>
      <c r="AO356" s="71"/>
      <c r="AP356" s="71"/>
      <c r="AQ356" s="71"/>
    </row>
    <row r="357" spans="1:43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3"/>
      <c r="L357" s="72"/>
      <c r="M357" s="72"/>
      <c r="N357" s="72"/>
      <c r="O357" s="72"/>
      <c r="P357" s="72"/>
      <c r="Q357" s="72"/>
      <c r="R357" s="72"/>
      <c r="S357" s="72">
        <v>5907.8739999999998</v>
      </c>
      <c r="T357" s="72">
        <v>7640.9830000000002</v>
      </c>
      <c r="U357" s="72">
        <v>8.4369999999999994</v>
      </c>
      <c r="V357" s="72" t="s">
        <v>113</v>
      </c>
      <c r="W357" s="72" t="s">
        <v>73</v>
      </c>
      <c r="X357" s="72"/>
      <c r="Y357" s="72"/>
      <c r="Z357" s="72"/>
      <c r="AB357" s="71"/>
      <c r="AC357" s="71"/>
      <c r="AD357" s="71"/>
      <c r="AE357" s="71"/>
      <c r="AF357" s="71"/>
      <c r="AG357" s="71"/>
      <c r="AH357" s="71"/>
      <c r="AI357" s="71"/>
      <c r="AJ357" s="71"/>
      <c r="AK357" s="71"/>
      <c r="AL357" s="71"/>
      <c r="AM357" s="71"/>
      <c r="AN357" s="71"/>
      <c r="AO357" s="71"/>
      <c r="AP357" s="71"/>
      <c r="AQ357" s="71"/>
    </row>
    <row r="358" spans="1:43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3"/>
      <c r="L358" s="72"/>
      <c r="M358" s="72"/>
      <c r="N358" s="72"/>
      <c r="O358" s="72"/>
      <c r="P358" s="72"/>
      <c r="Q358" s="72"/>
      <c r="R358" s="72"/>
      <c r="S358" s="72">
        <v>5831.585</v>
      </c>
      <c r="T358" s="72">
        <v>7644.9809999999998</v>
      </c>
      <c r="U358" s="72">
        <v>8.0779999999999994</v>
      </c>
      <c r="V358" s="72" t="s">
        <v>114</v>
      </c>
      <c r="W358" s="72" t="s">
        <v>73</v>
      </c>
      <c r="X358" s="72"/>
      <c r="Y358" s="72"/>
      <c r="Z358" s="72"/>
      <c r="AB358" s="71"/>
      <c r="AC358" s="71"/>
      <c r="AD358" s="71"/>
      <c r="AE358" s="71"/>
      <c r="AF358" s="71"/>
      <c r="AG358" s="71"/>
      <c r="AH358" s="71"/>
      <c r="AI358" s="71"/>
      <c r="AJ358" s="71"/>
      <c r="AK358" s="71"/>
      <c r="AL358" s="71"/>
      <c r="AM358" s="71"/>
      <c r="AN358" s="71"/>
      <c r="AO358" s="71"/>
      <c r="AP358" s="71"/>
      <c r="AQ358" s="71"/>
    </row>
    <row r="359" spans="1:43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3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B359" s="71"/>
      <c r="AC359" s="71"/>
      <c r="AD359" s="71"/>
      <c r="AE359" s="71"/>
      <c r="AF359" s="71"/>
      <c r="AG359" s="71"/>
      <c r="AH359" s="71"/>
      <c r="AI359" s="71"/>
      <c r="AJ359" s="71"/>
      <c r="AK359" s="71"/>
      <c r="AL359" s="71"/>
      <c r="AM359" s="71"/>
      <c r="AN359" s="71"/>
      <c r="AO359" s="71"/>
      <c r="AP359" s="71"/>
      <c r="AQ359" s="71"/>
    </row>
    <row r="360" spans="1:43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3"/>
      <c r="L360" s="72"/>
      <c r="M360" s="72"/>
      <c r="N360" s="72"/>
      <c r="O360" s="72"/>
      <c r="P360" s="72"/>
      <c r="Q360" s="72"/>
      <c r="R360" s="72"/>
      <c r="S360" s="72">
        <v>5831.585</v>
      </c>
      <c r="T360" s="72">
        <v>7644.9809999999998</v>
      </c>
      <c r="U360" s="72">
        <v>8.0779999999999994</v>
      </c>
      <c r="V360" s="72" t="s">
        <v>114</v>
      </c>
      <c r="W360" s="72" t="s">
        <v>73</v>
      </c>
      <c r="X360" s="72"/>
      <c r="Y360" s="72"/>
      <c r="Z360" s="72"/>
      <c r="AB360" s="71"/>
      <c r="AC360" s="71"/>
      <c r="AD360" s="71"/>
      <c r="AE360" s="71"/>
      <c r="AF360" s="71"/>
      <c r="AG360" s="71"/>
      <c r="AH360" s="71"/>
      <c r="AI360" s="71"/>
      <c r="AJ360" s="71"/>
      <c r="AK360" s="71"/>
      <c r="AL360" s="71"/>
      <c r="AM360" s="71"/>
      <c r="AN360" s="71"/>
      <c r="AO360" s="71"/>
      <c r="AP360" s="71"/>
      <c r="AQ360" s="71"/>
    </row>
    <row r="361" spans="1:43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3"/>
      <c r="L361" s="72"/>
      <c r="M361" s="72"/>
      <c r="N361" s="72"/>
      <c r="O361" s="72"/>
      <c r="P361" s="72"/>
      <c r="Q361" s="72"/>
      <c r="R361" s="72"/>
      <c r="S361" s="72">
        <v>5743.1989999999996</v>
      </c>
      <c r="T361" s="72">
        <v>7646.5240000000003</v>
      </c>
      <c r="U361" s="72">
        <v>8.673</v>
      </c>
      <c r="V361" s="72" t="s">
        <v>115</v>
      </c>
      <c r="W361" s="72" t="s">
        <v>73</v>
      </c>
      <c r="X361" s="72"/>
      <c r="Y361" s="72"/>
      <c r="Z361" s="72"/>
      <c r="AB361" s="71"/>
      <c r="AC361" s="71"/>
      <c r="AD361" s="71"/>
      <c r="AE361" s="71"/>
      <c r="AF361" s="71"/>
      <c r="AG361" s="71"/>
      <c r="AH361" s="71"/>
      <c r="AI361" s="71"/>
      <c r="AJ361" s="71"/>
      <c r="AK361" s="71"/>
      <c r="AL361" s="71"/>
      <c r="AM361" s="71"/>
      <c r="AN361" s="71"/>
      <c r="AO361" s="71"/>
      <c r="AP361" s="71"/>
      <c r="AQ361" s="71"/>
    </row>
    <row r="362" spans="1:43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3"/>
      <c r="L362" s="72"/>
      <c r="M362" s="72"/>
      <c r="N362" s="72"/>
      <c r="O362" s="72"/>
      <c r="P362" s="72"/>
      <c r="Q362" s="72"/>
      <c r="R362" s="72"/>
      <c r="S362" s="72">
        <v>5829.18</v>
      </c>
      <c r="T362" s="72">
        <v>7599.0780000000004</v>
      </c>
      <c r="U362" s="72">
        <v>7.2240000000000002</v>
      </c>
      <c r="V362" s="72">
        <v>1</v>
      </c>
      <c r="W362" s="72"/>
      <c r="X362" s="72"/>
      <c r="Y362" s="72"/>
      <c r="Z362" s="72"/>
      <c r="AB362" s="71"/>
      <c r="AC362" s="71"/>
      <c r="AD362" s="71"/>
      <c r="AE362" s="71"/>
      <c r="AF362" s="71"/>
      <c r="AG362" s="71"/>
      <c r="AH362" s="71"/>
      <c r="AI362" s="71"/>
      <c r="AJ362" s="71"/>
      <c r="AK362" s="71"/>
      <c r="AL362" s="71"/>
      <c r="AM362" s="71"/>
      <c r="AN362" s="71"/>
      <c r="AO362" s="71"/>
      <c r="AP362" s="71"/>
      <c r="AQ362" s="71"/>
    </row>
    <row r="363" spans="1:43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3"/>
      <c r="L363" s="72"/>
      <c r="M363" s="72"/>
      <c r="N363" s="72"/>
      <c r="O363" s="72"/>
      <c r="P363" s="72"/>
      <c r="Q363" s="72"/>
      <c r="R363" s="72"/>
      <c r="S363" s="72">
        <v>5837.5789999999997</v>
      </c>
      <c r="T363" s="72">
        <v>7693.8</v>
      </c>
      <c r="U363" s="72">
        <v>7.5949999999999998</v>
      </c>
      <c r="V363" s="72">
        <v>2</v>
      </c>
      <c r="W363" s="72"/>
      <c r="X363" s="72"/>
      <c r="Y363" s="72"/>
      <c r="Z363" s="72"/>
      <c r="AB363" s="71"/>
      <c r="AC363" s="71"/>
      <c r="AD363" s="71"/>
      <c r="AE363" s="71"/>
      <c r="AF363" s="71"/>
      <c r="AG363" s="71"/>
      <c r="AH363" s="71"/>
      <c r="AI363" s="71"/>
      <c r="AJ363" s="71"/>
      <c r="AK363" s="71"/>
      <c r="AL363" s="71"/>
      <c r="AM363" s="71"/>
      <c r="AN363" s="71"/>
      <c r="AO363" s="71"/>
      <c r="AP363" s="71"/>
      <c r="AQ363" s="71"/>
    </row>
    <row r="364" spans="1:43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3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B364" s="71"/>
      <c r="AC364" s="71"/>
      <c r="AD364" s="71"/>
      <c r="AE364" s="71"/>
      <c r="AF364" s="71"/>
      <c r="AG364" s="71"/>
      <c r="AH364" s="71"/>
      <c r="AI364" s="71"/>
      <c r="AJ364" s="71"/>
      <c r="AK364" s="71"/>
      <c r="AL364" s="71"/>
      <c r="AM364" s="71"/>
      <c r="AN364" s="71"/>
      <c r="AO364" s="71"/>
      <c r="AP364" s="71"/>
      <c r="AQ364" s="71"/>
    </row>
    <row r="365" spans="1:43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3"/>
      <c r="L365" s="72"/>
      <c r="M365" s="72"/>
      <c r="N365" s="72"/>
      <c r="O365" s="72"/>
      <c r="P365" s="72"/>
      <c r="Q365" s="72"/>
      <c r="R365" s="72"/>
      <c r="S365" s="72">
        <v>5743.1989999999996</v>
      </c>
      <c r="T365" s="72">
        <v>7646.5240000000003</v>
      </c>
      <c r="U365" s="72">
        <v>8.673</v>
      </c>
      <c r="V365" s="72" t="s">
        <v>115</v>
      </c>
      <c r="W365" s="72" t="s">
        <v>73</v>
      </c>
      <c r="X365" s="72"/>
      <c r="Y365" s="72"/>
      <c r="Z365" s="72"/>
      <c r="AB365" s="71"/>
      <c r="AC365" s="71"/>
      <c r="AD365" s="71"/>
      <c r="AE365" s="71"/>
      <c r="AF365" s="71"/>
      <c r="AG365" s="71"/>
      <c r="AH365" s="71"/>
      <c r="AI365" s="71"/>
      <c r="AJ365" s="71"/>
      <c r="AK365" s="71"/>
      <c r="AL365" s="71"/>
      <c r="AM365" s="71"/>
      <c r="AN365" s="71"/>
      <c r="AO365" s="71"/>
      <c r="AP365" s="71"/>
      <c r="AQ365" s="71"/>
    </row>
    <row r="366" spans="1:43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3"/>
      <c r="L366" s="72"/>
      <c r="M366" s="72"/>
      <c r="N366" s="72"/>
      <c r="O366" s="72"/>
      <c r="P366" s="72"/>
      <c r="Q366" s="72"/>
      <c r="R366" s="72"/>
      <c r="S366" s="72">
        <v>5617.2830000000004</v>
      </c>
      <c r="T366" s="72">
        <v>7692.3540000000003</v>
      </c>
      <c r="U366" s="72">
        <v>8.4580000000000002</v>
      </c>
      <c r="V366" s="72" t="s">
        <v>116</v>
      </c>
      <c r="W366" s="72" t="s">
        <v>73</v>
      </c>
      <c r="X366" s="72"/>
      <c r="Y366" s="72"/>
      <c r="Z366" s="72"/>
      <c r="AB366" s="71"/>
      <c r="AC366" s="71"/>
      <c r="AD366" s="71"/>
      <c r="AE366" s="71"/>
      <c r="AF366" s="71"/>
      <c r="AG366" s="71"/>
      <c r="AH366" s="71"/>
      <c r="AI366" s="71"/>
      <c r="AJ366" s="71"/>
      <c r="AK366" s="71"/>
      <c r="AL366" s="71"/>
      <c r="AM366" s="71"/>
      <c r="AN366" s="71"/>
      <c r="AO366" s="71"/>
      <c r="AP366" s="71"/>
      <c r="AQ366" s="71"/>
    </row>
    <row r="367" spans="1:43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3"/>
      <c r="L367" s="72"/>
      <c r="M367" s="72"/>
      <c r="N367" s="72"/>
      <c r="O367" s="72"/>
      <c r="P367" s="72"/>
      <c r="Q367" s="72"/>
      <c r="R367" s="72"/>
      <c r="S367" s="72">
        <v>5741.6180000000004</v>
      </c>
      <c r="T367" s="72">
        <v>7616.3670000000002</v>
      </c>
      <c r="U367" s="72">
        <v>8.9320000000000004</v>
      </c>
      <c r="V367" s="72">
        <v>1</v>
      </c>
      <c r="W367" s="72"/>
      <c r="X367" s="72"/>
      <c r="Y367" s="72"/>
      <c r="Z367" s="72"/>
      <c r="AB367" s="71"/>
      <c r="AC367" s="71"/>
      <c r="AD367" s="71"/>
      <c r="AE367" s="71"/>
      <c r="AF367" s="71"/>
      <c r="AG367" s="71"/>
      <c r="AH367" s="71"/>
      <c r="AI367" s="71"/>
      <c r="AJ367" s="71"/>
      <c r="AK367" s="71"/>
      <c r="AL367" s="71"/>
      <c r="AM367" s="71"/>
      <c r="AN367" s="71"/>
      <c r="AO367" s="71"/>
      <c r="AP367" s="71"/>
      <c r="AQ367" s="71"/>
    </row>
    <row r="368" spans="1:43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3"/>
      <c r="L368" s="72"/>
      <c r="M368" s="72"/>
      <c r="N368" s="72"/>
      <c r="O368" s="72"/>
      <c r="P368" s="72"/>
      <c r="Q368" s="72"/>
      <c r="R368" s="72"/>
      <c r="S368" s="72">
        <v>5744.3050000000003</v>
      </c>
      <c r="T368" s="72">
        <v>7709.89</v>
      </c>
      <c r="U368" s="72">
        <v>7.819</v>
      </c>
      <c r="V368" s="72">
        <v>2</v>
      </c>
      <c r="W368" s="72"/>
      <c r="X368" s="72"/>
      <c r="Y368" s="72"/>
      <c r="Z368" s="72"/>
      <c r="AB368" s="71"/>
      <c r="AC368" s="71"/>
      <c r="AD368" s="71"/>
      <c r="AE368" s="71"/>
      <c r="AF368" s="71"/>
      <c r="AG368" s="71"/>
      <c r="AH368" s="71"/>
      <c r="AI368" s="71"/>
      <c r="AJ368" s="71"/>
      <c r="AK368" s="71"/>
      <c r="AL368" s="71"/>
      <c r="AM368" s="71"/>
      <c r="AN368" s="71"/>
      <c r="AO368" s="71"/>
      <c r="AP368" s="71"/>
      <c r="AQ368" s="71"/>
    </row>
    <row r="369" spans="1:43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3"/>
      <c r="L369" s="72"/>
      <c r="M369" s="72"/>
      <c r="N369" s="72"/>
      <c r="O369" s="72"/>
      <c r="P369" s="72"/>
      <c r="Q369" s="72"/>
      <c r="R369" s="72"/>
      <c r="S369" s="72">
        <v>5751.7709999999997</v>
      </c>
      <c r="T369" s="72">
        <v>7810.085</v>
      </c>
      <c r="U369" s="72">
        <v>7.5010000000000003</v>
      </c>
      <c r="V369" s="72">
        <v>3</v>
      </c>
      <c r="W369" s="72"/>
      <c r="X369" s="72"/>
      <c r="Y369" s="72"/>
      <c r="Z369" s="72"/>
      <c r="AB369" s="71"/>
      <c r="AC369" s="71"/>
      <c r="AD369" s="71"/>
      <c r="AE369" s="71"/>
      <c r="AF369" s="71"/>
      <c r="AG369" s="71"/>
      <c r="AH369" s="71"/>
      <c r="AI369" s="71"/>
      <c r="AJ369" s="71"/>
      <c r="AK369" s="71"/>
      <c r="AL369" s="71"/>
      <c r="AM369" s="71"/>
      <c r="AN369" s="71"/>
      <c r="AO369" s="71"/>
      <c r="AP369" s="71"/>
      <c r="AQ369" s="71"/>
    </row>
    <row r="370" spans="1:43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3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B370" s="71"/>
      <c r="AC370" s="71"/>
      <c r="AD370" s="71"/>
      <c r="AE370" s="71"/>
      <c r="AF370" s="71"/>
      <c r="AG370" s="71"/>
      <c r="AH370" s="71"/>
      <c r="AI370" s="71"/>
      <c r="AJ370" s="71"/>
      <c r="AK370" s="71"/>
      <c r="AL370" s="71"/>
      <c r="AM370" s="71"/>
      <c r="AN370" s="71"/>
      <c r="AO370" s="71"/>
      <c r="AP370" s="71"/>
      <c r="AQ370" s="71"/>
    </row>
    <row r="371" spans="1:43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3"/>
      <c r="L371" s="72"/>
      <c r="M371" s="72"/>
      <c r="N371" s="72"/>
      <c r="O371" s="72"/>
      <c r="P371" s="72"/>
      <c r="Q371" s="72"/>
      <c r="R371" s="72"/>
      <c r="S371" s="72">
        <v>5617.2830000000004</v>
      </c>
      <c r="T371" s="72">
        <v>7692.3540000000003</v>
      </c>
      <c r="U371" s="72">
        <v>8.4580000000000002</v>
      </c>
      <c r="V371" s="72" t="s">
        <v>116</v>
      </c>
      <c r="W371" s="72" t="s">
        <v>73</v>
      </c>
      <c r="X371" s="72"/>
      <c r="Y371" s="72"/>
      <c r="Z371" s="72"/>
      <c r="AB371" s="71"/>
      <c r="AC371" s="71"/>
      <c r="AD371" s="71"/>
      <c r="AE371" s="71"/>
      <c r="AF371" s="71"/>
      <c r="AG371" s="71"/>
      <c r="AH371" s="71"/>
      <c r="AI371" s="71"/>
      <c r="AJ371" s="71"/>
      <c r="AK371" s="71"/>
      <c r="AL371" s="71"/>
      <c r="AM371" s="71"/>
      <c r="AN371" s="71"/>
      <c r="AO371" s="71"/>
      <c r="AP371" s="71"/>
      <c r="AQ371" s="71"/>
    </row>
    <row r="372" spans="1:43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3"/>
      <c r="L372" s="72"/>
      <c r="M372" s="72"/>
      <c r="N372" s="72"/>
      <c r="O372" s="72"/>
      <c r="P372" s="72"/>
      <c r="Q372" s="72"/>
      <c r="R372" s="72"/>
      <c r="S372" s="72">
        <v>5567.0649999999996</v>
      </c>
      <c r="T372" s="72">
        <v>7678.8980000000001</v>
      </c>
      <c r="U372" s="72">
        <v>8.1270000000000007</v>
      </c>
      <c r="V372" s="72">
        <v>2</v>
      </c>
      <c r="W372" s="72"/>
      <c r="X372" s="72"/>
      <c r="Y372" s="72"/>
      <c r="Z372" s="72" t="s">
        <v>117</v>
      </c>
      <c r="AB372" s="71"/>
      <c r="AC372" s="71"/>
      <c r="AD372" s="71"/>
      <c r="AE372" s="71"/>
      <c r="AF372" s="71"/>
      <c r="AG372" s="71"/>
      <c r="AH372" s="71"/>
      <c r="AI372" s="71"/>
      <c r="AJ372" s="71"/>
      <c r="AK372" s="71"/>
      <c r="AL372" s="71"/>
      <c r="AM372" s="71"/>
      <c r="AN372" s="71"/>
      <c r="AO372" s="71"/>
      <c r="AP372" s="71"/>
      <c r="AQ372" s="71"/>
    </row>
    <row r="373" spans="1:43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3"/>
      <c r="L373" s="72"/>
      <c r="M373" s="72"/>
      <c r="N373" s="72"/>
      <c r="O373" s="72"/>
      <c r="P373" s="72"/>
      <c r="Q373" s="72"/>
      <c r="R373" s="72"/>
      <c r="S373" s="72">
        <v>5544.3959999999997</v>
      </c>
      <c r="T373" s="72">
        <v>7696.174</v>
      </c>
      <c r="U373" s="72">
        <v>7.9130000000000003</v>
      </c>
      <c r="V373" s="72">
        <v>3</v>
      </c>
      <c r="W373" s="72"/>
      <c r="X373" s="72"/>
      <c r="Y373" s="72"/>
      <c r="Z373" s="72" t="s">
        <v>118</v>
      </c>
      <c r="AB373" s="71"/>
      <c r="AC373" s="71"/>
      <c r="AD373" s="71"/>
      <c r="AE373" s="71"/>
      <c r="AF373" s="71"/>
      <c r="AG373" s="71"/>
      <c r="AH373" s="71"/>
      <c r="AI373" s="71"/>
      <c r="AJ373" s="71"/>
      <c r="AK373" s="71"/>
      <c r="AL373" s="71"/>
      <c r="AM373" s="71"/>
      <c r="AN373" s="71"/>
      <c r="AO373" s="71"/>
      <c r="AP373" s="71"/>
      <c r="AQ373" s="71"/>
    </row>
    <row r="374" spans="1:43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3"/>
      <c r="L374" s="72"/>
      <c r="M374" s="72"/>
      <c r="N374" s="72"/>
      <c r="O374" s="72"/>
      <c r="P374" s="72"/>
      <c r="Q374" s="72"/>
      <c r="R374" s="72"/>
      <c r="S374" s="72">
        <v>5660.5159999999996</v>
      </c>
      <c r="T374" s="72">
        <v>7770.348</v>
      </c>
      <c r="U374" s="72">
        <v>7.3630000000000004</v>
      </c>
      <c r="V374" s="72">
        <v>4</v>
      </c>
      <c r="W374" s="72"/>
      <c r="X374" s="72"/>
      <c r="Y374" s="72"/>
      <c r="Z374" s="72" t="s">
        <v>117</v>
      </c>
      <c r="AB374" s="71"/>
      <c r="AC374" s="71"/>
      <c r="AD374" s="71"/>
      <c r="AE374" s="71"/>
      <c r="AF374" s="71"/>
      <c r="AG374" s="71"/>
      <c r="AH374" s="71"/>
      <c r="AI374" s="71"/>
      <c r="AJ374" s="71"/>
      <c r="AK374" s="71"/>
      <c r="AL374" s="71"/>
      <c r="AM374" s="71"/>
      <c r="AN374" s="71"/>
      <c r="AO374" s="71"/>
      <c r="AP374" s="71"/>
      <c r="AQ374" s="71"/>
    </row>
    <row r="375" spans="1:43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3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B375" s="71"/>
      <c r="AC375" s="71"/>
      <c r="AD375" s="71"/>
      <c r="AE375" s="71"/>
      <c r="AF375" s="71"/>
      <c r="AG375" s="71"/>
      <c r="AH375" s="71"/>
      <c r="AI375" s="71"/>
      <c r="AJ375" s="71"/>
      <c r="AK375" s="71"/>
      <c r="AL375" s="71"/>
      <c r="AM375" s="71"/>
      <c r="AN375" s="71"/>
      <c r="AO375" s="71"/>
      <c r="AP375" s="71"/>
      <c r="AQ375" s="71"/>
    </row>
    <row r="376" spans="1:43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3"/>
      <c r="L376" s="72"/>
      <c r="M376" s="72"/>
      <c r="N376" s="72"/>
      <c r="O376" s="72"/>
      <c r="P376" s="72"/>
      <c r="Q376" s="72"/>
      <c r="R376" s="72"/>
      <c r="S376" s="72">
        <v>5261.7089999999998</v>
      </c>
      <c r="T376" s="72">
        <v>8737.5190000000002</v>
      </c>
      <c r="U376" s="72">
        <v>8.1999999999999993</v>
      </c>
      <c r="V376" s="72" t="s">
        <v>119</v>
      </c>
      <c r="W376" s="72" t="s">
        <v>73</v>
      </c>
      <c r="X376" s="72"/>
      <c r="Y376" s="72"/>
      <c r="Z376" s="72"/>
      <c r="AB376" s="71"/>
      <c r="AC376" s="71"/>
      <c r="AD376" s="71"/>
      <c r="AE376" s="71"/>
      <c r="AF376" s="71"/>
      <c r="AG376" s="71"/>
      <c r="AH376" s="71"/>
      <c r="AI376" s="71"/>
      <c r="AJ376" s="71"/>
      <c r="AK376" s="71"/>
      <c r="AL376" s="71"/>
      <c r="AM376" s="71"/>
      <c r="AN376" s="71"/>
      <c r="AO376" s="71"/>
      <c r="AP376" s="71"/>
      <c r="AQ376" s="71"/>
    </row>
    <row r="377" spans="1:43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3"/>
      <c r="L377" s="72"/>
      <c r="M377" s="72"/>
      <c r="N377" s="72"/>
      <c r="O377" s="72"/>
      <c r="P377" s="72"/>
      <c r="Q377" s="72"/>
      <c r="R377" s="72"/>
      <c r="S377" s="72">
        <v>5320.6620000000003</v>
      </c>
      <c r="T377" s="72">
        <v>8744.7579999999998</v>
      </c>
      <c r="U377" s="72">
        <v>8</v>
      </c>
      <c r="V377" s="72">
        <v>1</v>
      </c>
      <c r="W377" s="72"/>
      <c r="X377" s="72"/>
      <c r="Y377" s="72"/>
      <c r="Z377" s="72"/>
      <c r="AB377" s="71"/>
      <c r="AC377" s="71"/>
      <c r="AD377" s="71"/>
      <c r="AE377" s="71"/>
      <c r="AF377" s="71"/>
      <c r="AG377" s="71"/>
      <c r="AH377" s="71"/>
      <c r="AI377" s="71"/>
      <c r="AJ377" s="71"/>
      <c r="AK377" s="71"/>
      <c r="AL377" s="71"/>
      <c r="AM377" s="71"/>
      <c r="AN377" s="71"/>
      <c r="AO377" s="71"/>
      <c r="AP377" s="71"/>
      <c r="AQ377" s="71"/>
    </row>
    <row r="378" spans="1:43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3"/>
      <c r="L378" s="72"/>
      <c r="M378" s="72"/>
      <c r="N378" s="72"/>
      <c r="O378" s="72"/>
      <c r="P378" s="72"/>
      <c r="Q378" s="72"/>
      <c r="R378" s="72"/>
      <c r="S378" s="72">
        <v>5400.9409999999998</v>
      </c>
      <c r="T378" s="72">
        <v>8752.1530000000002</v>
      </c>
      <c r="U378" s="72">
        <v>8.077</v>
      </c>
      <c r="V378" s="72">
        <v>2</v>
      </c>
      <c r="W378" s="72"/>
      <c r="X378" s="72"/>
      <c r="Y378" s="72"/>
      <c r="Z378" s="72"/>
      <c r="AB378" s="71"/>
      <c r="AC378" s="71"/>
      <c r="AD378" s="71"/>
      <c r="AE378" s="71"/>
      <c r="AF378" s="71"/>
      <c r="AG378" s="71"/>
      <c r="AH378" s="71"/>
      <c r="AI378" s="71"/>
      <c r="AJ378" s="71"/>
      <c r="AK378" s="71"/>
      <c r="AL378" s="71"/>
      <c r="AM378" s="71"/>
      <c r="AN378" s="71"/>
      <c r="AO378" s="71"/>
      <c r="AP378" s="71"/>
      <c r="AQ378" s="71"/>
    </row>
    <row r="379" spans="1:43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3"/>
      <c r="L379" s="72"/>
      <c r="M379" s="72"/>
      <c r="N379" s="72"/>
      <c r="O379" s="72"/>
      <c r="P379" s="72"/>
      <c r="Q379" s="72"/>
      <c r="R379" s="72"/>
      <c r="S379" s="72">
        <v>5503.3180000000002</v>
      </c>
      <c r="T379" s="72">
        <v>8754.4140000000007</v>
      </c>
      <c r="U379" s="72">
        <v>7.92</v>
      </c>
      <c r="V379" s="72">
        <v>3</v>
      </c>
      <c r="W379" s="72"/>
      <c r="X379" s="72"/>
      <c r="Y379" s="72"/>
      <c r="Z379" s="72"/>
      <c r="AB379" s="71"/>
      <c r="AC379" s="71"/>
      <c r="AD379" s="71"/>
      <c r="AE379" s="71"/>
      <c r="AF379" s="71"/>
      <c r="AG379" s="71"/>
      <c r="AH379" s="71"/>
      <c r="AI379" s="71"/>
      <c r="AJ379" s="71"/>
      <c r="AK379" s="71"/>
      <c r="AL379" s="71"/>
      <c r="AM379" s="71"/>
      <c r="AN379" s="71"/>
      <c r="AO379" s="71"/>
      <c r="AP379" s="71"/>
      <c r="AQ379" s="71"/>
    </row>
    <row r="380" spans="1:43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3"/>
      <c r="L380" s="72"/>
      <c r="M380" s="72"/>
      <c r="N380" s="72"/>
      <c r="O380" s="72"/>
      <c r="P380" s="72"/>
      <c r="Q380" s="72"/>
      <c r="R380" s="72"/>
      <c r="S380" s="72">
        <v>5357.5360000000001</v>
      </c>
      <c r="T380" s="72">
        <v>8677.64</v>
      </c>
      <c r="U380" s="72">
        <v>7.859</v>
      </c>
      <c r="V380" s="72">
        <v>4</v>
      </c>
      <c r="W380" s="72"/>
      <c r="X380" s="72"/>
      <c r="Y380" s="72"/>
      <c r="Z380" s="72"/>
      <c r="AB380" s="71"/>
      <c r="AC380" s="71"/>
      <c r="AD380" s="71"/>
      <c r="AE380" s="71"/>
      <c r="AF380" s="71"/>
      <c r="AG380" s="71"/>
      <c r="AH380" s="71"/>
      <c r="AI380" s="71"/>
      <c r="AJ380" s="71"/>
      <c r="AK380" s="71"/>
      <c r="AL380" s="71"/>
      <c r="AM380" s="71"/>
      <c r="AN380" s="71"/>
      <c r="AO380" s="71"/>
      <c r="AP380" s="71"/>
      <c r="AQ380" s="71"/>
    </row>
    <row r="381" spans="1:43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3"/>
      <c r="L381" s="72"/>
      <c r="M381" s="72"/>
      <c r="N381" s="72"/>
      <c r="O381" s="72"/>
      <c r="P381" s="72"/>
      <c r="Q381" s="72"/>
      <c r="R381" s="72"/>
      <c r="S381" s="72">
        <v>5450.9669999999996</v>
      </c>
      <c r="T381" s="72">
        <v>8676.0249999999996</v>
      </c>
      <c r="U381" s="72">
        <v>7.9050000000000002</v>
      </c>
      <c r="V381" s="72">
        <v>5</v>
      </c>
      <c r="W381" s="72"/>
      <c r="X381" s="72"/>
      <c r="Y381" s="72"/>
      <c r="Z381" s="72"/>
      <c r="AB381" s="71"/>
      <c r="AC381" s="71"/>
      <c r="AD381" s="71"/>
      <c r="AE381" s="71"/>
      <c r="AF381" s="71"/>
      <c r="AG381" s="71"/>
      <c r="AH381" s="71"/>
      <c r="AI381" s="71"/>
      <c r="AJ381" s="71"/>
      <c r="AK381" s="71"/>
      <c r="AL381" s="71"/>
      <c r="AM381" s="71"/>
      <c r="AN381" s="71"/>
      <c r="AO381" s="71"/>
      <c r="AP381" s="71"/>
      <c r="AQ381" s="71"/>
    </row>
    <row r="382" spans="1:43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3"/>
      <c r="L382" s="72"/>
      <c r="M382" s="72"/>
      <c r="N382" s="72"/>
      <c r="O382" s="72"/>
      <c r="P382" s="72"/>
      <c r="Q382" s="72"/>
      <c r="R382" s="72"/>
      <c r="S382" s="72">
        <v>5412.8</v>
      </c>
      <c r="T382" s="72">
        <v>8606.1769999999997</v>
      </c>
      <c r="U382" s="72">
        <v>7.9020000000000001</v>
      </c>
      <c r="V382" s="72">
        <v>6</v>
      </c>
      <c r="W382" s="72"/>
      <c r="X382" s="72"/>
      <c r="Y382" s="72"/>
      <c r="Z382" s="72"/>
      <c r="AB382" s="71"/>
      <c r="AC382" s="71"/>
      <c r="AD382" s="71"/>
      <c r="AE382" s="71"/>
      <c r="AF382" s="71"/>
      <c r="AG382" s="71"/>
      <c r="AH382" s="71"/>
      <c r="AI382" s="71"/>
      <c r="AJ382" s="71"/>
      <c r="AK382" s="71"/>
      <c r="AL382" s="71"/>
      <c r="AM382" s="71"/>
      <c r="AN382" s="71"/>
      <c r="AO382" s="71"/>
      <c r="AP382" s="71"/>
      <c r="AQ382" s="71"/>
    </row>
    <row r="383" spans="1:43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3"/>
      <c r="L383" s="72"/>
      <c r="M383" s="72"/>
      <c r="N383" s="72"/>
      <c r="O383" s="72"/>
      <c r="P383" s="72"/>
      <c r="Q383" s="72"/>
      <c r="R383" s="72"/>
      <c r="S383" s="72">
        <v>5191.9750000000004</v>
      </c>
      <c r="T383" s="72">
        <v>8676.9</v>
      </c>
      <c r="U383" s="72">
        <v>8.0540000000000003</v>
      </c>
      <c r="V383" s="72">
        <v>7</v>
      </c>
      <c r="W383" s="72"/>
      <c r="X383" s="72"/>
      <c r="Y383" s="72"/>
      <c r="Z383" s="72"/>
      <c r="AB383" s="71"/>
      <c r="AC383" s="71"/>
      <c r="AD383" s="71"/>
      <c r="AE383" s="71"/>
      <c r="AF383" s="71"/>
      <c r="AG383" s="71"/>
      <c r="AH383" s="71"/>
      <c r="AI383" s="71"/>
      <c r="AJ383" s="71"/>
      <c r="AK383" s="71"/>
      <c r="AL383" s="71"/>
      <c r="AM383" s="71"/>
      <c r="AN383" s="71"/>
      <c r="AO383" s="71"/>
      <c r="AP383" s="71"/>
      <c r="AQ383" s="71"/>
    </row>
    <row r="384" spans="1:43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3"/>
      <c r="L384" s="72"/>
      <c r="M384" s="72"/>
      <c r="N384" s="72"/>
      <c r="O384" s="72"/>
      <c r="P384" s="72"/>
      <c r="Q384" s="72"/>
      <c r="R384" s="72"/>
      <c r="S384" s="72">
        <v>5109.857</v>
      </c>
      <c r="T384" s="72">
        <v>8682.2489999999998</v>
      </c>
      <c r="U384" s="72">
        <v>7.9669999999999996</v>
      </c>
      <c r="V384" s="72">
        <v>8</v>
      </c>
      <c r="W384" s="72"/>
      <c r="X384" s="72"/>
      <c r="Y384" s="72"/>
      <c r="Z384" s="72"/>
      <c r="AB384" s="71"/>
      <c r="AC384" s="71"/>
      <c r="AD384" s="71"/>
      <c r="AE384" s="71"/>
      <c r="AF384" s="71"/>
      <c r="AG384" s="71"/>
      <c r="AH384" s="71"/>
      <c r="AI384" s="71"/>
      <c r="AJ384" s="71"/>
      <c r="AK384" s="71"/>
      <c r="AL384" s="71"/>
      <c r="AM384" s="71"/>
      <c r="AN384" s="71"/>
      <c r="AO384" s="71"/>
      <c r="AP384" s="71"/>
      <c r="AQ384" s="71"/>
    </row>
    <row r="385" spans="1:43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3"/>
      <c r="L385" s="72"/>
      <c r="M385" s="72"/>
      <c r="N385" s="72"/>
      <c r="O385" s="72"/>
      <c r="P385" s="72"/>
      <c r="Q385" s="72"/>
      <c r="R385" s="72"/>
      <c r="S385" s="72">
        <v>5179.9610000000002</v>
      </c>
      <c r="T385" s="72">
        <v>8775.6389999999992</v>
      </c>
      <c r="U385" s="72">
        <v>8.1170000000000009</v>
      </c>
      <c r="V385" s="72">
        <v>9</v>
      </c>
      <c r="W385" s="72"/>
      <c r="X385" s="72"/>
      <c r="Y385" s="72"/>
      <c r="Z385" s="72"/>
      <c r="AB385" s="71"/>
      <c r="AC385" s="71"/>
      <c r="AD385" s="71"/>
      <c r="AE385" s="71"/>
      <c r="AF385" s="71"/>
      <c r="AG385" s="71"/>
      <c r="AH385" s="71"/>
      <c r="AI385" s="71"/>
      <c r="AJ385" s="71"/>
      <c r="AK385" s="71"/>
      <c r="AL385" s="71"/>
      <c r="AM385" s="71"/>
      <c r="AN385" s="71"/>
      <c r="AO385" s="71"/>
      <c r="AP385" s="71"/>
      <c r="AQ385" s="71"/>
    </row>
    <row r="386" spans="1:43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3"/>
      <c r="L386" s="72"/>
      <c r="M386" s="72"/>
      <c r="N386" s="72"/>
      <c r="O386" s="72"/>
      <c r="P386" s="72"/>
      <c r="Q386" s="72"/>
      <c r="R386" s="72"/>
      <c r="S386" s="72">
        <v>5092.0929999999998</v>
      </c>
      <c r="T386" s="72">
        <v>8782.9670000000006</v>
      </c>
      <c r="U386" s="72">
        <v>7.9729999999999999</v>
      </c>
      <c r="V386" s="72">
        <v>10</v>
      </c>
      <c r="W386" s="72"/>
      <c r="X386" s="72"/>
      <c r="Y386" s="72"/>
      <c r="Z386" s="72"/>
      <c r="AB386" s="71"/>
      <c r="AC386" s="71"/>
      <c r="AD386" s="71"/>
      <c r="AE386" s="71"/>
      <c r="AF386" s="71"/>
      <c r="AG386" s="71"/>
      <c r="AH386" s="71"/>
      <c r="AI386" s="71"/>
      <c r="AJ386" s="71"/>
      <c r="AK386" s="71"/>
      <c r="AL386" s="71"/>
      <c r="AM386" s="71"/>
      <c r="AN386" s="71"/>
      <c r="AO386" s="71"/>
      <c r="AP386" s="71"/>
      <c r="AQ386" s="71"/>
    </row>
    <row r="387" spans="1:43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3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B387" s="71"/>
      <c r="AC387" s="71"/>
      <c r="AD387" s="71"/>
      <c r="AE387" s="71"/>
      <c r="AF387" s="71"/>
      <c r="AG387" s="71"/>
      <c r="AH387" s="71"/>
      <c r="AI387" s="71"/>
      <c r="AJ387" s="71"/>
      <c r="AK387" s="71"/>
      <c r="AL387" s="71"/>
      <c r="AM387" s="71"/>
      <c r="AN387" s="71"/>
      <c r="AO387" s="71"/>
      <c r="AP387" s="71"/>
      <c r="AQ387" s="71"/>
    </row>
    <row r="388" spans="1:43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3"/>
      <c r="L388" s="72"/>
      <c r="M388" s="72"/>
      <c r="N388" s="72"/>
      <c r="O388" s="72"/>
      <c r="P388" s="72"/>
      <c r="Q388" s="72"/>
      <c r="R388" s="72"/>
      <c r="S388" s="72">
        <v>5321.8130000000001</v>
      </c>
      <c r="T388" s="72">
        <v>8863.2039999999997</v>
      </c>
      <c r="U388" s="72">
        <v>8</v>
      </c>
      <c r="V388" s="72" t="s">
        <v>120</v>
      </c>
      <c r="W388" s="72" t="s">
        <v>73</v>
      </c>
      <c r="X388" s="72"/>
      <c r="Y388" s="72"/>
      <c r="Z388" s="72"/>
      <c r="AB388" s="71"/>
      <c r="AC388" s="71"/>
      <c r="AD388" s="71"/>
      <c r="AE388" s="71"/>
      <c r="AF388" s="71"/>
      <c r="AG388" s="71"/>
      <c r="AH388" s="71"/>
      <c r="AI388" s="71"/>
      <c r="AJ388" s="71"/>
      <c r="AK388" s="71"/>
      <c r="AL388" s="71"/>
      <c r="AM388" s="71"/>
      <c r="AN388" s="71"/>
      <c r="AO388" s="71"/>
      <c r="AP388" s="71"/>
      <c r="AQ388" s="71"/>
    </row>
    <row r="389" spans="1:43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3"/>
      <c r="L389" s="72"/>
      <c r="M389" s="72"/>
      <c r="N389" s="72"/>
      <c r="O389" s="72"/>
      <c r="P389" s="72"/>
      <c r="Q389" s="72"/>
      <c r="R389" s="72"/>
      <c r="S389" s="72">
        <v>5372.9160000000002</v>
      </c>
      <c r="T389" s="72">
        <v>8827.4210000000003</v>
      </c>
      <c r="U389" s="72">
        <v>7.9740000000000002</v>
      </c>
      <c r="V389" s="72">
        <v>1</v>
      </c>
      <c r="W389" s="72"/>
      <c r="X389" s="72"/>
      <c r="Y389" s="72"/>
      <c r="Z389" s="72"/>
      <c r="AB389" s="71"/>
      <c r="AC389" s="71"/>
      <c r="AD389" s="71"/>
      <c r="AE389" s="71"/>
      <c r="AF389" s="71"/>
      <c r="AG389" s="71"/>
      <c r="AH389" s="71"/>
      <c r="AI389" s="71"/>
      <c r="AJ389" s="71"/>
      <c r="AK389" s="71"/>
      <c r="AL389" s="71"/>
      <c r="AM389" s="71"/>
      <c r="AN389" s="71"/>
      <c r="AO389" s="71"/>
      <c r="AP389" s="71"/>
      <c r="AQ389" s="71"/>
    </row>
    <row r="390" spans="1:43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3"/>
      <c r="L390" s="72"/>
      <c r="M390" s="72"/>
      <c r="N390" s="72"/>
      <c r="O390" s="72"/>
      <c r="P390" s="72"/>
      <c r="Q390" s="72"/>
      <c r="R390" s="72"/>
      <c r="S390" s="72">
        <v>5463.9459999999999</v>
      </c>
      <c r="T390" s="72">
        <v>8835.5759999999991</v>
      </c>
      <c r="U390" s="72">
        <v>7.9249999999999998</v>
      </c>
      <c r="V390" s="72">
        <v>2</v>
      </c>
      <c r="W390" s="72"/>
      <c r="X390" s="72"/>
      <c r="Y390" s="72"/>
      <c r="Z390" s="72"/>
      <c r="AB390" s="71"/>
      <c r="AC390" s="71"/>
      <c r="AD390" s="71"/>
      <c r="AE390" s="71"/>
      <c r="AF390" s="71"/>
      <c r="AG390" s="71"/>
      <c r="AH390" s="71"/>
      <c r="AI390" s="71"/>
      <c r="AJ390" s="71"/>
      <c r="AK390" s="71"/>
      <c r="AL390" s="71"/>
      <c r="AM390" s="71"/>
      <c r="AN390" s="71"/>
      <c r="AO390" s="71"/>
      <c r="AP390" s="71"/>
      <c r="AQ390" s="71"/>
    </row>
    <row r="391" spans="1:43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3"/>
      <c r="L391" s="72"/>
      <c r="M391" s="72"/>
      <c r="N391" s="72"/>
      <c r="O391" s="72"/>
      <c r="P391" s="72"/>
      <c r="Q391" s="72"/>
      <c r="R391" s="72"/>
      <c r="S391" s="72">
        <v>5545.7749999999996</v>
      </c>
      <c r="T391" s="72">
        <v>8867.1129999999994</v>
      </c>
      <c r="U391" s="72">
        <v>7.9589999999999996</v>
      </c>
      <c r="V391" s="72">
        <v>3</v>
      </c>
      <c r="W391" s="72"/>
      <c r="X391" s="72"/>
      <c r="Y391" s="72"/>
      <c r="Z391" s="72"/>
      <c r="AB391" s="71"/>
      <c r="AC391" s="71"/>
      <c r="AD391" s="71"/>
      <c r="AE391" s="71"/>
      <c r="AF391" s="71"/>
      <c r="AG391" s="71"/>
      <c r="AH391" s="71"/>
      <c r="AI391" s="71"/>
      <c r="AJ391" s="71"/>
      <c r="AK391" s="71"/>
      <c r="AL391" s="71"/>
      <c r="AM391" s="71"/>
      <c r="AN391" s="71"/>
      <c r="AO391" s="71"/>
      <c r="AP391" s="71"/>
      <c r="AQ391" s="71"/>
    </row>
    <row r="392" spans="1:43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3"/>
      <c r="L392" s="72"/>
      <c r="M392" s="72"/>
      <c r="N392" s="72"/>
      <c r="O392" s="72"/>
      <c r="P392" s="72"/>
      <c r="Q392" s="72"/>
      <c r="R392" s="72"/>
      <c r="S392" s="72">
        <v>5477.6670000000004</v>
      </c>
      <c r="T392" s="72">
        <v>8949.5949999999993</v>
      </c>
      <c r="U392" s="72">
        <v>8.0549999999999997</v>
      </c>
      <c r="V392" s="72">
        <v>4</v>
      </c>
      <c r="W392" s="72"/>
      <c r="X392" s="72"/>
      <c r="Y392" s="72"/>
      <c r="Z392" s="72"/>
      <c r="AB392" s="71"/>
      <c r="AC392" s="71"/>
      <c r="AD392" s="71"/>
      <c r="AE392" s="71"/>
      <c r="AF392" s="71"/>
      <c r="AG392" s="71"/>
      <c r="AH392" s="71"/>
      <c r="AI392" s="71"/>
      <c r="AJ392" s="71"/>
      <c r="AK392" s="71"/>
      <c r="AL392" s="71"/>
      <c r="AM392" s="71"/>
      <c r="AN392" s="71"/>
      <c r="AO392" s="71"/>
      <c r="AP392" s="71"/>
      <c r="AQ392" s="71"/>
    </row>
    <row r="393" spans="1:43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3"/>
      <c r="L393" s="72"/>
      <c r="M393" s="72"/>
      <c r="N393" s="72"/>
      <c r="O393" s="72"/>
      <c r="P393" s="72"/>
      <c r="Q393" s="72"/>
      <c r="R393" s="72"/>
      <c r="S393" s="72">
        <v>5545.5910000000003</v>
      </c>
      <c r="T393" s="72">
        <v>8992.402</v>
      </c>
      <c r="U393" s="72">
        <v>7.8840000000000003</v>
      </c>
      <c r="V393" s="72">
        <v>5</v>
      </c>
      <c r="W393" s="72"/>
      <c r="X393" s="72"/>
      <c r="Y393" s="72"/>
      <c r="Z393" s="72"/>
      <c r="AB393" s="71"/>
      <c r="AC393" s="71"/>
      <c r="AD393" s="71"/>
      <c r="AE393" s="71"/>
      <c r="AF393" s="71"/>
      <c r="AG393" s="71"/>
      <c r="AH393" s="71"/>
      <c r="AI393" s="71"/>
      <c r="AJ393" s="71"/>
      <c r="AK393" s="71"/>
      <c r="AL393" s="71"/>
      <c r="AM393" s="71"/>
      <c r="AN393" s="71"/>
      <c r="AO393" s="71"/>
      <c r="AP393" s="71"/>
      <c r="AQ393" s="71"/>
    </row>
    <row r="394" spans="1:43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3"/>
      <c r="L394" s="72"/>
      <c r="M394" s="72"/>
      <c r="N394" s="72"/>
      <c r="O394" s="72"/>
      <c r="P394" s="72"/>
      <c r="Q394" s="72"/>
      <c r="R394" s="72"/>
      <c r="S394" s="72">
        <v>5394.0420000000004</v>
      </c>
      <c r="T394" s="72">
        <v>8928.2389999999996</v>
      </c>
      <c r="U394" s="72">
        <v>8.1440000000000001</v>
      </c>
      <c r="V394" s="72">
        <v>6</v>
      </c>
      <c r="W394" s="72"/>
      <c r="X394" s="72"/>
      <c r="Y394" s="72"/>
      <c r="Z394" s="72"/>
      <c r="AB394" s="71"/>
      <c r="AC394" s="71"/>
      <c r="AD394" s="71"/>
      <c r="AE394" s="71"/>
      <c r="AF394" s="71"/>
      <c r="AG394" s="71"/>
      <c r="AH394" s="71"/>
      <c r="AI394" s="71"/>
      <c r="AJ394" s="71"/>
      <c r="AK394" s="71"/>
      <c r="AL394" s="71"/>
      <c r="AM394" s="71"/>
      <c r="AN394" s="71"/>
      <c r="AO394" s="71"/>
      <c r="AP394" s="71"/>
      <c r="AQ394" s="71"/>
    </row>
    <row r="395" spans="1:43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3"/>
      <c r="L395" s="72"/>
      <c r="M395" s="72"/>
      <c r="N395" s="72"/>
      <c r="O395" s="72"/>
      <c r="P395" s="72"/>
      <c r="Q395" s="72"/>
      <c r="R395" s="72"/>
      <c r="S395" s="72">
        <v>5265.607</v>
      </c>
      <c r="T395" s="72">
        <v>8937.7919999999995</v>
      </c>
      <c r="U395" s="72">
        <v>8.1750000000000007</v>
      </c>
      <c r="V395" s="72">
        <v>7</v>
      </c>
      <c r="W395" s="72"/>
      <c r="X395" s="72"/>
      <c r="Y395" s="72"/>
      <c r="Z395" s="72"/>
      <c r="AB395" s="71"/>
      <c r="AC395" s="71"/>
      <c r="AD395" s="71"/>
      <c r="AE395" s="71"/>
      <c r="AF395" s="71"/>
      <c r="AG395" s="71"/>
      <c r="AH395" s="71"/>
      <c r="AI395" s="71"/>
      <c r="AJ395" s="71"/>
      <c r="AK395" s="71"/>
      <c r="AL395" s="71"/>
      <c r="AM395" s="71"/>
      <c r="AN395" s="71"/>
      <c r="AO395" s="71"/>
      <c r="AP395" s="71"/>
      <c r="AQ395" s="71"/>
    </row>
    <row r="396" spans="1:43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3"/>
      <c r="L396" s="72"/>
      <c r="M396" s="72"/>
      <c r="N396" s="72"/>
      <c r="O396" s="72"/>
      <c r="P396" s="72"/>
      <c r="Q396" s="72"/>
      <c r="R396" s="72"/>
      <c r="S396" s="72">
        <v>5174.8940000000002</v>
      </c>
      <c r="T396" s="72">
        <v>8941.3220000000001</v>
      </c>
      <c r="U396" s="72">
        <v>8.1129999999999995</v>
      </c>
      <c r="V396" s="72">
        <v>8</v>
      </c>
      <c r="W396" s="72"/>
      <c r="X396" s="72"/>
      <c r="Y396" s="72"/>
      <c r="Z396" s="72"/>
      <c r="AB396" s="71"/>
      <c r="AC396" s="71"/>
      <c r="AD396" s="71"/>
      <c r="AE396" s="71"/>
      <c r="AF396" s="71"/>
      <c r="AG396" s="71"/>
      <c r="AH396" s="71"/>
      <c r="AI396" s="71"/>
      <c r="AJ396" s="71"/>
      <c r="AK396" s="71"/>
      <c r="AL396" s="71"/>
      <c r="AM396" s="71"/>
      <c r="AN396" s="71"/>
      <c r="AO396" s="71"/>
      <c r="AP396" s="71"/>
      <c r="AQ396" s="71"/>
    </row>
    <row r="397" spans="1:43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3"/>
      <c r="L397" s="72"/>
      <c r="M397" s="72"/>
      <c r="N397" s="72"/>
      <c r="O397" s="72"/>
      <c r="P397" s="72"/>
      <c r="Q397" s="72"/>
      <c r="R397" s="72"/>
      <c r="S397" s="72">
        <v>5124.8490000000002</v>
      </c>
      <c r="T397" s="72">
        <v>8866.6419999999998</v>
      </c>
      <c r="U397" s="72">
        <v>7.8470000000000004</v>
      </c>
      <c r="V397" s="72">
        <v>9</v>
      </c>
      <c r="W397" s="72"/>
      <c r="X397" s="72"/>
      <c r="Y397" s="72"/>
      <c r="Z397" s="72"/>
      <c r="AB397" s="71"/>
      <c r="AC397" s="71"/>
      <c r="AD397" s="71"/>
      <c r="AE397" s="71"/>
      <c r="AF397" s="71"/>
      <c r="AG397" s="71"/>
      <c r="AH397" s="71"/>
      <c r="AI397" s="71"/>
      <c r="AJ397" s="71"/>
      <c r="AK397" s="71"/>
      <c r="AL397" s="71"/>
      <c r="AM397" s="71"/>
      <c r="AN397" s="71"/>
      <c r="AO397" s="71"/>
      <c r="AP397" s="71"/>
      <c r="AQ397" s="71"/>
    </row>
    <row r="398" spans="1:43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3"/>
      <c r="L398" s="72"/>
      <c r="M398" s="72"/>
      <c r="N398" s="72"/>
      <c r="O398" s="72"/>
      <c r="P398" s="72"/>
      <c r="Q398" s="72"/>
      <c r="R398" s="72"/>
      <c r="S398" s="72">
        <v>5218.8819999999996</v>
      </c>
      <c r="T398" s="72">
        <v>8859.61</v>
      </c>
      <c r="U398" s="72">
        <v>8.157</v>
      </c>
      <c r="V398" s="72">
        <v>10</v>
      </c>
      <c r="W398" s="72"/>
      <c r="X398" s="72"/>
      <c r="Y398" s="72"/>
      <c r="Z398" s="72"/>
      <c r="AB398" s="71"/>
      <c r="AC398" s="71"/>
      <c r="AD398" s="71"/>
      <c r="AE398" s="71"/>
      <c r="AF398" s="71"/>
      <c r="AG398" s="71"/>
      <c r="AH398" s="71"/>
      <c r="AI398" s="71"/>
      <c r="AJ398" s="71"/>
      <c r="AK398" s="71"/>
      <c r="AL398" s="71"/>
      <c r="AM398" s="71"/>
      <c r="AN398" s="71"/>
      <c r="AO398" s="71"/>
      <c r="AP398" s="71"/>
      <c r="AQ398" s="71"/>
    </row>
    <row r="399" spans="1:43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3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B399" s="71"/>
      <c r="AC399" s="71"/>
      <c r="AD399" s="71"/>
      <c r="AE399" s="71"/>
      <c r="AF399" s="71"/>
      <c r="AG399" s="71"/>
      <c r="AH399" s="71"/>
      <c r="AI399" s="71"/>
      <c r="AJ399" s="71"/>
      <c r="AK399" s="71"/>
      <c r="AL399" s="71"/>
      <c r="AM399" s="71"/>
      <c r="AN399" s="71"/>
      <c r="AO399" s="71"/>
      <c r="AP399" s="71"/>
      <c r="AQ399" s="71"/>
    </row>
    <row r="400" spans="1:43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3"/>
      <c r="L400" s="72"/>
      <c r="M400" s="72"/>
      <c r="N400" s="72"/>
      <c r="O400" s="72"/>
      <c r="P400" s="72"/>
      <c r="Q400" s="72"/>
      <c r="R400" s="72"/>
      <c r="S400" s="72">
        <v>5364.6440000000002</v>
      </c>
      <c r="T400" s="72">
        <v>9074.2330000000002</v>
      </c>
      <c r="U400" s="72">
        <v>8.1999999999999993</v>
      </c>
      <c r="V400" s="72" t="s">
        <v>121</v>
      </c>
      <c r="W400" s="72" t="s">
        <v>73</v>
      </c>
      <c r="X400" s="72"/>
      <c r="Y400" s="72"/>
      <c r="Z400" s="72"/>
      <c r="AB400" s="71"/>
      <c r="AC400" s="71"/>
      <c r="AD400" s="71"/>
      <c r="AE400" s="71"/>
      <c r="AF400" s="71"/>
      <c r="AG400" s="71"/>
      <c r="AH400" s="71"/>
      <c r="AI400" s="71"/>
      <c r="AJ400" s="71"/>
      <c r="AK400" s="71"/>
      <c r="AL400" s="71"/>
      <c r="AM400" s="71"/>
      <c r="AN400" s="71"/>
      <c r="AO400" s="71"/>
      <c r="AP400" s="71"/>
      <c r="AQ400" s="71"/>
    </row>
    <row r="401" spans="1:43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3"/>
      <c r="L401" s="72"/>
      <c r="M401" s="72"/>
      <c r="N401" s="72"/>
      <c r="O401" s="72"/>
      <c r="P401" s="72"/>
      <c r="Q401" s="72"/>
      <c r="R401" s="72"/>
      <c r="S401" s="72">
        <v>5411.7709999999997</v>
      </c>
      <c r="T401" s="72">
        <v>9043.6280000000006</v>
      </c>
      <c r="U401" s="72">
        <v>8.1839999999999993</v>
      </c>
      <c r="V401" s="72">
        <v>1</v>
      </c>
      <c r="W401" s="72"/>
      <c r="X401" s="72"/>
      <c r="Y401" s="72"/>
      <c r="Z401" s="72"/>
      <c r="AB401" s="71"/>
      <c r="AC401" s="71"/>
      <c r="AD401" s="71"/>
      <c r="AE401" s="71"/>
      <c r="AF401" s="71"/>
      <c r="AG401" s="71"/>
      <c r="AH401" s="71"/>
      <c r="AI401" s="71"/>
      <c r="AJ401" s="71"/>
      <c r="AK401" s="71"/>
      <c r="AL401" s="71"/>
      <c r="AM401" s="71"/>
      <c r="AN401" s="71"/>
      <c r="AO401" s="71"/>
      <c r="AP401" s="71"/>
      <c r="AQ401" s="71"/>
    </row>
    <row r="402" spans="1:43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3"/>
      <c r="L402" s="72"/>
      <c r="M402" s="72"/>
      <c r="N402" s="72"/>
      <c r="O402" s="72"/>
      <c r="P402" s="72"/>
      <c r="Q402" s="72"/>
      <c r="R402" s="72"/>
      <c r="S402" s="72">
        <v>5492.9620000000004</v>
      </c>
      <c r="T402" s="72">
        <v>9069.7520000000004</v>
      </c>
      <c r="U402" s="72">
        <v>8.0950000000000006</v>
      </c>
      <c r="V402" s="72">
        <v>2</v>
      </c>
      <c r="W402" s="72"/>
      <c r="X402" s="72"/>
      <c r="Y402" s="72"/>
      <c r="Z402" s="72"/>
      <c r="AB402" s="71"/>
      <c r="AC402" s="71"/>
      <c r="AD402" s="71"/>
      <c r="AE402" s="71"/>
      <c r="AF402" s="71"/>
      <c r="AG402" s="71"/>
      <c r="AH402" s="71"/>
      <c r="AI402" s="71"/>
      <c r="AJ402" s="71"/>
      <c r="AK402" s="71"/>
      <c r="AL402" s="71"/>
      <c r="AM402" s="71"/>
      <c r="AN402" s="71"/>
      <c r="AO402" s="71"/>
      <c r="AP402" s="71"/>
      <c r="AQ402" s="71"/>
    </row>
    <row r="403" spans="1:43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3"/>
      <c r="L403" s="72"/>
      <c r="M403" s="72"/>
      <c r="N403" s="72"/>
      <c r="O403" s="72"/>
      <c r="P403" s="72"/>
      <c r="Q403" s="72"/>
      <c r="R403" s="72"/>
      <c r="S403" s="72">
        <v>5622.6009999999997</v>
      </c>
      <c r="T403" s="72">
        <v>9069.73</v>
      </c>
      <c r="U403" s="72">
        <v>7.7539999999999996</v>
      </c>
      <c r="V403" s="72">
        <v>3</v>
      </c>
      <c r="W403" s="72"/>
      <c r="X403" s="72"/>
      <c r="Y403" s="72"/>
      <c r="Z403" s="72"/>
      <c r="AB403" s="71"/>
      <c r="AC403" s="71"/>
      <c r="AD403" s="71"/>
      <c r="AE403" s="71"/>
      <c r="AF403" s="71"/>
      <c r="AG403" s="71"/>
      <c r="AH403" s="71"/>
      <c r="AI403" s="71"/>
      <c r="AJ403" s="71"/>
      <c r="AK403" s="71"/>
      <c r="AL403" s="71"/>
      <c r="AM403" s="71"/>
      <c r="AN403" s="71"/>
      <c r="AO403" s="71"/>
      <c r="AP403" s="71"/>
      <c r="AQ403" s="71"/>
    </row>
    <row r="404" spans="1:43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3"/>
      <c r="L404" s="72"/>
      <c r="M404" s="72"/>
      <c r="N404" s="72"/>
      <c r="O404" s="72"/>
      <c r="P404" s="72"/>
      <c r="Q404" s="72"/>
      <c r="R404" s="72"/>
      <c r="S404" s="72">
        <v>5651.4350000000004</v>
      </c>
      <c r="T404" s="72">
        <v>9178.6170000000002</v>
      </c>
      <c r="U404" s="72">
        <v>7.9169999999999998</v>
      </c>
      <c r="V404" s="72">
        <v>4</v>
      </c>
      <c r="W404" s="72"/>
      <c r="X404" s="72"/>
      <c r="Y404" s="72"/>
      <c r="Z404" s="72"/>
      <c r="AB404" s="71"/>
      <c r="AC404" s="71"/>
      <c r="AD404" s="71"/>
      <c r="AE404" s="71"/>
      <c r="AF404" s="71"/>
      <c r="AG404" s="71"/>
      <c r="AH404" s="71"/>
      <c r="AI404" s="71"/>
      <c r="AJ404" s="71"/>
      <c r="AK404" s="71"/>
      <c r="AL404" s="71"/>
      <c r="AM404" s="71"/>
      <c r="AN404" s="71"/>
      <c r="AO404" s="71"/>
      <c r="AP404" s="71"/>
      <c r="AQ404" s="71"/>
    </row>
    <row r="405" spans="1:43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3"/>
      <c r="L405" s="72"/>
      <c r="M405" s="72"/>
      <c r="N405" s="72"/>
      <c r="O405" s="72"/>
      <c r="P405" s="72"/>
      <c r="Q405" s="72"/>
      <c r="R405" s="72"/>
      <c r="S405" s="72">
        <v>5548.4470000000001</v>
      </c>
      <c r="T405" s="72">
        <v>9156.0669999999991</v>
      </c>
      <c r="U405" s="72">
        <v>7.9859999999999998</v>
      </c>
      <c r="V405" s="72">
        <v>5</v>
      </c>
      <c r="W405" s="72"/>
      <c r="X405" s="72"/>
      <c r="Y405" s="72"/>
      <c r="Z405" s="72"/>
      <c r="AB405" s="71"/>
      <c r="AC405" s="71"/>
      <c r="AD405" s="71"/>
      <c r="AE405" s="71"/>
      <c r="AF405" s="71"/>
      <c r="AG405" s="71"/>
      <c r="AH405" s="71"/>
      <c r="AI405" s="71"/>
      <c r="AJ405" s="71"/>
      <c r="AK405" s="71"/>
      <c r="AL405" s="71"/>
      <c r="AM405" s="71"/>
      <c r="AN405" s="71"/>
      <c r="AO405" s="71"/>
      <c r="AP405" s="71"/>
      <c r="AQ405" s="71"/>
    </row>
    <row r="406" spans="1:43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3"/>
      <c r="L406" s="72"/>
      <c r="M406" s="72"/>
      <c r="N406" s="72"/>
      <c r="O406" s="72"/>
      <c r="P406" s="72"/>
      <c r="Q406" s="72"/>
      <c r="R406" s="72"/>
      <c r="S406" s="72">
        <v>5429.9650000000001</v>
      </c>
      <c r="T406" s="72">
        <v>9154.8979999999992</v>
      </c>
      <c r="U406" s="72">
        <v>8.1709999999999994</v>
      </c>
      <c r="V406" s="72">
        <v>6</v>
      </c>
      <c r="W406" s="72"/>
      <c r="X406" s="72"/>
      <c r="Y406" s="72"/>
      <c r="Z406" s="72"/>
      <c r="AB406" s="71"/>
      <c r="AC406" s="71"/>
      <c r="AD406" s="71"/>
      <c r="AE406" s="71"/>
      <c r="AF406" s="71"/>
      <c r="AG406" s="71"/>
      <c r="AH406" s="71"/>
      <c r="AI406" s="71"/>
      <c r="AJ406" s="71"/>
      <c r="AK406" s="71"/>
      <c r="AL406" s="71"/>
      <c r="AM406" s="71"/>
      <c r="AN406" s="71"/>
      <c r="AO406" s="71"/>
      <c r="AP406" s="71"/>
      <c r="AQ406" s="71"/>
    </row>
    <row r="407" spans="1:43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3"/>
      <c r="L407" s="72"/>
      <c r="M407" s="72"/>
      <c r="N407" s="72"/>
      <c r="O407" s="72"/>
      <c r="P407" s="72"/>
      <c r="Q407" s="72"/>
      <c r="R407" s="72"/>
      <c r="S407" s="72">
        <v>5257.4520000000002</v>
      </c>
      <c r="T407" s="72">
        <v>9141.2139999999999</v>
      </c>
      <c r="U407" s="72">
        <v>8.548</v>
      </c>
      <c r="V407" s="72">
        <v>7</v>
      </c>
      <c r="W407" s="72"/>
      <c r="X407" s="72"/>
      <c r="Y407" s="72"/>
      <c r="Z407" s="72"/>
      <c r="AB407" s="71"/>
      <c r="AC407" s="71"/>
      <c r="AD407" s="71"/>
      <c r="AE407" s="71"/>
      <c r="AF407" s="71"/>
      <c r="AG407" s="71"/>
      <c r="AH407" s="71"/>
      <c r="AI407" s="71"/>
      <c r="AJ407" s="71"/>
      <c r="AK407" s="71"/>
      <c r="AL407" s="71"/>
      <c r="AM407" s="71"/>
      <c r="AN407" s="71"/>
      <c r="AO407" s="71"/>
      <c r="AP407" s="71"/>
      <c r="AQ407" s="71"/>
    </row>
    <row r="408" spans="1:43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3"/>
      <c r="L408" s="72"/>
      <c r="M408" s="72"/>
      <c r="N408" s="72"/>
      <c r="O408" s="72"/>
      <c r="P408" s="72"/>
      <c r="Q408" s="72"/>
      <c r="R408" s="72"/>
      <c r="S408" s="72">
        <v>5172.5309999999999</v>
      </c>
      <c r="T408" s="72">
        <v>9136.6540000000005</v>
      </c>
      <c r="U408" s="72">
        <v>8.1229999999999993</v>
      </c>
      <c r="V408" s="72">
        <v>8</v>
      </c>
      <c r="W408" s="72"/>
      <c r="X408" s="72"/>
      <c r="Y408" s="72"/>
      <c r="Z408" s="72"/>
    </row>
    <row r="409" spans="1:43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3"/>
      <c r="L409" s="72"/>
      <c r="M409" s="72"/>
      <c r="N409" s="72"/>
      <c r="O409" s="72"/>
      <c r="P409" s="72"/>
      <c r="Q409" s="72"/>
      <c r="R409" s="72"/>
      <c r="S409" s="72">
        <v>5210.3059999999996</v>
      </c>
      <c r="T409" s="72">
        <v>9038.6010000000006</v>
      </c>
      <c r="U409" s="72">
        <v>8.2059999999999995</v>
      </c>
      <c r="V409" s="72">
        <v>9</v>
      </c>
      <c r="W409" s="72"/>
      <c r="X409" s="72"/>
      <c r="Y409" s="72"/>
      <c r="Z409" s="72"/>
    </row>
    <row r="410" spans="1:43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3"/>
      <c r="L410" s="72"/>
      <c r="M410" s="72"/>
      <c r="N410" s="72"/>
      <c r="O410" s="72"/>
      <c r="P410" s="72"/>
      <c r="Q410" s="72"/>
      <c r="R410" s="72"/>
      <c r="S410" s="72">
        <v>5291.0360000000001</v>
      </c>
      <c r="T410" s="72">
        <v>9031.7360000000008</v>
      </c>
      <c r="U410" s="72">
        <v>8.1370000000000005</v>
      </c>
      <c r="V410" s="72">
        <v>10</v>
      </c>
      <c r="W410" s="72"/>
      <c r="X410" s="72"/>
      <c r="Y410" s="72"/>
      <c r="Z410" s="72"/>
    </row>
    <row r="411" spans="1:43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3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43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3"/>
      <c r="L412" s="72"/>
      <c r="M412" s="72"/>
      <c r="N412" s="72"/>
      <c r="O412" s="72"/>
      <c r="P412" s="72"/>
      <c r="Q412" s="72"/>
      <c r="R412" s="72"/>
      <c r="S412" s="72">
        <v>5244.0280000000002</v>
      </c>
      <c r="T412" s="72">
        <v>9250.1540000000005</v>
      </c>
      <c r="U412" s="72">
        <v>8.8000000000000007</v>
      </c>
      <c r="V412" s="72" t="s">
        <v>122</v>
      </c>
      <c r="W412" s="72" t="s">
        <v>73</v>
      </c>
      <c r="X412" s="72"/>
      <c r="Y412" s="72"/>
      <c r="Z412" s="72"/>
    </row>
    <row r="413" spans="1:43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3"/>
      <c r="L413" s="72"/>
      <c r="M413" s="72"/>
      <c r="N413" s="72"/>
      <c r="O413" s="72"/>
      <c r="P413" s="72"/>
      <c r="Q413" s="72"/>
      <c r="R413" s="72"/>
      <c r="S413" s="72">
        <v>5234.01</v>
      </c>
      <c r="T413" s="72">
        <v>9203.0239999999994</v>
      </c>
      <c r="U413" s="72">
        <v>8.75</v>
      </c>
      <c r="V413" s="72">
        <v>1</v>
      </c>
      <c r="W413" s="72"/>
      <c r="X413" s="72"/>
      <c r="Y413" s="72"/>
      <c r="Z413" s="72"/>
      <c r="AB413" s="71"/>
      <c r="AC413" s="71"/>
      <c r="AD413" s="71"/>
      <c r="AE413" s="71"/>
      <c r="AF413" s="71"/>
      <c r="AG413" s="71"/>
      <c r="AH413" s="71"/>
      <c r="AI413" s="71"/>
      <c r="AJ413" s="71"/>
      <c r="AK413" s="71"/>
      <c r="AL413" s="71"/>
      <c r="AM413" s="71"/>
      <c r="AN413" s="71"/>
      <c r="AO413" s="71"/>
      <c r="AP413" s="71"/>
      <c r="AQ413" s="71"/>
    </row>
    <row r="414" spans="1:43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3"/>
      <c r="L414" s="72"/>
      <c r="M414" s="72"/>
      <c r="N414" s="72"/>
      <c r="O414" s="72"/>
      <c r="P414" s="72"/>
      <c r="Q414" s="72"/>
      <c r="R414" s="72"/>
      <c r="S414" s="72">
        <v>5300.2849999999999</v>
      </c>
      <c r="T414" s="72">
        <v>9246.2199999999993</v>
      </c>
      <c r="U414" s="72">
        <v>9.0890000000000004</v>
      </c>
      <c r="V414" s="72">
        <v>2</v>
      </c>
      <c r="W414" s="72"/>
      <c r="X414" s="72"/>
      <c r="Y414" s="72"/>
      <c r="Z414" s="72"/>
      <c r="AB414" s="71"/>
      <c r="AC414" s="71"/>
      <c r="AD414" s="71"/>
      <c r="AE414" s="71"/>
      <c r="AF414" s="71"/>
      <c r="AG414" s="71"/>
      <c r="AH414" s="71"/>
      <c r="AI414" s="71"/>
      <c r="AJ414" s="71"/>
      <c r="AK414" s="71"/>
      <c r="AL414" s="71"/>
      <c r="AM414" s="71"/>
      <c r="AN414" s="71"/>
      <c r="AO414" s="71"/>
      <c r="AP414" s="71"/>
      <c r="AQ414" s="71"/>
    </row>
    <row r="415" spans="1:43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3"/>
      <c r="L415" s="72"/>
      <c r="M415" s="72"/>
      <c r="N415" s="72"/>
      <c r="O415" s="72"/>
      <c r="P415" s="72"/>
      <c r="Q415" s="72"/>
      <c r="R415" s="72"/>
      <c r="S415" s="72">
        <v>5339.3540000000003</v>
      </c>
      <c r="T415" s="72">
        <v>9197.3140000000003</v>
      </c>
      <c r="U415" s="72">
        <v>8.6319999999999997</v>
      </c>
      <c r="V415" s="72">
        <v>3</v>
      </c>
      <c r="W415" s="72"/>
      <c r="X415" s="72"/>
      <c r="Y415" s="72"/>
      <c r="Z415" s="72"/>
      <c r="AB415" s="71"/>
      <c r="AC415" s="71"/>
      <c r="AD415" s="71"/>
      <c r="AE415" s="71"/>
      <c r="AF415" s="71"/>
      <c r="AG415" s="71"/>
      <c r="AH415" s="71"/>
      <c r="AI415" s="71"/>
      <c r="AJ415" s="71"/>
      <c r="AK415" s="71"/>
      <c r="AL415" s="71"/>
      <c r="AM415" s="71"/>
      <c r="AN415" s="71"/>
      <c r="AO415" s="71"/>
      <c r="AP415" s="71"/>
      <c r="AQ415" s="71"/>
    </row>
    <row r="416" spans="1:43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3"/>
      <c r="L416" s="72"/>
      <c r="M416" s="72"/>
      <c r="N416" s="72"/>
      <c r="O416" s="72"/>
      <c r="P416" s="72"/>
      <c r="Q416" s="72"/>
      <c r="R416" s="72"/>
      <c r="S416" s="72">
        <v>5374.4110000000001</v>
      </c>
      <c r="T416" s="72">
        <v>9227.1640000000007</v>
      </c>
      <c r="U416" s="72">
        <v>8.7609999999999992</v>
      </c>
      <c r="V416" s="72">
        <v>4</v>
      </c>
      <c r="W416" s="72"/>
      <c r="X416" s="72"/>
      <c r="Y416" s="72"/>
      <c r="Z416" s="72"/>
      <c r="AB416" s="71"/>
      <c r="AC416" s="71"/>
      <c r="AD416" s="71"/>
      <c r="AE416" s="71"/>
      <c r="AF416" s="71"/>
      <c r="AG416" s="71"/>
      <c r="AH416" s="71"/>
      <c r="AI416" s="71"/>
      <c r="AJ416" s="71"/>
      <c r="AK416" s="71"/>
      <c r="AL416" s="71"/>
      <c r="AM416" s="71"/>
      <c r="AN416" s="71"/>
      <c r="AO416" s="71"/>
      <c r="AP416" s="71"/>
      <c r="AQ416" s="71"/>
    </row>
    <row r="417" spans="1:43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3"/>
      <c r="L417" s="72"/>
      <c r="M417" s="72"/>
      <c r="N417" s="72"/>
      <c r="O417" s="72"/>
      <c r="P417" s="72"/>
      <c r="Q417" s="72"/>
      <c r="R417" s="72"/>
      <c r="S417" s="72">
        <v>5489.49</v>
      </c>
      <c r="T417" s="72">
        <v>9254.4390000000003</v>
      </c>
      <c r="U417" s="72">
        <v>9.1560000000000006</v>
      </c>
      <c r="V417" s="72">
        <v>5</v>
      </c>
      <c r="W417" s="72"/>
      <c r="X417" s="72"/>
      <c r="Y417" s="72"/>
      <c r="Z417" s="72"/>
      <c r="AB417" s="71"/>
      <c r="AC417" s="71"/>
      <c r="AD417" s="71"/>
      <c r="AE417" s="71"/>
      <c r="AF417" s="71"/>
      <c r="AG417" s="71"/>
      <c r="AH417" s="71"/>
      <c r="AI417" s="71"/>
      <c r="AJ417" s="71"/>
      <c r="AK417" s="71"/>
      <c r="AL417" s="71"/>
      <c r="AM417" s="71"/>
      <c r="AN417" s="71"/>
      <c r="AO417" s="71"/>
      <c r="AP417" s="71"/>
      <c r="AQ417" s="71"/>
    </row>
    <row r="418" spans="1:43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3"/>
      <c r="L418" s="72"/>
      <c r="M418" s="72"/>
      <c r="N418" s="72"/>
      <c r="O418" s="72"/>
      <c r="P418" s="72"/>
      <c r="Q418" s="72"/>
      <c r="R418" s="72"/>
      <c r="S418" s="72">
        <v>5527.1819999999998</v>
      </c>
      <c r="T418" s="72">
        <v>9245.2119999999995</v>
      </c>
      <c r="U418" s="72">
        <v>8.6579999999999995</v>
      </c>
      <c r="V418" s="72">
        <v>6</v>
      </c>
      <c r="W418" s="72"/>
      <c r="X418" s="72"/>
      <c r="Y418" s="72"/>
      <c r="Z418" s="72"/>
      <c r="AB418" s="71"/>
      <c r="AC418" s="71"/>
      <c r="AD418" s="71"/>
      <c r="AE418" s="71"/>
      <c r="AF418" s="71"/>
      <c r="AG418" s="71"/>
      <c r="AH418" s="71"/>
      <c r="AI418" s="71"/>
      <c r="AJ418" s="71"/>
      <c r="AK418" s="71"/>
      <c r="AL418" s="71"/>
      <c r="AM418" s="71"/>
      <c r="AN418" s="71"/>
      <c r="AO418" s="71"/>
      <c r="AP418" s="71"/>
      <c r="AQ418" s="71"/>
    </row>
    <row r="419" spans="1:43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3"/>
      <c r="L419" s="72"/>
      <c r="M419" s="72"/>
      <c r="N419" s="72"/>
      <c r="O419" s="72"/>
      <c r="P419" s="72"/>
      <c r="Q419" s="72"/>
      <c r="R419" s="72"/>
      <c r="S419" s="72">
        <v>5428.9089999999997</v>
      </c>
      <c r="T419" s="72">
        <v>9336.366</v>
      </c>
      <c r="U419" s="72">
        <v>8.5790000000000006</v>
      </c>
      <c r="V419" s="72">
        <v>7</v>
      </c>
      <c r="W419" s="72"/>
      <c r="X419" s="72"/>
      <c r="Y419" s="72"/>
      <c r="Z419" s="72"/>
      <c r="AB419" s="71"/>
      <c r="AC419" s="71"/>
      <c r="AD419" s="71"/>
      <c r="AE419" s="71"/>
      <c r="AF419" s="71"/>
      <c r="AG419" s="71"/>
      <c r="AH419" s="71"/>
      <c r="AI419" s="71"/>
      <c r="AJ419" s="71"/>
      <c r="AK419" s="71"/>
      <c r="AL419" s="71"/>
      <c r="AM419" s="71"/>
      <c r="AN419" s="71"/>
      <c r="AO419" s="71"/>
      <c r="AP419" s="71"/>
      <c r="AQ419" s="71"/>
    </row>
    <row r="420" spans="1:43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3"/>
      <c r="L420" s="72"/>
      <c r="M420" s="72"/>
      <c r="N420" s="72"/>
      <c r="O420" s="72"/>
      <c r="P420" s="72"/>
      <c r="Q420" s="72"/>
      <c r="R420" s="72"/>
      <c r="S420" s="72">
        <v>5382.67</v>
      </c>
      <c r="T420" s="72">
        <v>9354.6280000000006</v>
      </c>
      <c r="U420" s="72">
        <v>9.1419999999999995</v>
      </c>
      <c r="V420" s="72">
        <v>8</v>
      </c>
      <c r="W420" s="72"/>
      <c r="X420" s="72"/>
      <c r="Y420" s="72"/>
      <c r="Z420" s="72"/>
      <c r="AB420" s="71"/>
      <c r="AC420" s="71"/>
      <c r="AD420" s="71"/>
      <c r="AE420" s="71"/>
      <c r="AF420" s="71"/>
      <c r="AG420" s="71"/>
      <c r="AH420" s="71"/>
      <c r="AI420" s="71"/>
      <c r="AJ420" s="71"/>
      <c r="AK420" s="71"/>
      <c r="AL420" s="71"/>
      <c r="AM420" s="71"/>
      <c r="AN420" s="71"/>
      <c r="AO420" s="71"/>
      <c r="AP420" s="71"/>
      <c r="AQ420" s="71"/>
    </row>
    <row r="421" spans="1:43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3"/>
      <c r="L421" s="72"/>
      <c r="M421" s="72"/>
      <c r="N421" s="72"/>
      <c r="O421" s="72"/>
      <c r="P421" s="72"/>
      <c r="Q421" s="72"/>
      <c r="R421" s="72"/>
      <c r="S421" s="72">
        <v>5308.192</v>
      </c>
      <c r="T421" s="72">
        <v>9312.116</v>
      </c>
      <c r="U421" s="72">
        <v>9.2579999999999991</v>
      </c>
      <c r="V421" s="72">
        <v>9</v>
      </c>
      <c r="W421" s="72"/>
      <c r="X421" s="72"/>
      <c r="Y421" s="72"/>
      <c r="Z421" s="72"/>
      <c r="AB421" s="71"/>
      <c r="AC421" s="71"/>
      <c r="AD421" s="71"/>
      <c r="AE421" s="71"/>
      <c r="AF421" s="71"/>
      <c r="AG421" s="71"/>
      <c r="AH421" s="71"/>
      <c r="AI421" s="71"/>
      <c r="AJ421" s="71"/>
      <c r="AK421" s="71"/>
      <c r="AL421" s="71"/>
      <c r="AM421" s="71"/>
      <c r="AN421" s="71"/>
      <c r="AO421" s="71"/>
      <c r="AP421" s="71"/>
      <c r="AQ421" s="71"/>
    </row>
    <row r="422" spans="1:43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3"/>
      <c r="L422" s="72"/>
      <c r="M422" s="72"/>
      <c r="N422" s="72"/>
      <c r="O422" s="72"/>
      <c r="P422" s="72"/>
      <c r="Q422" s="72"/>
      <c r="R422" s="72"/>
      <c r="S422" s="72">
        <v>5265.0839999999998</v>
      </c>
      <c r="T422" s="72">
        <v>9383.0939999999991</v>
      </c>
      <c r="U422" s="72">
        <v>9.06</v>
      </c>
      <c r="V422" s="72">
        <v>10</v>
      </c>
      <c r="W422" s="72"/>
      <c r="X422" s="72"/>
      <c r="Y422" s="72"/>
      <c r="Z422" s="72"/>
      <c r="AB422" s="71"/>
      <c r="AC422" s="71"/>
      <c r="AD422" s="71"/>
      <c r="AE422" s="71"/>
      <c r="AF422" s="71"/>
      <c r="AG422" s="71"/>
      <c r="AH422" s="71"/>
      <c r="AI422" s="71"/>
      <c r="AJ422" s="71"/>
      <c r="AK422" s="71"/>
      <c r="AL422" s="71"/>
      <c r="AM422" s="71"/>
      <c r="AN422" s="71"/>
      <c r="AO422" s="71"/>
      <c r="AP422" s="71"/>
      <c r="AQ422" s="71"/>
    </row>
    <row r="423" spans="1:43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3"/>
      <c r="L423" s="72"/>
      <c r="M423" s="72"/>
      <c r="N423" s="72"/>
      <c r="O423" s="72"/>
      <c r="P423" s="72"/>
      <c r="Q423" s="72"/>
      <c r="R423" s="72"/>
      <c r="S423" s="72">
        <v>5191.4139999999998</v>
      </c>
      <c r="T423" s="72">
        <v>9310.6790000000001</v>
      </c>
      <c r="U423" s="72">
        <v>9.157</v>
      </c>
      <c r="V423" s="72">
        <v>11</v>
      </c>
      <c r="W423" s="72"/>
      <c r="X423" s="72"/>
      <c r="Y423" s="72"/>
      <c r="Z423" s="72"/>
      <c r="AB423" s="71"/>
      <c r="AC423" s="71"/>
      <c r="AD423" s="71"/>
      <c r="AE423" s="71"/>
      <c r="AF423" s="71"/>
      <c r="AG423" s="71"/>
      <c r="AH423" s="71"/>
      <c r="AI423" s="71"/>
      <c r="AJ423" s="71"/>
      <c r="AK423" s="71"/>
      <c r="AL423" s="71"/>
      <c r="AM423" s="71"/>
      <c r="AN423" s="71"/>
      <c r="AO423" s="71"/>
      <c r="AP423" s="71"/>
      <c r="AQ423" s="71"/>
    </row>
    <row r="424" spans="1:43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3"/>
      <c r="L424" s="72"/>
      <c r="M424" s="72"/>
      <c r="N424" s="72"/>
      <c r="O424" s="72"/>
      <c r="P424" s="72"/>
      <c r="Q424" s="72"/>
      <c r="R424" s="72"/>
      <c r="S424" s="72">
        <v>5129.4780000000001</v>
      </c>
      <c r="T424" s="72">
        <v>9333.3790000000008</v>
      </c>
      <c r="U424" s="72">
        <v>8.4939999999999998</v>
      </c>
      <c r="V424" s="72">
        <v>12</v>
      </c>
      <c r="W424" s="72"/>
      <c r="X424" s="72"/>
      <c r="Y424" s="72"/>
      <c r="Z424" s="72"/>
      <c r="AB424" s="71"/>
      <c r="AC424" s="71"/>
      <c r="AD424" s="71"/>
      <c r="AE424" s="71"/>
      <c r="AF424" s="71"/>
      <c r="AG424" s="71"/>
      <c r="AH424" s="71"/>
      <c r="AI424" s="71"/>
      <c r="AJ424" s="71"/>
      <c r="AK424" s="71"/>
      <c r="AL424" s="71"/>
      <c r="AM424" s="71"/>
      <c r="AN424" s="71"/>
      <c r="AO424" s="71"/>
      <c r="AP424" s="71"/>
      <c r="AQ424" s="71"/>
    </row>
    <row r="425" spans="1:43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3"/>
      <c r="L425" s="72"/>
      <c r="M425" s="72"/>
      <c r="N425" s="72"/>
      <c r="O425" s="72"/>
      <c r="P425" s="72"/>
      <c r="Q425" s="72"/>
      <c r="R425" s="72"/>
      <c r="S425" s="72">
        <v>5146.567</v>
      </c>
      <c r="T425" s="72">
        <v>9260.3979999999992</v>
      </c>
      <c r="U425" s="72">
        <v>9.1620000000000008</v>
      </c>
      <c r="V425" s="72">
        <v>13</v>
      </c>
      <c r="W425" s="72"/>
      <c r="X425" s="72"/>
      <c r="Y425" s="72"/>
      <c r="Z425" s="72"/>
      <c r="AB425" s="71"/>
      <c r="AC425" s="71"/>
      <c r="AD425" s="71"/>
      <c r="AE425" s="71"/>
      <c r="AF425" s="71"/>
      <c r="AG425" s="71"/>
      <c r="AH425" s="71"/>
      <c r="AI425" s="71"/>
      <c r="AJ425" s="71"/>
      <c r="AK425" s="71"/>
      <c r="AL425" s="71"/>
      <c r="AM425" s="71"/>
      <c r="AN425" s="71"/>
      <c r="AO425" s="71"/>
      <c r="AP425" s="71"/>
      <c r="AQ425" s="71"/>
    </row>
    <row r="426" spans="1:43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3"/>
      <c r="L426" s="72"/>
      <c r="M426" s="72"/>
      <c r="N426" s="72"/>
      <c r="O426" s="72"/>
      <c r="P426" s="72"/>
      <c r="Q426" s="72"/>
      <c r="R426" s="72"/>
      <c r="S426" s="72">
        <v>5061.4009999999998</v>
      </c>
      <c r="T426" s="72">
        <v>9272.5779999999995</v>
      </c>
      <c r="U426" s="72">
        <v>9.1649999999999991</v>
      </c>
      <c r="V426" s="72">
        <v>14</v>
      </c>
      <c r="W426" s="72"/>
      <c r="X426" s="72"/>
      <c r="Y426" s="72"/>
      <c r="Z426" s="72"/>
      <c r="AB426" s="71"/>
      <c r="AC426" s="71"/>
      <c r="AD426" s="71"/>
      <c r="AE426" s="71"/>
      <c r="AF426" s="71"/>
      <c r="AG426" s="71"/>
      <c r="AH426" s="71"/>
      <c r="AI426" s="71"/>
      <c r="AJ426" s="71"/>
      <c r="AK426" s="71"/>
      <c r="AL426" s="71"/>
      <c r="AM426" s="71"/>
      <c r="AN426" s="71"/>
      <c r="AO426" s="71"/>
      <c r="AP426" s="71"/>
      <c r="AQ426" s="71"/>
    </row>
    <row r="427" spans="1:43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3"/>
      <c r="L427" s="72"/>
      <c r="M427" s="72"/>
      <c r="N427" s="72"/>
      <c r="O427" s="72"/>
      <c r="P427" s="72"/>
      <c r="Q427" s="72"/>
      <c r="R427" s="72"/>
      <c r="S427" s="72">
        <v>5066.768</v>
      </c>
      <c r="T427" s="72">
        <v>9218.8979999999992</v>
      </c>
      <c r="U427" s="72">
        <v>8.6519999999999992</v>
      </c>
      <c r="V427" s="72">
        <v>15</v>
      </c>
      <c r="W427" s="72"/>
      <c r="X427" s="72"/>
      <c r="Y427" s="72"/>
      <c r="Z427" s="72"/>
      <c r="AB427" s="71"/>
      <c r="AC427" s="71"/>
      <c r="AD427" s="71"/>
      <c r="AE427" s="71"/>
      <c r="AF427" s="71"/>
      <c r="AG427" s="71"/>
      <c r="AH427" s="71"/>
      <c r="AI427" s="71"/>
      <c r="AJ427" s="71"/>
      <c r="AK427" s="71"/>
      <c r="AL427" s="71"/>
      <c r="AM427" s="71"/>
      <c r="AN427" s="71"/>
      <c r="AO427" s="71"/>
      <c r="AP427" s="71"/>
      <c r="AQ427" s="71"/>
    </row>
    <row r="428" spans="1:43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3"/>
      <c r="L428" s="72"/>
      <c r="M428" s="72"/>
      <c r="N428" s="72"/>
      <c r="O428" s="72"/>
      <c r="P428" s="72"/>
      <c r="Q428" s="72"/>
      <c r="R428" s="72"/>
      <c r="S428" s="72">
        <v>5115.8310000000001</v>
      </c>
      <c r="T428" s="72">
        <v>9181.99</v>
      </c>
      <c r="U428" s="72">
        <v>8.5489999999999995</v>
      </c>
      <c r="V428" s="72">
        <v>16</v>
      </c>
      <c r="W428" s="72"/>
      <c r="X428" s="72"/>
      <c r="Y428" s="72"/>
      <c r="Z428" s="72"/>
      <c r="AB428" s="71"/>
      <c r="AC428" s="71"/>
      <c r="AD428" s="71"/>
      <c r="AE428" s="71"/>
      <c r="AF428" s="71"/>
      <c r="AG428" s="71"/>
      <c r="AH428" s="71"/>
      <c r="AI428" s="71"/>
      <c r="AJ428" s="71"/>
      <c r="AK428" s="71"/>
      <c r="AL428" s="71"/>
      <c r="AM428" s="71"/>
      <c r="AN428" s="71"/>
      <c r="AO428" s="71"/>
      <c r="AP428" s="71"/>
      <c r="AQ428" s="71"/>
    </row>
    <row r="429" spans="1:43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3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B429" s="71"/>
      <c r="AC429" s="71"/>
      <c r="AD429" s="71"/>
      <c r="AE429" s="71"/>
      <c r="AF429" s="71"/>
      <c r="AG429" s="71"/>
      <c r="AH429" s="71"/>
      <c r="AI429" s="71"/>
      <c r="AJ429" s="71"/>
      <c r="AK429" s="71"/>
      <c r="AL429" s="71"/>
      <c r="AM429" s="71"/>
      <c r="AN429" s="71"/>
      <c r="AO429" s="71"/>
      <c r="AP429" s="71"/>
      <c r="AQ429" s="71"/>
    </row>
    <row r="430" spans="1:43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3"/>
      <c r="L430" s="72"/>
      <c r="M430" s="72"/>
      <c r="N430" s="72"/>
      <c r="O430" s="72"/>
      <c r="P430" s="72"/>
      <c r="Q430" s="72"/>
      <c r="R430" s="72"/>
      <c r="S430" s="72">
        <v>5407.4650000000001</v>
      </c>
      <c r="T430" s="72">
        <v>9454.14</v>
      </c>
      <c r="U430" s="72">
        <v>8.41</v>
      </c>
      <c r="V430" s="72" t="s">
        <v>123</v>
      </c>
      <c r="W430" s="72" t="s">
        <v>73</v>
      </c>
      <c r="X430" s="72"/>
      <c r="Y430" s="72"/>
      <c r="Z430" s="72"/>
      <c r="AB430" s="71"/>
      <c r="AC430" s="71"/>
      <c r="AD430" s="71"/>
      <c r="AE430" s="71"/>
      <c r="AF430" s="71"/>
      <c r="AG430" s="71"/>
      <c r="AH430" s="71"/>
      <c r="AI430" s="71"/>
      <c r="AJ430" s="71"/>
      <c r="AK430" s="71"/>
      <c r="AL430" s="71"/>
      <c r="AM430" s="71"/>
      <c r="AN430" s="71"/>
      <c r="AO430" s="71"/>
      <c r="AP430" s="71"/>
      <c r="AQ430" s="71"/>
    </row>
    <row r="431" spans="1:43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3"/>
      <c r="L431" s="72"/>
      <c r="M431" s="72"/>
      <c r="N431" s="72"/>
      <c r="O431" s="72"/>
      <c r="P431" s="72"/>
      <c r="Q431" s="72"/>
      <c r="R431" s="72"/>
      <c r="S431" s="72">
        <v>5236.2870000000003</v>
      </c>
      <c r="T431" s="72">
        <v>9401.8060000000005</v>
      </c>
      <c r="U431" s="72">
        <v>8.41</v>
      </c>
      <c r="V431" s="72" t="s">
        <v>124</v>
      </c>
      <c r="W431" s="72" t="s">
        <v>73</v>
      </c>
      <c r="X431" s="72"/>
      <c r="Y431" s="72"/>
      <c r="Z431" s="72"/>
      <c r="AB431" s="71"/>
      <c r="AC431" s="71"/>
      <c r="AD431" s="71"/>
      <c r="AE431" s="71"/>
      <c r="AF431" s="71"/>
      <c r="AG431" s="71"/>
      <c r="AH431" s="71"/>
      <c r="AI431" s="71"/>
      <c r="AJ431" s="71"/>
      <c r="AK431" s="71"/>
      <c r="AL431" s="71"/>
      <c r="AM431" s="71"/>
      <c r="AN431" s="71"/>
      <c r="AO431" s="71"/>
      <c r="AP431" s="71"/>
      <c r="AQ431" s="71"/>
    </row>
    <row r="432" spans="1:43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3"/>
      <c r="L432" s="72"/>
      <c r="M432" s="72"/>
      <c r="N432" s="72"/>
      <c r="O432" s="72"/>
      <c r="P432" s="72"/>
      <c r="Q432" s="72"/>
      <c r="R432" s="72"/>
      <c r="S432" s="72">
        <v>5361.1120000000001</v>
      </c>
      <c r="T432" s="72">
        <v>9596.7980000000007</v>
      </c>
      <c r="U432" s="72">
        <v>9.11</v>
      </c>
      <c r="V432" s="72" t="s">
        <v>125</v>
      </c>
      <c r="W432" s="72" t="s">
        <v>73</v>
      </c>
      <c r="X432" s="72"/>
      <c r="Y432" s="72"/>
      <c r="Z432" s="72"/>
      <c r="AB432" s="71"/>
      <c r="AC432" s="71"/>
      <c r="AD432" s="71"/>
      <c r="AE432" s="71"/>
      <c r="AF432" s="71"/>
      <c r="AG432" s="71"/>
      <c r="AH432" s="71"/>
      <c r="AI432" s="71"/>
      <c r="AJ432" s="71"/>
      <c r="AK432" s="71"/>
      <c r="AL432" s="71"/>
      <c r="AM432" s="71"/>
      <c r="AN432" s="71"/>
      <c r="AO432" s="71"/>
      <c r="AP432" s="71"/>
      <c r="AQ432" s="71"/>
    </row>
    <row r="433" spans="1:43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3"/>
      <c r="L433" s="72"/>
      <c r="M433" s="72"/>
      <c r="N433" s="72"/>
      <c r="O433" s="72"/>
      <c r="P433" s="72"/>
      <c r="Q433" s="72"/>
      <c r="R433" s="72"/>
      <c r="S433" s="72">
        <v>5328.1790000000001</v>
      </c>
      <c r="T433" s="72">
        <v>9411.9830000000002</v>
      </c>
      <c r="U433" s="72">
        <v>8.2929999999999993</v>
      </c>
      <c r="V433" s="72">
        <v>1</v>
      </c>
      <c r="W433" s="72"/>
      <c r="X433" s="72"/>
      <c r="Y433" s="72"/>
      <c r="Z433" s="72"/>
      <c r="AB433" s="71"/>
      <c r="AC433" s="71"/>
      <c r="AD433" s="71"/>
      <c r="AE433" s="71"/>
      <c r="AF433" s="71"/>
      <c r="AG433" s="71"/>
      <c r="AH433" s="71"/>
      <c r="AI433" s="71"/>
      <c r="AJ433" s="71"/>
      <c r="AK433" s="71"/>
      <c r="AL433" s="71"/>
      <c r="AM433" s="71"/>
      <c r="AN433" s="71"/>
      <c r="AO433" s="71"/>
      <c r="AP433" s="71"/>
      <c r="AQ433" s="71"/>
    </row>
    <row r="434" spans="1:43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3"/>
      <c r="L434" s="72"/>
      <c r="M434" s="72"/>
      <c r="N434" s="72"/>
      <c r="O434" s="72"/>
      <c r="P434" s="72"/>
      <c r="Q434" s="72"/>
      <c r="R434" s="72"/>
      <c r="S434" s="72">
        <v>5424.6880000000001</v>
      </c>
      <c r="T434" s="72">
        <v>9385.06</v>
      </c>
      <c r="U434" s="72">
        <v>8.1940000000000008</v>
      </c>
      <c r="V434" s="72">
        <v>2</v>
      </c>
      <c r="W434" s="72"/>
      <c r="X434" s="72"/>
      <c r="Y434" s="72"/>
      <c r="Z434" s="72"/>
      <c r="AB434" s="71"/>
      <c r="AC434" s="71"/>
      <c r="AD434" s="71"/>
      <c r="AE434" s="71"/>
      <c r="AF434" s="71"/>
      <c r="AG434" s="71"/>
      <c r="AH434" s="71"/>
      <c r="AI434" s="71"/>
      <c r="AJ434" s="71"/>
      <c r="AK434" s="71"/>
      <c r="AL434" s="71"/>
      <c r="AM434" s="71"/>
      <c r="AN434" s="71"/>
      <c r="AO434" s="71"/>
      <c r="AP434" s="71"/>
      <c r="AQ434" s="71"/>
    </row>
    <row r="435" spans="1:43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3"/>
      <c r="L435" s="72"/>
      <c r="M435" s="72"/>
      <c r="N435" s="72"/>
      <c r="O435" s="72"/>
      <c r="P435" s="72"/>
      <c r="Q435" s="72"/>
      <c r="R435" s="72"/>
      <c r="S435" s="72">
        <v>5514.8130000000001</v>
      </c>
      <c r="T435" s="72">
        <v>9384.4279999999999</v>
      </c>
      <c r="U435" s="72">
        <v>8.2569999999999997</v>
      </c>
      <c r="V435" s="72">
        <v>3</v>
      </c>
      <c r="W435" s="72"/>
      <c r="X435" s="72"/>
      <c r="Y435" s="72"/>
      <c r="Z435" s="72"/>
      <c r="AB435" s="71"/>
      <c r="AC435" s="71"/>
      <c r="AD435" s="71"/>
      <c r="AE435" s="71"/>
      <c r="AF435" s="71"/>
      <c r="AG435" s="71"/>
      <c r="AH435" s="71"/>
      <c r="AI435" s="71"/>
      <c r="AJ435" s="71"/>
      <c r="AK435" s="71"/>
      <c r="AL435" s="71"/>
      <c r="AM435" s="71"/>
      <c r="AN435" s="71"/>
      <c r="AO435" s="71"/>
      <c r="AP435" s="71"/>
      <c r="AQ435" s="71"/>
    </row>
    <row r="436" spans="1:43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3"/>
      <c r="L436" s="72"/>
      <c r="M436" s="72"/>
      <c r="N436" s="72"/>
      <c r="O436" s="72"/>
      <c r="P436" s="72"/>
      <c r="Q436" s="72"/>
      <c r="R436" s="72"/>
      <c r="S436" s="72">
        <v>5590.8969999999999</v>
      </c>
      <c r="T436" s="72">
        <v>9343.9230000000007</v>
      </c>
      <c r="U436" s="72">
        <v>8.1929999999999996</v>
      </c>
      <c r="V436" s="72">
        <v>4</v>
      </c>
      <c r="W436" s="72"/>
      <c r="X436" s="72"/>
      <c r="Y436" s="72"/>
      <c r="Z436" s="72"/>
      <c r="AB436" s="71"/>
      <c r="AC436" s="71"/>
      <c r="AD436" s="71"/>
      <c r="AE436" s="71"/>
      <c r="AF436" s="71"/>
      <c r="AG436" s="71"/>
      <c r="AH436" s="71"/>
      <c r="AI436" s="71"/>
      <c r="AJ436" s="71"/>
      <c r="AK436" s="71"/>
      <c r="AL436" s="71"/>
      <c r="AM436" s="71"/>
      <c r="AN436" s="71"/>
      <c r="AO436" s="71"/>
      <c r="AP436" s="71"/>
      <c r="AQ436" s="71"/>
    </row>
    <row r="437" spans="1:43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3"/>
      <c r="L437" s="72"/>
      <c r="M437" s="72"/>
      <c r="N437" s="72"/>
      <c r="O437" s="72"/>
      <c r="P437" s="72"/>
      <c r="Q437" s="72"/>
      <c r="R437" s="72"/>
      <c r="S437" s="72">
        <v>5565.4430000000002</v>
      </c>
      <c r="T437" s="72">
        <v>9272.4069999999992</v>
      </c>
      <c r="U437" s="72">
        <v>8.3249999999999993</v>
      </c>
      <c r="V437" s="72">
        <v>5</v>
      </c>
      <c r="W437" s="72"/>
      <c r="X437" s="72"/>
      <c r="Y437" s="72"/>
      <c r="Z437" s="72"/>
      <c r="AB437" s="71"/>
      <c r="AC437" s="71"/>
      <c r="AD437" s="71"/>
      <c r="AE437" s="71"/>
      <c r="AF437" s="71"/>
      <c r="AG437" s="71"/>
      <c r="AH437" s="71"/>
      <c r="AI437" s="71"/>
      <c r="AJ437" s="71"/>
      <c r="AK437" s="71"/>
      <c r="AL437" s="71"/>
      <c r="AM437" s="71"/>
      <c r="AN437" s="71"/>
      <c r="AO437" s="71"/>
      <c r="AP437" s="71"/>
      <c r="AQ437" s="71"/>
    </row>
    <row r="438" spans="1:43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3"/>
      <c r="L438" s="72"/>
      <c r="M438" s="72"/>
      <c r="N438" s="72"/>
      <c r="O438" s="72"/>
      <c r="P438" s="72"/>
      <c r="Q438" s="72"/>
      <c r="R438" s="72"/>
      <c r="S438" s="72">
        <v>5664.0770000000002</v>
      </c>
      <c r="T438" s="72">
        <v>9246.3389999999999</v>
      </c>
      <c r="U438" s="72">
        <v>8.2390000000000008</v>
      </c>
      <c r="V438" s="72">
        <v>6</v>
      </c>
      <c r="W438" s="72"/>
      <c r="X438" s="72"/>
      <c r="Y438" s="72"/>
      <c r="Z438" s="72"/>
      <c r="AB438" s="71"/>
      <c r="AC438" s="71"/>
      <c r="AD438" s="71"/>
      <c r="AE438" s="71"/>
      <c r="AF438" s="71"/>
      <c r="AG438" s="71"/>
      <c r="AH438" s="71"/>
      <c r="AI438" s="71"/>
      <c r="AJ438" s="71"/>
      <c r="AK438" s="71"/>
      <c r="AL438" s="71"/>
      <c r="AM438" s="71"/>
      <c r="AN438" s="71"/>
      <c r="AO438" s="71"/>
      <c r="AP438" s="71"/>
      <c r="AQ438" s="71"/>
    </row>
    <row r="439" spans="1:43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3"/>
      <c r="L439" s="72"/>
      <c r="M439" s="72"/>
      <c r="N439" s="72"/>
      <c r="O439" s="72"/>
      <c r="P439" s="72"/>
      <c r="Q439" s="72"/>
      <c r="R439" s="72"/>
      <c r="S439" s="72">
        <v>5704.7870000000003</v>
      </c>
      <c r="T439" s="72">
        <v>9327.9339999999993</v>
      </c>
      <c r="U439" s="72">
        <v>8.157</v>
      </c>
      <c r="V439" s="72">
        <v>7</v>
      </c>
      <c r="W439" s="72"/>
      <c r="X439" s="72"/>
      <c r="Y439" s="72"/>
      <c r="Z439" s="72"/>
      <c r="AB439" s="71"/>
      <c r="AC439" s="71"/>
      <c r="AD439" s="71"/>
      <c r="AE439" s="71"/>
      <c r="AF439" s="71"/>
      <c r="AG439" s="71"/>
      <c r="AH439" s="71"/>
      <c r="AI439" s="71"/>
      <c r="AJ439" s="71"/>
      <c r="AK439" s="71"/>
      <c r="AL439" s="71"/>
      <c r="AM439" s="71"/>
      <c r="AN439" s="71"/>
      <c r="AO439" s="71"/>
      <c r="AP439" s="71"/>
      <c r="AQ439" s="71"/>
    </row>
    <row r="440" spans="1:43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3"/>
      <c r="L440" s="72"/>
      <c r="M440" s="72"/>
      <c r="N440" s="72"/>
      <c r="O440" s="72"/>
      <c r="P440" s="72"/>
      <c r="Q440" s="72"/>
      <c r="R440" s="72"/>
      <c r="S440" s="72">
        <v>5656.491</v>
      </c>
      <c r="T440" s="72">
        <v>9427.9670000000006</v>
      </c>
      <c r="U440" s="72">
        <v>8.1590000000000007</v>
      </c>
      <c r="V440" s="72">
        <v>8</v>
      </c>
      <c r="W440" s="72"/>
      <c r="X440" s="72"/>
      <c r="Y440" s="72"/>
      <c r="Z440" s="72"/>
      <c r="AB440" s="71"/>
      <c r="AC440" s="71"/>
      <c r="AD440" s="71"/>
      <c r="AE440" s="71"/>
      <c r="AF440" s="71"/>
      <c r="AG440" s="71"/>
      <c r="AH440" s="71"/>
      <c r="AI440" s="71"/>
      <c r="AJ440" s="71"/>
      <c r="AK440" s="71"/>
      <c r="AL440" s="71"/>
      <c r="AM440" s="71"/>
      <c r="AN440" s="71"/>
      <c r="AO440" s="71"/>
      <c r="AP440" s="71"/>
      <c r="AQ440" s="71"/>
    </row>
    <row r="441" spans="1:43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3"/>
      <c r="L441" s="72"/>
      <c r="M441" s="72"/>
      <c r="N441" s="72"/>
      <c r="O441" s="72"/>
      <c r="P441" s="72"/>
      <c r="Q441" s="72"/>
      <c r="R441" s="72"/>
      <c r="S441" s="72">
        <v>5718.875</v>
      </c>
      <c r="T441" s="72">
        <v>9481.3850000000002</v>
      </c>
      <c r="U441" s="72">
        <v>7.8230000000000004</v>
      </c>
      <c r="V441" s="72">
        <v>9</v>
      </c>
      <c r="W441" s="72"/>
      <c r="X441" s="72"/>
      <c r="Y441" s="72"/>
      <c r="Z441" s="72"/>
      <c r="AB441" s="71"/>
      <c r="AC441" s="71"/>
      <c r="AD441" s="71"/>
      <c r="AE441" s="71"/>
      <c r="AF441" s="71"/>
      <c r="AG441" s="71"/>
      <c r="AH441" s="71"/>
      <c r="AI441" s="71"/>
      <c r="AJ441" s="71"/>
      <c r="AK441" s="71"/>
      <c r="AL441" s="71"/>
      <c r="AM441" s="71"/>
      <c r="AN441" s="71"/>
      <c r="AO441" s="71"/>
      <c r="AP441" s="71"/>
      <c r="AQ441" s="71"/>
    </row>
    <row r="442" spans="1:43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3"/>
      <c r="L442" s="72"/>
      <c r="M442" s="72"/>
      <c r="N442" s="72"/>
      <c r="O442" s="72"/>
      <c r="P442" s="72"/>
      <c r="Q442" s="72"/>
      <c r="R442" s="72"/>
      <c r="S442" s="72">
        <v>5548.9210000000003</v>
      </c>
      <c r="T442" s="72">
        <v>9466.5159999999996</v>
      </c>
      <c r="U442" s="72">
        <v>8.1950000000000003</v>
      </c>
      <c r="V442" s="72">
        <v>10</v>
      </c>
      <c r="W442" s="72"/>
      <c r="X442" s="72"/>
      <c r="Y442" s="72"/>
      <c r="Z442" s="72"/>
      <c r="AB442" s="71"/>
      <c r="AC442" s="71"/>
      <c r="AD442" s="71"/>
      <c r="AE442" s="71"/>
      <c r="AF442" s="71"/>
      <c r="AG442" s="71"/>
      <c r="AH442" s="71"/>
      <c r="AI442" s="71"/>
      <c r="AJ442" s="71"/>
      <c r="AK442" s="71"/>
      <c r="AL442" s="71"/>
      <c r="AM442" s="71"/>
      <c r="AN442" s="71"/>
      <c r="AO442" s="71"/>
      <c r="AP442" s="71"/>
      <c r="AQ442" s="71"/>
    </row>
    <row r="443" spans="1:43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3"/>
      <c r="L443" s="72"/>
      <c r="M443" s="72"/>
      <c r="N443" s="72"/>
      <c r="O443" s="72"/>
      <c r="P443" s="72"/>
      <c r="Q443" s="72"/>
      <c r="R443" s="72"/>
      <c r="S443" s="72">
        <v>5489.9930000000004</v>
      </c>
      <c r="T443" s="72">
        <v>9485.82</v>
      </c>
      <c r="U443" s="72">
        <v>8.7889999999999997</v>
      </c>
      <c r="V443" s="72">
        <v>11</v>
      </c>
      <c r="W443" s="72"/>
      <c r="X443" s="72"/>
      <c r="Y443" s="72"/>
      <c r="Z443" s="72"/>
      <c r="AB443" s="71"/>
      <c r="AC443" s="71"/>
      <c r="AD443" s="71"/>
      <c r="AE443" s="71"/>
      <c r="AF443" s="71"/>
      <c r="AG443" s="71"/>
      <c r="AH443" s="71"/>
      <c r="AI443" s="71"/>
      <c r="AJ443" s="71"/>
      <c r="AK443" s="71"/>
      <c r="AL443" s="71"/>
      <c r="AM443" s="71"/>
      <c r="AN443" s="71"/>
      <c r="AO443" s="71"/>
      <c r="AP443" s="71"/>
      <c r="AQ443" s="71"/>
    </row>
    <row r="444" spans="1:43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3"/>
      <c r="L444" s="72"/>
      <c r="M444" s="72"/>
      <c r="N444" s="72"/>
      <c r="O444" s="72"/>
      <c r="P444" s="72"/>
      <c r="Q444" s="72"/>
      <c r="R444" s="72"/>
      <c r="S444" s="72">
        <v>5498.884</v>
      </c>
      <c r="T444" s="72">
        <v>9520.56</v>
      </c>
      <c r="U444" s="72">
        <v>8.9789999999999992</v>
      </c>
      <c r="V444" s="72">
        <v>12</v>
      </c>
      <c r="W444" s="72"/>
      <c r="X444" s="72"/>
      <c r="Y444" s="72"/>
      <c r="Z444" s="72"/>
      <c r="AB444" s="71"/>
      <c r="AC444" s="71"/>
      <c r="AD444" s="71"/>
      <c r="AE444" s="71"/>
      <c r="AF444" s="71"/>
      <c r="AG444" s="71"/>
      <c r="AH444" s="71"/>
      <c r="AI444" s="71"/>
      <c r="AJ444" s="71"/>
      <c r="AK444" s="71"/>
      <c r="AL444" s="71"/>
      <c r="AM444" s="71"/>
      <c r="AN444" s="71"/>
      <c r="AO444" s="71"/>
      <c r="AP444" s="71"/>
      <c r="AQ444" s="71"/>
    </row>
    <row r="445" spans="1:43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3"/>
      <c r="L445" s="72"/>
      <c r="M445" s="72"/>
      <c r="N445" s="72"/>
      <c r="O445" s="72"/>
      <c r="P445" s="72"/>
      <c r="Q445" s="72"/>
      <c r="R445" s="72"/>
      <c r="S445" s="72">
        <v>5517.1779999999999</v>
      </c>
      <c r="T445" s="72">
        <v>9616.7970000000005</v>
      </c>
      <c r="U445" s="72">
        <v>9.2149999999999999</v>
      </c>
      <c r="V445" s="72">
        <v>13</v>
      </c>
      <c r="W445" s="72"/>
      <c r="X445" s="72"/>
      <c r="Y445" s="72"/>
      <c r="Z445" s="72"/>
      <c r="AB445" s="71"/>
      <c r="AC445" s="71"/>
      <c r="AD445" s="71"/>
      <c r="AE445" s="71"/>
      <c r="AF445" s="71"/>
      <c r="AG445" s="71"/>
      <c r="AH445" s="71"/>
      <c r="AI445" s="71"/>
      <c r="AJ445" s="71"/>
      <c r="AK445" s="71"/>
      <c r="AL445" s="71"/>
      <c r="AM445" s="71"/>
      <c r="AN445" s="71"/>
      <c r="AO445" s="71"/>
      <c r="AP445" s="71"/>
      <c r="AQ445" s="71"/>
    </row>
    <row r="446" spans="1:43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3"/>
      <c r="L446" s="72"/>
      <c r="M446" s="72"/>
      <c r="N446" s="72"/>
      <c r="O446" s="72"/>
      <c r="P446" s="72"/>
      <c r="Q446" s="72"/>
      <c r="R446" s="72"/>
      <c r="S446" s="72">
        <v>5437.2070000000003</v>
      </c>
      <c r="T446" s="72">
        <v>9531.6229999999996</v>
      </c>
      <c r="U446" s="72">
        <v>8.1869999999999994</v>
      </c>
      <c r="V446" s="72">
        <v>14</v>
      </c>
      <c r="W446" s="72"/>
      <c r="X446" s="72"/>
      <c r="Y446" s="72"/>
      <c r="Z446" s="72"/>
      <c r="AB446" s="71"/>
      <c r="AC446" s="71"/>
      <c r="AD446" s="71"/>
      <c r="AE446" s="71"/>
      <c r="AF446" s="71"/>
      <c r="AG446" s="71"/>
      <c r="AH446" s="71"/>
      <c r="AI446" s="71"/>
      <c r="AJ446" s="71"/>
      <c r="AK446" s="71"/>
      <c r="AL446" s="71"/>
      <c r="AM446" s="71"/>
      <c r="AN446" s="71"/>
      <c r="AO446" s="71"/>
      <c r="AP446" s="71"/>
      <c r="AQ446" s="71"/>
    </row>
    <row r="447" spans="1:43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3"/>
      <c r="L447" s="72"/>
      <c r="M447" s="72"/>
      <c r="N447" s="72"/>
      <c r="O447" s="72"/>
      <c r="P447" s="72"/>
      <c r="Q447" s="72"/>
      <c r="R447" s="72"/>
      <c r="S447" s="72">
        <v>5359.3310000000001</v>
      </c>
      <c r="T447" s="72">
        <v>9485.3989999999994</v>
      </c>
      <c r="U447" s="72">
        <v>8.1809999999999992</v>
      </c>
      <c r="V447" s="72">
        <v>15</v>
      </c>
      <c r="W447" s="72"/>
      <c r="X447" s="72"/>
      <c r="Y447" s="72"/>
      <c r="Z447" s="72"/>
      <c r="AB447" s="71"/>
      <c r="AC447" s="71"/>
      <c r="AD447" s="71"/>
      <c r="AE447" s="71"/>
      <c r="AF447" s="71"/>
      <c r="AG447" s="71"/>
      <c r="AH447" s="71"/>
      <c r="AI447" s="71"/>
      <c r="AJ447" s="71"/>
      <c r="AK447" s="71"/>
      <c r="AL447" s="71"/>
      <c r="AM447" s="71"/>
      <c r="AN447" s="71"/>
      <c r="AO447" s="71"/>
      <c r="AP447" s="71"/>
      <c r="AQ447" s="71"/>
    </row>
    <row r="448" spans="1:43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3"/>
      <c r="L448" s="72"/>
      <c r="M448" s="72"/>
      <c r="N448" s="72"/>
      <c r="O448" s="72"/>
      <c r="P448" s="72"/>
      <c r="Q448" s="72"/>
      <c r="R448" s="72"/>
      <c r="S448" s="72">
        <v>5275.4</v>
      </c>
      <c r="T448" s="72">
        <v>9527.3449999999993</v>
      </c>
      <c r="U448" s="72">
        <v>8.1999999999999993</v>
      </c>
      <c r="V448" s="72">
        <v>16</v>
      </c>
      <c r="W448" s="72"/>
      <c r="X448" s="72"/>
      <c r="Y448" s="72"/>
      <c r="Z448" s="72"/>
      <c r="AB448" s="71"/>
      <c r="AC448" s="71"/>
      <c r="AD448" s="71"/>
      <c r="AE448" s="71"/>
      <c r="AF448" s="71"/>
      <c r="AG448" s="71"/>
      <c r="AH448" s="71"/>
      <c r="AI448" s="71"/>
      <c r="AJ448" s="71"/>
      <c r="AK448" s="71"/>
      <c r="AL448" s="71"/>
      <c r="AM448" s="71"/>
      <c r="AN448" s="71"/>
      <c r="AO448" s="71"/>
      <c r="AP448" s="71"/>
      <c r="AQ448" s="71"/>
    </row>
    <row r="449" spans="1:43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3"/>
      <c r="L449" s="72"/>
      <c r="M449" s="72"/>
      <c r="N449" s="72"/>
      <c r="O449" s="72"/>
      <c r="P449" s="72"/>
      <c r="Q449" s="72"/>
      <c r="R449" s="72"/>
      <c r="S449" s="72">
        <v>5365.5</v>
      </c>
      <c r="T449" s="72">
        <v>9553.0020000000004</v>
      </c>
      <c r="U449" s="72">
        <v>8.7840000000000007</v>
      </c>
      <c r="V449" s="72">
        <v>17</v>
      </c>
      <c r="W449" s="72"/>
      <c r="X449" s="72"/>
      <c r="Y449" s="72"/>
      <c r="Z449" s="72"/>
      <c r="AB449" s="71"/>
      <c r="AC449" s="71"/>
      <c r="AD449" s="71"/>
      <c r="AE449" s="71"/>
      <c r="AF449" s="71"/>
      <c r="AG449" s="71"/>
      <c r="AH449" s="71"/>
      <c r="AI449" s="71"/>
      <c r="AJ449" s="71"/>
      <c r="AK449" s="71"/>
      <c r="AL449" s="71"/>
      <c r="AM449" s="71"/>
      <c r="AN449" s="71"/>
      <c r="AO449" s="71"/>
      <c r="AP449" s="71"/>
      <c r="AQ449" s="71"/>
    </row>
    <row r="450" spans="1:43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3"/>
      <c r="L450" s="72"/>
      <c r="M450" s="72"/>
      <c r="N450" s="72"/>
      <c r="O450" s="72"/>
      <c r="P450" s="72"/>
      <c r="Q450" s="72"/>
      <c r="R450" s="72"/>
      <c r="S450" s="72">
        <v>5336.0119999999997</v>
      </c>
      <c r="T450" s="72">
        <v>9588.5229999999992</v>
      </c>
      <c r="U450" s="72">
        <v>8.2390000000000008</v>
      </c>
      <c r="V450" s="72">
        <v>18</v>
      </c>
      <c r="W450" s="72"/>
      <c r="X450" s="72"/>
      <c r="Y450" s="72"/>
      <c r="Z450" s="72"/>
      <c r="AB450" s="71"/>
      <c r="AC450" s="71"/>
      <c r="AD450" s="71"/>
      <c r="AE450" s="71"/>
      <c r="AF450" s="71"/>
      <c r="AG450" s="71"/>
      <c r="AH450" s="71"/>
      <c r="AI450" s="71"/>
      <c r="AJ450" s="71"/>
      <c r="AK450" s="71"/>
      <c r="AL450" s="71"/>
      <c r="AM450" s="71"/>
      <c r="AN450" s="71"/>
      <c r="AO450" s="71"/>
      <c r="AP450" s="71"/>
      <c r="AQ450" s="71"/>
    </row>
    <row r="451" spans="1:43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3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B451" s="71"/>
      <c r="AC451" s="71"/>
      <c r="AD451" s="71"/>
      <c r="AE451" s="71"/>
      <c r="AF451" s="71"/>
      <c r="AG451" s="71"/>
      <c r="AH451" s="71"/>
      <c r="AI451" s="71"/>
      <c r="AJ451" s="71"/>
      <c r="AK451" s="71"/>
      <c r="AL451" s="71"/>
      <c r="AM451" s="71"/>
      <c r="AN451" s="71"/>
      <c r="AO451" s="71"/>
      <c r="AP451" s="71"/>
      <c r="AQ451" s="71"/>
    </row>
    <row r="452" spans="1:43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3"/>
      <c r="L452" s="72"/>
      <c r="M452" s="72"/>
      <c r="N452" s="72"/>
      <c r="O452" s="72"/>
      <c r="P452" s="72"/>
      <c r="Q452" s="72"/>
      <c r="R452" s="72"/>
      <c r="S452" s="72">
        <v>5279.9290000000001</v>
      </c>
      <c r="T452" s="72">
        <v>9763.2489999999998</v>
      </c>
      <c r="U452" s="72">
        <v>9.7889999999999997</v>
      </c>
      <c r="V452" s="72" t="s">
        <v>126</v>
      </c>
      <c r="W452" s="72" t="s">
        <v>73</v>
      </c>
      <c r="X452" s="72"/>
      <c r="Y452" s="72"/>
      <c r="Z452" s="72"/>
      <c r="AB452" s="71"/>
      <c r="AC452" s="71"/>
      <c r="AD452" s="71"/>
      <c r="AE452" s="71"/>
      <c r="AF452" s="71"/>
      <c r="AG452" s="71"/>
      <c r="AH452" s="71"/>
      <c r="AI452" s="71"/>
      <c r="AJ452" s="71"/>
      <c r="AK452" s="71"/>
      <c r="AL452" s="71"/>
      <c r="AM452" s="71"/>
      <c r="AN452" s="71"/>
      <c r="AO452" s="71"/>
      <c r="AP452" s="71"/>
      <c r="AQ452" s="71"/>
    </row>
    <row r="453" spans="1:43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3"/>
      <c r="L453" s="72"/>
      <c r="M453" s="72"/>
      <c r="N453" s="72"/>
      <c r="O453" s="72"/>
      <c r="P453" s="72"/>
      <c r="Q453" s="72"/>
      <c r="R453" s="72"/>
      <c r="S453" s="72">
        <v>5361.1120000000001</v>
      </c>
      <c r="T453" s="72">
        <v>9596.7980000000007</v>
      </c>
      <c r="U453" s="72">
        <v>9.11</v>
      </c>
      <c r="V453" s="72" t="s">
        <v>125</v>
      </c>
      <c r="W453" s="72" t="s">
        <v>73</v>
      </c>
      <c r="X453" s="72"/>
      <c r="Y453" s="72"/>
      <c r="Z453" s="72"/>
      <c r="AB453" s="71"/>
      <c r="AC453" s="71"/>
      <c r="AD453" s="71"/>
      <c r="AE453" s="71"/>
      <c r="AF453" s="71"/>
      <c r="AG453" s="71"/>
      <c r="AH453" s="71"/>
      <c r="AI453" s="71"/>
      <c r="AJ453" s="71"/>
      <c r="AK453" s="71"/>
      <c r="AL453" s="71"/>
      <c r="AM453" s="71"/>
      <c r="AN453" s="71"/>
      <c r="AO453" s="71"/>
      <c r="AP453" s="71"/>
      <c r="AQ453" s="71"/>
    </row>
    <row r="454" spans="1:43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3"/>
      <c r="L454" s="72"/>
      <c r="M454" s="72"/>
      <c r="N454" s="72"/>
      <c r="O454" s="72"/>
      <c r="P454" s="72"/>
      <c r="Q454" s="72"/>
      <c r="R454" s="72"/>
      <c r="S454" s="72">
        <v>5348.77</v>
      </c>
      <c r="T454" s="72">
        <v>9711.3729999999996</v>
      </c>
      <c r="U454" s="72">
        <v>9.9030000000000005</v>
      </c>
      <c r="V454" s="72">
        <v>1</v>
      </c>
      <c r="W454" s="72"/>
      <c r="X454" s="72"/>
      <c r="Y454" s="72"/>
      <c r="Z454" s="72"/>
      <c r="AB454" s="71"/>
      <c r="AC454" s="71"/>
      <c r="AD454" s="71"/>
      <c r="AE454" s="71"/>
      <c r="AF454" s="71"/>
      <c r="AG454" s="71"/>
      <c r="AH454" s="71"/>
      <c r="AI454" s="71"/>
      <c r="AJ454" s="71"/>
      <c r="AK454" s="71"/>
      <c r="AL454" s="71"/>
      <c r="AM454" s="71"/>
      <c r="AN454" s="71"/>
      <c r="AO454" s="71"/>
      <c r="AP454" s="71"/>
      <c r="AQ454" s="71"/>
    </row>
    <row r="455" spans="1:43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3"/>
      <c r="L455" s="72"/>
      <c r="M455" s="72"/>
      <c r="N455" s="72"/>
      <c r="O455" s="72"/>
      <c r="P455" s="72"/>
      <c r="Q455" s="72"/>
      <c r="R455" s="72"/>
      <c r="S455" s="72">
        <v>5321.1260000000002</v>
      </c>
      <c r="T455" s="72">
        <v>9685.7690000000002</v>
      </c>
      <c r="U455" s="72">
        <v>8.1370000000000005</v>
      </c>
      <c r="V455" s="72">
        <v>2</v>
      </c>
      <c r="W455" s="72"/>
      <c r="X455" s="72"/>
      <c r="Y455" s="72"/>
      <c r="Z455" s="72"/>
      <c r="AB455" s="71"/>
      <c r="AC455" s="71"/>
      <c r="AD455" s="71"/>
      <c r="AE455" s="71"/>
      <c r="AF455" s="71"/>
      <c r="AG455" s="71"/>
      <c r="AH455" s="71"/>
      <c r="AI455" s="71"/>
      <c r="AJ455" s="71"/>
      <c r="AK455" s="71"/>
      <c r="AL455" s="71"/>
      <c r="AM455" s="71"/>
      <c r="AN455" s="71"/>
      <c r="AO455" s="71"/>
      <c r="AP455" s="71"/>
      <c r="AQ455" s="71"/>
    </row>
    <row r="456" spans="1:43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3"/>
      <c r="L456" s="72"/>
      <c r="M456" s="72"/>
      <c r="N456" s="72"/>
      <c r="O456" s="72"/>
      <c r="P456" s="72"/>
      <c r="Q456" s="72"/>
      <c r="R456" s="72"/>
      <c r="S456" s="72">
        <v>5385.7839999999997</v>
      </c>
      <c r="T456" s="72">
        <v>9645.6849999999995</v>
      </c>
      <c r="U456" s="72">
        <v>9.5809999999999995</v>
      </c>
      <c r="V456" s="72">
        <v>3</v>
      </c>
      <c r="W456" s="72"/>
      <c r="X456" s="72"/>
      <c r="Y456" s="72"/>
      <c r="Z456" s="72"/>
      <c r="AB456" s="71"/>
      <c r="AC456" s="71"/>
      <c r="AD456" s="71"/>
      <c r="AE456" s="71"/>
      <c r="AF456" s="71"/>
      <c r="AG456" s="71"/>
      <c r="AH456" s="71"/>
      <c r="AI456" s="71"/>
      <c r="AJ456" s="71"/>
      <c r="AK456" s="71"/>
      <c r="AL456" s="71"/>
      <c r="AM456" s="71"/>
      <c r="AN456" s="71"/>
      <c r="AO456" s="71"/>
      <c r="AP456" s="71"/>
      <c r="AQ456" s="71"/>
    </row>
    <row r="457" spans="1:43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3"/>
      <c r="L457" s="72"/>
      <c r="M457" s="72"/>
      <c r="N457" s="72"/>
      <c r="O457" s="72"/>
      <c r="P457" s="72"/>
      <c r="Q457" s="72"/>
      <c r="R457" s="72"/>
      <c r="S457" s="72">
        <v>5463.1350000000002</v>
      </c>
      <c r="T457" s="72">
        <v>9625.1929999999993</v>
      </c>
      <c r="U457" s="72">
        <v>9.782</v>
      </c>
      <c r="V457" s="72">
        <v>4</v>
      </c>
      <c r="W457" s="72"/>
      <c r="X457" s="72"/>
      <c r="Y457" s="72"/>
      <c r="Z457" s="72"/>
      <c r="AB457" s="71"/>
      <c r="AC457" s="71"/>
      <c r="AD457" s="71"/>
      <c r="AE457" s="71"/>
      <c r="AF457" s="71"/>
      <c r="AG457" s="71"/>
      <c r="AH457" s="71"/>
      <c r="AI457" s="71"/>
      <c r="AJ457" s="71"/>
      <c r="AK457" s="71"/>
      <c r="AL457" s="71"/>
      <c r="AM457" s="71"/>
      <c r="AN457" s="71"/>
      <c r="AO457" s="71"/>
      <c r="AP457" s="71"/>
      <c r="AQ457" s="71"/>
    </row>
    <row r="458" spans="1:43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3"/>
      <c r="L458" s="72"/>
      <c r="M458" s="72"/>
      <c r="N458" s="72"/>
      <c r="O458" s="72"/>
      <c r="P458" s="72"/>
      <c r="Q458" s="72"/>
      <c r="R458" s="72"/>
      <c r="S458" s="72">
        <v>5464.4049999999997</v>
      </c>
      <c r="T458" s="72">
        <v>9724.0370000000003</v>
      </c>
      <c r="U458" s="72">
        <v>9.5760000000000005</v>
      </c>
      <c r="V458" s="72">
        <v>5</v>
      </c>
      <c r="W458" s="72"/>
      <c r="X458" s="72"/>
      <c r="Y458" s="72"/>
      <c r="Z458" s="72"/>
      <c r="AB458" s="71"/>
      <c r="AC458" s="71"/>
      <c r="AD458" s="71"/>
      <c r="AE458" s="71"/>
      <c r="AF458" s="71"/>
      <c r="AG458" s="71"/>
      <c r="AH458" s="71"/>
      <c r="AI458" s="71"/>
      <c r="AJ458" s="71"/>
      <c r="AK458" s="71"/>
      <c r="AL458" s="71"/>
      <c r="AM458" s="71"/>
      <c r="AN458" s="71"/>
      <c r="AO458" s="71"/>
      <c r="AP458" s="71"/>
      <c r="AQ458" s="71"/>
    </row>
    <row r="459" spans="1:43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3"/>
      <c r="L459" s="72"/>
      <c r="M459" s="72"/>
      <c r="N459" s="72"/>
      <c r="O459" s="72"/>
      <c r="P459" s="72"/>
      <c r="Q459" s="72"/>
      <c r="R459" s="72"/>
      <c r="S459" s="72">
        <v>5408.1509999999998</v>
      </c>
      <c r="T459" s="72">
        <v>9740.64</v>
      </c>
      <c r="U459" s="72">
        <v>9.6259999999999994</v>
      </c>
      <c r="V459" s="72">
        <v>6</v>
      </c>
      <c r="W459" s="72"/>
      <c r="X459" s="72"/>
      <c r="Y459" s="72"/>
      <c r="Z459" s="72"/>
      <c r="AB459" s="71"/>
      <c r="AC459" s="71"/>
      <c r="AD459" s="71"/>
      <c r="AE459" s="71"/>
      <c r="AF459" s="71"/>
      <c r="AG459" s="71"/>
      <c r="AH459" s="71"/>
      <c r="AI459" s="71"/>
      <c r="AJ459" s="71"/>
      <c r="AK459" s="71"/>
      <c r="AL459" s="71"/>
      <c r="AM459" s="71"/>
      <c r="AN459" s="71"/>
      <c r="AO459" s="71"/>
      <c r="AP459" s="71"/>
      <c r="AQ459" s="71"/>
    </row>
    <row r="460" spans="1:43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3"/>
      <c r="L460" s="72"/>
      <c r="M460" s="72"/>
      <c r="N460" s="72"/>
      <c r="O460" s="72"/>
      <c r="P460" s="72"/>
      <c r="Q460" s="72"/>
      <c r="R460" s="72"/>
      <c r="S460" s="72">
        <v>5326.1260000000002</v>
      </c>
      <c r="T460" s="72">
        <v>9826.8349999999991</v>
      </c>
      <c r="U460" s="72">
        <v>9.6069999999999993</v>
      </c>
      <c r="V460" s="72">
        <v>7</v>
      </c>
      <c r="W460" s="72"/>
      <c r="X460" s="72"/>
      <c r="Y460" s="72"/>
      <c r="Z460" s="72"/>
      <c r="AB460" s="71"/>
      <c r="AC460" s="71"/>
      <c r="AD460" s="71"/>
      <c r="AE460" s="71"/>
      <c r="AF460" s="71"/>
      <c r="AG460" s="71"/>
      <c r="AH460" s="71"/>
      <c r="AI460" s="71"/>
      <c r="AJ460" s="71"/>
      <c r="AK460" s="71"/>
      <c r="AL460" s="71"/>
      <c r="AM460" s="71"/>
      <c r="AN460" s="71"/>
      <c r="AO460" s="71"/>
      <c r="AP460" s="71"/>
      <c r="AQ460" s="71"/>
    </row>
    <row r="461" spans="1:43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3"/>
      <c r="L461" s="72"/>
      <c r="M461" s="72"/>
      <c r="N461" s="72"/>
      <c r="O461" s="72"/>
      <c r="P461" s="72"/>
      <c r="Q461" s="72"/>
      <c r="R461" s="72"/>
      <c r="S461" s="72">
        <v>5242.5820000000003</v>
      </c>
      <c r="T461" s="72">
        <v>9839.82</v>
      </c>
      <c r="U461" s="72">
        <v>9.3859999999999992</v>
      </c>
      <c r="V461" s="72">
        <v>8</v>
      </c>
      <c r="W461" s="72"/>
      <c r="X461" s="72"/>
      <c r="Y461" s="72"/>
      <c r="Z461" s="72"/>
      <c r="AB461" s="71"/>
      <c r="AC461" s="71"/>
      <c r="AD461" s="71"/>
      <c r="AE461" s="71"/>
      <c r="AF461" s="71"/>
      <c r="AG461" s="71"/>
      <c r="AH461" s="71"/>
      <c r="AI461" s="71"/>
      <c r="AJ461" s="71"/>
      <c r="AK461" s="71"/>
      <c r="AL461" s="71"/>
      <c r="AM461" s="71"/>
      <c r="AN461" s="71"/>
      <c r="AO461" s="71"/>
      <c r="AP461" s="71"/>
      <c r="AQ461" s="71"/>
    </row>
    <row r="462" spans="1:43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3"/>
      <c r="L462" s="72"/>
      <c r="M462" s="72"/>
      <c r="N462" s="72"/>
      <c r="O462" s="72"/>
      <c r="P462" s="72"/>
      <c r="Q462" s="72"/>
      <c r="R462" s="72"/>
      <c r="S462" s="72">
        <v>5192.0240000000003</v>
      </c>
      <c r="T462" s="72">
        <v>9777.1720000000005</v>
      </c>
      <c r="U462" s="72">
        <v>9.9719999999999995</v>
      </c>
      <c r="V462" s="72">
        <v>9</v>
      </c>
      <c r="W462" s="72"/>
      <c r="X462" s="72"/>
      <c r="Y462" s="72"/>
      <c r="Z462" s="72"/>
      <c r="AB462" s="71"/>
      <c r="AC462" s="71"/>
      <c r="AD462" s="71"/>
      <c r="AE462" s="71"/>
      <c r="AF462" s="71"/>
      <c r="AG462" s="71"/>
      <c r="AH462" s="71"/>
      <c r="AI462" s="71"/>
      <c r="AJ462" s="71"/>
      <c r="AK462" s="71"/>
      <c r="AL462" s="71"/>
      <c r="AM462" s="71"/>
      <c r="AN462" s="71"/>
      <c r="AO462" s="71"/>
      <c r="AP462" s="71"/>
      <c r="AQ462" s="71"/>
    </row>
    <row r="463" spans="1:43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3"/>
      <c r="L463" s="72"/>
      <c r="M463" s="72"/>
      <c r="N463" s="72"/>
      <c r="O463" s="72"/>
      <c r="P463" s="72"/>
      <c r="Q463" s="72"/>
      <c r="R463" s="72"/>
      <c r="S463" s="72">
        <v>5179.9679999999998</v>
      </c>
      <c r="T463" s="72">
        <v>9828.1650000000009</v>
      </c>
      <c r="U463" s="72">
        <v>9.1039999999999992</v>
      </c>
      <c r="V463" s="72">
        <v>10</v>
      </c>
      <c r="W463" s="72"/>
      <c r="X463" s="72"/>
      <c r="Y463" s="72"/>
      <c r="Z463" s="72"/>
      <c r="AB463" s="71"/>
      <c r="AC463" s="71"/>
      <c r="AD463" s="71"/>
      <c r="AE463" s="71"/>
      <c r="AF463" s="71"/>
      <c r="AG463" s="71"/>
      <c r="AH463" s="71"/>
      <c r="AI463" s="71"/>
      <c r="AJ463" s="71"/>
      <c r="AK463" s="71"/>
      <c r="AL463" s="71"/>
      <c r="AM463" s="71"/>
      <c r="AN463" s="71"/>
      <c r="AO463" s="71"/>
      <c r="AP463" s="71"/>
      <c r="AQ463" s="71"/>
    </row>
    <row r="464" spans="1:43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3"/>
      <c r="L464" s="72"/>
      <c r="M464" s="72"/>
      <c r="N464" s="72"/>
      <c r="O464" s="72"/>
      <c r="P464" s="72"/>
      <c r="Q464" s="72"/>
      <c r="R464" s="72"/>
      <c r="S464" s="72">
        <v>5174.0829999999996</v>
      </c>
      <c r="T464" s="72">
        <v>9893.9570000000003</v>
      </c>
      <c r="U464" s="72">
        <v>8.907</v>
      </c>
      <c r="V464" s="72">
        <v>11</v>
      </c>
      <c r="W464" s="72"/>
      <c r="X464" s="72"/>
      <c r="Y464" s="72"/>
      <c r="Z464" s="72"/>
      <c r="AB464" s="71"/>
      <c r="AC464" s="71"/>
      <c r="AD464" s="71"/>
      <c r="AE464" s="71"/>
      <c r="AF464" s="71"/>
      <c r="AG464" s="71"/>
      <c r="AH464" s="71"/>
      <c r="AI464" s="71"/>
      <c r="AJ464" s="71"/>
      <c r="AK464" s="71"/>
      <c r="AL464" s="71"/>
      <c r="AM464" s="71"/>
      <c r="AN464" s="71"/>
      <c r="AO464" s="71"/>
      <c r="AP464" s="71"/>
      <c r="AQ464" s="71"/>
    </row>
    <row r="465" spans="1:43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3"/>
      <c r="L465" s="72"/>
      <c r="M465" s="72"/>
      <c r="N465" s="72"/>
      <c r="O465" s="72"/>
      <c r="P465" s="72"/>
      <c r="Q465" s="72"/>
      <c r="R465" s="72"/>
      <c r="S465" s="72">
        <v>5120.5010000000002</v>
      </c>
      <c r="T465" s="72">
        <v>9797.1360000000004</v>
      </c>
      <c r="U465" s="72">
        <v>8.8510000000000009</v>
      </c>
      <c r="V465" s="72">
        <v>12</v>
      </c>
      <c r="W465" s="72"/>
      <c r="X465" s="72"/>
      <c r="Y465" s="72"/>
      <c r="Z465" s="72"/>
      <c r="AB465" s="71"/>
      <c r="AC465" s="71"/>
      <c r="AD465" s="71"/>
      <c r="AE465" s="71"/>
      <c r="AF465" s="71"/>
      <c r="AG465" s="71"/>
      <c r="AH465" s="71"/>
      <c r="AI465" s="71"/>
      <c r="AJ465" s="71"/>
      <c r="AK465" s="71"/>
      <c r="AL465" s="71"/>
      <c r="AM465" s="71"/>
      <c r="AN465" s="71"/>
      <c r="AO465" s="71"/>
      <c r="AP465" s="71"/>
      <c r="AQ465" s="71"/>
    </row>
    <row r="466" spans="1:43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3"/>
      <c r="L466" s="72"/>
      <c r="M466" s="72"/>
      <c r="N466" s="72"/>
      <c r="O466" s="72"/>
      <c r="P466" s="72"/>
      <c r="Q466" s="72"/>
      <c r="R466" s="72"/>
      <c r="S466" s="72">
        <v>5133.4709999999995</v>
      </c>
      <c r="T466" s="72">
        <v>9715.6620000000003</v>
      </c>
      <c r="U466" s="72">
        <v>9.2829999999999995</v>
      </c>
      <c r="V466" s="72">
        <v>13</v>
      </c>
      <c r="W466" s="72"/>
      <c r="X466" s="72"/>
      <c r="Y466" s="72"/>
      <c r="Z466" s="72"/>
      <c r="AB466" s="71"/>
      <c r="AC466" s="71"/>
      <c r="AD466" s="71"/>
      <c r="AE466" s="71"/>
      <c r="AF466" s="71"/>
      <c r="AG466" s="71"/>
      <c r="AH466" s="71"/>
      <c r="AI466" s="71"/>
      <c r="AJ466" s="71"/>
      <c r="AK466" s="71"/>
      <c r="AL466" s="71"/>
      <c r="AM466" s="71"/>
      <c r="AN466" s="71"/>
      <c r="AO466" s="71"/>
      <c r="AP466" s="71"/>
      <c r="AQ466" s="71"/>
    </row>
    <row r="467" spans="1:43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3"/>
      <c r="L467" s="72"/>
      <c r="M467" s="72"/>
      <c r="N467" s="72"/>
      <c r="O467" s="72"/>
      <c r="P467" s="72"/>
      <c r="Q467" s="72"/>
      <c r="R467" s="72"/>
      <c r="S467" s="72">
        <v>5226.4880000000003</v>
      </c>
      <c r="T467" s="72">
        <v>9692.3310000000001</v>
      </c>
      <c r="U467" s="72">
        <v>9.9469999999999992</v>
      </c>
      <c r="V467" s="72">
        <v>14</v>
      </c>
      <c r="W467" s="72"/>
      <c r="X467" s="72"/>
      <c r="Y467" s="72"/>
      <c r="Z467" s="72"/>
      <c r="AB467" s="71"/>
      <c r="AC467" s="71"/>
      <c r="AD467" s="71"/>
      <c r="AE467" s="71"/>
      <c r="AF467" s="71"/>
      <c r="AG467" s="71"/>
      <c r="AH467" s="71"/>
      <c r="AI467" s="71"/>
      <c r="AJ467" s="71"/>
      <c r="AK467" s="71"/>
      <c r="AL467" s="71"/>
      <c r="AM467" s="71"/>
      <c r="AN467" s="71"/>
      <c r="AO467" s="71"/>
      <c r="AP467" s="71"/>
      <c r="AQ467" s="71"/>
    </row>
    <row r="468" spans="1:43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3"/>
      <c r="L468" s="72"/>
      <c r="M468" s="72"/>
      <c r="N468" s="72"/>
      <c r="O468" s="72"/>
      <c r="P468" s="72"/>
      <c r="Q468" s="72"/>
      <c r="R468" s="72"/>
      <c r="S468" s="72">
        <v>5262.5029999999997</v>
      </c>
      <c r="T468" s="72">
        <v>9653.2250000000004</v>
      </c>
      <c r="U468" s="72">
        <v>9.4339999999999993</v>
      </c>
      <c r="V468" s="72">
        <v>15</v>
      </c>
      <c r="W468" s="72"/>
      <c r="X468" s="72"/>
      <c r="Y468" s="72"/>
      <c r="Z468" s="72"/>
      <c r="AB468" s="71"/>
      <c r="AC468" s="71"/>
      <c r="AD468" s="71"/>
      <c r="AE468" s="71"/>
      <c r="AF468" s="71"/>
      <c r="AG468" s="71"/>
      <c r="AH468" s="71"/>
      <c r="AI468" s="71"/>
      <c r="AJ468" s="71"/>
      <c r="AK468" s="71"/>
      <c r="AL468" s="71"/>
      <c r="AM468" s="71"/>
      <c r="AN468" s="71"/>
      <c r="AO468" s="71"/>
      <c r="AP468" s="71"/>
      <c r="AQ468" s="71"/>
    </row>
    <row r="469" spans="1:43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3"/>
      <c r="L469" s="72"/>
      <c r="M469" s="72"/>
      <c r="N469" s="72"/>
      <c r="O469" s="72"/>
      <c r="P469" s="72"/>
      <c r="Q469" s="72"/>
      <c r="R469" s="72"/>
      <c r="S469" s="72">
        <v>5374.7929999999997</v>
      </c>
      <c r="T469" s="72">
        <v>9605.3680000000004</v>
      </c>
      <c r="U469" s="72">
        <v>8.7319999999999993</v>
      </c>
      <c r="V469" s="72">
        <v>16</v>
      </c>
      <c r="W469" s="72"/>
      <c r="X469" s="72"/>
      <c r="Y469" s="72"/>
      <c r="Z469" s="72"/>
      <c r="AB469" s="71"/>
      <c r="AC469" s="71"/>
      <c r="AD469" s="71"/>
      <c r="AE469" s="71"/>
      <c r="AF469" s="71"/>
      <c r="AG469" s="71"/>
      <c r="AH469" s="71"/>
      <c r="AI469" s="71"/>
      <c r="AJ469" s="71"/>
      <c r="AK469" s="71"/>
      <c r="AL469" s="71"/>
      <c r="AM469" s="71"/>
      <c r="AN469" s="71"/>
      <c r="AO469" s="71"/>
      <c r="AP469" s="71"/>
      <c r="AQ469" s="71"/>
    </row>
    <row r="470" spans="1:43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3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B470" s="71"/>
      <c r="AC470" s="71"/>
      <c r="AD470" s="71"/>
      <c r="AE470" s="71"/>
      <c r="AF470" s="71"/>
      <c r="AG470" s="71"/>
      <c r="AH470" s="71"/>
      <c r="AI470" s="71"/>
      <c r="AJ470" s="71"/>
      <c r="AK470" s="71"/>
      <c r="AL470" s="71"/>
      <c r="AM470" s="71"/>
      <c r="AN470" s="71"/>
      <c r="AO470" s="71"/>
      <c r="AP470" s="71"/>
      <c r="AQ470" s="71"/>
    </row>
    <row r="471" spans="1:43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3"/>
      <c r="L471" s="72"/>
      <c r="M471" s="72"/>
      <c r="N471" s="72"/>
      <c r="O471" s="72"/>
      <c r="P471" s="72"/>
      <c r="Q471" s="72"/>
      <c r="R471" s="72"/>
      <c r="S471" s="72">
        <v>5196.6670000000004</v>
      </c>
      <c r="T471" s="72">
        <v>9485.4240000000009</v>
      </c>
      <c r="U471" s="72">
        <v>8.8710000000000004</v>
      </c>
      <c r="V471" s="72" t="s">
        <v>127</v>
      </c>
      <c r="W471" s="72" t="s">
        <v>73</v>
      </c>
      <c r="X471" s="72"/>
      <c r="Y471" s="72"/>
      <c r="Z471" s="72"/>
      <c r="AB471" s="71"/>
      <c r="AC471" s="71"/>
      <c r="AD471" s="71"/>
      <c r="AE471" s="71"/>
      <c r="AF471" s="71"/>
      <c r="AG471" s="71"/>
      <c r="AH471" s="71"/>
      <c r="AI471" s="71"/>
      <c r="AJ471" s="71"/>
      <c r="AK471" s="71"/>
      <c r="AL471" s="71"/>
      <c r="AM471" s="71"/>
      <c r="AN471" s="71"/>
      <c r="AO471" s="71"/>
      <c r="AP471" s="71"/>
      <c r="AQ471" s="71"/>
    </row>
    <row r="472" spans="1:43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3"/>
      <c r="L472" s="72"/>
      <c r="M472" s="72"/>
      <c r="N472" s="72"/>
      <c r="O472" s="72"/>
      <c r="P472" s="72"/>
      <c r="Q472" s="72"/>
      <c r="R472" s="72"/>
      <c r="S472" s="72">
        <v>5190.3379999999997</v>
      </c>
      <c r="T472" s="72">
        <v>9460.0380000000005</v>
      </c>
      <c r="U472" s="72">
        <v>8.8710000000000004</v>
      </c>
      <c r="V472" s="72">
        <v>1</v>
      </c>
      <c r="W472" s="72"/>
      <c r="X472" s="72"/>
      <c r="Y472" s="72"/>
      <c r="Z472" s="72"/>
      <c r="AB472" s="71"/>
      <c r="AC472" s="71"/>
      <c r="AD472" s="71"/>
      <c r="AE472" s="71"/>
      <c r="AF472" s="71"/>
      <c r="AG472" s="71"/>
      <c r="AH472" s="71"/>
      <c r="AI472" s="71"/>
      <c r="AJ472" s="71"/>
      <c r="AK472" s="71"/>
      <c r="AL472" s="71"/>
      <c r="AM472" s="71"/>
      <c r="AN472" s="71"/>
      <c r="AO472" s="71"/>
      <c r="AP472" s="71"/>
      <c r="AQ472" s="71"/>
    </row>
    <row r="473" spans="1:43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3"/>
      <c r="L473" s="72"/>
      <c r="M473" s="72"/>
      <c r="N473" s="72"/>
      <c r="O473" s="72"/>
      <c r="P473" s="72"/>
      <c r="Q473" s="72"/>
      <c r="R473" s="72"/>
      <c r="S473" s="72">
        <v>5173.5709999999999</v>
      </c>
      <c r="T473" s="72">
        <v>9409.8799999999992</v>
      </c>
      <c r="U473" s="72">
        <v>9.2789999999999999</v>
      </c>
      <c r="V473" s="72">
        <v>2</v>
      </c>
      <c r="W473" s="72"/>
      <c r="X473" s="72"/>
      <c r="Y473" s="72"/>
      <c r="Z473" s="72"/>
      <c r="AB473" s="71"/>
      <c r="AC473" s="71"/>
      <c r="AD473" s="71"/>
      <c r="AE473" s="71"/>
      <c r="AF473" s="71"/>
      <c r="AG473" s="71"/>
      <c r="AH473" s="71"/>
      <c r="AI473" s="71"/>
      <c r="AJ473" s="71"/>
      <c r="AK473" s="71"/>
      <c r="AL473" s="71"/>
      <c r="AM473" s="71"/>
      <c r="AN473" s="71"/>
      <c r="AO473" s="71"/>
      <c r="AP473" s="71"/>
      <c r="AQ473" s="71"/>
    </row>
    <row r="474" spans="1:43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3"/>
      <c r="L474" s="72"/>
      <c r="M474" s="72"/>
      <c r="N474" s="72"/>
      <c r="O474" s="72"/>
      <c r="P474" s="72"/>
      <c r="Q474" s="72"/>
      <c r="R474" s="72"/>
      <c r="S474" s="72">
        <v>5210.6679999999997</v>
      </c>
      <c r="T474" s="72">
        <v>9413.393</v>
      </c>
      <c r="U474" s="72">
        <v>8.6150000000000002</v>
      </c>
      <c r="V474" s="72">
        <v>3</v>
      </c>
      <c r="W474" s="72"/>
      <c r="X474" s="72"/>
      <c r="Y474" s="72"/>
      <c r="Z474" s="72"/>
      <c r="AB474" s="71"/>
      <c r="AC474" s="71"/>
      <c r="AD474" s="71"/>
      <c r="AE474" s="71"/>
      <c r="AF474" s="71"/>
      <c r="AG474" s="71"/>
      <c r="AH474" s="71"/>
      <c r="AI474" s="71"/>
      <c r="AJ474" s="71"/>
      <c r="AK474" s="71"/>
      <c r="AL474" s="71"/>
      <c r="AM474" s="71"/>
      <c r="AN474" s="71"/>
      <c r="AO474" s="71"/>
      <c r="AP474" s="71"/>
      <c r="AQ474" s="71"/>
    </row>
    <row r="475" spans="1:43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3"/>
      <c r="L475" s="72"/>
      <c r="M475" s="72"/>
      <c r="N475" s="72"/>
      <c r="O475" s="72"/>
      <c r="P475" s="72"/>
      <c r="Q475" s="72"/>
      <c r="R475" s="72"/>
      <c r="S475" s="72">
        <v>5241.223</v>
      </c>
      <c r="T475" s="72">
        <v>9448.0370000000003</v>
      </c>
      <c r="U475" s="72">
        <v>8.4149999999999991</v>
      </c>
      <c r="V475" s="72">
        <v>4</v>
      </c>
      <c r="W475" s="72"/>
      <c r="X475" s="72"/>
      <c r="Y475" s="72"/>
      <c r="Z475" s="72"/>
      <c r="AB475" s="71"/>
      <c r="AC475" s="71"/>
      <c r="AD475" s="71"/>
      <c r="AE475" s="71"/>
      <c r="AF475" s="71"/>
      <c r="AG475" s="71"/>
      <c r="AH475" s="71"/>
      <c r="AI475" s="71"/>
      <c r="AJ475" s="71"/>
      <c r="AK475" s="71"/>
      <c r="AL475" s="71"/>
      <c r="AM475" s="71"/>
      <c r="AN475" s="71"/>
      <c r="AO475" s="71"/>
      <c r="AP475" s="71"/>
      <c r="AQ475" s="71"/>
    </row>
    <row r="476" spans="1:43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3"/>
      <c r="L476" s="72"/>
      <c r="M476" s="72"/>
      <c r="N476" s="72"/>
      <c r="O476" s="72"/>
      <c r="P476" s="72"/>
      <c r="Q476" s="72"/>
      <c r="R476" s="72"/>
      <c r="S476" s="72">
        <v>5294.6909999999998</v>
      </c>
      <c r="T476" s="72">
        <v>9471.6479999999992</v>
      </c>
      <c r="U476" s="72">
        <v>8.73</v>
      </c>
      <c r="V476" s="72">
        <v>5</v>
      </c>
      <c r="W476" s="72"/>
      <c r="X476" s="72"/>
      <c r="Y476" s="72"/>
      <c r="Z476" s="72"/>
      <c r="AB476" s="71"/>
      <c r="AC476" s="71"/>
      <c r="AD476" s="71"/>
      <c r="AE476" s="71"/>
      <c r="AF476" s="71"/>
      <c r="AG476" s="71"/>
      <c r="AH476" s="71"/>
      <c r="AI476" s="71"/>
      <c r="AJ476" s="71"/>
      <c r="AK476" s="71"/>
      <c r="AL476" s="71"/>
      <c r="AM476" s="71"/>
      <c r="AN476" s="71"/>
      <c r="AO476" s="71"/>
      <c r="AP476" s="71"/>
      <c r="AQ476" s="71"/>
    </row>
    <row r="477" spans="1:43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3"/>
      <c r="L477" s="72"/>
      <c r="M477" s="72"/>
      <c r="N477" s="72"/>
      <c r="O477" s="72"/>
      <c r="P477" s="72"/>
      <c r="Q477" s="72"/>
      <c r="R477" s="72"/>
      <c r="S477" s="72">
        <v>5282.3890000000001</v>
      </c>
      <c r="T477" s="72">
        <v>9494.4339999999993</v>
      </c>
      <c r="U477" s="72">
        <v>9.1509999999999998</v>
      </c>
      <c r="V477" s="72">
        <v>6</v>
      </c>
      <c r="W477" s="72"/>
      <c r="X477" s="72"/>
      <c r="Y477" s="72"/>
      <c r="Z477" s="72"/>
      <c r="AB477" s="71"/>
      <c r="AC477" s="71"/>
      <c r="AD477" s="71"/>
      <c r="AE477" s="71"/>
      <c r="AF477" s="71"/>
      <c r="AG477" s="71"/>
      <c r="AH477" s="71"/>
      <c r="AI477" s="71"/>
      <c r="AJ477" s="71"/>
      <c r="AK477" s="71"/>
      <c r="AL477" s="71"/>
      <c r="AM477" s="71"/>
      <c r="AN477" s="71"/>
      <c r="AO477" s="71"/>
      <c r="AP477" s="71"/>
      <c r="AQ477" s="71"/>
    </row>
    <row r="478" spans="1:43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3"/>
      <c r="L478" s="72"/>
      <c r="M478" s="72"/>
      <c r="N478" s="72"/>
      <c r="O478" s="72"/>
      <c r="P478" s="72"/>
      <c r="Q478" s="72"/>
      <c r="R478" s="72"/>
      <c r="S478" s="72">
        <v>5203.68</v>
      </c>
      <c r="T478" s="72">
        <v>9525.1990000000005</v>
      </c>
      <c r="U478" s="72">
        <v>9.1829999999999998</v>
      </c>
      <c r="V478" s="72">
        <v>7</v>
      </c>
      <c r="W478" s="72"/>
      <c r="X478" s="72"/>
      <c r="Y478" s="72"/>
      <c r="Z478" s="72"/>
      <c r="AB478" s="71"/>
      <c r="AC478" s="71"/>
      <c r="AD478" s="71"/>
      <c r="AE478" s="71"/>
      <c r="AF478" s="71"/>
      <c r="AG478" s="71"/>
      <c r="AH478" s="71"/>
      <c r="AI478" s="71"/>
      <c r="AJ478" s="71"/>
      <c r="AK478" s="71"/>
      <c r="AL478" s="71"/>
      <c r="AM478" s="71"/>
      <c r="AN478" s="71"/>
      <c r="AO478" s="71"/>
      <c r="AP478" s="71"/>
      <c r="AQ478" s="71"/>
    </row>
    <row r="479" spans="1:43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3"/>
      <c r="L479" s="72"/>
      <c r="M479" s="72"/>
      <c r="N479" s="72"/>
      <c r="O479" s="72"/>
      <c r="P479" s="72"/>
      <c r="Q479" s="72"/>
      <c r="R479" s="72"/>
      <c r="S479" s="72">
        <v>5169.3540000000003</v>
      </c>
      <c r="T479" s="72">
        <v>9536.7919999999995</v>
      </c>
      <c r="U479" s="72">
        <v>8.7189999999999994</v>
      </c>
      <c r="V479" s="72">
        <v>8</v>
      </c>
      <c r="W479" s="72"/>
      <c r="X479" s="72"/>
      <c r="Y479" s="72"/>
      <c r="Z479" s="72"/>
      <c r="AB479" s="71"/>
      <c r="AC479" s="71"/>
      <c r="AD479" s="71"/>
      <c r="AE479" s="71"/>
      <c r="AF479" s="71"/>
      <c r="AG479" s="71"/>
      <c r="AH479" s="71"/>
      <c r="AI479" s="71"/>
      <c r="AJ479" s="71"/>
      <c r="AK479" s="71"/>
      <c r="AL479" s="71"/>
      <c r="AM479" s="71"/>
      <c r="AN479" s="71"/>
      <c r="AO479" s="71"/>
      <c r="AP479" s="71"/>
      <c r="AQ479" s="71"/>
    </row>
    <row r="480" spans="1:43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3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B480" s="71"/>
      <c r="AC480" s="71"/>
      <c r="AD480" s="71"/>
      <c r="AE480" s="71"/>
      <c r="AF480" s="71"/>
      <c r="AG480" s="71"/>
      <c r="AH480" s="71"/>
      <c r="AI480" s="71"/>
      <c r="AJ480" s="71"/>
      <c r="AK480" s="71"/>
      <c r="AL480" s="71"/>
      <c r="AM480" s="71"/>
      <c r="AN480" s="71"/>
      <c r="AO480" s="71"/>
      <c r="AP480" s="71"/>
      <c r="AQ480" s="71"/>
    </row>
    <row r="481" spans="1:43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3"/>
      <c r="L481" s="72"/>
      <c r="M481" s="72"/>
      <c r="N481" s="72"/>
      <c r="O481" s="72"/>
      <c r="P481" s="72"/>
      <c r="Q481" s="72"/>
      <c r="R481" s="72"/>
      <c r="S481" s="72">
        <v>5058.8010000000004</v>
      </c>
      <c r="T481" s="72">
        <v>9597.5939999999991</v>
      </c>
      <c r="U481" s="72">
        <v>8.6739999999999995</v>
      </c>
      <c r="V481" s="72" t="s">
        <v>128</v>
      </c>
      <c r="W481" s="72" t="s">
        <v>73</v>
      </c>
      <c r="X481" s="72"/>
      <c r="Y481" s="72"/>
      <c r="Z481" s="72"/>
      <c r="AB481" s="71"/>
      <c r="AC481" s="71"/>
      <c r="AD481" s="71"/>
      <c r="AE481" s="71"/>
      <c r="AF481" s="71"/>
      <c r="AG481" s="71"/>
      <c r="AH481" s="71"/>
      <c r="AI481" s="71"/>
      <c r="AJ481" s="71"/>
      <c r="AK481" s="71"/>
      <c r="AL481" s="71"/>
      <c r="AM481" s="71"/>
      <c r="AN481" s="71"/>
      <c r="AO481" s="71"/>
      <c r="AP481" s="71"/>
      <c r="AQ481" s="71"/>
    </row>
    <row r="482" spans="1:43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3"/>
      <c r="L482" s="72"/>
      <c r="M482" s="72"/>
      <c r="N482" s="72"/>
      <c r="O482" s="72"/>
      <c r="P482" s="72"/>
      <c r="Q482" s="72"/>
      <c r="R482" s="72"/>
      <c r="S482" s="72">
        <v>5120.4009999999998</v>
      </c>
      <c r="T482" s="72">
        <v>9554.4609999999993</v>
      </c>
      <c r="U482" s="72">
        <v>8.6739999999999995</v>
      </c>
      <c r="V482" s="72">
        <v>1</v>
      </c>
      <c r="W482" s="72"/>
      <c r="X482" s="72"/>
      <c r="Y482" s="72"/>
      <c r="Z482" s="72"/>
      <c r="AB482" s="71"/>
      <c r="AC482" s="71"/>
      <c r="AD482" s="71"/>
      <c r="AE482" s="71"/>
      <c r="AF482" s="71"/>
      <c r="AG482" s="71"/>
      <c r="AH482" s="71"/>
      <c r="AI482" s="71"/>
      <c r="AJ482" s="71"/>
      <c r="AK482" s="71"/>
      <c r="AL482" s="71"/>
      <c r="AM482" s="71"/>
      <c r="AN482" s="71"/>
      <c r="AO482" s="71"/>
      <c r="AP482" s="71"/>
      <c r="AQ482" s="71"/>
    </row>
    <row r="483" spans="1:43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3"/>
      <c r="L483" s="72"/>
      <c r="M483" s="72"/>
      <c r="N483" s="72"/>
      <c r="O483" s="72"/>
      <c r="P483" s="72"/>
      <c r="Q483" s="72"/>
      <c r="R483" s="72"/>
      <c r="S483" s="72">
        <v>5044.7349999999997</v>
      </c>
      <c r="T483" s="72">
        <v>9564.4560000000001</v>
      </c>
      <c r="U483" s="72">
        <v>8.7330000000000005</v>
      </c>
      <c r="V483" s="72">
        <v>2</v>
      </c>
      <c r="W483" s="72"/>
      <c r="X483" s="72"/>
      <c r="Y483" s="72"/>
      <c r="Z483" s="72"/>
      <c r="AB483" s="71"/>
      <c r="AC483" s="71"/>
      <c r="AD483" s="71"/>
      <c r="AE483" s="71"/>
      <c r="AF483" s="71"/>
      <c r="AG483" s="71"/>
      <c r="AH483" s="71"/>
      <c r="AI483" s="71"/>
      <c r="AJ483" s="71"/>
      <c r="AK483" s="71"/>
      <c r="AL483" s="71"/>
      <c r="AM483" s="71"/>
      <c r="AN483" s="71"/>
      <c r="AO483" s="71"/>
      <c r="AP483" s="71"/>
      <c r="AQ483" s="71"/>
    </row>
    <row r="484" spans="1:43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3"/>
      <c r="L484" s="72"/>
      <c r="M484" s="72"/>
      <c r="N484" s="72"/>
      <c r="O484" s="72"/>
      <c r="P484" s="72"/>
      <c r="Q484" s="72"/>
      <c r="R484" s="72"/>
      <c r="S484" s="72">
        <v>5088.8440000000001</v>
      </c>
      <c r="T484" s="72">
        <v>9523.2340000000004</v>
      </c>
      <c r="U484" s="72">
        <v>8.7569999999999997</v>
      </c>
      <c r="V484" s="72">
        <v>3</v>
      </c>
      <c r="W484" s="72"/>
      <c r="X484" s="72"/>
      <c r="Y484" s="72"/>
      <c r="Z484" s="72"/>
      <c r="AB484" s="71"/>
      <c r="AC484" s="71"/>
      <c r="AD484" s="71"/>
      <c r="AE484" s="71"/>
      <c r="AF484" s="71"/>
      <c r="AG484" s="71"/>
      <c r="AH484" s="71"/>
      <c r="AI484" s="71"/>
      <c r="AJ484" s="71"/>
      <c r="AK484" s="71"/>
      <c r="AL484" s="71"/>
      <c r="AM484" s="71"/>
      <c r="AN484" s="71"/>
      <c r="AO484" s="71"/>
      <c r="AP484" s="71"/>
      <c r="AQ484" s="71"/>
    </row>
    <row r="485" spans="1:43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3"/>
      <c r="L485" s="72"/>
      <c r="M485" s="72"/>
      <c r="N485" s="72"/>
      <c r="O485" s="72"/>
      <c r="P485" s="72"/>
      <c r="Q485" s="72"/>
      <c r="R485" s="72"/>
      <c r="S485" s="72">
        <v>5011.5389999999998</v>
      </c>
      <c r="T485" s="72">
        <v>9530.098</v>
      </c>
      <c r="U485" s="72">
        <v>9.234</v>
      </c>
      <c r="V485" s="72">
        <v>4</v>
      </c>
      <c r="W485" s="72"/>
      <c r="X485" s="72"/>
      <c r="Y485" s="72"/>
      <c r="Z485" s="72"/>
      <c r="AB485" s="71"/>
      <c r="AC485" s="71"/>
      <c r="AD485" s="71"/>
      <c r="AE485" s="71"/>
      <c r="AF485" s="71"/>
      <c r="AG485" s="71"/>
      <c r="AH485" s="71"/>
      <c r="AI485" s="71"/>
      <c r="AJ485" s="71"/>
      <c r="AK485" s="71"/>
      <c r="AL485" s="71"/>
      <c r="AM485" s="71"/>
      <c r="AN485" s="71"/>
      <c r="AO485" s="71"/>
      <c r="AP485" s="71"/>
      <c r="AQ485" s="71"/>
    </row>
    <row r="486" spans="1:43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3"/>
      <c r="L486" s="72"/>
      <c r="M486" s="72"/>
      <c r="N486" s="72"/>
      <c r="O486" s="72"/>
      <c r="P486" s="72"/>
      <c r="Q486" s="72"/>
      <c r="R486" s="72"/>
      <c r="S486" s="72">
        <v>5016.8909999999996</v>
      </c>
      <c r="T486" s="72">
        <v>9587.1450000000004</v>
      </c>
      <c r="U486" s="72">
        <v>9.3670000000000009</v>
      </c>
      <c r="V486" s="72">
        <v>5</v>
      </c>
      <c r="W486" s="72"/>
      <c r="X486" s="72"/>
      <c r="Y486" s="72"/>
      <c r="Z486" s="72"/>
      <c r="AB486" s="71"/>
      <c r="AC486" s="71"/>
      <c r="AD486" s="71"/>
      <c r="AE486" s="71"/>
      <c r="AF486" s="71"/>
      <c r="AG486" s="71"/>
      <c r="AH486" s="71"/>
      <c r="AI486" s="71"/>
      <c r="AJ486" s="71"/>
      <c r="AK486" s="71"/>
      <c r="AL486" s="71"/>
      <c r="AM486" s="71"/>
      <c r="AN486" s="71"/>
      <c r="AO486" s="71"/>
      <c r="AP486" s="71"/>
      <c r="AQ486" s="71"/>
    </row>
    <row r="487" spans="1:43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3"/>
      <c r="L487" s="72"/>
      <c r="M487" s="72"/>
      <c r="N487" s="72"/>
      <c r="O487" s="72"/>
      <c r="P487" s="72"/>
      <c r="Q487" s="72"/>
      <c r="R487" s="72"/>
      <c r="S487" s="72">
        <v>5199.625</v>
      </c>
      <c r="T487" s="72">
        <v>9582.7929999999997</v>
      </c>
      <c r="U487" s="72">
        <v>8.827</v>
      </c>
      <c r="V487" s="72">
        <v>6</v>
      </c>
      <c r="W487" s="72"/>
      <c r="X487" s="72"/>
      <c r="Y487" s="72"/>
      <c r="Z487" s="72"/>
      <c r="AB487" s="71"/>
      <c r="AC487" s="71"/>
      <c r="AD487" s="71"/>
      <c r="AE487" s="71"/>
      <c r="AF487" s="71"/>
      <c r="AG487" s="71"/>
      <c r="AH487" s="71"/>
      <c r="AI487" s="71"/>
      <c r="AJ487" s="71"/>
      <c r="AK487" s="71"/>
      <c r="AL487" s="71"/>
      <c r="AM487" s="71"/>
      <c r="AN487" s="71"/>
      <c r="AO487" s="71"/>
      <c r="AP487" s="71"/>
      <c r="AQ487" s="71"/>
    </row>
    <row r="488" spans="1:43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3"/>
      <c r="L488" s="72"/>
      <c r="M488" s="72"/>
      <c r="N488" s="72"/>
      <c r="O488" s="72"/>
      <c r="P488" s="72"/>
      <c r="Q488" s="72"/>
      <c r="R488" s="72"/>
      <c r="S488" s="72">
        <v>5155.2380000000003</v>
      </c>
      <c r="T488" s="72">
        <v>9628.9279999999999</v>
      </c>
      <c r="U488" s="72">
        <v>8.7680000000000007</v>
      </c>
      <c r="V488" s="72">
        <v>7</v>
      </c>
      <c r="W488" s="72"/>
      <c r="X488" s="72"/>
      <c r="Y488" s="72"/>
      <c r="Z488" s="72"/>
      <c r="AB488" s="71"/>
      <c r="AC488" s="71"/>
      <c r="AD488" s="71"/>
      <c r="AE488" s="71"/>
      <c r="AF488" s="71"/>
      <c r="AG488" s="71"/>
      <c r="AH488" s="71"/>
      <c r="AI488" s="71"/>
      <c r="AJ488" s="71"/>
      <c r="AK488" s="71"/>
      <c r="AL488" s="71"/>
      <c r="AM488" s="71"/>
      <c r="AN488" s="71"/>
      <c r="AO488" s="71"/>
      <c r="AP488" s="71"/>
      <c r="AQ488" s="71"/>
    </row>
    <row r="489" spans="1:43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3"/>
      <c r="L489" s="72"/>
      <c r="M489" s="72"/>
      <c r="N489" s="72"/>
      <c r="O489" s="72"/>
      <c r="P489" s="72"/>
      <c r="Q489" s="72"/>
      <c r="R489" s="72"/>
      <c r="S489" s="72">
        <v>5097.7879999999996</v>
      </c>
      <c r="T489" s="72">
        <v>9625.92</v>
      </c>
      <c r="U489" s="72">
        <v>8.1679999999999993</v>
      </c>
      <c r="V489" s="72">
        <v>8</v>
      </c>
      <c r="W489" s="72"/>
      <c r="X489" s="72"/>
      <c r="Y489" s="72"/>
      <c r="Z489" s="72"/>
      <c r="AB489" s="71"/>
      <c r="AC489" s="71"/>
      <c r="AD489" s="71"/>
      <c r="AE489" s="71"/>
      <c r="AF489" s="71"/>
      <c r="AG489" s="71"/>
      <c r="AH489" s="71"/>
      <c r="AI489" s="71"/>
      <c r="AJ489" s="71"/>
      <c r="AK489" s="71"/>
      <c r="AL489" s="71"/>
      <c r="AM489" s="71"/>
      <c r="AN489" s="71"/>
      <c r="AO489" s="71"/>
      <c r="AP489" s="71"/>
      <c r="AQ489" s="71"/>
    </row>
    <row r="490" spans="1:43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3"/>
      <c r="L490" s="72"/>
      <c r="M490" s="72"/>
      <c r="N490" s="72"/>
      <c r="O490" s="72"/>
      <c r="P490" s="72"/>
      <c r="Q490" s="72"/>
      <c r="R490" s="72"/>
      <c r="S490" s="72">
        <v>5125.3509999999997</v>
      </c>
      <c r="T490" s="72">
        <v>9659.6530000000002</v>
      </c>
      <c r="U490" s="72">
        <v>8.218</v>
      </c>
      <c r="V490" s="72">
        <v>9</v>
      </c>
      <c r="W490" s="72"/>
      <c r="X490" s="72"/>
      <c r="Y490" s="72"/>
      <c r="Z490" s="72"/>
      <c r="AB490" s="71"/>
      <c r="AC490" s="71"/>
      <c r="AD490" s="71"/>
      <c r="AE490" s="71"/>
      <c r="AF490" s="71"/>
      <c r="AG490" s="71"/>
      <c r="AH490" s="71"/>
      <c r="AI490" s="71"/>
      <c r="AJ490" s="71"/>
      <c r="AK490" s="71"/>
      <c r="AL490" s="71"/>
      <c r="AM490" s="71"/>
      <c r="AN490" s="71"/>
      <c r="AO490" s="71"/>
      <c r="AP490" s="71"/>
      <c r="AQ490" s="71"/>
    </row>
    <row r="491" spans="1:43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3"/>
      <c r="L491" s="72"/>
      <c r="M491" s="72"/>
      <c r="N491" s="72"/>
      <c r="O491" s="72"/>
      <c r="P491" s="72"/>
      <c r="Q491" s="72"/>
      <c r="R491" s="72"/>
      <c r="S491" s="72">
        <v>5172.8459999999995</v>
      </c>
      <c r="T491" s="72">
        <v>9655.7029999999995</v>
      </c>
      <c r="U491" s="72">
        <v>8.1199999999999992</v>
      </c>
      <c r="V491" s="72">
        <v>10</v>
      </c>
      <c r="W491" s="72"/>
      <c r="X491" s="72"/>
      <c r="Y491" s="72"/>
      <c r="Z491" s="72"/>
      <c r="AB491" s="71"/>
      <c r="AC491" s="71"/>
      <c r="AD491" s="71"/>
      <c r="AE491" s="71"/>
      <c r="AF491" s="71"/>
      <c r="AG491" s="71"/>
      <c r="AH491" s="71"/>
      <c r="AI491" s="71"/>
      <c r="AJ491" s="71"/>
      <c r="AK491" s="71"/>
      <c r="AL491" s="71"/>
      <c r="AM491" s="71"/>
      <c r="AN491" s="71"/>
      <c r="AO491" s="71"/>
      <c r="AP491" s="71"/>
      <c r="AQ491" s="71"/>
    </row>
    <row r="492" spans="1:43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3"/>
      <c r="L492" s="72"/>
      <c r="M492" s="72"/>
      <c r="N492" s="72"/>
      <c r="O492" s="72"/>
      <c r="P492" s="72"/>
      <c r="Q492" s="72"/>
      <c r="R492" s="72"/>
      <c r="S492" s="72">
        <v>5154.4920000000002</v>
      </c>
      <c r="T492" s="72">
        <v>9548.8369999999995</v>
      </c>
      <c r="U492" s="72">
        <v>8.2650000000000006</v>
      </c>
      <c r="V492" s="72">
        <v>11</v>
      </c>
      <c r="W492" s="72"/>
      <c r="X492" s="72"/>
      <c r="Y492" s="72"/>
      <c r="Z492" s="72"/>
      <c r="AB492" s="71"/>
      <c r="AC492" s="71"/>
      <c r="AD492" s="71"/>
      <c r="AE492" s="71"/>
      <c r="AF492" s="71"/>
      <c r="AG492" s="71"/>
      <c r="AH492" s="71"/>
      <c r="AI492" s="71"/>
      <c r="AJ492" s="71"/>
      <c r="AK492" s="71"/>
      <c r="AL492" s="71"/>
      <c r="AM492" s="71"/>
      <c r="AN492" s="71"/>
      <c r="AO492" s="71"/>
      <c r="AP492" s="71"/>
      <c r="AQ492" s="71"/>
    </row>
    <row r="493" spans="1:43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3"/>
      <c r="L493" s="72"/>
      <c r="M493" s="72"/>
      <c r="N493" s="72"/>
      <c r="O493" s="72"/>
      <c r="P493" s="72"/>
      <c r="Q493" s="72"/>
      <c r="R493" s="72"/>
      <c r="S493" s="72">
        <v>5004.9579999999996</v>
      </c>
      <c r="T493" s="72">
        <v>9632.56</v>
      </c>
      <c r="U493" s="72">
        <v>8.6959999999999997</v>
      </c>
      <c r="V493" s="72">
        <v>12</v>
      </c>
      <c r="W493" s="72"/>
      <c r="X493" s="72"/>
      <c r="Y493" s="72"/>
      <c r="Z493" s="72"/>
      <c r="AB493" s="71"/>
      <c r="AC493" s="71"/>
      <c r="AD493" s="71"/>
      <c r="AE493" s="71"/>
      <c r="AF493" s="71"/>
      <c r="AG493" s="71"/>
      <c r="AH493" s="71"/>
      <c r="AI493" s="71"/>
      <c r="AJ493" s="71"/>
      <c r="AK493" s="71"/>
      <c r="AL493" s="71"/>
      <c r="AM493" s="71"/>
      <c r="AN493" s="71"/>
      <c r="AO493" s="71"/>
      <c r="AP493" s="71"/>
      <c r="AQ493" s="71"/>
    </row>
    <row r="494" spans="1:43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3"/>
      <c r="L494" s="72"/>
      <c r="M494" s="72"/>
      <c r="N494" s="72"/>
      <c r="O494" s="72"/>
      <c r="P494" s="72"/>
      <c r="Q494" s="72"/>
      <c r="R494" s="72"/>
      <c r="S494" s="72">
        <v>4957.8900000000003</v>
      </c>
      <c r="T494" s="72">
        <v>9572.4339999999993</v>
      </c>
      <c r="U494" s="72">
        <v>8.7059999999999995</v>
      </c>
      <c r="V494" s="72">
        <v>13</v>
      </c>
      <c r="W494" s="72"/>
      <c r="X494" s="72"/>
      <c r="Y494" s="72"/>
      <c r="Z494" s="72"/>
      <c r="AB494" s="71"/>
      <c r="AC494" s="71"/>
      <c r="AD494" s="71"/>
      <c r="AE494" s="71"/>
      <c r="AF494" s="71"/>
      <c r="AG494" s="71"/>
      <c r="AH494" s="71"/>
      <c r="AI494" s="71"/>
      <c r="AJ494" s="71"/>
      <c r="AK494" s="71"/>
      <c r="AL494" s="71"/>
      <c r="AM494" s="71"/>
      <c r="AN494" s="71"/>
      <c r="AO494" s="71"/>
      <c r="AP494" s="71"/>
      <c r="AQ494" s="71"/>
    </row>
    <row r="495" spans="1:43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3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B495" s="71"/>
      <c r="AC495" s="71"/>
      <c r="AD495" s="71"/>
      <c r="AE495" s="71"/>
      <c r="AF495" s="71"/>
      <c r="AG495" s="71"/>
      <c r="AH495" s="71"/>
      <c r="AI495" s="71"/>
      <c r="AJ495" s="71"/>
      <c r="AK495" s="71"/>
      <c r="AL495" s="71"/>
      <c r="AM495" s="71"/>
      <c r="AN495" s="71"/>
      <c r="AO495" s="71"/>
      <c r="AP495" s="71"/>
      <c r="AQ495" s="71"/>
    </row>
    <row r="496" spans="1:43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3"/>
      <c r="L496" s="72"/>
      <c r="M496" s="72"/>
      <c r="N496" s="72"/>
      <c r="O496" s="72"/>
      <c r="P496" s="72"/>
      <c r="Q496" s="72"/>
      <c r="R496" s="72"/>
      <c r="S496" s="72">
        <v>5039.2820000000002</v>
      </c>
      <c r="T496" s="72">
        <v>9724.9050000000007</v>
      </c>
      <c r="U496" s="72">
        <v>9.4420000000000002</v>
      </c>
      <c r="V496" s="72" t="s">
        <v>129</v>
      </c>
      <c r="W496" s="72" t="s">
        <v>73</v>
      </c>
      <c r="X496" s="72"/>
      <c r="Y496" s="72"/>
      <c r="Z496" s="72"/>
      <c r="AB496" s="71"/>
      <c r="AC496" s="71"/>
      <c r="AD496" s="71"/>
      <c r="AE496" s="71"/>
      <c r="AF496" s="71"/>
      <c r="AG496" s="71"/>
      <c r="AH496" s="71"/>
      <c r="AI496" s="71"/>
      <c r="AJ496" s="71"/>
      <c r="AK496" s="71"/>
      <c r="AL496" s="71"/>
      <c r="AM496" s="71"/>
      <c r="AN496" s="71"/>
      <c r="AO496" s="71"/>
      <c r="AP496" s="71"/>
      <c r="AQ496" s="71"/>
    </row>
    <row r="497" spans="1:43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3"/>
      <c r="L497" s="72"/>
      <c r="M497" s="72"/>
      <c r="N497" s="72"/>
      <c r="O497" s="72"/>
      <c r="P497" s="72"/>
      <c r="Q497" s="72"/>
      <c r="R497" s="72"/>
      <c r="S497" s="72">
        <v>5008.5950000000003</v>
      </c>
      <c r="T497" s="72">
        <v>9684.1830000000009</v>
      </c>
      <c r="U497" s="72">
        <v>9.4420000000000002</v>
      </c>
      <c r="V497" s="72">
        <v>1</v>
      </c>
      <c r="W497" s="72"/>
      <c r="X497" s="72"/>
      <c r="Y497" s="72"/>
      <c r="Z497" s="72"/>
      <c r="AB497" s="71"/>
      <c r="AC497" s="71"/>
      <c r="AD497" s="71"/>
      <c r="AE497" s="71"/>
      <c r="AF497" s="71"/>
      <c r="AG497" s="71"/>
      <c r="AH497" s="71"/>
      <c r="AI497" s="71"/>
      <c r="AJ497" s="71"/>
      <c r="AK497" s="71"/>
      <c r="AL497" s="71"/>
      <c r="AM497" s="71"/>
      <c r="AN497" s="71"/>
      <c r="AO497" s="71"/>
      <c r="AP497" s="71"/>
      <c r="AQ497" s="71"/>
    </row>
    <row r="498" spans="1:43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3"/>
      <c r="L498" s="72"/>
      <c r="M498" s="72"/>
      <c r="N498" s="72"/>
      <c r="O498" s="72"/>
      <c r="P498" s="72"/>
      <c r="Q498" s="72"/>
      <c r="R498" s="72"/>
      <c r="S498" s="72">
        <v>5002.2979999999998</v>
      </c>
      <c r="T498" s="72">
        <v>9712.17</v>
      </c>
      <c r="U498" s="72">
        <v>10.552</v>
      </c>
      <c r="V498" s="72">
        <v>2</v>
      </c>
      <c r="W498" s="72"/>
      <c r="X498" s="72"/>
      <c r="Y498" s="72"/>
      <c r="Z498" s="72"/>
      <c r="AB498" s="71"/>
      <c r="AC498" s="71"/>
      <c r="AD498" s="71"/>
      <c r="AE498" s="71"/>
      <c r="AF498" s="71"/>
      <c r="AG498" s="71"/>
      <c r="AH498" s="71"/>
      <c r="AI498" s="71"/>
      <c r="AJ498" s="71"/>
      <c r="AK498" s="71"/>
      <c r="AL498" s="71"/>
      <c r="AM498" s="71"/>
      <c r="AN498" s="71"/>
      <c r="AO498" s="71"/>
      <c r="AP498" s="71"/>
      <c r="AQ498" s="71"/>
    </row>
    <row r="499" spans="1:43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3"/>
      <c r="L499" s="72"/>
      <c r="M499" s="72"/>
      <c r="N499" s="72"/>
      <c r="O499" s="72"/>
      <c r="P499" s="72"/>
      <c r="Q499" s="72"/>
      <c r="R499" s="72"/>
      <c r="S499" s="72">
        <v>4982.3429999999998</v>
      </c>
      <c r="T499" s="72">
        <v>9756.4670000000006</v>
      </c>
      <c r="U499" s="72">
        <v>11.25</v>
      </c>
      <c r="V499" s="72">
        <v>3</v>
      </c>
      <c r="W499" s="72"/>
      <c r="X499" s="72"/>
      <c r="Y499" s="72"/>
      <c r="Z499" s="72"/>
      <c r="AB499" s="71"/>
      <c r="AC499" s="71"/>
      <c r="AD499" s="71"/>
      <c r="AE499" s="71"/>
      <c r="AF499" s="71"/>
      <c r="AG499" s="71"/>
      <c r="AH499" s="71"/>
      <c r="AI499" s="71"/>
      <c r="AJ499" s="71"/>
      <c r="AK499" s="71"/>
      <c r="AL499" s="71"/>
      <c r="AM499" s="71"/>
      <c r="AN499" s="71"/>
      <c r="AO499" s="71"/>
      <c r="AP499" s="71"/>
      <c r="AQ499" s="71"/>
    </row>
    <row r="500" spans="1:43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3"/>
      <c r="L500" s="72"/>
      <c r="M500" s="72"/>
      <c r="N500" s="72"/>
      <c r="O500" s="72"/>
      <c r="P500" s="72"/>
      <c r="Q500" s="72"/>
      <c r="R500" s="72"/>
      <c r="S500" s="72">
        <v>5010.8909999999996</v>
      </c>
      <c r="T500" s="72">
        <v>9823.9150000000009</v>
      </c>
      <c r="U500" s="72">
        <v>8.67</v>
      </c>
      <c r="V500" s="72">
        <v>4</v>
      </c>
      <c r="W500" s="72"/>
      <c r="X500" s="72"/>
      <c r="Y500" s="72"/>
      <c r="Z500" s="72"/>
      <c r="AB500" s="71"/>
      <c r="AC500" s="71"/>
      <c r="AD500" s="71"/>
      <c r="AE500" s="71"/>
      <c r="AF500" s="71"/>
      <c r="AG500" s="71"/>
      <c r="AH500" s="71"/>
      <c r="AI500" s="71"/>
      <c r="AJ500" s="71"/>
      <c r="AK500" s="71"/>
      <c r="AL500" s="71"/>
      <c r="AM500" s="71"/>
      <c r="AN500" s="71"/>
      <c r="AO500" s="71"/>
      <c r="AP500" s="71"/>
      <c r="AQ500" s="71"/>
    </row>
    <row r="501" spans="1:43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3"/>
      <c r="L501" s="72"/>
      <c r="M501" s="72"/>
      <c r="N501" s="72"/>
      <c r="O501" s="72"/>
      <c r="P501" s="72"/>
      <c r="Q501" s="72"/>
      <c r="R501" s="72"/>
      <c r="S501" s="72">
        <v>5029.5230000000001</v>
      </c>
      <c r="T501" s="72">
        <v>9786.5229999999992</v>
      </c>
      <c r="U501" s="72">
        <v>9.6739999999999995</v>
      </c>
      <c r="V501" s="72">
        <v>5</v>
      </c>
      <c r="W501" s="72"/>
      <c r="X501" s="72"/>
      <c r="Y501" s="72"/>
      <c r="Z501" s="72"/>
      <c r="AB501" s="71"/>
      <c r="AC501" s="71"/>
      <c r="AD501" s="71"/>
      <c r="AE501" s="71"/>
      <c r="AF501" s="71"/>
      <c r="AG501" s="71"/>
      <c r="AH501" s="71"/>
      <c r="AI501" s="71"/>
      <c r="AJ501" s="71"/>
      <c r="AK501" s="71"/>
      <c r="AL501" s="71"/>
      <c r="AM501" s="71"/>
      <c r="AN501" s="71"/>
      <c r="AO501" s="71"/>
      <c r="AP501" s="71"/>
      <c r="AQ501" s="71"/>
    </row>
    <row r="502" spans="1:43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3"/>
      <c r="L502" s="72"/>
      <c r="M502" s="72"/>
      <c r="N502" s="72"/>
      <c r="O502" s="72"/>
      <c r="P502" s="72"/>
      <c r="Q502" s="72"/>
      <c r="R502" s="72"/>
      <c r="S502" s="72">
        <v>5079.482</v>
      </c>
      <c r="T502" s="72">
        <v>9794.5329999999994</v>
      </c>
      <c r="U502" s="72">
        <v>8.7769999999999992</v>
      </c>
      <c r="V502" s="72">
        <v>6</v>
      </c>
      <c r="W502" s="72"/>
      <c r="X502" s="72"/>
      <c r="Y502" s="72"/>
      <c r="Z502" s="72"/>
      <c r="AB502" s="71"/>
      <c r="AC502" s="71"/>
      <c r="AD502" s="71"/>
      <c r="AE502" s="71"/>
      <c r="AF502" s="71"/>
      <c r="AG502" s="71"/>
      <c r="AH502" s="71"/>
      <c r="AI502" s="71"/>
      <c r="AJ502" s="71"/>
      <c r="AK502" s="71"/>
      <c r="AL502" s="71"/>
      <c r="AM502" s="71"/>
      <c r="AN502" s="71"/>
      <c r="AO502" s="71"/>
      <c r="AP502" s="71"/>
      <c r="AQ502" s="71"/>
    </row>
    <row r="503" spans="1:43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3"/>
      <c r="L503" s="72"/>
      <c r="M503" s="72"/>
      <c r="N503" s="72"/>
      <c r="O503" s="72"/>
      <c r="P503" s="72"/>
      <c r="Q503" s="72"/>
      <c r="R503" s="72"/>
      <c r="S503" s="72">
        <v>5093.8630000000003</v>
      </c>
      <c r="T503" s="72">
        <v>9787.6929999999993</v>
      </c>
      <c r="U503" s="72">
        <v>7.359</v>
      </c>
      <c r="V503" s="72">
        <v>7</v>
      </c>
      <c r="W503" s="72"/>
      <c r="X503" s="72"/>
      <c r="Y503" s="72"/>
      <c r="Z503" s="72"/>
      <c r="AB503" s="71"/>
      <c r="AC503" s="71"/>
      <c r="AD503" s="71"/>
      <c r="AE503" s="71"/>
      <c r="AF503" s="71"/>
      <c r="AG503" s="71"/>
      <c r="AH503" s="71"/>
      <c r="AI503" s="71"/>
      <c r="AJ503" s="71"/>
      <c r="AK503" s="71"/>
      <c r="AL503" s="71"/>
      <c r="AM503" s="71"/>
      <c r="AN503" s="71"/>
      <c r="AO503" s="71"/>
      <c r="AP503" s="71"/>
      <c r="AQ503" s="71"/>
    </row>
    <row r="504" spans="1:43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3"/>
      <c r="L504" s="72"/>
      <c r="M504" s="72"/>
      <c r="N504" s="72"/>
      <c r="O504" s="72"/>
      <c r="P504" s="72"/>
      <c r="Q504" s="72"/>
      <c r="R504" s="72"/>
      <c r="S504" s="72">
        <v>5064.1710000000003</v>
      </c>
      <c r="T504" s="72">
        <v>9700.8700000000008</v>
      </c>
      <c r="U504" s="72">
        <v>8.68</v>
      </c>
      <c r="V504" s="72">
        <v>8</v>
      </c>
      <c r="W504" s="72"/>
      <c r="X504" s="72"/>
      <c r="Y504" s="72"/>
      <c r="Z504" s="72"/>
      <c r="AB504" s="71"/>
      <c r="AC504" s="71"/>
      <c r="AD504" s="71"/>
      <c r="AE504" s="71"/>
      <c r="AF504" s="71"/>
      <c r="AG504" s="71"/>
      <c r="AH504" s="71"/>
      <c r="AI504" s="71"/>
      <c r="AJ504" s="71"/>
      <c r="AK504" s="71"/>
      <c r="AL504" s="71"/>
      <c r="AM504" s="71"/>
      <c r="AN504" s="71"/>
      <c r="AO504" s="71"/>
      <c r="AP504" s="71"/>
      <c r="AQ504" s="71"/>
    </row>
    <row r="505" spans="1:43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3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B505" s="71"/>
      <c r="AC505" s="71"/>
      <c r="AD505" s="71"/>
      <c r="AE505" s="71"/>
      <c r="AF505" s="71"/>
      <c r="AG505" s="71"/>
      <c r="AH505" s="71"/>
      <c r="AI505" s="71"/>
      <c r="AJ505" s="71"/>
      <c r="AK505" s="71"/>
      <c r="AL505" s="71"/>
      <c r="AM505" s="71"/>
      <c r="AN505" s="71"/>
      <c r="AO505" s="71"/>
      <c r="AP505" s="71"/>
      <c r="AQ505" s="71"/>
    </row>
    <row r="506" spans="1:43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3"/>
      <c r="L506" s="72"/>
      <c r="M506" s="72"/>
      <c r="N506" s="72"/>
      <c r="O506" s="72"/>
      <c r="P506" s="72"/>
      <c r="Q506" s="72"/>
      <c r="R506" s="72"/>
      <c r="S506" s="72">
        <v>4952.0959999999995</v>
      </c>
      <c r="T506" s="72">
        <v>10018.601000000001</v>
      </c>
      <c r="U506" s="72">
        <v>8.9</v>
      </c>
      <c r="V506" s="72" t="s">
        <v>130</v>
      </c>
      <c r="W506" s="72" t="s">
        <v>73</v>
      </c>
      <c r="X506" s="72"/>
      <c r="Y506" s="72" t="s">
        <v>81</v>
      </c>
      <c r="Z506" s="72"/>
      <c r="AB506" s="71"/>
      <c r="AC506" s="71"/>
      <c r="AD506" s="71"/>
      <c r="AE506" s="71"/>
      <c r="AF506" s="71"/>
      <c r="AG506" s="71"/>
      <c r="AH506" s="71"/>
      <c r="AI506" s="71"/>
      <c r="AJ506" s="71"/>
      <c r="AK506" s="71"/>
      <c r="AL506" s="71"/>
      <c r="AM506" s="71"/>
      <c r="AN506" s="71"/>
      <c r="AO506" s="71"/>
      <c r="AP506" s="71"/>
      <c r="AQ506" s="71"/>
    </row>
    <row r="507" spans="1:43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3"/>
      <c r="L507" s="72"/>
      <c r="M507" s="72"/>
      <c r="N507" s="72"/>
      <c r="O507" s="72"/>
      <c r="P507" s="72"/>
      <c r="Q507" s="72"/>
      <c r="R507" s="72"/>
      <c r="S507" s="72">
        <v>4982.5860000000002</v>
      </c>
      <c r="T507" s="72">
        <v>10065.550999999999</v>
      </c>
      <c r="U507" s="72">
        <v>8.9</v>
      </c>
      <c r="V507" s="72">
        <v>1</v>
      </c>
      <c r="W507" s="72"/>
      <c r="X507" s="72"/>
      <c r="Y507" s="72"/>
      <c r="Z507" s="72" t="s">
        <v>131</v>
      </c>
      <c r="AB507" s="71"/>
      <c r="AC507" s="71"/>
      <c r="AD507" s="71"/>
      <c r="AE507" s="71"/>
      <c r="AF507" s="71"/>
      <c r="AG507" s="71"/>
      <c r="AH507" s="71"/>
      <c r="AI507" s="71"/>
      <c r="AJ507" s="71"/>
      <c r="AK507" s="71"/>
      <c r="AL507" s="71"/>
      <c r="AM507" s="71"/>
      <c r="AN507" s="71"/>
      <c r="AO507" s="71"/>
      <c r="AP507" s="71"/>
      <c r="AQ507" s="71"/>
    </row>
    <row r="508" spans="1:43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3"/>
      <c r="L508" s="72"/>
      <c r="M508" s="72"/>
      <c r="N508" s="72"/>
      <c r="O508" s="72"/>
      <c r="P508" s="72"/>
      <c r="Q508" s="72"/>
      <c r="R508" s="72"/>
      <c r="S508" s="72">
        <v>4991.8999999999996</v>
      </c>
      <c r="T508" s="72">
        <v>10077.614</v>
      </c>
      <c r="U508" s="72">
        <v>9</v>
      </c>
      <c r="V508" s="72">
        <v>2</v>
      </c>
      <c r="W508" s="72"/>
      <c r="X508" s="72"/>
      <c r="Y508" s="72"/>
      <c r="Z508" s="72" t="s">
        <v>131</v>
      </c>
      <c r="AB508" s="71"/>
      <c r="AC508" s="71"/>
      <c r="AD508" s="71"/>
      <c r="AE508" s="71"/>
      <c r="AF508" s="71"/>
      <c r="AG508" s="71"/>
      <c r="AH508" s="71"/>
      <c r="AI508" s="71"/>
      <c r="AJ508" s="71"/>
      <c r="AK508" s="71"/>
      <c r="AL508" s="71"/>
      <c r="AM508" s="71"/>
      <c r="AN508" s="71"/>
      <c r="AO508" s="71"/>
      <c r="AP508" s="71"/>
      <c r="AQ508" s="71"/>
    </row>
    <row r="509" spans="1:43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3"/>
      <c r="L509" s="72"/>
      <c r="M509" s="72"/>
      <c r="N509" s="72"/>
      <c r="O509" s="72"/>
      <c r="P509" s="72"/>
      <c r="Q509" s="72"/>
      <c r="R509" s="72"/>
      <c r="S509" s="72">
        <v>4940.2889999999998</v>
      </c>
      <c r="T509" s="72">
        <v>10079.343999999999</v>
      </c>
      <c r="U509" s="72">
        <v>9.0649999999999995</v>
      </c>
      <c r="V509" s="72">
        <v>3</v>
      </c>
      <c r="W509" s="72"/>
      <c r="X509" s="72"/>
      <c r="Y509" s="72"/>
      <c r="Z509" s="72" t="s">
        <v>131</v>
      </c>
      <c r="AB509" s="71"/>
      <c r="AC509" s="71"/>
      <c r="AD509" s="71"/>
      <c r="AE509" s="71"/>
      <c r="AF509" s="71"/>
      <c r="AG509" s="71"/>
      <c r="AH509" s="71"/>
      <c r="AI509" s="71"/>
      <c r="AJ509" s="71"/>
      <c r="AK509" s="71"/>
      <c r="AL509" s="71"/>
      <c r="AM509" s="71"/>
      <c r="AN509" s="71"/>
      <c r="AO509" s="71"/>
      <c r="AP509" s="71"/>
      <c r="AQ509" s="71"/>
    </row>
    <row r="510" spans="1:43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3"/>
      <c r="L510" s="72"/>
      <c r="M510" s="72"/>
      <c r="N510" s="72"/>
      <c r="O510" s="72"/>
      <c r="P510" s="72"/>
      <c r="Q510" s="72"/>
      <c r="R510" s="72"/>
      <c r="S510" s="72">
        <v>4926.7929999999997</v>
      </c>
      <c r="T510" s="72">
        <v>10043.904</v>
      </c>
      <c r="U510" s="72">
        <v>9.6869999999999994</v>
      </c>
      <c r="V510" s="72">
        <v>4</v>
      </c>
      <c r="W510" s="72"/>
      <c r="X510" s="72"/>
      <c r="Y510" s="72"/>
      <c r="Z510" s="72" t="s">
        <v>132</v>
      </c>
      <c r="AB510" s="71"/>
      <c r="AC510" s="71"/>
      <c r="AD510" s="71"/>
      <c r="AE510" s="71"/>
      <c r="AF510" s="71"/>
      <c r="AG510" s="71"/>
      <c r="AH510" s="71"/>
      <c r="AI510" s="71"/>
      <c r="AJ510" s="71"/>
      <c r="AK510" s="71"/>
      <c r="AL510" s="71"/>
      <c r="AM510" s="71"/>
      <c r="AN510" s="71"/>
      <c r="AO510" s="71"/>
      <c r="AP510" s="71"/>
      <c r="AQ510" s="71"/>
    </row>
    <row r="511" spans="1:43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3"/>
      <c r="L511" s="72"/>
      <c r="M511" s="72"/>
      <c r="N511" s="72"/>
      <c r="O511" s="72"/>
      <c r="P511" s="72"/>
      <c r="Q511" s="72"/>
      <c r="R511" s="72"/>
      <c r="S511" s="72">
        <v>4898.0600000000004</v>
      </c>
      <c r="T511" s="72">
        <v>10047.333000000001</v>
      </c>
      <c r="U511" s="72">
        <v>10.561999999999999</v>
      </c>
      <c r="V511" s="72">
        <v>5</v>
      </c>
      <c r="W511" s="72"/>
      <c r="X511" s="72"/>
      <c r="Y511" s="72"/>
      <c r="Z511" s="72" t="s">
        <v>118</v>
      </c>
      <c r="AB511" s="71"/>
      <c r="AC511" s="71"/>
      <c r="AD511" s="71"/>
      <c r="AE511" s="71"/>
      <c r="AF511" s="71"/>
      <c r="AG511" s="71"/>
      <c r="AH511" s="71"/>
      <c r="AI511" s="71"/>
      <c r="AJ511" s="71"/>
      <c r="AK511" s="71"/>
      <c r="AL511" s="71"/>
      <c r="AM511" s="71"/>
      <c r="AN511" s="71"/>
      <c r="AO511" s="71"/>
      <c r="AP511" s="71"/>
      <c r="AQ511" s="71"/>
    </row>
    <row r="512" spans="1:43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3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B512" s="71"/>
      <c r="AC512" s="71"/>
      <c r="AD512" s="71"/>
      <c r="AE512" s="71"/>
      <c r="AF512" s="71"/>
      <c r="AG512" s="71"/>
      <c r="AH512" s="71"/>
      <c r="AI512" s="71"/>
      <c r="AJ512" s="71"/>
      <c r="AK512" s="71"/>
      <c r="AL512" s="71"/>
      <c r="AM512" s="71"/>
      <c r="AN512" s="71"/>
      <c r="AO512" s="71"/>
      <c r="AP512" s="71"/>
      <c r="AQ512" s="71"/>
    </row>
    <row r="513" spans="1:43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3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B513" s="71"/>
      <c r="AC513" s="71"/>
      <c r="AD513" s="71"/>
      <c r="AE513" s="71"/>
      <c r="AF513" s="71"/>
      <c r="AG513" s="71"/>
      <c r="AH513" s="71"/>
      <c r="AI513" s="71"/>
      <c r="AJ513" s="71"/>
      <c r="AK513" s="71"/>
      <c r="AL513" s="71"/>
      <c r="AM513" s="71"/>
      <c r="AN513" s="71"/>
      <c r="AO513" s="71"/>
      <c r="AP513" s="71"/>
      <c r="AQ513" s="71"/>
    </row>
    <row r="514" spans="1:43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3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B514" s="71"/>
      <c r="AC514" s="71"/>
      <c r="AD514" s="71"/>
      <c r="AE514" s="71"/>
      <c r="AF514" s="71"/>
      <c r="AG514" s="71"/>
      <c r="AH514" s="71"/>
      <c r="AI514" s="71"/>
      <c r="AJ514" s="71"/>
      <c r="AK514" s="71"/>
      <c r="AL514" s="71"/>
      <c r="AM514" s="71"/>
      <c r="AN514" s="71"/>
      <c r="AO514" s="71"/>
      <c r="AP514" s="71"/>
      <c r="AQ514" s="71"/>
    </row>
    <row r="515" spans="1:43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3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B515" s="71"/>
      <c r="AC515" s="71"/>
      <c r="AD515" s="71"/>
      <c r="AE515" s="71"/>
      <c r="AF515" s="71"/>
      <c r="AG515" s="71"/>
      <c r="AH515" s="71"/>
      <c r="AI515" s="71"/>
      <c r="AJ515" s="71"/>
      <c r="AK515" s="71"/>
      <c r="AL515" s="71"/>
      <c r="AM515" s="71"/>
      <c r="AN515" s="71"/>
      <c r="AO515" s="71"/>
      <c r="AP515" s="71"/>
      <c r="AQ515" s="71"/>
    </row>
    <row r="516" spans="1:43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3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B516" s="71"/>
      <c r="AC516" s="71"/>
      <c r="AD516" s="71"/>
      <c r="AE516" s="71"/>
      <c r="AF516" s="71"/>
      <c r="AG516" s="71"/>
      <c r="AH516" s="71"/>
      <c r="AI516" s="71"/>
      <c r="AJ516" s="71"/>
      <c r="AK516" s="71"/>
      <c r="AL516" s="71"/>
      <c r="AM516" s="71"/>
      <c r="AN516" s="71"/>
      <c r="AO516" s="71"/>
      <c r="AP516" s="71"/>
      <c r="AQ516" s="71"/>
    </row>
    <row r="517" spans="1:43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3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B517" s="71"/>
      <c r="AC517" s="71"/>
      <c r="AD517" s="71"/>
      <c r="AE517" s="71"/>
      <c r="AF517" s="71"/>
      <c r="AG517" s="71"/>
      <c r="AH517" s="71"/>
      <c r="AI517" s="71"/>
      <c r="AJ517" s="71"/>
      <c r="AK517" s="71"/>
      <c r="AL517" s="71"/>
      <c r="AM517" s="71"/>
      <c r="AN517" s="71"/>
      <c r="AO517" s="71"/>
      <c r="AP517" s="71"/>
      <c r="AQ517" s="71"/>
    </row>
    <row r="518" spans="1:43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3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B518" s="71"/>
      <c r="AC518" s="71"/>
      <c r="AD518" s="71"/>
      <c r="AE518" s="71"/>
      <c r="AF518" s="71"/>
      <c r="AG518" s="71"/>
      <c r="AH518" s="71"/>
      <c r="AI518" s="71"/>
      <c r="AJ518" s="71"/>
      <c r="AK518" s="71"/>
      <c r="AL518" s="71"/>
      <c r="AM518" s="71"/>
      <c r="AN518" s="71"/>
      <c r="AO518" s="71"/>
      <c r="AP518" s="71"/>
      <c r="AQ518" s="71"/>
    </row>
    <row r="519" spans="1:43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3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B519" s="71"/>
      <c r="AC519" s="71"/>
      <c r="AD519" s="71"/>
      <c r="AE519" s="71"/>
      <c r="AF519" s="71"/>
      <c r="AG519" s="71"/>
      <c r="AH519" s="71"/>
      <c r="AI519" s="71"/>
      <c r="AJ519" s="71"/>
      <c r="AK519" s="71"/>
      <c r="AL519" s="71"/>
      <c r="AM519" s="71"/>
      <c r="AN519" s="71"/>
      <c r="AO519" s="71"/>
      <c r="AP519" s="71"/>
      <c r="AQ519" s="71"/>
    </row>
    <row r="520" spans="1:43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3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B520" s="71"/>
      <c r="AC520" s="71"/>
      <c r="AD520" s="71"/>
      <c r="AE520" s="71"/>
      <c r="AF520" s="71"/>
      <c r="AG520" s="71"/>
      <c r="AH520" s="71"/>
      <c r="AI520" s="71"/>
      <c r="AJ520" s="71"/>
      <c r="AK520" s="71"/>
      <c r="AL520" s="71"/>
      <c r="AM520" s="71"/>
      <c r="AN520" s="71"/>
      <c r="AO520" s="71"/>
      <c r="AP520" s="71"/>
      <c r="AQ520" s="71"/>
    </row>
    <row r="521" spans="1:43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3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B521" s="71"/>
      <c r="AC521" s="71"/>
      <c r="AD521" s="71"/>
      <c r="AE521" s="71"/>
      <c r="AF521" s="71"/>
      <c r="AG521" s="71"/>
      <c r="AH521" s="71"/>
      <c r="AI521" s="71"/>
      <c r="AJ521" s="71"/>
      <c r="AK521" s="71"/>
      <c r="AL521" s="71"/>
      <c r="AM521" s="71"/>
      <c r="AN521" s="71"/>
      <c r="AO521" s="71"/>
      <c r="AP521" s="71"/>
      <c r="AQ521" s="71"/>
    </row>
    <row r="522" spans="1:43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3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B522" s="71"/>
      <c r="AC522" s="71"/>
      <c r="AD522" s="71"/>
      <c r="AE522" s="71"/>
      <c r="AF522" s="71"/>
      <c r="AG522" s="71"/>
      <c r="AH522" s="71"/>
      <c r="AI522" s="71"/>
      <c r="AJ522" s="71"/>
      <c r="AK522" s="71"/>
      <c r="AL522" s="71"/>
      <c r="AM522" s="71"/>
      <c r="AN522" s="71"/>
      <c r="AO522" s="71"/>
      <c r="AP522" s="71"/>
      <c r="AQ522" s="71"/>
    </row>
    <row r="523" spans="1:43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3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B523" s="71"/>
      <c r="AC523" s="71"/>
      <c r="AD523" s="71"/>
      <c r="AE523" s="71"/>
      <c r="AF523" s="71"/>
      <c r="AG523" s="71"/>
      <c r="AH523" s="71"/>
      <c r="AI523" s="71"/>
      <c r="AJ523" s="71"/>
      <c r="AK523" s="71"/>
      <c r="AL523" s="71"/>
      <c r="AM523" s="71"/>
      <c r="AN523" s="71"/>
      <c r="AO523" s="71"/>
      <c r="AP523" s="71"/>
      <c r="AQ523" s="71"/>
    </row>
    <row r="524" spans="1:43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3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B524" s="71"/>
      <c r="AC524" s="71"/>
      <c r="AD524" s="71"/>
      <c r="AE524" s="71"/>
      <c r="AF524" s="71"/>
      <c r="AG524" s="71"/>
      <c r="AH524" s="71"/>
      <c r="AI524" s="71"/>
      <c r="AJ524" s="71"/>
      <c r="AK524" s="71"/>
      <c r="AL524" s="71"/>
      <c r="AM524" s="71"/>
      <c r="AN524" s="71"/>
      <c r="AO524" s="71"/>
      <c r="AP524" s="71"/>
      <c r="AQ524" s="71"/>
    </row>
    <row r="525" spans="1:43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3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B525" s="71"/>
      <c r="AC525" s="71"/>
      <c r="AD525" s="71"/>
      <c r="AE525" s="71"/>
      <c r="AF525" s="71"/>
      <c r="AG525" s="71"/>
      <c r="AH525" s="71"/>
      <c r="AI525" s="71"/>
      <c r="AJ525" s="71"/>
      <c r="AK525" s="71"/>
      <c r="AL525" s="71"/>
      <c r="AM525" s="71"/>
      <c r="AN525" s="71"/>
      <c r="AO525" s="71"/>
      <c r="AP525" s="71"/>
      <c r="AQ525" s="71"/>
    </row>
    <row r="526" spans="1:43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3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B526" s="71"/>
      <c r="AC526" s="71"/>
      <c r="AD526" s="71"/>
      <c r="AE526" s="71"/>
      <c r="AF526" s="71"/>
      <c r="AG526" s="71"/>
      <c r="AH526" s="71"/>
      <c r="AI526" s="71"/>
      <c r="AJ526" s="71"/>
      <c r="AK526" s="71"/>
      <c r="AL526" s="71"/>
      <c r="AM526" s="71"/>
      <c r="AN526" s="71"/>
      <c r="AO526" s="71"/>
      <c r="AP526" s="71"/>
      <c r="AQ526" s="71"/>
    </row>
    <row r="527" spans="1:43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3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B527" s="71"/>
      <c r="AC527" s="71"/>
      <c r="AD527" s="71"/>
      <c r="AE527" s="71"/>
      <c r="AF527" s="71"/>
      <c r="AG527" s="71"/>
      <c r="AH527" s="71"/>
      <c r="AI527" s="71"/>
      <c r="AJ527" s="71"/>
      <c r="AK527" s="71"/>
      <c r="AL527" s="71"/>
      <c r="AM527" s="71"/>
      <c r="AN527" s="71"/>
      <c r="AO527" s="71"/>
      <c r="AP527" s="71"/>
      <c r="AQ527" s="71"/>
    </row>
    <row r="528" spans="1:43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3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B528" s="71"/>
      <c r="AC528" s="71"/>
      <c r="AD528" s="71"/>
      <c r="AE528" s="71"/>
      <c r="AF528" s="71"/>
      <c r="AG528" s="71"/>
      <c r="AH528" s="71"/>
      <c r="AI528" s="71"/>
      <c r="AJ528" s="71"/>
      <c r="AK528" s="71"/>
      <c r="AL528" s="71"/>
      <c r="AM528" s="71"/>
      <c r="AN528" s="71"/>
      <c r="AO528" s="71"/>
      <c r="AP528" s="71"/>
      <c r="AQ528" s="71"/>
    </row>
    <row r="529" spans="1:43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3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B529" s="71"/>
      <c r="AC529" s="71"/>
      <c r="AD529" s="71"/>
      <c r="AE529" s="71"/>
      <c r="AF529" s="71"/>
      <c r="AG529" s="71"/>
      <c r="AH529" s="71"/>
      <c r="AI529" s="71"/>
      <c r="AJ529" s="71"/>
      <c r="AK529" s="71"/>
      <c r="AL529" s="71"/>
      <c r="AM529" s="71"/>
      <c r="AN529" s="71"/>
      <c r="AO529" s="71"/>
      <c r="AP529" s="71"/>
      <c r="AQ529" s="71"/>
    </row>
    <row r="530" spans="1:43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3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B530" s="71"/>
      <c r="AC530" s="71"/>
      <c r="AD530" s="71"/>
      <c r="AE530" s="71"/>
      <c r="AF530" s="71"/>
      <c r="AG530" s="71"/>
      <c r="AH530" s="71"/>
      <c r="AI530" s="71"/>
      <c r="AJ530" s="71"/>
      <c r="AK530" s="71"/>
      <c r="AL530" s="71"/>
      <c r="AM530" s="71"/>
      <c r="AN530" s="71"/>
      <c r="AO530" s="71"/>
      <c r="AP530" s="71"/>
      <c r="AQ530" s="71"/>
    </row>
    <row r="531" spans="1:43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3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B531" s="71"/>
      <c r="AC531" s="71"/>
      <c r="AD531" s="71"/>
      <c r="AE531" s="71"/>
      <c r="AF531" s="71"/>
      <c r="AG531" s="71"/>
      <c r="AH531" s="71"/>
      <c r="AI531" s="71"/>
      <c r="AJ531" s="71"/>
      <c r="AK531" s="71"/>
      <c r="AL531" s="71"/>
      <c r="AM531" s="71"/>
      <c r="AN531" s="71"/>
      <c r="AO531" s="71"/>
      <c r="AP531" s="71"/>
      <c r="AQ531" s="71"/>
    </row>
    <row r="532" spans="1:43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3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B532" s="71"/>
      <c r="AC532" s="71"/>
      <c r="AD532" s="71"/>
      <c r="AE532" s="71"/>
      <c r="AF532" s="71"/>
      <c r="AG532" s="71"/>
      <c r="AH532" s="71"/>
      <c r="AI532" s="71"/>
      <c r="AJ532" s="71"/>
      <c r="AK532" s="71"/>
      <c r="AL532" s="71"/>
      <c r="AM532" s="71"/>
      <c r="AN532" s="71"/>
      <c r="AO532" s="71"/>
      <c r="AP532" s="71"/>
      <c r="AQ532" s="71"/>
    </row>
    <row r="533" spans="1:43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3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B533" s="71"/>
      <c r="AC533" s="71"/>
      <c r="AD533" s="71"/>
      <c r="AE533" s="71"/>
      <c r="AF533" s="71"/>
      <c r="AG533" s="71"/>
      <c r="AH533" s="71"/>
      <c r="AI533" s="71"/>
      <c r="AJ533" s="71"/>
      <c r="AK533" s="71"/>
      <c r="AL533" s="71"/>
      <c r="AM533" s="71"/>
      <c r="AN533" s="71"/>
      <c r="AO533" s="71"/>
      <c r="AP533" s="71"/>
      <c r="AQ533" s="71"/>
    </row>
    <row r="534" spans="1:43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3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B534" s="71"/>
      <c r="AC534" s="71"/>
      <c r="AD534" s="71"/>
      <c r="AE534" s="71"/>
      <c r="AF534" s="71"/>
      <c r="AG534" s="71"/>
      <c r="AH534" s="71"/>
      <c r="AI534" s="71"/>
      <c r="AJ534" s="71"/>
      <c r="AK534" s="71"/>
      <c r="AL534" s="71"/>
      <c r="AM534" s="71"/>
      <c r="AN534" s="71"/>
      <c r="AO534" s="71"/>
      <c r="AP534" s="71"/>
      <c r="AQ534" s="71"/>
    </row>
    <row r="535" spans="1:43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3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B535" s="71"/>
      <c r="AC535" s="71"/>
      <c r="AD535" s="71"/>
      <c r="AE535" s="71"/>
      <c r="AF535" s="71"/>
      <c r="AG535" s="71"/>
      <c r="AH535" s="71"/>
      <c r="AI535" s="71"/>
      <c r="AJ535" s="71"/>
      <c r="AK535" s="71"/>
      <c r="AL535" s="71"/>
      <c r="AM535" s="71"/>
      <c r="AN535" s="71"/>
      <c r="AO535" s="71"/>
      <c r="AP535" s="71"/>
      <c r="AQ535" s="71"/>
    </row>
    <row r="536" spans="1:43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3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B536" s="71"/>
      <c r="AC536" s="71"/>
      <c r="AD536" s="71"/>
      <c r="AE536" s="71"/>
      <c r="AF536" s="71"/>
      <c r="AG536" s="71"/>
      <c r="AH536" s="71"/>
      <c r="AI536" s="71"/>
      <c r="AJ536" s="71"/>
      <c r="AK536" s="71"/>
      <c r="AL536" s="71"/>
      <c r="AM536" s="71"/>
      <c r="AN536" s="71"/>
      <c r="AO536" s="71"/>
      <c r="AP536" s="71"/>
      <c r="AQ536" s="71"/>
    </row>
    <row r="537" spans="1:43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3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B537" s="71"/>
      <c r="AC537" s="71"/>
      <c r="AD537" s="71"/>
      <c r="AE537" s="71"/>
      <c r="AF537" s="71"/>
      <c r="AG537" s="71"/>
      <c r="AH537" s="71"/>
      <c r="AI537" s="71"/>
      <c r="AJ537" s="71"/>
      <c r="AK537" s="71"/>
      <c r="AL537" s="71"/>
      <c r="AM537" s="71"/>
      <c r="AN537" s="71"/>
      <c r="AO537" s="71"/>
      <c r="AP537" s="71"/>
      <c r="AQ537" s="71"/>
    </row>
    <row r="538" spans="1:43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3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B538" s="71"/>
      <c r="AC538" s="71"/>
      <c r="AD538" s="71"/>
      <c r="AE538" s="71"/>
      <c r="AF538" s="71"/>
      <c r="AG538" s="71"/>
      <c r="AH538" s="71"/>
      <c r="AI538" s="71"/>
      <c r="AJ538" s="71"/>
      <c r="AK538" s="71"/>
      <c r="AL538" s="71"/>
      <c r="AM538" s="71"/>
      <c r="AN538" s="71"/>
      <c r="AO538" s="71"/>
      <c r="AP538" s="71"/>
      <c r="AQ538" s="71"/>
    </row>
    <row r="539" spans="1:43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3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B539" s="71"/>
      <c r="AC539" s="71"/>
      <c r="AD539" s="71"/>
      <c r="AE539" s="71"/>
      <c r="AF539" s="71"/>
      <c r="AG539" s="71"/>
      <c r="AH539" s="71"/>
      <c r="AI539" s="71"/>
      <c r="AJ539" s="71"/>
      <c r="AK539" s="71"/>
      <c r="AL539" s="71"/>
      <c r="AM539" s="71"/>
      <c r="AN539" s="71"/>
      <c r="AO539" s="71"/>
      <c r="AP539" s="71"/>
      <c r="AQ539" s="71"/>
    </row>
    <row r="540" spans="1:43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3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  <c r="AB540" s="71"/>
      <c r="AC540" s="71"/>
      <c r="AD540" s="71"/>
      <c r="AE540" s="71"/>
      <c r="AF540" s="71"/>
      <c r="AG540" s="71"/>
      <c r="AH540" s="71"/>
      <c r="AI540" s="71"/>
      <c r="AJ540" s="71"/>
      <c r="AK540" s="71"/>
      <c r="AL540" s="71"/>
      <c r="AM540" s="71"/>
      <c r="AN540" s="71"/>
      <c r="AO540" s="71"/>
      <c r="AP540" s="71"/>
      <c r="AQ540" s="71"/>
    </row>
    <row r="541" spans="1:43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3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  <c r="AB541" s="71"/>
      <c r="AC541" s="71"/>
      <c r="AD541" s="71"/>
      <c r="AE541" s="71"/>
      <c r="AF541" s="71"/>
      <c r="AG541" s="71"/>
      <c r="AH541" s="71"/>
      <c r="AI541" s="71"/>
      <c r="AJ541" s="71"/>
      <c r="AK541" s="71"/>
      <c r="AL541" s="71"/>
      <c r="AM541" s="71"/>
      <c r="AN541" s="71"/>
      <c r="AO541" s="71"/>
      <c r="AP541" s="71"/>
      <c r="AQ541" s="71"/>
    </row>
    <row r="542" spans="1:43" x14ac:dyDescent="0.25">
      <c r="K542" s="71"/>
      <c r="AB542" s="71"/>
      <c r="AC542" s="71"/>
      <c r="AD542" s="71"/>
      <c r="AE542" s="71"/>
      <c r="AF542" s="71"/>
      <c r="AG542" s="71"/>
      <c r="AH542" s="71"/>
      <c r="AI542" s="71"/>
      <c r="AJ542" s="71"/>
      <c r="AK542" s="71"/>
      <c r="AL542" s="71"/>
      <c r="AM542" s="71"/>
      <c r="AN542" s="71"/>
      <c r="AO542" s="71"/>
      <c r="AP542" s="71"/>
      <c r="AQ542" s="71"/>
    </row>
    <row r="543" spans="1:43" x14ac:dyDescent="0.25">
      <c r="K543" s="71"/>
      <c r="AB543" s="71"/>
      <c r="AC543" s="71"/>
      <c r="AD543" s="71"/>
      <c r="AE543" s="71"/>
      <c r="AF543" s="71"/>
      <c r="AG543" s="71"/>
      <c r="AH543" s="71"/>
      <c r="AI543" s="71"/>
      <c r="AJ543" s="71"/>
      <c r="AK543" s="71"/>
      <c r="AL543" s="71"/>
      <c r="AM543" s="71"/>
      <c r="AN543" s="71"/>
      <c r="AO543" s="71"/>
      <c r="AP543" s="71"/>
      <c r="AQ543" s="71"/>
    </row>
    <row r="544" spans="1:43" x14ac:dyDescent="0.25">
      <c r="K544" s="71"/>
      <c r="AB544" s="71"/>
      <c r="AC544" s="71"/>
      <c r="AD544" s="71"/>
      <c r="AE544" s="71"/>
      <c r="AF544" s="71"/>
      <c r="AG544" s="71"/>
      <c r="AH544" s="71"/>
      <c r="AI544" s="71"/>
      <c r="AJ544" s="71"/>
      <c r="AK544" s="71"/>
      <c r="AL544" s="71"/>
      <c r="AM544" s="71"/>
      <c r="AN544" s="71"/>
      <c r="AO544" s="71"/>
      <c r="AP544" s="71"/>
      <c r="AQ544" s="71"/>
    </row>
    <row r="545" spans="11:43" x14ac:dyDescent="0.25">
      <c r="K545" s="71"/>
      <c r="AB545" s="71"/>
      <c r="AC545" s="71"/>
      <c r="AD545" s="71"/>
      <c r="AE545" s="71"/>
      <c r="AF545" s="71"/>
      <c r="AG545" s="71"/>
      <c r="AH545" s="71"/>
      <c r="AI545" s="71"/>
      <c r="AJ545" s="71"/>
      <c r="AK545" s="71"/>
      <c r="AL545" s="71"/>
      <c r="AM545" s="71"/>
      <c r="AN545" s="71"/>
      <c r="AO545" s="71"/>
      <c r="AP545" s="71"/>
      <c r="AQ545" s="71"/>
    </row>
    <row r="546" spans="11:43" x14ac:dyDescent="0.25">
      <c r="K546" s="71"/>
      <c r="AB546" s="71"/>
      <c r="AC546" s="71"/>
      <c r="AD546" s="71"/>
      <c r="AE546" s="71"/>
      <c r="AF546" s="71"/>
      <c r="AG546" s="71"/>
      <c r="AH546" s="71"/>
      <c r="AI546" s="71"/>
      <c r="AJ546" s="71"/>
      <c r="AK546" s="71"/>
      <c r="AL546" s="71"/>
      <c r="AM546" s="71"/>
      <c r="AN546" s="71"/>
      <c r="AO546" s="71"/>
      <c r="AP546" s="71"/>
      <c r="AQ546" s="71"/>
    </row>
    <row r="547" spans="11:43" x14ac:dyDescent="0.25">
      <c r="K547" s="71"/>
      <c r="AB547" s="71"/>
      <c r="AC547" s="71"/>
      <c r="AD547" s="71"/>
      <c r="AE547" s="71"/>
      <c r="AF547" s="71"/>
      <c r="AG547" s="71"/>
      <c r="AH547" s="71"/>
      <c r="AI547" s="71"/>
      <c r="AJ547" s="71"/>
      <c r="AK547" s="71"/>
      <c r="AL547" s="71"/>
      <c r="AM547" s="71"/>
      <c r="AN547" s="71"/>
      <c r="AO547" s="71"/>
      <c r="AP547" s="71"/>
      <c r="AQ547" s="71"/>
    </row>
    <row r="548" spans="11:43" x14ac:dyDescent="0.25">
      <c r="K548" s="71"/>
      <c r="AB548" s="71"/>
      <c r="AC548" s="71"/>
      <c r="AD548" s="71"/>
      <c r="AE548" s="71"/>
      <c r="AF548" s="71"/>
      <c r="AG548" s="71"/>
      <c r="AH548" s="71"/>
      <c r="AI548" s="71"/>
      <c r="AJ548" s="71"/>
      <c r="AK548" s="71"/>
      <c r="AL548" s="71"/>
      <c r="AM548" s="71"/>
      <c r="AN548" s="71"/>
      <c r="AO548" s="71"/>
      <c r="AP548" s="71"/>
      <c r="AQ548" s="71"/>
    </row>
    <row r="549" spans="11:43" x14ac:dyDescent="0.25">
      <c r="K549" s="71"/>
      <c r="AB549" s="71"/>
      <c r="AC549" s="71"/>
      <c r="AD549" s="71"/>
      <c r="AE549" s="71"/>
      <c r="AF549" s="71"/>
      <c r="AG549" s="71"/>
      <c r="AH549" s="71"/>
      <c r="AI549" s="71"/>
      <c r="AJ549" s="71"/>
      <c r="AK549" s="71"/>
      <c r="AL549" s="71"/>
      <c r="AM549" s="71"/>
      <c r="AN549" s="71"/>
      <c r="AO549" s="71"/>
      <c r="AP549" s="71"/>
      <c r="AQ549" s="71"/>
    </row>
    <row r="550" spans="11:43" x14ac:dyDescent="0.25">
      <c r="K550" s="71"/>
      <c r="AB550" s="71"/>
      <c r="AC550" s="71"/>
      <c r="AD550" s="71"/>
      <c r="AE550" s="71"/>
      <c r="AF550" s="71"/>
      <c r="AG550" s="71"/>
      <c r="AH550" s="71"/>
      <c r="AI550" s="71"/>
      <c r="AJ550" s="71"/>
      <c r="AK550" s="71"/>
      <c r="AL550" s="71"/>
      <c r="AM550" s="71"/>
      <c r="AN550" s="71"/>
      <c r="AO550" s="71"/>
      <c r="AP550" s="71"/>
      <c r="AQ550" s="71"/>
    </row>
    <row r="551" spans="11:43" x14ac:dyDescent="0.25">
      <c r="K551" s="71"/>
      <c r="AB551" s="71"/>
      <c r="AC551" s="71"/>
      <c r="AD551" s="71"/>
      <c r="AE551" s="71"/>
      <c r="AF551" s="71"/>
      <c r="AG551" s="71"/>
      <c r="AH551" s="71"/>
      <c r="AI551" s="71"/>
      <c r="AJ551" s="71"/>
      <c r="AK551" s="71"/>
      <c r="AL551" s="71"/>
      <c r="AM551" s="71"/>
      <c r="AN551" s="71"/>
      <c r="AO551" s="71"/>
      <c r="AP551" s="71"/>
      <c r="AQ551" s="71"/>
    </row>
    <row r="552" spans="11:43" x14ac:dyDescent="0.25">
      <c r="K552" s="71"/>
      <c r="AB552" s="71"/>
      <c r="AC552" s="71"/>
      <c r="AD552" s="71"/>
      <c r="AE552" s="71"/>
      <c r="AF552" s="71"/>
      <c r="AG552" s="71"/>
      <c r="AH552" s="71"/>
      <c r="AI552" s="71"/>
      <c r="AJ552" s="71"/>
      <c r="AK552" s="71"/>
      <c r="AL552" s="71"/>
      <c r="AM552" s="71"/>
      <c r="AN552" s="71"/>
      <c r="AO552" s="71"/>
      <c r="AP552" s="71"/>
      <c r="AQ552" s="71"/>
    </row>
    <row r="553" spans="11:43" x14ac:dyDescent="0.25">
      <c r="K553" s="71"/>
      <c r="AB553" s="71"/>
      <c r="AC553" s="71"/>
      <c r="AD553" s="71"/>
      <c r="AE553" s="71"/>
      <c r="AF553" s="71"/>
      <c r="AG553" s="71"/>
      <c r="AH553" s="71"/>
      <c r="AI553" s="71"/>
      <c r="AJ553" s="71"/>
      <c r="AK553" s="71"/>
      <c r="AL553" s="71"/>
      <c r="AM553" s="71"/>
      <c r="AN553" s="71"/>
      <c r="AO553" s="71"/>
      <c r="AP553" s="71"/>
      <c r="AQ553" s="71"/>
    </row>
    <row r="554" spans="11:43" x14ac:dyDescent="0.25">
      <c r="K554" s="71"/>
      <c r="AB554" s="71"/>
      <c r="AC554" s="71"/>
      <c r="AD554" s="71"/>
      <c r="AE554" s="71"/>
      <c r="AF554" s="71"/>
      <c r="AG554" s="71"/>
      <c r="AH554" s="71"/>
      <c r="AI554" s="71"/>
      <c r="AJ554" s="71"/>
      <c r="AK554" s="71"/>
      <c r="AL554" s="71"/>
      <c r="AM554" s="71"/>
      <c r="AN554" s="71"/>
      <c r="AO554" s="71"/>
      <c r="AP554" s="71"/>
      <c r="AQ554" s="71"/>
    </row>
    <row r="555" spans="11:43" x14ac:dyDescent="0.25">
      <c r="K555" s="71"/>
      <c r="AB555" s="71"/>
      <c r="AC555" s="71"/>
      <c r="AD555" s="71"/>
      <c r="AE555" s="71"/>
      <c r="AF555" s="71"/>
      <c r="AG555" s="71"/>
      <c r="AH555" s="71"/>
      <c r="AI555" s="71"/>
      <c r="AJ555" s="71"/>
      <c r="AK555" s="71"/>
      <c r="AL555" s="71"/>
      <c r="AM555" s="71"/>
      <c r="AN555" s="71"/>
      <c r="AO555" s="71"/>
      <c r="AP555" s="71"/>
      <c r="AQ555" s="71"/>
    </row>
    <row r="556" spans="11:43" x14ac:dyDescent="0.25">
      <c r="K556" s="71"/>
      <c r="AB556" s="71"/>
      <c r="AC556" s="71"/>
      <c r="AD556" s="71"/>
      <c r="AE556" s="71"/>
      <c r="AF556" s="71"/>
      <c r="AG556" s="71"/>
      <c r="AH556" s="71"/>
      <c r="AI556" s="71"/>
      <c r="AJ556" s="71"/>
      <c r="AK556" s="71"/>
      <c r="AL556" s="71"/>
      <c r="AM556" s="71"/>
      <c r="AN556" s="71"/>
      <c r="AO556" s="71"/>
      <c r="AP556" s="71"/>
      <c r="AQ556" s="71"/>
    </row>
    <row r="557" spans="11:43" x14ac:dyDescent="0.25">
      <c r="K557" s="71"/>
      <c r="AB557" s="71"/>
      <c r="AC557" s="71"/>
      <c r="AD557" s="71"/>
      <c r="AE557" s="71"/>
      <c r="AF557" s="71"/>
      <c r="AG557" s="71"/>
      <c r="AH557" s="71"/>
      <c r="AI557" s="71"/>
      <c r="AJ557" s="71"/>
      <c r="AK557" s="71"/>
      <c r="AL557" s="71"/>
      <c r="AM557" s="71"/>
      <c r="AN557" s="71"/>
      <c r="AO557" s="71"/>
      <c r="AP557" s="71"/>
      <c r="AQ557" s="71"/>
    </row>
    <row r="558" spans="11:43" x14ac:dyDescent="0.25">
      <c r="K558" s="71"/>
      <c r="AB558" s="71"/>
      <c r="AC558" s="71"/>
      <c r="AD558" s="71"/>
      <c r="AE558" s="71"/>
      <c r="AF558" s="71"/>
      <c r="AG558" s="71"/>
      <c r="AH558" s="71"/>
      <c r="AI558" s="71"/>
      <c r="AJ558" s="71"/>
      <c r="AK558" s="71"/>
      <c r="AL558" s="71"/>
      <c r="AM558" s="71"/>
      <c r="AN558" s="71"/>
      <c r="AO558" s="71"/>
      <c r="AP558" s="71"/>
      <c r="AQ558" s="71"/>
    </row>
    <row r="559" spans="11:43" x14ac:dyDescent="0.25">
      <c r="K559" s="71"/>
      <c r="AB559" s="71"/>
      <c r="AC559" s="71"/>
      <c r="AD559" s="71"/>
      <c r="AE559" s="71"/>
      <c r="AF559" s="71"/>
      <c r="AG559" s="71"/>
      <c r="AH559" s="71"/>
      <c r="AI559" s="71"/>
      <c r="AJ559" s="71"/>
      <c r="AK559" s="71"/>
      <c r="AL559" s="71"/>
      <c r="AM559" s="71"/>
      <c r="AN559" s="71"/>
      <c r="AO559" s="71"/>
      <c r="AP559" s="71"/>
      <c r="AQ559" s="71"/>
    </row>
    <row r="560" spans="11:43" x14ac:dyDescent="0.25">
      <c r="K560" s="71"/>
      <c r="AB560" s="71"/>
      <c r="AC560" s="71"/>
      <c r="AD560" s="71"/>
      <c r="AE560" s="71"/>
      <c r="AF560" s="71"/>
      <c r="AG560" s="71"/>
      <c r="AH560" s="71"/>
      <c r="AI560" s="71"/>
      <c r="AJ560" s="71"/>
      <c r="AK560" s="71"/>
      <c r="AL560" s="71"/>
      <c r="AM560" s="71"/>
      <c r="AN560" s="71"/>
      <c r="AO560" s="71"/>
      <c r="AP560" s="71"/>
      <c r="AQ560" s="71"/>
    </row>
    <row r="561" spans="11:43" x14ac:dyDescent="0.25">
      <c r="K561" s="71"/>
      <c r="AB561" s="71"/>
      <c r="AC561" s="71"/>
      <c r="AD561" s="71"/>
      <c r="AE561" s="71"/>
      <c r="AF561" s="71"/>
      <c r="AG561" s="71"/>
      <c r="AH561" s="71"/>
      <c r="AI561" s="71"/>
      <c r="AJ561" s="71"/>
      <c r="AK561" s="71"/>
      <c r="AL561" s="71"/>
      <c r="AM561" s="71"/>
      <c r="AN561" s="71"/>
      <c r="AO561" s="71"/>
      <c r="AP561" s="71"/>
      <c r="AQ561" s="71"/>
    </row>
    <row r="562" spans="11:43" x14ac:dyDescent="0.25">
      <c r="K562" s="71"/>
      <c r="AB562" s="71"/>
      <c r="AC562" s="71"/>
      <c r="AD562" s="71"/>
      <c r="AE562" s="71"/>
      <c r="AF562" s="71"/>
      <c r="AG562" s="71"/>
      <c r="AH562" s="71"/>
      <c r="AI562" s="71"/>
      <c r="AJ562" s="71"/>
      <c r="AK562" s="71"/>
      <c r="AL562" s="71"/>
      <c r="AM562" s="71"/>
      <c r="AN562" s="71"/>
      <c r="AO562" s="71"/>
      <c r="AP562" s="71"/>
      <c r="AQ562" s="71"/>
    </row>
    <row r="563" spans="11:43" x14ac:dyDescent="0.25">
      <c r="K563" s="71"/>
      <c r="AB563" s="71"/>
      <c r="AC563" s="71"/>
      <c r="AD563" s="71"/>
      <c r="AE563" s="71"/>
      <c r="AF563" s="71"/>
      <c r="AG563" s="71"/>
      <c r="AH563" s="71"/>
      <c r="AI563" s="71"/>
      <c r="AJ563" s="71"/>
      <c r="AK563" s="71"/>
      <c r="AL563" s="71"/>
      <c r="AM563" s="71"/>
      <c r="AN563" s="71"/>
      <c r="AO563" s="71"/>
      <c r="AP563" s="71"/>
      <c r="AQ563" s="71"/>
    </row>
    <row r="564" spans="11:43" x14ac:dyDescent="0.25">
      <c r="K564" s="71"/>
      <c r="AB564" s="71"/>
      <c r="AC564" s="71"/>
      <c r="AD564" s="71"/>
      <c r="AE564" s="71"/>
      <c r="AF564" s="71"/>
      <c r="AG564" s="71"/>
      <c r="AH564" s="71"/>
      <c r="AI564" s="71"/>
      <c r="AJ564" s="71"/>
      <c r="AK564" s="71"/>
      <c r="AL564" s="71"/>
      <c r="AM564" s="71"/>
      <c r="AN564" s="71"/>
      <c r="AO564" s="71"/>
      <c r="AP564" s="71"/>
      <c r="AQ564" s="71"/>
    </row>
    <row r="565" spans="11:43" x14ac:dyDescent="0.25">
      <c r="K565" s="71"/>
      <c r="AB565" s="71"/>
      <c r="AC565" s="71"/>
      <c r="AD565" s="71"/>
      <c r="AE565" s="71"/>
      <c r="AF565" s="71"/>
      <c r="AG565" s="71"/>
      <c r="AH565" s="71"/>
      <c r="AI565" s="71"/>
      <c r="AJ565" s="71"/>
      <c r="AK565" s="71"/>
      <c r="AL565" s="71"/>
      <c r="AM565" s="71"/>
      <c r="AN565" s="71"/>
      <c r="AO565" s="71"/>
      <c r="AP565" s="71"/>
      <c r="AQ565" s="71"/>
    </row>
    <row r="566" spans="11:43" x14ac:dyDescent="0.25">
      <c r="K566" s="71"/>
      <c r="AB566" s="71"/>
      <c r="AC566" s="71"/>
      <c r="AD566" s="71"/>
      <c r="AE566" s="71"/>
      <c r="AF566" s="71"/>
      <c r="AG566" s="71"/>
      <c r="AH566" s="71"/>
      <c r="AI566" s="71"/>
      <c r="AJ566" s="71"/>
      <c r="AK566" s="71"/>
      <c r="AL566" s="71"/>
      <c r="AM566" s="71"/>
      <c r="AN566" s="71"/>
      <c r="AO566" s="71"/>
      <c r="AP566" s="71"/>
      <c r="AQ566" s="71"/>
    </row>
    <row r="567" spans="11:43" x14ac:dyDescent="0.25">
      <c r="K567" s="71"/>
      <c r="AB567" s="71"/>
      <c r="AC567" s="71"/>
      <c r="AD567" s="71"/>
      <c r="AE567" s="71"/>
      <c r="AF567" s="71"/>
      <c r="AG567" s="71"/>
      <c r="AH567" s="71"/>
      <c r="AI567" s="71"/>
      <c r="AJ567" s="71"/>
      <c r="AK567" s="71"/>
      <c r="AL567" s="71"/>
      <c r="AM567" s="71"/>
      <c r="AN567" s="71"/>
      <c r="AO567" s="71"/>
      <c r="AP567" s="71"/>
      <c r="AQ567" s="71"/>
    </row>
    <row r="568" spans="11:43" x14ac:dyDescent="0.25">
      <c r="K568" s="71"/>
      <c r="AB568" s="71"/>
      <c r="AC568" s="71"/>
      <c r="AD568" s="71"/>
      <c r="AE568" s="71"/>
      <c r="AF568" s="71"/>
      <c r="AG568" s="71"/>
      <c r="AH568" s="71"/>
      <c r="AI568" s="71"/>
      <c r="AJ568" s="71"/>
      <c r="AK568" s="71"/>
      <c r="AL568" s="71"/>
      <c r="AM568" s="71"/>
      <c r="AN568" s="71"/>
      <c r="AO568" s="71"/>
      <c r="AP568" s="71"/>
      <c r="AQ568" s="71"/>
    </row>
    <row r="569" spans="11:43" x14ac:dyDescent="0.25">
      <c r="K569" s="71"/>
      <c r="AB569" s="71"/>
      <c r="AC569" s="71"/>
      <c r="AD569" s="71"/>
      <c r="AE569" s="71"/>
      <c r="AF569" s="71"/>
      <c r="AG569" s="71"/>
      <c r="AH569" s="71"/>
      <c r="AI569" s="71"/>
      <c r="AJ569" s="71"/>
      <c r="AK569" s="71"/>
      <c r="AL569" s="71"/>
      <c r="AM569" s="71"/>
      <c r="AN569" s="71"/>
      <c r="AO569" s="71"/>
      <c r="AP569" s="71"/>
      <c r="AQ569" s="71"/>
    </row>
    <row r="570" spans="11:43" x14ac:dyDescent="0.25">
      <c r="K570" s="71"/>
      <c r="AB570" s="71"/>
      <c r="AC570" s="71"/>
      <c r="AD570" s="71"/>
      <c r="AE570" s="71"/>
      <c r="AF570" s="71"/>
      <c r="AG570" s="71"/>
      <c r="AH570" s="71"/>
      <c r="AI570" s="71"/>
      <c r="AJ570" s="71"/>
      <c r="AK570" s="71"/>
      <c r="AL570" s="71"/>
      <c r="AM570" s="71"/>
      <c r="AN570" s="71"/>
      <c r="AO570" s="71"/>
      <c r="AP570" s="71"/>
      <c r="AQ570" s="71"/>
    </row>
    <row r="571" spans="11:43" x14ac:dyDescent="0.25">
      <c r="K571" s="71"/>
      <c r="AB571" s="71"/>
      <c r="AC571" s="71"/>
      <c r="AD571" s="71"/>
      <c r="AE571" s="71"/>
      <c r="AF571" s="71"/>
      <c r="AG571" s="71"/>
      <c r="AH571" s="71"/>
      <c r="AI571" s="71"/>
      <c r="AJ571" s="71"/>
      <c r="AK571" s="71"/>
      <c r="AL571" s="71"/>
      <c r="AM571" s="71"/>
      <c r="AN571" s="71"/>
      <c r="AO571" s="71"/>
      <c r="AP571" s="71"/>
      <c r="AQ571" s="71"/>
    </row>
    <row r="572" spans="11:43" x14ac:dyDescent="0.25">
      <c r="K572" s="71"/>
      <c r="AB572" s="71"/>
      <c r="AC572" s="71"/>
      <c r="AD572" s="71"/>
      <c r="AE572" s="71"/>
      <c r="AF572" s="71"/>
      <c r="AG572" s="71"/>
      <c r="AH572" s="71"/>
      <c r="AI572" s="71"/>
      <c r="AJ572" s="71"/>
      <c r="AK572" s="71"/>
      <c r="AL572" s="71"/>
      <c r="AM572" s="71"/>
      <c r="AN572" s="71"/>
      <c r="AO572" s="71"/>
      <c r="AP572" s="71"/>
      <c r="AQ572" s="71"/>
    </row>
    <row r="573" spans="11:43" x14ac:dyDescent="0.25">
      <c r="K573" s="71"/>
      <c r="AB573" s="71"/>
      <c r="AC573" s="71"/>
      <c r="AD573" s="71"/>
      <c r="AE573" s="71"/>
      <c r="AF573" s="71"/>
      <c r="AG573" s="71"/>
      <c r="AH573" s="71"/>
      <c r="AI573" s="71"/>
      <c r="AJ573" s="71"/>
      <c r="AK573" s="71"/>
      <c r="AL573" s="71"/>
      <c r="AM573" s="71"/>
      <c r="AN573" s="71"/>
      <c r="AO573" s="71"/>
      <c r="AP573" s="71"/>
      <c r="AQ573" s="71"/>
    </row>
    <row r="574" spans="11:43" x14ac:dyDescent="0.25">
      <c r="K574" s="71"/>
      <c r="AB574" s="71"/>
      <c r="AC574" s="71"/>
      <c r="AD574" s="71"/>
      <c r="AE574" s="71"/>
      <c r="AF574" s="71"/>
      <c r="AG574" s="71"/>
      <c r="AH574" s="71"/>
      <c r="AI574" s="71"/>
      <c r="AJ574" s="71"/>
      <c r="AK574" s="71"/>
      <c r="AL574" s="71"/>
      <c r="AM574" s="71"/>
      <c r="AN574" s="71"/>
      <c r="AO574" s="71"/>
      <c r="AP574" s="71"/>
      <c r="AQ574" s="71"/>
    </row>
    <row r="575" spans="11:43" x14ac:dyDescent="0.25">
      <c r="K575" s="71"/>
      <c r="AB575" s="71"/>
      <c r="AC575" s="71"/>
      <c r="AD575" s="71"/>
      <c r="AE575" s="71"/>
      <c r="AF575" s="71"/>
      <c r="AG575" s="71"/>
      <c r="AH575" s="71"/>
      <c r="AI575" s="71"/>
      <c r="AJ575" s="71"/>
      <c r="AK575" s="71"/>
      <c r="AL575" s="71"/>
      <c r="AM575" s="71"/>
      <c r="AN575" s="71"/>
      <c r="AO575" s="71"/>
      <c r="AP575" s="71"/>
      <c r="AQ575" s="71"/>
    </row>
    <row r="576" spans="11:43" x14ac:dyDescent="0.25">
      <c r="K576" s="71"/>
      <c r="AB576" s="71"/>
      <c r="AC576" s="71"/>
      <c r="AD576" s="71"/>
      <c r="AE576" s="71"/>
      <c r="AF576" s="71"/>
      <c r="AG576" s="71"/>
      <c r="AH576" s="71"/>
      <c r="AI576" s="71"/>
      <c r="AJ576" s="71"/>
      <c r="AK576" s="71"/>
      <c r="AL576" s="71"/>
      <c r="AM576" s="71"/>
      <c r="AN576" s="71"/>
      <c r="AO576" s="71"/>
      <c r="AP576" s="71"/>
      <c r="AQ576" s="71"/>
    </row>
    <row r="577" spans="11:43" x14ac:dyDescent="0.25">
      <c r="K577" s="71"/>
      <c r="AB577" s="71"/>
      <c r="AC577" s="71"/>
      <c r="AD577" s="71"/>
      <c r="AE577" s="71"/>
      <c r="AF577" s="71"/>
      <c r="AG577" s="71"/>
      <c r="AH577" s="71"/>
      <c r="AI577" s="71"/>
      <c r="AJ577" s="71"/>
      <c r="AK577" s="71"/>
      <c r="AL577" s="71"/>
      <c r="AM577" s="71"/>
      <c r="AN577" s="71"/>
      <c r="AO577" s="71"/>
      <c r="AP577" s="71"/>
      <c r="AQ577" s="71"/>
    </row>
    <row r="578" spans="11:43" x14ac:dyDescent="0.25">
      <c r="K578" s="71"/>
      <c r="AB578" s="71"/>
      <c r="AC578" s="71"/>
      <c r="AD578" s="71"/>
      <c r="AE578" s="71"/>
      <c r="AF578" s="71"/>
      <c r="AG578" s="71"/>
      <c r="AH578" s="71"/>
      <c r="AI578" s="71"/>
      <c r="AJ578" s="71"/>
      <c r="AK578" s="71"/>
      <c r="AL578" s="71"/>
      <c r="AM578" s="71"/>
      <c r="AN578" s="71"/>
      <c r="AO578" s="71"/>
      <c r="AP578" s="71"/>
      <c r="AQ578" s="71"/>
    </row>
    <row r="579" spans="11:43" x14ac:dyDescent="0.25">
      <c r="K579" s="71"/>
      <c r="AB579" s="71"/>
      <c r="AC579" s="71"/>
      <c r="AD579" s="71"/>
      <c r="AE579" s="71"/>
      <c r="AF579" s="71"/>
      <c r="AG579" s="71"/>
      <c r="AH579" s="71"/>
      <c r="AI579" s="71"/>
      <c r="AJ579" s="71"/>
      <c r="AK579" s="71"/>
      <c r="AL579" s="71"/>
      <c r="AM579" s="71"/>
      <c r="AN579" s="71"/>
      <c r="AO579" s="71"/>
      <c r="AP579" s="71"/>
      <c r="AQ579" s="71"/>
    </row>
    <row r="580" spans="11:43" x14ac:dyDescent="0.25">
      <c r="K580" s="71"/>
      <c r="AB580" s="71"/>
      <c r="AC580" s="71"/>
      <c r="AD580" s="71"/>
      <c r="AE580" s="71"/>
      <c r="AF580" s="71"/>
      <c r="AG580" s="71"/>
      <c r="AH580" s="71"/>
      <c r="AI580" s="71"/>
      <c r="AJ580" s="71"/>
      <c r="AK580" s="71"/>
      <c r="AL580" s="71"/>
      <c r="AM580" s="71"/>
      <c r="AN580" s="71"/>
      <c r="AO580" s="71"/>
      <c r="AP580" s="71"/>
      <c r="AQ580" s="71"/>
    </row>
    <row r="581" spans="11:43" x14ac:dyDescent="0.25">
      <c r="K581" s="71"/>
      <c r="AB581" s="71"/>
      <c r="AC581" s="71"/>
      <c r="AD581" s="71"/>
      <c r="AE581" s="71"/>
      <c r="AF581" s="71"/>
      <c r="AG581" s="71"/>
      <c r="AH581" s="71"/>
      <c r="AI581" s="71"/>
      <c r="AJ581" s="71"/>
      <c r="AK581" s="71"/>
      <c r="AL581" s="71"/>
      <c r="AM581" s="71"/>
      <c r="AN581" s="71"/>
      <c r="AO581" s="71"/>
      <c r="AP581" s="71"/>
      <c r="AQ581" s="71"/>
    </row>
    <row r="582" spans="11:43" x14ac:dyDescent="0.25">
      <c r="K582" s="71"/>
      <c r="AB582" s="71"/>
      <c r="AC582" s="71"/>
      <c r="AD582" s="71"/>
      <c r="AE582" s="71"/>
      <c r="AF582" s="71"/>
      <c r="AG582" s="71"/>
      <c r="AH582" s="71"/>
      <c r="AI582" s="71"/>
      <c r="AJ582" s="71"/>
      <c r="AK582" s="71"/>
      <c r="AL582" s="71"/>
      <c r="AM582" s="71"/>
      <c r="AN582" s="71"/>
      <c r="AO582" s="71"/>
      <c r="AP582" s="71"/>
      <c r="AQ582" s="71"/>
    </row>
    <row r="583" spans="11:43" x14ac:dyDescent="0.25">
      <c r="K583" s="71"/>
      <c r="AB583" s="71"/>
      <c r="AC583" s="71"/>
      <c r="AD583" s="71"/>
      <c r="AE583" s="71"/>
      <c r="AF583" s="71"/>
      <c r="AG583" s="71"/>
      <c r="AH583" s="71"/>
      <c r="AI583" s="71"/>
      <c r="AJ583" s="71"/>
      <c r="AK583" s="71"/>
      <c r="AL583" s="71"/>
      <c r="AM583" s="71"/>
      <c r="AN583" s="71"/>
      <c r="AO583" s="71"/>
      <c r="AP583" s="71"/>
      <c r="AQ583" s="71"/>
    </row>
    <row r="584" spans="11:43" x14ac:dyDescent="0.25">
      <c r="K584" s="71"/>
      <c r="AB584" s="71"/>
      <c r="AC584" s="71"/>
      <c r="AD584" s="71"/>
      <c r="AE584" s="71"/>
      <c r="AF584" s="71"/>
      <c r="AG584" s="71"/>
      <c r="AH584" s="71"/>
      <c r="AI584" s="71"/>
      <c r="AJ584" s="71"/>
      <c r="AK584" s="71"/>
      <c r="AL584" s="71"/>
      <c r="AM584" s="71"/>
      <c r="AN584" s="71"/>
      <c r="AO584" s="71"/>
      <c r="AP584" s="71"/>
      <c r="AQ584" s="71"/>
    </row>
    <row r="585" spans="11:43" x14ac:dyDescent="0.25">
      <c r="K585" s="71"/>
      <c r="AB585" s="71"/>
      <c r="AC585" s="71"/>
      <c r="AD585" s="71"/>
      <c r="AE585" s="71"/>
      <c r="AF585" s="71"/>
      <c r="AG585" s="71"/>
      <c r="AH585" s="71"/>
      <c r="AI585" s="71"/>
      <c r="AJ585" s="71"/>
      <c r="AK585" s="71"/>
      <c r="AL585" s="71"/>
      <c r="AM585" s="71"/>
      <c r="AN585" s="71"/>
      <c r="AO585" s="71"/>
      <c r="AP585" s="71"/>
      <c r="AQ585" s="71"/>
    </row>
    <row r="586" spans="11:43" x14ac:dyDescent="0.25">
      <c r="K586" s="71"/>
      <c r="AB586" s="71"/>
      <c r="AC586" s="71"/>
      <c r="AD586" s="71"/>
      <c r="AE586" s="71"/>
      <c r="AF586" s="71"/>
      <c r="AG586" s="71"/>
      <c r="AH586" s="71"/>
      <c r="AI586" s="71"/>
      <c r="AJ586" s="71"/>
      <c r="AK586" s="71"/>
      <c r="AL586" s="71"/>
      <c r="AM586" s="71"/>
      <c r="AN586" s="71"/>
      <c r="AO586" s="71"/>
      <c r="AP586" s="71"/>
      <c r="AQ586" s="71"/>
    </row>
    <row r="587" spans="11:43" x14ac:dyDescent="0.25">
      <c r="K587" s="71"/>
      <c r="AB587" s="71"/>
      <c r="AC587" s="71"/>
      <c r="AD587" s="71"/>
      <c r="AE587" s="71"/>
      <c r="AF587" s="71"/>
      <c r="AG587" s="71"/>
      <c r="AH587" s="71"/>
      <c r="AI587" s="71"/>
      <c r="AJ587" s="71"/>
      <c r="AK587" s="71"/>
      <c r="AL587" s="71"/>
      <c r="AM587" s="71"/>
      <c r="AN587" s="71"/>
      <c r="AO587" s="71"/>
      <c r="AP587" s="71"/>
      <c r="AQ587" s="71"/>
    </row>
    <row r="588" spans="11:43" x14ac:dyDescent="0.25">
      <c r="K588" s="71"/>
      <c r="AB588" s="71"/>
      <c r="AC588" s="71"/>
      <c r="AD588" s="71"/>
      <c r="AE588" s="71"/>
      <c r="AF588" s="71"/>
      <c r="AG588" s="71"/>
      <c r="AH588" s="71"/>
      <c r="AI588" s="71"/>
      <c r="AJ588" s="71"/>
      <c r="AK588" s="71"/>
      <c r="AL588" s="71"/>
      <c r="AM588" s="71"/>
      <c r="AN588" s="71"/>
      <c r="AO588" s="71"/>
      <c r="AP588" s="71"/>
      <c r="AQ588" s="71"/>
    </row>
    <row r="589" spans="11:43" x14ac:dyDescent="0.25">
      <c r="K589" s="71"/>
      <c r="AB589" s="71"/>
      <c r="AC589" s="71"/>
      <c r="AD589" s="71"/>
      <c r="AE589" s="71"/>
      <c r="AF589" s="71"/>
      <c r="AG589" s="71"/>
      <c r="AH589" s="71"/>
      <c r="AI589" s="71"/>
      <c r="AJ589" s="71"/>
      <c r="AK589" s="71"/>
      <c r="AL589" s="71"/>
      <c r="AM589" s="71"/>
      <c r="AN589" s="71"/>
      <c r="AO589" s="71"/>
      <c r="AP589" s="71"/>
      <c r="AQ589" s="71"/>
    </row>
    <row r="590" spans="11:43" x14ac:dyDescent="0.25">
      <c r="K590" s="71"/>
      <c r="AB590" s="71"/>
      <c r="AC590" s="71"/>
      <c r="AD590" s="71"/>
      <c r="AE590" s="71"/>
      <c r="AF590" s="71"/>
      <c r="AG590" s="71"/>
      <c r="AH590" s="71"/>
      <c r="AI590" s="71"/>
      <c r="AJ590" s="71"/>
      <c r="AK590" s="71"/>
      <c r="AL590" s="71"/>
      <c r="AM590" s="71"/>
      <c r="AN590" s="71"/>
      <c r="AO590" s="71"/>
      <c r="AP590" s="71"/>
      <c r="AQ590" s="71"/>
    </row>
    <row r="591" spans="11:43" x14ac:dyDescent="0.25">
      <c r="K591" s="71"/>
      <c r="AB591" s="71"/>
      <c r="AC591" s="71"/>
      <c r="AD591" s="71"/>
      <c r="AE591" s="71"/>
      <c r="AF591" s="71"/>
      <c r="AG591" s="71"/>
      <c r="AH591" s="71"/>
      <c r="AI591" s="71"/>
      <c r="AJ591" s="71"/>
      <c r="AK591" s="71"/>
      <c r="AL591" s="71"/>
      <c r="AM591" s="71"/>
      <c r="AN591" s="71"/>
      <c r="AO591" s="71"/>
      <c r="AP591" s="71"/>
      <c r="AQ591" s="71"/>
    </row>
    <row r="592" spans="11:43" x14ac:dyDescent="0.25">
      <c r="K592" s="71"/>
      <c r="AB592" s="71"/>
      <c r="AC592" s="71"/>
      <c r="AD592" s="71"/>
      <c r="AE592" s="71"/>
      <c r="AF592" s="71"/>
      <c r="AG592" s="71"/>
      <c r="AH592" s="71"/>
      <c r="AI592" s="71"/>
      <c r="AJ592" s="71"/>
      <c r="AK592" s="71"/>
      <c r="AL592" s="71"/>
      <c r="AM592" s="71"/>
      <c r="AN592" s="71"/>
      <c r="AO592" s="71"/>
      <c r="AP592" s="71"/>
      <c r="AQ592" s="71"/>
    </row>
    <row r="593" spans="11:43" x14ac:dyDescent="0.25">
      <c r="K593" s="71"/>
      <c r="AB593" s="71"/>
      <c r="AC593" s="71"/>
      <c r="AD593" s="71"/>
      <c r="AE593" s="71"/>
      <c r="AF593" s="71"/>
      <c r="AG593" s="71"/>
      <c r="AH593" s="71"/>
      <c r="AI593" s="71"/>
      <c r="AJ593" s="71"/>
      <c r="AK593" s="71"/>
      <c r="AL593" s="71"/>
      <c r="AM593" s="71"/>
      <c r="AN593" s="71"/>
      <c r="AO593" s="71"/>
      <c r="AP593" s="71"/>
      <c r="AQ593" s="71"/>
    </row>
    <row r="594" spans="11:43" x14ac:dyDescent="0.25">
      <c r="K594" s="71"/>
      <c r="AB594" s="71"/>
      <c r="AC594" s="71"/>
      <c r="AD594" s="71"/>
      <c r="AE594" s="71"/>
      <c r="AF594" s="71"/>
      <c r="AG594" s="71"/>
      <c r="AH594" s="71"/>
      <c r="AI594" s="71"/>
      <c r="AJ594" s="71"/>
      <c r="AK594" s="71"/>
      <c r="AL594" s="71"/>
      <c r="AM594" s="71"/>
      <c r="AN594" s="71"/>
      <c r="AO594" s="71"/>
      <c r="AP594" s="71"/>
      <c r="AQ594" s="71"/>
    </row>
    <row r="595" spans="11:43" x14ac:dyDescent="0.25">
      <c r="K595" s="71"/>
      <c r="AB595" s="71"/>
      <c r="AC595" s="71"/>
      <c r="AD595" s="71"/>
      <c r="AE595" s="71"/>
      <c r="AF595" s="71"/>
      <c r="AG595" s="71"/>
      <c r="AH595" s="71"/>
      <c r="AI595" s="71"/>
      <c r="AJ595" s="71"/>
      <c r="AK595" s="71"/>
      <c r="AL595" s="71"/>
      <c r="AM595" s="71"/>
      <c r="AN595" s="71"/>
      <c r="AO595" s="71"/>
      <c r="AP595" s="71"/>
      <c r="AQ595" s="71"/>
    </row>
    <row r="596" spans="11:43" x14ac:dyDescent="0.25">
      <c r="K596" s="71"/>
      <c r="AB596" s="71"/>
      <c r="AC596" s="71"/>
      <c r="AD596" s="71"/>
      <c r="AE596" s="71"/>
      <c r="AF596" s="71"/>
      <c r="AG596" s="71"/>
      <c r="AH596" s="71"/>
      <c r="AI596" s="71"/>
      <c r="AJ596" s="71"/>
      <c r="AK596" s="71"/>
      <c r="AL596" s="71"/>
      <c r="AM596" s="71"/>
      <c r="AN596" s="71"/>
      <c r="AO596" s="71"/>
      <c r="AP596" s="71"/>
      <c r="AQ596" s="71"/>
    </row>
    <row r="597" spans="11:43" x14ac:dyDescent="0.25">
      <c r="K597" s="71"/>
      <c r="AB597" s="71"/>
      <c r="AC597" s="71"/>
      <c r="AD597" s="71"/>
      <c r="AE597" s="71"/>
      <c r="AF597" s="71"/>
      <c r="AG597" s="71"/>
      <c r="AH597" s="71"/>
      <c r="AI597" s="71"/>
      <c r="AJ597" s="71"/>
      <c r="AK597" s="71"/>
      <c r="AL597" s="71"/>
      <c r="AM597" s="71"/>
      <c r="AN597" s="71"/>
      <c r="AO597" s="71"/>
      <c r="AP597" s="71"/>
      <c r="AQ597" s="71"/>
    </row>
    <row r="598" spans="11:43" x14ac:dyDescent="0.25">
      <c r="K598" s="71"/>
      <c r="AB598" s="71"/>
      <c r="AC598" s="71"/>
      <c r="AD598" s="71"/>
      <c r="AE598" s="71"/>
      <c r="AF598" s="71"/>
      <c r="AG598" s="71"/>
      <c r="AH598" s="71"/>
      <c r="AI598" s="71"/>
      <c r="AJ598" s="71"/>
      <c r="AK598" s="71"/>
      <c r="AL598" s="71"/>
      <c r="AM598" s="71"/>
      <c r="AN598" s="71"/>
      <c r="AO598" s="71"/>
      <c r="AP598" s="71"/>
      <c r="AQ598" s="71"/>
    </row>
    <row r="599" spans="11:43" x14ac:dyDescent="0.25">
      <c r="K599" s="71"/>
      <c r="AB599" s="71"/>
      <c r="AC599" s="71"/>
      <c r="AD599" s="71"/>
      <c r="AE599" s="71"/>
      <c r="AF599" s="71"/>
      <c r="AG599" s="71"/>
      <c r="AH599" s="71"/>
      <c r="AI599" s="71"/>
      <c r="AJ599" s="71"/>
      <c r="AK599" s="71"/>
      <c r="AL599" s="71"/>
      <c r="AM599" s="71"/>
      <c r="AN599" s="71"/>
      <c r="AO599" s="71"/>
      <c r="AP599" s="71"/>
      <c r="AQ599" s="71"/>
    </row>
    <row r="600" spans="11:43" x14ac:dyDescent="0.25">
      <c r="K600" s="71"/>
      <c r="AB600" s="71"/>
      <c r="AC600" s="71"/>
      <c r="AD600" s="71"/>
      <c r="AE600" s="71"/>
      <c r="AF600" s="71"/>
      <c r="AG600" s="71"/>
      <c r="AH600" s="71"/>
      <c r="AI600" s="71"/>
      <c r="AJ600" s="71"/>
      <c r="AK600" s="71"/>
      <c r="AL600" s="71"/>
      <c r="AM600" s="71"/>
      <c r="AN600" s="71"/>
      <c r="AO600" s="71"/>
      <c r="AP600" s="71"/>
      <c r="AQ600" s="71"/>
    </row>
    <row r="601" spans="11:43" x14ac:dyDescent="0.25">
      <c r="K601" s="71"/>
      <c r="AB601" s="71"/>
      <c r="AC601" s="71"/>
      <c r="AD601" s="71"/>
      <c r="AE601" s="71"/>
      <c r="AF601" s="71"/>
      <c r="AG601" s="71"/>
      <c r="AH601" s="71"/>
      <c r="AI601" s="71"/>
      <c r="AJ601" s="71"/>
      <c r="AK601" s="71"/>
      <c r="AL601" s="71"/>
      <c r="AM601" s="71"/>
      <c r="AN601" s="71"/>
      <c r="AO601" s="71"/>
      <c r="AP601" s="71"/>
      <c r="AQ601" s="71"/>
    </row>
    <row r="602" spans="11:43" x14ac:dyDescent="0.25">
      <c r="K602" s="71"/>
      <c r="AB602" s="71"/>
      <c r="AC602" s="71"/>
      <c r="AD602" s="71"/>
      <c r="AE602" s="71"/>
      <c r="AF602" s="71"/>
      <c r="AG602" s="71"/>
      <c r="AH602" s="71"/>
      <c r="AI602" s="71"/>
      <c r="AJ602" s="71"/>
      <c r="AK602" s="71"/>
      <c r="AL602" s="71"/>
      <c r="AM602" s="71"/>
      <c r="AN602" s="71"/>
      <c r="AO602" s="71"/>
      <c r="AP602" s="71"/>
      <c r="AQ602" s="71"/>
    </row>
    <row r="603" spans="11:43" x14ac:dyDescent="0.25">
      <c r="K603" s="71"/>
      <c r="AB603" s="71"/>
      <c r="AC603" s="71"/>
      <c r="AD603" s="71"/>
      <c r="AE603" s="71"/>
      <c r="AF603" s="71"/>
      <c r="AG603" s="71"/>
      <c r="AH603" s="71"/>
      <c r="AI603" s="71"/>
      <c r="AJ603" s="71"/>
      <c r="AK603" s="71"/>
      <c r="AL603" s="71"/>
      <c r="AM603" s="71"/>
      <c r="AN603" s="71"/>
      <c r="AO603" s="71"/>
      <c r="AP603" s="71"/>
      <c r="AQ603" s="71"/>
    </row>
    <row r="604" spans="11:43" x14ac:dyDescent="0.25">
      <c r="K604" s="71"/>
      <c r="AB604" s="71"/>
      <c r="AC604" s="71"/>
      <c r="AD604" s="71"/>
      <c r="AE604" s="71"/>
      <c r="AF604" s="71"/>
      <c r="AG604" s="71"/>
      <c r="AH604" s="71"/>
      <c r="AI604" s="71"/>
      <c r="AJ604" s="71"/>
      <c r="AK604" s="71"/>
      <c r="AL604" s="71"/>
      <c r="AM604" s="71"/>
      <c r="AN604" s="71"/>
      <c r="AO604" s="71"/>
      <c r="AP604" s="71"/>
      <c r="AQ604" s="71"/>
    </row>
    <row r="605" spans="11:43" x14ac:dyDescent="0.25">
      <c r="K605" s="71"/>
      <c r="AB605" s="71"/>
      <c r="AC605" s="71"/>
      <c r="AD605" s="71"/>
      <c r="AE605" s="71"/>
      <c r="AF605" s="71"/>
      <c r="AG605" s="71"/>
      <c r="AH605" s="71"/>
      <c r="AI605" s="71"/>
      <c r="AJ605" s="71"/>
      <c r="AK605" s="71"/>
      <c r="AL605" s="71"/>
      <c r="AM605" s="71"/>
      <c r="AN605" s="71"/>
      <c r="AO605" s="71"/>
      <c r="AP605" s="71"/>
      <c r="AQ605" s="71"/>
    </row>
    <row r="606" spans="11:43" x14ac:dyDescent="0.25">
      <c r="K606" s="71"/>
      <c r="AB606" s="71"/>
      <c r="AC606" s="71"/>
      <c r="AD606" s="71"/>
      <c r="AE606" s="71"/>
      <c r="AF606" s="71"/>
      <c r="AG606" s="71"/>
      <c r="AH606" s="71"/>
      <c r="AI606" s="71"/>
      <c r="AJ606" s="71"/>
      <c r="AK606" s="71"/>
      <c r="AL606" s="71"/>
      <c r="AM606" s="71"/>
      <c r="AN606" s="71"/>
      <c r="AO606" s="71"/>
      <c r="AP606" s="71"/>
      <c r="AQ606" s="71"/>
    </row>
    <row r="607" spans="11:43" x14ac:dyDescent="0.25">
      <c r="K607" s="71"/>
      <c r="AB607" s="71"/>
      <c r="AC607" s="71"/>
      <c r="AD607" s="71"/>
      <c r="AE607" s="71"/>
      <c r="AF607" s="71"/>
      <c r="AG607" s="71"/>
      <c r="AH607" s="71"/>
      <c r="AI607" s="71"/>
      <c r="AJ607" s="71"/>
      <c r="AK607" s="71"/>
      <c r="AL607" s="71"/>
      <c r="AM607" s="71"/>
      <c r="AN607" s="71"/>
      <c r="AO607" s="71"/>
      <c r="AP607" s="71"/>
      <c r="AQ607" s="71"/>
    </row>
    <row r="608" spans="11:43" x14ac:dyDescent="0.25">
      <c r="K608" s="71"/>
      <c r="AB608" s="71"/>
      <c r="AC608" s="71"/>
      <c r="AD608" s="71"/>
      <c r="AE608" s="71"/>
      <c r="AF608" s="71"/>
      <c r="AG608" s="71"/>
      <c r="AH608" s="71"/>
      <c r="AI608" s="71"/>
      <c r="AJ608" s="71"/>
      <c r="AK608" s="71"/>
      <c r="AL608" s="71"/>
      <c r="AM608" s="71"/>
      <c r="AN608" s="71"/>
      <c r="AO608" s="71"/>
      <c r="AP608" s="71"/>
      <c r="AQ608" s="71"/>
    </row>
    <row r="609" spans="11:43" x14ac:dyDescent="0.25">
      <c r="K609" s="71"/>
      <c r="AB609" s="71"/>
      <c r="AC609" s="71"/>
      <c r="AD609" s="71"/>
      <c r="AE609" s="71"/>
      <c r="AF609" s="71"/>
      <c r="AG609" s="71"/>
      <c r="AH609" s="71"/>
      <c r="AI609" s="71"/>
      <c r="AJ609" s="71"/>
      <c r="AK609" s="71"/>
      <c r="AL609" s="71"/>
      <c r="AM609" s="71"/>
      <c r="AN609" s="71"/>
      <c r="AO609" s="71"/>
      <c r="AP609" s="71"/>
      <c r="AQ609" s="71"/>
    </row>
    <row r="610" spans="11:43" x14ac:dyDescent="0.25">
      <c r="K610" s="71"/>
      <c r="AB610" s="71"/>
      <c r="AC610" s="71"/>
      <c r="AD610" s="71"/>
      <c r="AE610" s="71"/>
      <c r="AF610" s="71"/>
      <c r="AG610" s="71"/>
      <c r="AH610" s="71"/>
      <c r="AI610" s="71"/>
      <c r="AJ610" s="71"/>
      <c r="AK610" s="71"/>
      <c r="AL610" s="71"/>
      <c r="AM610" s="71"/>
      <c r="AN610" s="71"/>
      <c r="AO610" s="71"/>
      <c r="AP610" s="71"/>
      <c r="AQ610" s="71"/>
    </row>
    <row r="611" spans="11:43" x14ac:dyDescent="0.25">
      <c r="K611" s="71"/>
      <c r="AB611" s="71"/>
      <c r="AC611" s="71"/>
      <c r="AD611" s="71"/>
      <c r="AE611" s="71"/>
      <c r="AF611" s="71"/>
      <c r="AG611" s="71"/>
      <c r="AH611" s="71"/>
      <c r="AI611" s="71"/>
      <c r="AJ611" s="71"/>
      <c r="AK611" s="71"/>
      <c r="AL611" s="71"/>
      <c r="AM611" s="71"/>
      <c r="AN611" s="71"/>
      <c r="AO611" s="71"/>
      <c r="AP611" s="71"/>
      <c r="AQ611" s="71"/>
    </row>
    <row r="612" spans="11:43" x14ac:dyDescent="0.25">
      <c r="K612" s="71"/>
      <c r="AB612" s="71"/>
      <c r="AC612" s="71"/>
      <c r="AD612" s="71"/>
      <c r="AE612" s="71"/>
      <c r="AF612" s="71"/>
      <c r="AG612" s="71"/>
      <c r="AH612" s="71"/>
      <c r="AI612" s="71"/>
      <c r="AJ612" s="71"/>
      <c r="AK612" s="71"/>
      <c r="AL612" s="71"/>
      <c r="AM612" s="71"/>
      <c r="AN612" s="71"/>
      <c r="AO612" s="71"/>
      <c r="AP612" s="71"/>
      <c r="AQ612" s="71"/>
    </row>
    <row r="613" spans="11:43" x14ac:dyDescent="0.25">
      <c r="K613" s="71"/>
      <c r="AB613" s="71"/>
      <c r="AC613" s="71"/>
      <c r="AD613" s="71"/>
      <c r="AE613" s="71"/>
      <c r="AF613" s="71"/>
      <c r="AG613" s="71"/>
      <c r="AH613" s="71"/>
      <c r="AI613" s="71"/>
      <c r="AJ613" s="71"/>
      <c r="AK613" s="71"/>
      <c r="AL613" s="71"/>
      <c r="AM613" s="71"/>
      <c r="AN613" s="71"/>
      <c r="AO613" s="71"/>
      <c r="AP613" s="71"/>
      <c r="AQ613" s="71"/>
    </row>
    <row r="614" spans="11:43" x14ac:dyDescent="0.25">
      <c r="K614" s="71"/>
      <c r="AB614" s="71"/>
      <c r="AC614" s="71"/>
      <c r="AD614" s="71"/>
      <c r="AE614" s="71"/>
      <c r="AF614" s="71"/>
      <c r="AG614" s="71"/>
      <c r="AH614" s="71"/>
      <c r="AI614" s="71"/>
      <c r="AJ614" s="71"/>
      <c r="AK614" s="71"/>
      <c r="AL614" s="71"/>
      <c r="AM614" s="71"/>
      <c r="AN614" s="71"/>
      <c r="AO614" s="71"/>
      <c r="AP614" s="71"/>
      <c r="AQ614" s="71"/>
    </row>
    <row r="615" spans="11:43" x14ac:dyDescent="0.25">
      <c r="K615" s="71"/>
      <c r="AB615" s="71"/>
      <c r="AC615" s="71"/>
      <c r="AD615" s="71"/>
      <c r="AE615" s="71"/>
      <c r="AF615" s="71"/>
      <c r="AG615" s="71"/>
      <c r="AH615" s="71"/>
      <c r="AI615" s="71"/>
      <c r="AJ615" s="71"/>
      <c r="AK615" s="71"/>
      <c r="AL615" s="71"/>
      <c r="AM615" s="71"/>
      <c r="AN615" s="71"/>
      <c r="AO615" s="71"/>
      <c r="AP615" s="71"/>
      <c r="AQ615" s="71"/>
    </row>
    <row r="616" spans="11:43" x14ac:dyDescent="0.25">
      <c r="K616" s="71"/>
      <c r="AB616" s="71"/>
      <c r="AC616" s="71"/>
      <c r="AD616" s="71"/>
      <c r="AE616" s="71"/>
      <c r="AF616" s="71"/>
      <c r="AG616" s="71"/>
      <c r="AH616" s="71"/>
      <c r="AI616" s="71"/>
      <c r="AJ616" s="71"/>
      <c r="AK616" s="71"/>
      <c r="AL616" s="71"/>
      <c r="AM616" s="71"/>
      <c r="AN616" s="71"/>
      <c r="AO616" s="71"/>
      <c r="AP616" s="71"/>
      <c r="AQ616" s="71"/>
    </row>
    <row r="617" spans="11:43" x14ac:dyDescent="0.25">
      <c r="K617" s="71"/>
      <c r="AB617" s="71"/>
      <c r="AC617" s="71"/>
      <c r="AD617" s="71"/>
      <c r="AE617" s="71"/>
      <c r="AF617" s="71"/>
      <c r="AG617" s="71"/>
      <c r="AH617" s="71"/>
      <c r="AI617" s="71"/>
      <c r="AJ617" s="71"/>
      <c r="AK617" s="71"/>
      <c r="AL617" s="71"/>
      <c r="AM617" s="71"/>
      <c r="AN617" s="71"/>
      <c r="AO617" s="71"/>
      <c r="AP617" s="71"/>
      <c r="AQ617" s="71"/>
    </row>
    <row r="618" spans="11:43" x14ac:dyDescent="0.25">
      <c r="K618" s="71"/>
      <c r="AB618" s="71"/>
      <c r="AC618" s="71"/>
      <c r="AD618" s="71"/>
      <c r="AE618" s="71"/>
      <c r="AF618" s="71"/>
      <c r="AG618" s="71"/>
      <c r="AH618" s="71"/>
      <c r="AI618" s="71"/>
      <c r="AJ618" s="71"/>
      <c r="AK618" s="71"/>
      <c r="AL618" s="71"/>
      <c r="AM618" s="71"/>
      <c r="AN618" s="71"/>
      <c r="AO618" s="71"/>
      <c r="AP618" s="71"/>
      <c r="AQ618" s="71"/>
    </row>
    <row r="619" spans="11:43" x14ac:dyDescent="0.25">
      <c r="K619" s="71"/>
      <c r="AB619" s="71"/>
      <c r="AC619" s="71"/>
      <c r="AD619" s="71"/>
      <c r="AE619" s="71"/>
      <c r="AF619" s="71"/>
      <c r="AG619" s="71"/>
      <c r="AH619" s="71"/>
      <c r="AI619" s="71"/>
      <c r="AJ619" s="71"/>
      <c r="AK619" s="71"/>
      <c r="AL619" s="71"/>
      <c r="AM619" s="71"/>
      <c r="AN619" s="71"/>
      <c r="AO619" s="71"/>
      <c r="AP619" s="71"/>
      <c r="AQ619" s="71"/>
    </row>
    <row r="620" spans="11:43" x14ac:dyDescent="0.25">
      <c r="K620" s="71"/>
      <c r="AB620" s="71"/>
      <c r="AC620" s="71"/>
      <c r="AD620" s="71"/>
      <c r="AE620" s="71"/>
      <c r="AF620" s="71"/>
      <c r="AG620" s="71"/>
      <c r="AH620" s="71"/>
      <c r="AI620" s="71"/>
      <c r="AJ620" s="71"/>
      <c r="AK620" s="71"/>
      <c r="AL620" s="71"/>
      <c r="AM620" s="71"/>
      <c r="AN620" s="71"/>
      <c r="AO620" s="71"/>
      <c r="AP620" s="71"/>
      <c r="AQ620" s="71"/>
    </row>
    <row r="621" spans="11:43" x14ac:dyDescent="0.25">
      <c r="K621" s="71"/>
      <c r="AB621" s="71"/>
      <c r="AC621" s="71"/>
      <c r="AD621" s="71"/>
      <c r="AE621" s="71"/>
      <c r="AF621" s="71"/>
      <c r="AG621" s="71"/>
      <c r="AH621" s="71"/>
      <c r="AI621" s="71"/>
      <c r="AJ621" s="71"/>
      <c r="AK621" s="71"/>
      <c r="AL621" s="71"/>
      <c r="AM621" s="71"/>
      <c r="AN621" s="71"/>
      <c r="AO621" s="71"/>
      <c r="AP621" s="71"/>
      <c r="AQ621" s="71"/>
    </row>
    <row r="622" spans="11:43" x14ac:dyDescent="0.25">
      <c r="K622" s="71"/>
      <c r="AB622" s="71"/>
      <c r="AC622" s="71"/>
      <c r="AD622" s="71"/>
      <c r="AE622" s="71"/>
      <c r="AF622" s="71"/>
      <c r="AG622" s="71"/>
      <c r="AH622" s="71"/>
      <c r="AI622" s="71"/>
      <c r="AJ622" s="71"/>
      <c r="AK622" s="71"/>
      <c r="AL622" s="71"/>
      <c r="AM622" s="71"/>
      <c r="AN622" s="71"/>
      <c r="AO622" s="71"/>
      <c r="AP622" s="71"/>
      <c r="AQ622" s="71"/>
    </row>
    <row r="623" spans="11:43" x14ac:dyDescent="0.25">
      <c r="K623" s="71"/>
      <c r="AB623" s="71"/>
      <c r="AC623" s="71"/>
      <c r="AD623" s="71"/>
      <c r="AE623" s="71"/>
      <c r="AF623" s="71"/>
      <c r="AG623" s="71"/>
      <c r="AH623" s="71"/>
      <c r="AI623" s="71"/>
      <c r="AJ623" s="71"/>
      <c r="AK623" s="71"/>
      <c r="AL623" s="71"/>
      <c r="AM623" s="71"/>
      <c r="AN623" s="71"/>
      <c r="AO623" s="71"/>
      <c r="AP623" s="71"/>
      <c r="AQ623" s="71"/>
    </row>
    <row r="624" spans="11:43" x14ac:dyDescent="0.25">
      <c r="K624" s="71"/>
      <c r="AB624" s="71"/>
      <c r="AC624" s="71"/>
      <c r="AD624" s="71"/>
      <c r="AE624" s="71"/>
      <c r="AF624" s="71"/>
      <c r="AG624" s="71"/>
      <c r="AH624" s="71"/>
      <c r="AI624" s="71"/>
      <c r="AJ624" s="71"/>
      <c r="AK624" s="71"/>
      <c r="AL624" s="71"/>
      <c r="AM624" s="71"/>
      <c r="AN624" s="71"/>
      <c r="AO624" s="71"/>
      <c r="AP624" s="71"/>
      <c r="AQ624" s="71"/>
    </row>
    <row r="625" spans="11:43" x14ac:dyDescent="0.25">
      <c r="K625" s="71"/>
      <c r="AB625" s="71"/>
      <c r="AC625" s="71"/>
      <c r="AD625" s="71"/>
      <c r="AE625" s="71"/>
      <c r="AF625" s="71"/>
      <c r="AG625" s="71"/>
      <c r="AH625" s="71"/>
      <c r="AI625" s="71"/>
      <c r="AJ625" s="71"/>
      <c r="AK625" s="71"/>
      <c r="AL625" s="71"/>
      <c r="AM625" s="71"/>
      <c r="AN625" s="71"/>
      <c r="AO625" s="71"/>
      <c r="AP625" s="71"/>
      <c r="AQ625" s="71"/>
    </row>
    <row r="626" spans="11:43" x14ac:dyDescent="0.25">
      <c r="K626" s="71"/>
      <c r="AB626" s="71"/>
      <c r="AC626" s="71"/>
      <c r="AD626" s="71"/>
      <c r="AE626" s="71"/>
      <c r="AF626" s="71"/>
      <c r="AG626" s="71"/>
      <c r="AH626" s="71"/>
      <c r="AI626" s="71"/>
      <c r="AJ626" s="71"/>
      <c r="AK626" s="71"/>
      <c r="AL626" s="71"/>
      <c r="AM626" s="71"/>
      <c r="AN626" s="71"/>
      <c r="AO626" s="71"/>
      <c r="AP626" s="71"/>
      <c r="AQ626" s="71"/>
    </row>
    <row r="627" spans="11:43" x14ac:dyDescent="0.25">
      <c r="K627" s="71"/>
      <c r="AB627" s="71"/>
      <c r="AC627" s="71"/>
      <c r="AD627" s="71"/>
      <c r="AE627" s="71"/>
      <c r="AF627" s="71"/>
      <c r="AG627" s="71"/>
      <c r="AH627" s="71"/>
      <c r="AI627" s="71"/>
      <c r="AJ627" s="71"/>
      <c r="AK627" s="71"/>
      <c r="AL627" s="71"/>
      <c r="AM627" s="71"/>
      <c r="AN627" s="71"/>
      <c r="AO627" s="71"/>
      <c r="AP627" s="71"/>
      <c r="AQ627" s="71"/>
    </row>
    <row r="628" spans="11:43" x14ac:dyDescent="0.25">
      <c r="K628" s="71"/>
      <c r="AB628" s="71"/>
      <c r="AC628" s="71"/>
      <c r="AD628" s="71"/>
      <c r="AE628" s="71"/>
      <c r="AF628" s="71"/>
      <c r="AG628" s="71"/>
      <c r="AH628" s="71"/>
      <c r="AI628" s="71"/>
      <c r="AJ628" s="71"/>
      <c r="AK628" s="71"/>
      <c r="AL628" s="71"/>
      <c r="AM628" s="71"/>
      <c r="AN628" s="71"/>
      <c r="AO628" s="71"/>
      <c r="AP628" s="71"/>
      <c r="AQ628" s="71"/>
    </row>
    <row r="629" spans="11:43" x14ac:dyDescent="0.25">
      <c r="K629" s="71"/>
      <c r="AB629" s="71"/>
      <c r="AC629" s="71"/>
      <c r="AD629" s="71"/>
      <c r="AE629" s="71"/>
      <c r="AF629" s="71"/>
      <c r="AG629" s="71"/>
      <c r="AH629" s="71"/>
      <c r="AI629" s="71"/>
      <c r="AJ629" s="71"/>
      <c r="AK629" s="71"/>
      <c r="AL629" s="71"/>
      <c r="AM629" s="71"/>
      <c r="AN629" s="71"/>
      <c r="AO629" s="71"/>
      <c r="AP629" s="71"/>
      <c r="AQ629" s="71"/>
    </row>
    <row r="630" spans="11:43" x14ac:dyDescent="0.25">
      <c r="K630" s="71"/>
      <c r="AB630" s="71"/>
      <c r="AC630" s="71"/>
      <c r="AD630" s="71"/>
      <c r="AE630" s="71"/>
      <c r="AF630" s="71"/>
      <c r="AG630" s="71"/>
      <c r="AH630" s="71"/>
      <c r="AI630" s="71"/>
      <c r="AJ630" s="71"/>
      <c r="AK630" s="71"/>
      <c r="AL630" s="71"/>
      <c r="AM630" s="71"/>
      <c r="AN630" s="71"/>
      <c r="AO630" s="71"/>
      <c r="AP630" s="71"/>
      <c r="AQ630" s="71"/>
    </row>
    <row r="631" spans="11:43" x14ac:dyDescent="0.25">
      <c r="K631" s="71"/>
      <c r="AB631" s="71"/>
      <c r="AC631" s="71"/>
      <c r="AD631" s="71"/>
      <c r="AE631" s="71"/>
      <c r="AF631" s="71"/>
      <c r="AG631" s="71"/>
      <c r="AH631" s="71"/>
      <c r="AI631" s="71"/>
      <c r="AJ631" s="71"/>
      <c r="AK631" s="71"/>
      <c r="AL631" s="71"/>
      <c r="AM631" s="71"/>
      <c r="AN631" s="71"/>
      <c r="AO631" s="71"/>
      <c r="AP631" s="71"/>
      <c r="AQ631" s="71"/>
    </row>
    <row r="632" spans="11:43" x14ac:dyDescent="0.25">
      <c r="K632" s="71"/>
      <c r="AB632" s="71"/>
      <c r="AC632" s="71"/>
      <c r="AD632" s="71"/>
      <c r="AE632" s="71"/>
      <c r="AF632" s="71"/>
      <c r="AG632" s="71"/>
      <c r="AH632" s="71"/>
      <c r="AI632" s="71"/>
      <c r="AJ632" s="71"/>
      <c r="AK632" s="71"/>
      <c r="AL632" s="71"/>
      <c r="AM632" s="71"/>
      <c r="AN632" s="71"/>
      <c r="AO632" s="71"/>
      <c r="AP632" s="71"/>
      <c r="AQ632" s="71"/>
    </row>
    <row r="633" spans="11:43" x14ac:dyDescent="0.25">
      <c r="K633" s="71"/>
      <c r="AB633" s="71"/>
      <c r="AC633" s="71"/>
      <c r="AD633" s="71"/>
      <c r="AE633" s="71"/>
      <c r="AF633" s="71"/>
      <c r="AG633" s="71"/>
      <c r="AH633" s="71"/>
      <c r="AI633" s="71"/>
      <c r="AJ633" s="71"/>
      <c r="AK633" s="71"/>
      <c r="AL633" s="71"/>
      <c r="AM633" s="71"/>
      <c r="AN633" s="71"/>
      <c r="AO633" s="71"/>
      <c r="AP633" s="71"/>
      <c r="AQ633" s="71"/>
    </row>
    <row r="634" spans="11:43" x14ac:dyDescent="0.25">
      <c r="K634" s="71"/>
      <c r="AB634" s="71"/>
      <c r="AC634" s="71"/>
      <c r="AD634" s="71"/>
      <c r="AE634" s="71"/>
      <c r="AF634" s="71"/>
      <c r="AG634" s="71"/>
      <c r="AH634" s="71"/>
      <c r="AI634" s="71"/>
      <c r="AJ634" s="71"/>
      <c r="AK634" s="71"/>
      <c r="AL634" s="71"/>
      <c r="AM634" s="71"/>
      <c r="AN634" s="71"/>
      <c r="AO634" s="71"/>
      <c r="AP634" s="71"/>
      <c r="AQ634" s="71"/>
    </row>
    <row r="635" spans="11:43" x14ac:dyDescent="0.25">
      <c r="K635" s="71"/>
      <c r="AB635" s="71"/>
      <c r="AC635" s="71"/>
      <c r="AD635" s="71"/>
      <c r="AE635" s="71"/>
      <c r="AF635" s="71"/>
      <c r="AG635" s="71"/>
      <c r="AH635" s="71"/>
      <c r="AI635" s="71"/>
      <c r="AJ635" s="71"/>
      <c r="AK635" s="71"/>
      <c r="AL635" s="71"/>
      <c r="AM635" s="71"/>
      <c r="AN635" s="71"/>
      <c r="AO635" s="71"/>
      <c r="AP635" s="71"/>
      <c r="AQ635" s="71"/>
    </row>
    <row r="636" spans="11:43" x14ac:dyDescent="0.25">
      <c r="K636" s="71"/>
      <c r="AB636" s="71"/>
      <c r="AC636" s="71"/>
      <c r="AD636" s="71"/>
      <c r="AE636" s="71"/>
      <c r="AF636" s="71"/>
      <c r="AG636" s="71"/>
      <c r="AH636" s="71"/>
      <c r="AI636" s="71"/>
      <c r="AJ636" s="71"/>
      <c r="AK636" s="71"/>
      <c r="AL636" s="71"/>
      <c r="AM636" s="71"/>
      <c r="AN636" s="71"/>
      <c r="AO636" s="71"/>
      <c r="AP636" s="71"/>
      <c r="AQ636" s="71"/>
    </row>
    <row r="637" spans="11:43" x14ac:dyDescent="0.25">
      <c r="K637" s="71"/>
      <c r="AB637" s="71"/>
      <c r="AC637" s="71"/>
      <c r="AD637" s="71"/>
      <c r="AE637" s="71"/>
      <c r="AF637" s="71"/>
      <c r="AG637" s="71"/>
      <c r="AH637" s="71"/>
      <c r="AI637" s="71"/>
      <c r="AJ637" s="71"/>
      <c r="AK637" s="71"/>
      <c r="AL637" s="71"/>
      <c r="AM637" s="71"/>
      <c r="AN637" s="71"/>
      <c r="AO637" s="71"/>
      <c r="AP637" s="71"/>
      <c r="AQ637" s="71"/>
    </row>
    <row r="638" spans="11:43" x14ac:dyDescent="0.25">
      <c r="K638" s="71"/>
      <c r="AB638" s="71"/>
      <c r="AC638" s="71"/>
      <c r="AD638" s="71"/>
      <c r="AE638" s="71"/>
      <c r="AF638" s="71"/>
      <c r="AG638" s="71"/>
      <c r="AH638" s="71"/>
      <c r="AI638" s="71"/>
      <c r="AJ638" s="71"/>
      <c r="AK638" s="71"/>
      <c r="AL638" s="71"/>
      <c r="AM638" s="71"/>
      <c r="AN638" s="71"/>
      <c r="AO638" s="71"/>
      <c r="AP638" s="71"/>
      <c r="AQ638" s="71"/>
    </row>
    <row r="639" spans="11:43" x14ac:dyDescent="0.25">
      <c r="K639" s="71"/>
      <c r="AB639" s="71"/>
      <c r="AC639" s="71"/>
      <c r="AD639" s="71"/>
      <c r="AE639" s="71"/>
      <c r="AF639" s="71"/>
      <c r="AG639" s="71"/>
      <c r="AH639" s="71"/>
      <c r="AI639" s="71"/>
      <c r="AJ639" s="71"/>
      <c r="AK639" s="71"/>
      <c r="AL639" s="71"/>
      <c r="AM639" s="71"/>
      <c r="AN639" s="71"/>
      <c r="AO639" s="71"/>
      <c r="AP639" s="71"/>
      <c r="AQ639" s="71"/>
    </row>
    <row r="640" spans="11:43" x14ac:dyDescent="0.25">
      <c r="K640" s="71"/>
      <c r="AB640" s="71"/>
      <c r="AC640" s="71"/>
      <c r="AD640" s="71"/>
      <c r="AE640" s="71"/>
      <c r="AF640" s="71"/>
      <c r="AG640" s="71"/>
      <c r="AH640" s="71"/>
      <c r="AI640" s="71"/>
      <c r="AJ640" s="71"/>
      <c r="AK640" s="71"/>
      <c r="AL640" s="71"/>
      <c r="AM640" s="71"/>
      <c r="AN640" s="71"/>
      <c r="AO640" s="71"/>
      <c r="AP640" s="71"/>
      <c r="AQ640" s="71"/>
    </row>
    <row r="641" spans="11:43" x14ac:dyDescent="0.25">
      <c r="K641" s="71"/>
      <c r="AB641" s="71"/>
      <c r="AC641" s="71"/>
      <c r="AD641" s="71"/>
      <c r="AE641" s="71"/>
      <c r="AF641" s="71"/>
      <c r="AG641" s="71"/>
      <c r="AH641" s="71"/>
      <c r="AI641" s="71"/>
      <c r="AJ641" s="71"/>
      <c r="AK641" s="71"/>
      <c r="AL641" s="71"/>
      <c r="AM641" s="71"/>
      <c r="AN641" s="71"/>
      <c r="AO641" s="71"/>
      <c r="AP641" s="71"/>
      <c r="AQ641" s="71"/>
    </row>
    <row r="642" spans="11:43" x14ac:dyDescent="0.25">
      <c r="K642" s="71"/>
      <c r="AB642" s="71"/>
      <c r="AC642" s="71"/>
      <c r="AD642" s="71"/>
      <c r="AE642" s="71"/>
      <c r="AF642" s="71"/>
      <c r="AG642" s="71"/>
      <c r="AH642" s="71"/>
      <c r="AI642" s="71"/>
      <c r="AJ642" s="71"/>
      <c r="AK642" s="71"/>
      <c r="AL642" s="71"/>
      <c r="AM642" s="71"/>
      <c r="AN642" s="71"/>
      <c r="AO642" s="71"/>
      <c r="AP642" s="71"/>
      <c r="AQ642" s="71"/>
    </row>
    <row r="643" spans="11:43" x14ac:dyDescent="0.25">
      <c r="K643" s="71"/>
      <c r="AB643" s="71"/>
      <c r="AC643" s="71"/>
      <c r="AD643" s="71"/>
      <c r="AE643" s="71"/>
      <c r="AF643" s="71"/>
      <c r="AG643" s="71"/>
      <c r="AH643" s="71"/>
      <c r="AI643" s="71"/>
      <c r="AJ643" s="71"/>
      <c r="AK643" s="71"/>
      <c r="AL643" s="71"/>
      <c r="AM643" s="71"/>
      <c r="AN643" s="71"/>
      <c r="AO643" s="71"/>
      <c r="AP643" s="71"/>
      <c r="AQ643" s="71"/>
    </row>
    <row r="644" spans="11:43" x14ac:dyDescent="0.25">
      <c r="K644" s="71"/>
      <c r="AB644" s="71"/>
      <c r="AC644" s="71"/>
      <c r="AD644" s="71"/>
      <c r="AE644" s="71"/>
      <c r="AF644" s="71"/>
      <c r="AG644" s="71"/>
      <c r="AH644" s="71"/>
      <c r="AI644" s="71"/>
      <c r="AJ644" s="71"/>
      <c r="AK644" s="71"/>
      <c r="AL644" s="71"/>
      <c r="AM644" s="71"/>
      <c r="AN644" s="71"/>
      <c r="AO644" s="71"/>
      <c r="AP644" s="71"/>
      <c r="AQ644" s="71"/>
    </row>
    <row r="645" spans="11:43" x14ac:dyDescent="0.25">
      <c r="K645" s="71"/>
      <c r="AB645" s="71"/>
      <c r="AC645" s="71"/>
      <c r="AD645" s="71"/>
      <c r="AE645" s="71"/>
      <c r="AF645" s="71"/>
      <c r="AG645" s="71"/>
      <c r="AH645" s="71"/>
      <c r="AI645" s="71"/>
      <c r="AJ645" s="71"/>
      <c r="AK645" s="71"/>
      <c r="AL645" s="71"/>
      <c r="AM645" s="71"/>
      <c r="AN645" s="71"/>
      <c r="AO645" s="71"/>
      <c r="AP645" s="71"/>
      <c r="AQ645" s="71"/>
    </row>
    <row r="646" spans="11:43" x14ac:dyDescent="0.25">
      <c r="K646" s="71"/>
      <c r="AB646" s="71"/>
      <c r="AC646" s="71"/>
      <c r="AD646" s="71"/>
      <c r="AE646" s="71"/>
      <c r="AF646" s="71"/>
      <c r="AG646" s="71"/>
      <c r="AH646" s="71"/>
      <c r="AI646" s="71"/>
      <c r="AJ646" s="71"/>
      <c r="AK646" s="71"/>
      <c r="AL646" s="71"/>
      <c r="AM646" s="71"/>
      <c r="AN646" s="71"/>
      <c r="AO646" s="71"/>
      <c r="AP646" s="71"/>
      <c r="AQ646" s="71"/>
    </row>
    <row r="647" spans="11:43" x14ac:dyDescent="0.25">
      <c r="K647" s="71"/>
      <c r="AB647" s="71"/>
      <c r="AC647" s="71"/>
      <c r="AD647" s="71"/>
      <c r="AE647" s="71"/>
      <c r="AF647" s="71"/>
      <c r="AG647" s="71"/>
      <c r="AH647" s="71"/>
      <c r="AI647" s="71"/>
      <c r="AJ647" s="71"/>
      <c r="AK647" s="71"/>
      <c r="AL647" s="71"/>
      <c r="AM647" s="71"/>
      <c r="AN647" s="71"/>
      <c r="AO647" s="71"/>
      <c r="AP647" s="71"/>
      <c r="AQ647" s="71"/>
    </row>
    <row r="648" spans="11:43" x14ac:dyDescent="0.25">
      <c r="K648" s="71"/>
      <c r="AB648" s="71"/>
      <c r="AC648" s="71"/>
      <c r="AD648" s="71"/>
      <c r="AE648" s="71"/>
      <c r="AF648" s="71"/>
      <c r="AG648" s="71"/>
      <c r="AH648" s="71"/>
      <c r="AI648" s="71"/>
      <c r="AJ648" s="71"/>
      <c r="AK648" s="71"/>
      <c r="AL648" s="71"/>
      <c r="AM648" s="71"/>
      <c r="AN648" s="71"/>
      <c r="AO648" s="71"/>
      <c r="AP648" s="71"/>
      <c r="AQ648" s="71"/>
    </row>
    <row r="649" spans="11:43" x14ac:dyDescent="0.25">
      <c r="K649" s="71"/>
      <c r="AB649" s="71"/>
      <c r="AC649" s="71"/>
      <c r="AD649" s="71"/>
      <c r="AE649" s="71"/>
      <c r="AF649" s="71"/>
      <c r="AG649" s="71"/>
      <c r="AH649" s="71"/>
      <c r="AI649" s="71"/>
      <c r="AJ649" s="71"/>
      <c r="AK649" s="71"/>
      <c r="AL649" s="71"/>
      <c r="AM649" s="71"/>
      <c r="AN649" s="71"/>
      <c r="AO649" s="71"/>
      <c r="AP649" s="71"/>
      <c r="AQ649" s="71"/>
    </row>
    <row r="650" spans="11:43" x14ac:dyDescent="0.25">
      <c r="K650" s="71"/>
      <c r="AB650" s="71"/>
      <c r="AC650" s="71"/>
      <c r="AD650" s="71"/>
      <c r="AE650" s="71"/>
      <c r="AF650" s="71"/>
      <c r="AG650" s="71"/>
      <c r="AH650" s="71"/>
      <c r="AI650" s="71"/>
      <c r="AJ650" s="71"/>
      <c r="AK650" s="71"/>
      <c r="AL650" s="71"/>
      <c r="AM650" s="71"/>
      <c r="AN650" s="71"/>
      <c r="AO650" s="71"/>
      <c r="AP650" s="71"/>
      <c r="AQ650" s="71"/>
    </row>
    <row r="651" spans="11:43" x14ac:dyDescent="0.25">
      <c r="K651" s="71"/>
      <c r="AB651" s="71"/>
      <c r="AC651" s="71"/>
      <c r="AD651" s="71"/>
      <c r="AE651" s="71"/>
      <c r="AF651" s="71"/>
      <c r="AG651" s="71"/>
      <c r="AH651" s="71"/>
      <c r="AI651" s="71"/>
      <c r="AJ651" s="71"/>
      <c r="AK651" s="71"/>
      <c r="AL651" s="71"/>
      <c r="AM651" s="71"/>
      <c r="AN651" s="71"/>
      <c r="AO651" s="71"/>
      <c r="AP651" s="71"/>
      <c r="AQ651" s="71"/>
    </row>
  </sheetData>
  <mergeCells count="21">
    <mergeCell ref="R12:R13"/>
    <mergeCell ref="S12:U12"/>
    <mergeCell ref="V12:V13"/>
    <mergeCell ref="W12:Y12"/>
    <mergeCell ref="Z12:Z13"/>
    <mergeCell ref="L12:L13"/>
    <mergeCell ref="M12:M13"/>
    <mergeCell ref="N12:N13"/>
    <mergeCell ref="O12:O13"/>
    <mergeCell ref="P12:P13"/>
    <mergeCell ref="Q12:Q13"/>
    <mergeCell ref="A2:U2"/>
    <mergeCell ref="A12:A13"/>
    <mergeCell ref="B12:B13"/>
    <mergeCell ref="C12:C13"/>
    <mergeCell ref="D12:E13"/>
    <mergeCell ref="F12:F13"/>
    <mergeCell ref="G12:G13"/>
    <mergeCell ref="H12:H13"/>
    <mergeCell ref="I12:J12"/>
    <mergeCell ref="K12:K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PolygonCalculationForm2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adityadevinta@gmail.com</dc:creator>
  <cp:lastModifiedBy>Dell</cp:lastModifiedBy>
  <dcterms:created xsi:type="dcterms:W3CDTF">2023-12-20T07:12:20Z</dcterms:created>
  <dcterms:modified xsi:type="dcterms:W3CDTF">2024-11-04T14:27:07Z</dcterms:modified>
</cp:coreProperties>
</file>