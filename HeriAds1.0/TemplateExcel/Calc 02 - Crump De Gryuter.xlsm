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jackcad2024\TemplateExcel\"/>
    </mc:Choice>
  </mc:AlternateContent>
  <xr:revisionPtr revIDLastSave="0" documentId="13_ncr:1_{EBB81408-2A44-499A-91BA-5E4B05DA259C}" xr6:coauthVersionLast="47" xr6:coauthVersionMax="47" xr10:uidLastSave="{00000000-0000-0000-0000-000000000000}"/>
  <bookViews>
    <workbookView xWindow="-28920" yWindow="-120" windowWidth="29040" windowHeight="15840" firstSheet="1" activeTab="2" xr2:uid="{00000000-000D-0000-FFFF-FFFF00000000}"/>
  </bookViews>
  <sheets>
    <sheet name="Misc" sheetId="19" state="hidden" r:id="rId1"/>
    <sheet name="Design Criteria" sheetId="11" r:id="rId2"/>
    <sheet name="Input" sheetId="7" r:id="rId3"/>
    <sheet name="Design of Crump" sheetId="14" r:id="rId4"/>
    <sheet name="Stilling Basin" sheetId="18" r:id="rId5"/>
    <sheet name="MRCurve" sheetId="15" state="hidden" r:id="rId6"/>
    <sheet name="Backwater" sheetId="17" state="hidden" r:id="rId7"/>
    <sheet name="Charact. CDG" sheetId="16" state="hidden" r:id="rId8"/>
  </sheets>
  <functionGroups builtInGroupCount="19"/>
  <externalReferences>
    <externalReference r:id="rId9"/>
  </externalReferences>
  <definedNames>
    <definedName name="_1">#N/A</definedName>
    <definedName name="_a">#REF!</definedName>
    <definedName name="AAA">#REF!</definedName>
    <definedName name="End">#REF!</definedName>
    <definedName name="g" localSheetId="6">#REF!</definedName>
    <definedName name="g" localSheetId="0">#REF!</definedName>
    <definedName name="g" localSheetId="5">#REF!</definedName>
    <definedName name="g" localSheetId="4">#REF!</definedName>
    <definedName name="g">#REF!</definedName>
    <definedName name="h" localSheetId="6">#REF!</definedName>
    <definedName name="h" localSheetId="0">#REF!</definedName>
    <definedName name="h" localSheetId="5">#REF!</definedName>
    <definedName name="h" localSheetId="4">#REF!</definedName>
    <definedName name="h">#REF!</definedName>
    <definedName name="HM">#REF!</definedName>
    <definedName name="Ia" localSheetId="6">#REF!</definedName>
    <definedName name="Ia" localSheetId="0">#REF!</definedName>
    <definedName name="Ia" localSheetId="5">#REF!</definedName>
    <definedName name="Ia" localSheetId="4">#REF!</definedName>
    <definedName name="Ia">#REF!</definedName>
    <definedName name="Iv" localSheetId="6">#REF!</definedName>
    <definedName name="Iv" localSheetId="5">#REF!</definedName>
    <definedName name="Iv">#REF!</definedName>
    <definedName name="JJJ">#REF!</definedName>
    <definedName name="jrk">#REF!</definedName>
    <definedName name="LIMIT_RD">#REF!</definedName>
    <definedName name="_xlnm.Print_Area" localSheetId="6">Backwater!$A$1:$O$50</definedName>
    <definedName name="_xlnm.Print_Area" localSheetId="1">'Design Criteria'!$A$1:$L$81</definedName>
    <definedName name="_xlnm.Print_Area" localSheetId="3">'Design of Crump'!$A$1:$L$149</definedName>
    <definedName name="_xlnm.Print_Area" localSheetId="2">Input!$A$1:$S$33</definedName>
    <definedName name="_xlnm.Print_Area" localSheetId="5">MRCurve!$A$1:$P$47</definedName>
    <definedName name="_xlnm.Print_Area" localSheetId="4">'Stilling Basin'!$A$1:$N$156</definedName>
    <definedName name="_xlnm.Print_Area">#REF!</definedName>
    <definedName name="_xlnm.Print_Titles" localSheetId="6">Backwater!$1:$7</definedName>
    <definedName name="_xlnm.Print_Titles" localSheetId="1">'Design Criteria'!$1:$5</definedName>
    <definedName name="_xlnm.Print_Titles" localSheetId="3">'Design of Crump'!$1:$5</definedName>
    <definedName name="_xlnm.Print_Titles" localSheetId="2">Input!$1:$5</definedName>
    <definedName name="_xlnm.Print_Titles" localSheetId="5">MRCurve!$1:$7</definedName>
    <definedName name="_xlnm.Print_Titles" localSheetId="4">'Stilling Basin'!$1:$6</definedName>
    <definedName name="Q">#N/A</definedName>
    <definedName name="Start">#REF!</definedName>
    <definedName name="ttr">#REF!</definedName>
    <definedName name="x" localSheetId="6">#REF!</definedName>
    <definedName name="x" localSheetId="0">#REF!</definedName>
    <definedName name="x" localSheetId="5">#REF!</definedName>
    <definedName name="x" localSheetId="4">#REF!</definedName>
    <definedName name="x">#REF!</definedName>
    <definedName name="y" localSheetId="6">#REF!</definedName>
    <definedName name="y" localSheetId="0">#REF!</definedName>
    <definedName name="y" localSheetId="5">#REF!</definedName>
    <definedName name="y" localSheetId="4">#REF!</definedName>
    <definedName name="y">#REF!</definedName>
    <definedName name="YRANGE">#REF!,#REF!</definedName>
  </definedNames>
  <calcPr calcId="191029" iterate="1" iterateDelta="1E-4"/>
</workbook>
</file>

<file path=xl/calcChain.xml><?xml version="1.0" encoding="utf-8"?>
<calcChain xmlns="http://schemas.openxmlformats.org/spreadsheetml/2006/main">
  <c r="H1" i="11" l="1"/>
  <c r="H2" i="11"/>
  <c r="H3" i="11"/>
  <c r="H4" i="11"/>
  <c r="I4" i="11"/>
  <c r="H5" i="11"/>
  <c r="I5" i="11"/>
  <c r="B35" i="7"/>
  <c r="H23" i="7"/>
  <c r="E23" i="7"/>
  <c r="G28" i="14"/>
  <c r="G29" i="14"/>
  <c r="G33" i="14"/>
  <c r="G35" i="14"/>
  <c r="G36" i="14" s="1"/>
  <c r="L31" i="7"/>
  <c r="L30" i="7"/>
  <c r="P24" i="7"/>
  <c r="P23" i="7"/>
  <c r="L23" i="7"/>
  <c r="P22" i="7"/>
  <c r="L22" i="7"/>
  <c r="L24" i="7" s="1"/>
  <c r="P25" i="7" s="1"/>
  <c r="L21" i="7"/>
  <c r="L32" i="7" l="1"/>
  <c r="P26" i="7"/>
  <c r="P27" i="7" l="1"/>
  <c r="J1" i="18" l="1"/>
  <c r="J2" i="18"/>
  <c r="J3" i="18"/>
  <c r="J4" i="18"/>
  <c r="K4" i="18"/>
  <c r="J5" i="18"/>
  <c r="K5" i="18"/>
  <c r="A1" i="18"/>
  <c r="A1" i="14"/>
  <c r="H5" i="14" l="1"/>
  <c r="H4" i="14"/>
  <c r="I5" i="14"/>
  <c r="I4" i="14"/>
  <c r="H2" i="14" l="1"/>
  <c r="H3" i="14"/>
  <c r="H1" i="14"/>
  <c r="B85" i="14"/>
  <c r="F85" i="14"/>
  <c r="G84" i="14"/>
  <c r="G31" i="14"/>
  <c r="G51" i="14" l="1"/>
  <c r="P31" i="7"/>
  <c r="G30" i="14"/>
  <c r="L28" i="7"/>
  <c r="P21" i="7" s="1"/>
  <c r="P30" i="7"/>
  <c r="P32" i="7"/>
  <c r="F83" i="14"/>
  <c r="R11" i="19"/>
  <c r="L11" i="19"/>
  <c r="L10" i="19"/>
  <c r="L9" i="19"/>
  <c r="L8" i="19"/>
  <c r="L7" i="19"/>
  <c r="L6" i="19"/>
  <c r="L5" i="19"/>
  <c r="L4" i="19"/>
  <c r="H27" i="18"/>
  <c r="H28" i="18" s="1"/>
  <c r="H25" i="18"/>
  <c r="H24" i="18"/>
  <c r="H77" i="18" s="1"/>
  <c r="H14" i="18"/>
  <c r="H13" i="18"/>
  <c r="G32" i="14" l="1"/>
  <c r="G37" i="14"/>
  <c r="H15" i="18"/>
  <c r="H17" i="18" s="1"/>
  <c r="H26" i="18"/>
  <c r="H29" i="18" s="1"/>
  <c r="H30" i="18" s="1"/>
  <c r="G40" i="14" l="1"/>
  <c r="G41" i="14" s="1"/>
  <c r="G42" i="14" s="1"/>
  <c r="G38" i="14"/>
  <c r="H18" i="18"/>
  <c r="H19" i="18" s="1"/>
  <c r="H20" i="18" s="1"/>
  <c r="G45" i="14" l="1"/>
  <c r="G43" i="14"/>
  <c r="H34" i="18"/>
  <c r="G47" i="14" l="1"/>
  <c r="G48" i="14" s="1"/>
  <c r="G49" i="14" s="1"/>
  <c r="G54" i="14"/>
  <c r="G44" i="14"/>
  <c r="N80" i="14"/>
  <c r="O81" i="14"/>
  <c r="G83" i="14"/>
  <c r="G50" i="14" l="1"/>
  <c r="G52" i="14" s="1"/>
  <c r="G116" i="14"/>
  <c r="G117" i="14" s="1"/>
  <c r="G111" i="14"/>
  <c r="G115" i="14"/>
  <c r="F24" i="14" l="1"/>
  <c r="H19" i="17"/>
  <c r="H17" i="17"/>
  <c r="J17" i="17" s="1"/>
  <c r="H20" i="17"/>
  <c r="H16" i="17"/>
  <c r="H14" i="17"/>
  <c r="F71" i="14"/>
  <c r="H17" i="15"/>
  <c r="S2" i="14"/>
  <c r="C28" i="17" l="1"/>
  <c r="E28" i="17" s="1"/>
  <c r="G114" i="14"/>
  <c r="G118" i="14" l="1"/>
  <c r="C75" i="14"/>
  <c r="D28" i="17"/>
  <c r="S25" i="15"/>
  <c r="G82" i="14"/>
  <c r="F82" i="14"/>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3" i="16"/>
  <c r="H15" i="17" l="1"/>
  <c r="G28" i="17" s="1"/>
  <c r="H28" i="17" s="1"/>
  <c r="P28" i="17" s="1"/>
  <c r="G121" i="14"/>
  <c r="G122" i="14" s="1"/>
  <c r="F28" i="17"/>
  <c r="C4" i="16"/>
  <c r="G93" i="14"/>
  <c r="E26" i="15"/>
  <c r="S26" i="15" s="1"/>
  <c r="S3" i="14" s="1"/>
  <c r="H16" i="15"/>
  <c r="I25" i="15" s="1"/>
  <c r="T25" i="15" s="1"/>
  <c r="R2" i="14" s="1"/>
  <c r="H14" i="15"/>
  <c r="H13" i="15"/>
  <c r="H12" i="15"/>
  <c r="L25" i="15" s="1"/>
  <c r="C22" i="14"/>
  <c r="D13" i="14"/>
  <c r="F19" i="14"/>
  <c r="D26" i="15"/>
  <c r="D27" i="15" s="1"/>
  <c r="D28" i="15" s="1"/>
  <c r="D29" i="15" s="1"/>
  <c r="D30" i="15" s="1"/>
  <c r="D31" i="15" s="1"/>
  <c r="D32" i="15" s="1"/>
  <c r="D33" i="15" s="1"/>
  <c r="D34" i="15" s="1"/>
  <c r="D35" i="15" s="1"/>
  <c r="G127" i="14" l="1"/>
  <c r="G125" i="14"/>
  <c r="G123" i="14"/>
  <c r="G124" i="14" s="1"/>
  <c r="H15" i="15"/>
  <c r="H18" i="17"/>
  <c r="J28" i="17" s="1"/>
  <c r="G110" i="14"/>
  <c r="G128" i="14" s="1"/>
  <c r="G129" i="14" s="1"/>
  <c r="C5" i="16"/>
  <c r="G25" i="15"/>
  <c r="F25" i="15"/>
  <c r="L26" i="15"/>
  <c r="E27" i="15"/>
  <c r="F26" i="15"/>
  <c r="G26" i="15"/>
  <c r="I26" i="15"/>
  <c r="T26" i="15" s="1"/>
  <c r="R3" i="14" s="1"/>
  <c r="G133" i="14" l="1"/>
  <c r="L27" i="15"/>
  <c r="S27" i="15"/>
  <c r="S4" i="14" s="1"/>
  <c r="C6" i="16"/>
  <c r="H25" i="15"/>
  <c r="R25" i="15" s="1"/>
  <c r="Q2" i="14" s="1"/>
  <c r="E28" i="15"/>
  <c r="I27" i="15"/>
  <c r="T27" i="15" s="1"/>
  <c r="R4" i="14" s="1"/>
  <c r="F27" i="15"/>
  <c r="G27" i="15"/>
  <c r="H26" i="15"/>
  <c r="J26" i="15" l="1"/>
  <c r="K26" i="15" s="1"/>
  <c r="R26" i="15"/>
  <c r="Q3" i="14" s="1"/>
  <c r="F28" i="15"/>
  <c r="S28" i="15"/>
  <c r="S5" i="14" s="1"/>
  <c r="E29" i="15"/>
  <c r="S29" i="15" s="1"/>
  <c r="S6" i="14" s="1"/>
  <c r="G28" i="15"/>
  <c r="C7" i="16"/>
  <c r="L28" i="15"/>
  <c r="I28" i="15"/>
  <c r="T28" i="15" s="1"/>
  <c r="R5" i="14" s="1"/>
  <c r="H27" i="15"/>
  <c r="H28" i="15" l="1"/>
  <c r="R28" i="15" s="1"/>
  <c r="Q5" i="14" s="1"/>
  <c r="E30" i="15"/>
  <c r="S30" i="15" s="1"/>
  <c r="S7" i="14" s="1"/>
  <c r="L29" i="15"/>
  <c r="F29" i="15"/>
  <c r="I29" i="15"/>
  <c r="T29" i="15" s="1"/>
  <c r="R6" i="14" s="1"/>
  <c r="G29" i="15"/>
  <c r="J27" i="15"/>
  <c r="K27" i="15" s="1"/>
  <c r="R27" i="15"/>
  <c r="Q4" i="14" s="1"/>
  <c r="C8" i="16"/>
  <c r="J28" i="15" l="1"/>
  <c r="K28" i="15" s="1"/>
  <c r="L30" i="15"/>
  <c r="F30" i="15"/>
  <c r="E31" i="15"/>
  <c r="S31" i="15" s="1"/>
  <c r="S8" i="14" s="1"/>
  <c r="G30" i="15"/>
  <c r="I30" i="15"/>
  <c r="T30" i="15" s="1"/>
  <c r="R7" i="14" s="1"/>
  <c r="H29" i="15"/>
  <c r="J29" i="15" s="1"/>
  <c r="K29" i="15" s="1"/>
  <c r="C9" i="16"/>
  <c r="H30" i="15" l="1"/>
  <c r="R30" i="15" s="1"/>
  <c r="Q7" i="14" s="1"/>
  <c r="G31" i="15"/>
  <c r="E32" i="15"/>
  <c r="S32" i="15" s="1"/>
  <c r="S9" i="14" s="1"/>
  <c r="I31" i="15"/>
  <c r="T31" i="15" s="1"/>
  <c r="R8" i="14" s="1"/>
  <c r="L31" i="15"/>
  <c r="F31" i="15"/>
  <c r="R29" i="15"/>
  <c r="Q6" i="14" s="1"/>
  <c r="C10" i="16"/>
  <c r="J30" i="15" l="1"/>
  <c r="K30" i="15" s="1"/>
  <c r="L32" i="15"/>
  <c r="I32" i="15"/>
  <c r="T32" i="15" s="1"/>
  <c r="R9" i="14" s="1"/>
  <c r="F32" i="15"/>
  <c r="H31" i="15"/>
  <c r="J31" i="15" s="1"/>
  <c r="K31" i="15" s="1"/>
  <c r="E33" i="15"/>
  <c r="S33" i="15" s="1"/>
  <c r="S10" i="14" s="1"/>
  <c r="G32" i="15"/>
  <c r="C11" i="16"/>
  <c r="H32" i="15" l="1"/>
  <c r="J32" i="15" s="1"/>
  <c r="K32" i="15" s="1"/>
  <c r="E34" i="15"/>
  <c r="S34" i="15" s="1"/>
  <c r="S11" i="14" s="1"/>
  <c r="R31" i="15"/>
  <c r="Q8" i="14" s="1"/>
  <c r="I33" i="15"/>
  <c r="T33" i="15" s="1"/>
  <c r="R10" i="14" s="1"/>
  <c r="G33" i="15"/>
  <c r="F33" i="15"/>
  <c r="L33" i="15"/>
  <c r="C12" i="16"/>
  <c r="R32" i="15" l="1"/>
  <c r="Q9" i="14" s="1"/>
  <c r="E35" i="15"/>
  <c r="S35" i="15" s="1"/>
  <c r="S12" i="14" s="1"/>
  <c r="G34" i="15"/>
  <c r="I34" i="15"/>
  <c r="T34" i="15" s="1"/>
  <c r="R11" i="14" s="1"/>
  <c r="F34" i="15"/>
  <c r="L34" i="15"/>
  <c r="H33" i="15"/>
  <c r="J33" i="15" s="1"/>
  <c r="K33" i="15" s="1"/>
  <c r="C13" i="16"/>
  <c r="G35" i="15" l="1"/>
  <c r="L35" i="15"/>
  <c r="I35" i="15"/>
  <c r="T35" i="15" s="1"/>
  <c r="R12" i="14" s="1"/>
  <c r="F35" i="15"/>
  <c r="H34" i="15"/>
  <c r="J34" i="15" s="1"/>
  <c r="K34" i="15" s="1"/>
  <c r="R33" i="15"/>
  <c r="Q10" i="14" s="1"/>
  <c r="C14" i="16"/>
  <c r="H35" i="15" l="1"/>
  <c r="J35" i="15" s="1"/>
  <c r="K35" i="15" s="1"/>
  <c r="R34" i="15"/>
  <c r="Q11" i="14" s="1"/>
  <c r="C15" i="16"/>
  <c r="R35" i="15" l="1"/>
  <c r="Q12" i="14" s="1"/>
  <c r="C16" i="16"/>
  <c r="G85" i="14" l="1"/>
  <c r="I88" i="14" s="1"/>
  <c r="G86" i="14"/>
  <c r="C17" i="16"/>
  <c r="H21" i="17" l="1"/>
  <c r="C38" i="17" s="1"/>
  <c r="E38" i="17" s="1"/>
  <c r="C18" i="16"/>
  <c r="C29" i="17" l="1"/>
  <c r="C30" i="17" s="1"/>
  <c r="D30" i="17" s="1"/>
  <c r="G30" i="17" s="1"/>
  <c r="H30" i="17" s="1"/>
  <c r="P30" i="17" s="1"/>
  <c r="D38" i="17"/>
  <c r="G38" i="17" s="1"/>
  <c r="H38" i="17" s="1"/>
  <c r="P38" i="17" s="1"/>
  <c r="C31" i="17"/>
  <c r="E31" i="17" s="1"/>
  <c r="E30" i="17"/>
  <c r="F30" i="17" s="1"/>
  <c r="J30" i="17" s="1"/>
  <c r="E29" i="17"/>
  <c r="C19" i="16"/>
  <c r="D29" i="17" l="1"/>
  <c r="G29" i="17" s="1"/>
  <c r="H29" i="17" s="1"/>
  <c r="P29" i="17" s="1"/>
  <c r="F38" i="17"/>
  <c r="J38" i="17" s="1"/>
  <c r="D31" i="17"/>
  <c r="G31" i="17" s="1"/>
  <c r="H31" i="17" s="1"/>
  <c r="P31" i="17" s="1"/>
  <c r="C32" i="17"/>
  <c r="C33" i="17" s="1"/>
  <c r="C34" i="17" s="1"/>
  <c r="I29" i="17"/>
  <c r="C20" i="16"/>
  <c r="F29" i="17" l="1"/>
  <c r="J29" i="17" s="1"/>
  <c r="K28" i="17" s="1"/>
  <c r="L28" i="17" s="1"/>
  <c r="I28" i="17"/>
  <c r="M28" i="17" s="1"/>
  <c r="Q29" i="17" s="1"/>
  <c r="I30" i="17"/>
  <c r="F31" i="17"/>
  <c r="J31" i="17" s="1"/>
  <c r="K30" i="17" s="1"/>
  <c r="L30" i="17" s="1"/>
  <c r="E32" i="17"/>
  <c r="E33" i="17"/>
  <c r="D32" i="17"/>
  <c r="G32" i="17" s="1"/>
  <c r="H32" i="17" s="1"/>
  <c r="P32" i="17" s="1"/>
  <c r="D33" i="17"/>
  <c r="G33" i="17" s="1"/>
  <c r="C35" i="17"/>
  <c r="D34" i="17"/>
  <c r="G34" i="17" s="1"/>
  <c r="E34" i="17"/>
  <c r="C21" i="16"/>
  <c r="K29" i="17" l="1"/>
  <c r="L29" i="17" s="1"/>
  <c r="M29" i="17" s="1"/>
  <c r="Q30" i="17" s="1"/>
  <c r="M30" i="17"/>
  <c r="Q31" i="17" s="1"/>
  <c r="F32" i="17"/>
  <c r="J32" i="17" s="1"/>
  <c r="K31" i="17" s="1"/>
  <c r="L31" i="17" s="1"/>
  <c r="I31" i="17"/>
  <c r="F33" i="17"/>
  <c r="J33" i="17" s="1"/>
  <c r="C36" i="17"/>
  <c r="D35" i="17"/>
  <c r="G35" i="17" s="1"/>
  <c r="E35" i="17"/>
  <c r="H33" i="17"/>
  <c r="P33" i="17" s="1"/>
  <c r="F34" i="17"/>
  <c r="J34" i="17" s="1"/>
  <c r="C22" i="16"/>
  <c r="M31" i="17" l="1"/>
  <c r="Q32" i="17" s="1"/>
  <c r="K32" i="17"/>
  <c r="L32" i="17" s="1"/>
  <c r="I32" i="17"/>
  <c r="K33" i="17"/>
  <c r="L33" i="17" s="1"/>
  <c r="F35" i="17"/>
  <c r="J35" i="17" s="1"/>
  <c r="C37" i="17"/>
  <c r="D36" i="17"/>
  <c r="G36" i="17" s="1"/>
  <c r="E36" i="17"/>
  <c r="H34" i="17"/>
  <c r="P34" i="17" s="1"/>
  <c r="C23" i="16"/>
  <c r="M32" i="17" l="1"/>
  <c r="Q33" i="17" s="1"/>
  <c r="I33" i="17"/>
  <c r="M33" i="17" s="1"/>
  <c r="D37" i="17"/>
  <c r="G37" i="17" s="1"/>
  <c r="E37" i="17"/>
  <c r="H35" i="17"/>
  <c r="P35" i="17" s="1"/>
  <c r="F36" i="17"/>
  <c r="K34" i="17"/>
  <c r="L34" i="17" s="1"/>
  <c r="C24" i="16"/>
  <c r="Q34" i="17" l="1"/>
  <c r="I34" i="17"/>
  <c r="M34" i="17" s="1"/>
  <c r="Q35" i="17" s="1"/>
  <c r="J36" i="17"/>
  <c r="K35" i="17" s="1"/>
  <c r="L35" i="17" s="1"/>
  <c r="H36" i="17"/>
  <c r="P36" i="17" s="1"/>
  <c r="F37" i="17"/>
  <c r="C25" i="16"/>
  <c r="I35" i="17" l="1"/>
  <c r="M35" i="17" s="1"/>
  <c r="J37" i="17"/>
  <c r="K37" i="17" s="1"/>
  <c r="L37" i="17" s="1"/>
  <c r="H37" i="17"/>
  <c r="P37" i="17" s="1"/>
  <c r="C26" i="16"/>
  <c r="K36" i="17" l="1"/>
  <c r="L36" i="17" s="1"/>
  <c r="Q36" i="17"/>
  <c r="I37" i="17"/>
  <c r="M37" i="17" s="1"/>
  <c r="I36" i="17"/>
  <c r="C27" i="16"/>
  <c r="M36" i="17" l="1"/>
  <c r="Q37" i="17" s="1"/>
  <c r="C28" i="16"/>
  <c r="M39" i="17" l="1"/>
  <c r="C29" i="16"/>
  <c r="C30" i="16" l="1"/>
  <c r="D65" i="14" l="1"/>
  <c r="C31" i="16"/>
  <c r="C32" i="16" l="1"/>
  <c r="C33" i="16" l="1"/>
  <c r="C34" i="16" l="1"/>
  <c r="C35" i="16" l="1"/>
  <c r="C36" i="16" l="1"/>
  <c r="C37" i="16" l="1"/>
  <c r="C38" i="16" l="1"/>
  <c r="C39" i="16" l="1"/>
  <c r="C40" i="16" l="1"/>
  <c r="C41" i="16" l="1"/>
  <c r="C42" i="16" l="1"/>
  <c r="C43" i="16" l="1"/>
  <c r="C44" i="16" l="1"/>
  <c r="C45" i="16" l="1"/>
  <c r="C46" i="16" l="1"/>
  <c r="C47" i="16" l="1"/>
  <c r="C48" i="16" l="1"/>
  <c r="C49" i="16" l="1"/>
  <c r="C50" i="16" l="1"/>
  <c r="C51" i="16" l="1"/>
  <c r="C52" i="16" l="1"/>
  <c r="C53" i="16" l="1"/>
  <c r="C54" i="16" l="1"/>
  <c r="C55" i="16" l="1"/>
  <c r="C56" i="16" l="1"/>
  <c r="C57" i="16" l="1"/>
  <c r="C58" i="16" l="1"/>
  <c r="C59" i="16" l="1"/>
  <c r="C60" i="16" l="1"/>
  <c r="C61" i="16" l="1"/>
  <c r="C62" i="16" l="1"/>
  <c r="C63" i="16" l="1"/>
  <c r="C64" i="16" l="1"/>
  <c r="C65" i="16" l="1"/>
  <c r="C66" i="16" l="1"/>
  <c r="C67" i="16" l="1"/>
  <c r="C68" i="16" l="1"/>
  <c r="C69" i="16" l="1"/>
  <c r="G19" i="14" l="1"/>
  <c r="E21" i="14" s="1"/>
  <c r="G71" i="14"/>
  <c r="E74" i="14"/>
  <c r="H16" i="18" l="1"/>
  <c r="H21" i="18" s="1"/>
  <c r="H33" i="18" s="1"/>
  <c r="H35" i="18" s="1"/>
  <c r="E16" i="14"/>
  <c r="G87" i="14"/>
  <c r="G96" i="14" l="1"/>
  <c r="M88" i="14" s="1"/>
  <c r="H56" i="18"/>
  <c r="H67" i="18" s="1"/>
  <c r="H68" i="18" s="1"/>
  <c r="H70" i="18" s="1"/>
  <c r="H55" i="18"/>
  <c r="H65" i="18" s="1"/>
  <c r="H66" i="18" s="1"/>
  <c r="H53" i="18"/>
  <c r="H63" i="18" s="1"/>
  <c r="H54" i="18"/>
  <c r="H52" i="18"/>
  <c r="H61" i="18" s="1"/>
  <c r="H62" i="18" s="1"/>
  <c r="H51" i="18"/>
  <c r="H60" i="18" s="1"/>
  <c r="H50" i="18"/>
  <c r="I46" i="14"/>
  <c r="M46" i="14"/>
  <c r="G89" i="14"/>
  <c r="E68" i="14"/>
  <c r="N48" i="14"/>
  <c r="G90" i="14" l="1"/>
  <c r="N90" i="14"/>
  <c r="N91" i="14" s="1"/>
  <c r="N93" i="14" s="1"/>
  <c r="O49" i="14"/>
  <c r="N49" i="14"/>
  <c r="N51" i="14" s="1"/>
  <c r="H71" i="18"/>
  <c r="H73" i="18" s="1"/>
  <c r="H64" i="18"/>
  <c r="H59" i="18"/>
  <c r="G91" i="14" l="1"/>
  <c r="G92" i="14" s="1"/>
  <c r="G94" i="14" s="1"/>
  <c r="O91" i="14"/>
  <c r="O93" i="14" s="1"/>
  <c r="O94" i="14" s="1"/>
  <c r="O51" i="14"/>
  <c r="O52" i="14" s="1"/>
  <c r="H72" i="18"/>
  <c r="H74" i="18"/>
  <c r="H75" i="18" s="1"/>
  <c r="G130" i="14" l="1"/>
  <c r="G131" i="14" s="1"/>
  <c r="N126" i="14" s="1"/>
  <c r="A4" i="7" l="1"/>
  <c r="A4" i="14" s="1"/>
  <c r="A4" i="18" l="1"/>
  <c r="A2" i="7"/>
  <c r="A2" i="14" s="1"/>
  <c r="A2" i="18" l="1"/>
</calcChain>
</file>

<file path=xl/sharedStrings.xml><?xml version="1.0" encoding="utf-8"?>
<sst xmlns="http://schemas.openxmlformats.org/spreadsheetml/2006/main" count="695" uniqueCount="395">
  <si>
    <t>Project</t>
  </si>
  <si>
    <t>Division</t>
  </si>
  <si>
    <t>Calc by</t>
  </si>
  <si>
    <t>Number of sheets</t>
  </si>
  <si>
    <t>Checked by</t>
  </si>
  <si>
    <t>of</t>
  </si>
  <si>
    <t>Calculations for</t>
  </si>
  <si>
    <t>File No.</t>
  </si>
  <si>
    <t>EVT</t>
  </si>
  <si>
    <t>m</t>
  </si>
  <si>
    <t>DBL</t>
  </si>
  <si>
    <t>Full Supply Level</t>
  </si>
  <si>
    <t>Full Supply Depth</t>
  </si>
  <si>
    <t>Design Bed Level</t>
  </si>
  <si>
    <t>ZAN</t>
  </si>
  <si>
    <t>IP-574/BB12 - 001</t>
  </si>
  <si>
    <t>Komering Irrigation Project Phase 3 (KIP III)</t>
  </si>
  <si>
    <t>Design Discharge</t>
  </si>
  <si>
    <t>Q</t>
  </si>
  <si>
    <t>1. Introduction</t>
  </si>
  <si>
    <t>-</t>
  </si>
  <si>
    <t>P</t>
  </si>
  <si>
    <t>Side Slope</t>
  </si>
  <si>
    <t>Crump-de Gruyter Orifice (refer to KP 04, Section 2.4)</t>
  </si>
  <si>
    <t>Design bed width</t>
  </si>
  <si>
    <t>Design bed level</t>
  </si>
  <si>
    <t>Full supply level</t>
  </si>
  <si>
    <t>N</t>
  </si>
  <si>
    <t>The Crump-de Gruyter adjustable orifice is a long-throated flume fitted with a vertically movable streamlined gate. It is a modification of the ‘adjustable proportional module’ introduced by Crump in 1922. De Gruyter (1926)  modified the flume alignment and replaced the fixed ‘roof-block’ as designed by Crump with an adjustable sliding gate. The resulting structure can be used  for both measurement and regulation of the rate of flow (see Figure below).</t>
  </si>
  <si>
    <t>(1) Hydraulic design</t>
  </si>
  <si>
    <t>The discharge formula for the Crump-de Gruyter orifice can be written as:</t>
  </si>
  <si>
    <r>
      <t>is discharge in m</t>
    </r>
    <r>
      <rPr>
        <vertAlign val="superscript"/>
        <sz val="10"/>
        <rFont val="Arial"/>
        <family val="2"/>
      </rPr>
      <t>3</t>
    </r>
    <r>
      <rPr>
        <sz val="10"/>
        <rFont val="Arial"/>
        <family val="2"/>
      </rPr>
      <t xml:space="preserve"> /s</t>
    </r>
  </si>
  <si>
    <t xml:space="preserve"> is discharge coefficient (=0.94)</t>
  </si>
  <si>
    <t>is width of opening in m</t>
  </si>
  <si>
    <t>is water height above the sill in m</t>
  </si>
  <si>
    <t>b</t>
  </si>
  <si>
    <t>w</t>
  </si>
  <si>
    <t>g</t>
  </si>
  <si>
    <t>h1</t>
  </si>
  <si>
    <r>
      <t xml:space="preserve">is gate opening in m (w </t>
    </r>
    <r>
      <rPr>
        <sz val="10"/>
        <rFont val="Symbol"/>
        <family val="1"/>
        <charset val="2"/>
      </rPr>
      <t xml:space="preserve"> </t>
    </r>
    <r>
      <rPr>
        <sz val="10"/>
        <rFont val="Arial"/>
        <family val="2"/>
      </rPr>
      <t>0.63 h1)</t>
    </r>
  </si>
  <si>
    <t>is acceleration of gravity in ms2 ( = 9.81)</t>
  </si>
  <si>
    <r>
      <t>C</t>
    </r>
    <r>
      <rPr>
        <vertAlign val="subscript"/>
        <sz val="10"/>
        <rFont val="Arial"/>
        <family val="2"/>
      </rPr>
      <t>d</t>
    </r>
  </si>
  <si>
    <r>
      <t>h</t>
    </r>
    <r>
      <rPr>
        <vertAlign val="subscript"/>
        <sz val="10"/>
        <rFont val="Arial"/>
        <family val="2"/>
      </rPr>
      <t>1</t>
    </r>
  </si>
  <si>
    <t>(2) Characteristics of the Crump-de Gruyter adjustable orifice</t>
  </si>
  <si>
    <t>Flow must be guided towards the gate opening in such a way that flow separation does not occur. The bottom and sides of the converging transition do not need to be curved.</t>
  </si>
  <si>
    <t>where : Q</t>
  </si>
  <si>
    <t>Sf</t>
  </si>
  <si>
    <t>Discharge</t>
  </si>
  <si>
    <t>D</t>
  </si>
  <si>
    <t>B</t>
  </si>
  <si>
    <t>S</t>
  </si>
  <si>
    <t>A</t>
  </si>
  <si>
    <t>v</t>
  </si>
  <si>
    <t>increament in depth of flow = Dmax /</t>
  </si>
  <si>
    <t>#</t>
  </si>
  <si>
    <t>Depth of Flow</t>
  </si>
  <si>
    <t>Flow Area</t>
  </si>
  <si>
    <t>Hydraulic Radius</t>
  </si>
  <si>
    <t>Water Level</t>
  </si>
  <si>
    <t>Average Velocity</t>
  </si>
  <si>
    <t>Froude</t>
  </si>
  <si>
    <t>Water Surface</t>
  </si>
  <si>
    <t>n</t>
  </si>
  <si>
    <t>Zwl</t>
  </si>
  <si>
    <t>Fr</t>
  </si>
  <si>
    <r>
      <t>m</t>
    </r>
    <r>
      <rPr>
        <vertAlign val="superscript"/>
        <sz val="8"/>
        <rFont val="Arial"/>
        <family val="2"/>
      </rPr>
      <t>2</t>
    </r>
  </si>
  <si>
    <t>D*(B+D*s)</t>
  </si>
  <si>
    <r>
      <t>B+2*D*√(1+s</t>
    </r>
    <r>
      <rPr>
        <vertAlign val="superscript"/>
        <sz val="8"/>
        <rFont val="Arial"/>
        <family val="2"/>
      </rPr>
      <t>2</t>
    </r>
    <r>
      <rPr>
        <sz val="8"/>
        <rFont val="Arial"/>
        <family val="2"/>
      </rPr>
      <t>)</t>
    </r>
  </si>
  <si>
    <r>
      <t>A(A/P)</t>
    </r>
    <r>
      <rPr>
        <vertAlign val="superscript"/>
        <sz val="8"/>
        <rFont val="Arial"/>
        <family val="2"/>
      </rPr>
      <t>2/3</t>
    </r>
    <r>
      <rPr>
        <sz val="8"/>
        <rFont val="Arial"/>
        <family val="2"/>
      </rPr>
      <t>*√(i) / n</t>
    </r>
  </si>
  <si>
    <r>
      <t>D+Z</t>
    </r>
    <r>
      <rPr>
        <vertAlign val="subscript"/>
        <sz val="8"/>
        <rFont val="Arial"/>
        <family val="2"/>
      </rPr>
      <t>b</t>
    </r>
  </si>
  <si>
    <t>Q/A</t>
  </si>
  <si>
    <t>v/√(g*D)</t>
  </si>
  <si>
    <t>B+2*D*s</t>
  </si>
  <si>
    <t>Date</t>
  </si>
  <si>
    <t>Manning's Rating Curve</t>
  </si>
  <si>
    <t>Ven Te Chow</t>
  </si>
  <si>
    <t>1. INPUTS</t>
  </si>
  <si>
    <t>is to be provided</t>
  </si>
  <si>
    <t>Bed Width</t>
  </si>
  <si>
    <t>H:1V</t>
  </si>
  <si>
    <t>Bed Slope</t>
  </si>
  <si>
    <t>m/m</t>
  </si>
  <si>
    <t>Manning's Coefficient</t>
  </si>
  <si>
    <t>Bed Level</t>
  </si>
  <si>
    <t>Max Depth</t>
  </si>
  <si>
    <t>Dmax</t>
  </si>
  <si>
    <t>2. OUTPUTS</t>
  </si>
  <si>
    <t>SAM</t>
  </si>
  <si>
    <t>Qd</t>
  </si>
  <si>
    <t xml:space="preserve">Design Gate opening w </t>
  </si>
  <si>
    <t>Width of gate</t>
  </si>
  <si>
    <t xml:space="preserve">Head over Crest </t>
  </si>
  <si>
    <t>masl</t>
  </si>
  <si>
    <t xml:space="preserve">m </t>
  </si>
  <si>
    <t>Ratio of difference of head and head over crest</t>
  </si>
  <si>
    <t>Ratio gate opening to head over crest</t>
  </si>
  <si>
    <t>m/s</t>
  </si>
  <si>
    <r>
      <t>m</t>
    </r>
    <r>
      <rPr>
        <vertAlign val="superscript"/>
        <sz val="8"/>
        <rFont val="Arial"/>
        <family val="2"/>
      </rPr>
      <t>3</t>
    </r>
    <r>
      <rPr>
        <sz val="8"/>
        <rFont val="Arial"/>
        <family val="2"/>
      </rPr>
      <t>/s</t>
    </r>
  </si>
  <si>
    <t>Parent Canal Rating Curve</t>
  </si>
  <si>
    <t>Full supply depth</t>
  </si>
  <si>
    <t>y1</t>
  </si>
  <si>
    <t>Δh</t>
  </si>
  <si>
    <t>Min required head difference</t>
  </si>
  <si>
    <t>Discharge through gate</t>
  </si>
  <si>
    <r>
      <t>Q</t>
    </r>
    <r>
      <rPr>
        <vertAlign val="subscript"/>
        <sz val="8"/>
        <rFont val="Arial"/>
        <family val="2"/>
      </rPr>
      <t>TO</t>
    </r>
  </si>
  <si>
    <t xml:space="preserve">Coefficent of discharge </t>
  </si>
  <si>
    <t>Sill shall be atleast at</t>
  </si>
  <si>
    <t>Full supply level in paraent channel</t>
  </si>
  <si>
    <t>Design bed level of parent canal</t>
  </si>
  <si>
    <t>Depth of crest above u/s bed level</t>
  </si>
  <si>
    <t>p1</t>
  </si>
  <si>
    <r>
      <t>FSL</t>
    </r>
    <r>
      <rPr>
        <vertAlign val="subscript"/>
        <sz val="8"/>
        <rFont val="Arial"/>
        <family val="2"/>
      </rPr>
      <t>u/s</t>
    </r>
  </si>
  <si>
    <r>
      <t>DBL</t>
    </r>
    <r>
      <rPr>
        <vertAlign val="subscript"/>
        <sz val="8"/>
        <rFont val="Arial"/>
        <family val="2"/>
      </rPr>
      <t>u/s</t>
    </r>
  </si>
  <si>
    <r>
      <t>w</t>
    </r>
    <r>
      <rPr>
        <vertAlign val="subscript"/>
        <sz val="8"/>
        <rFont val="Arial"/>
        <family val="2"/>
      </rPr>
      <t>(max)</t>
    </r>
  </si>
  <si>
    <r>
      <t>w / h</t>
    </r>
    <r>
      <rPr>
        <vertAlign val="subscript"/>
        <sz val="8"/>
        <rFont val="Arial"/>
        <family val="2"/>
      </rPr>
      <t>1</t>
    </r>
  </si>
  <si>
    <r>
      <t>Δh/h</t>
    </r>
    <r>
      <rPr>
        <b/>
        <vertAlign val="subscript"/>
        <sz val="8"/>
        <color theme="1"/>
        <rFont val="Calibri"/>
        <family val="2"/>
      </rPr>
      <t>1</t>
    </r>
  </si>
  <si>
    <r>
      <t>FSL</t>
    </r>
    <r>
      <rPr>
        <vertAlign val="subscript"/>
        <sz val="8"/>
        <rFont val="Arial"/>
        <family val="2"/>
      </rPr>
      <t>d/s</t>
    </r>
  </si>
  <si>
    <r>
      <t>C</t>
    </r>
    <r>
      <rPr>
        <vertAlign val="subscript"/>
        <sz val="8"/>
        <rFont val="Arial"/>
        <family val="2"/>
      </rPr>
      <t>d</t>
    </r>
  </si>
  <si>
    <r>
      <t>w/h</t>
    </r>
    <r>
      <rPr>
        <vertAlign val="subscript"/>
        <sz val="11"/>
        <color theme="1"/>
        <rFont val="Calibri"/>
        <family val="2"/>
        <scheme val="minor"/>
      </rPr>
      <t>1</t>
    </r>
  </si>
  <si>
    <t>Old Calculations</t>
  </si>
  <si>
    <t>New Calculations</t>
  </si>
  <si>
    <t>Discharge in Parent Canal</t>
  </si>
  <si>
    <t>Water Depth in Parent Canal</t>
  </si>
  <si>
    <t>Check if Minimum head loss requirement is OK?</t>
  </si>
  <si>
    <t>Y</t>
  </si>
  <si>
    <t>Theorotical Maximum gate opening</t>
  </si>
  <si>
    <t>Allowable Maximum gate opening</t>
  </si>
  <si>
    <t>Calculated Discharge through gate</t>
  </si>
  <si>
    <t>Discharge in offtake</t>
  </si>
  <si>
    <t>Water level in paraent channel</t>
  </si>
  <si>
    <t>WL</t>
  </si>
  <si>
    <t>Depth</t>
  </si>
  <si>
    <t>Full Supply Depth in Parent Canal</t>
  </si>
  <si>
    <t>Select Minimum Discharge in Parent Canal</t>
  </si>
  <si>
    <t>Max. WL in offtake</t>
  </si>
  <si>
    <t>Min required WL d/s</t>
  </si>
  <si>
    <t>Backwater effect - Afflux</t>
  </si>
  <si>
    <t>While discharge is less than the design discharge, but depth at upstream of check structure could be maintained by lowering the gates. Calculations below works out the length of canal upstream of check structure where flow becomes normal under low flows.</t>
  </si>
  <si>
    <t>Normal depth for low flows</t>
  </si>
  <si>
    <r>
      <t>y</t>
    </r>
    <r>
      <rPr>
        <vertAlign val="subscript"/>
        <sz val="8"/>
        <rFont val="Arial"/>
        <family val="2"/>
      </rPr>
      <t>1</t>
    </r>
  </si>
  <si>
    <r>
      <t>y</t>
    </r>
    <r>
      <rPr>
        <vertAlign val="subscript"/>
        <sz val="8"/>
        <rFont val="Arial"/>
        <family val="2"/>
      </rPr>
      <t>n</t>
    </r>
  </si>
  <si>
    <t>ΔE</t>
  </si>
  <si>
    <t>Change in Specific Eneergy</t>
  </si>
  <si>
    <t>Specific Eneergy</t>
  </si>
  <si>
    <t>E</t>
  </si>
  <si>
    <t>y*(B+y*s)</t>
  </si>
  <si>
    <r>
      <t>B+2*y*√(1+s</t>
    </r>
    <r>
      <rPr>
        <vertAlign val="superscript"/>
        <sz val="8"/>
        <rFont val="Arial"/>
        <family val="2"/>
      </rPr>
      <t>2</t>
    </r>
    <r>
      <rPr>
        <sz val="8"/>
        <rFont val="Arial"/>
        <family val="2"/>
      </rPr>
      <t>)</t>
    </r>
  </si>
  <si>
    <r>
      <t>Zwl + v</t>
    </r>
    <r>
      <rPr>
        <vertAlign val="superscript"/>
        <sz val="8"/>
        <rFont val="Arial"/>
        <family val="2"/>
      </rPr>
      <t>2</t>
    </r>
    <r>
      <rPr>
        <sz val="8"/>
        <rFont val="Arial"/>
        <family val="2"/>
      </rPr>
      <t>/2g</t>
    </r>
  </si>
  <si>
    <r>
      <t>E</t>
    </r>
    <r>
      <rPr>
        <vertAlign val="subscript"/>
        <sz val="8"/>
        <rFont val="Arial"/>
        <family val="2"/>
      </rPr>
      <t>d/s</t>
    </r>
    <r>
      <rPr>
        <sz val="8"/>
        <rFont val="Arial"/>
        <family val="2"/>
      </rPr>
      <t xml:space="preserve"> - E</t>
    </r>
    <r>
      <rPr>
        <vertAlign val="subscript"/>
        <sz val="8"/>
        <rFont val="Arial"/>
        <family val="2"/>
      </rPr>
      <t>u/s</t>
    </r>
  </si>
  <si>
    <t>Energy Gradient</t>
  </si>
  <si>
    <r>
      <t>(n x Q / A x R</t>
    </r>
    <r>
      <rPr>
        <vertAlign val="superscript"/>
        <sz val="8"/>
        <rFont val="Arial"/>
        <family val="2"/>
      </rPr>
      <t>2/3</t>
    </r>
    <r>
      <rPr>
        <sz val="8"/>
        <rFont val="Arial"/>
        <family val="2"/>
      </rPr>
      <t xml:space="preserve"> )</t>
    </r>
    <r>
      <rPr>
        <vertAlign val="superscript"/>
        <sz val="8"/>
        <rFont val="Arial"/>
        <family val="2"/>
      </rPr>
      <t>2</t>
    </r>
  </si>
  <si>
    <t>Wetted Perimeter</t>
  </si>
  <si>
    <t>R</t>
  </si>
  <si>
    <t>A / P</t>
  </si>
  <si>
    <t>Average Energy Gradient</t>
  </si>
  <si>
    <r>
      <t>S</t>
    </r>
    <r>
      <rPr>
        <vertAlign val="subscript"/>
        <sz val="8"/>
        <rFont val="Arial"/>
        <family val="2"/>
      </rPr>
      <t>0</t>
    </r>
  </si>
  <si>
    <r>
      <t>S</t>
    </r>
    <r>
      <rPr>
        <vertAlign val="subscript"/>
        <sz val="8"/>
        <rFont val="Arial"/>
        <family val="2"/>
      </rPr>
      <t>0</t>
    </r>
    <r>
      <rPr>
        <sz val="8"/>
        <rFont val="Arial"/>
        <family val="2"/>
      </rPr>
      <t xml:space="preserve"> - S</t>
    </r>
    <r>
      <rPr>
        <vertAlign val="subscript"/>
        <sz val="8"/>
        <rFont val="Arial"/>
        <family val="2"/>
      </rPr>
      <t>f(A)</t>
    </r>
  </si>
  <si>
    <r>
      <t>ΔL = ΔE/(S</t>
    </r>
    <r>
      <rPr>
        <vertAlign val="subscript"/>
        <sz val="8"/>
        <rFont val="Arial"/>
        <family val="2"/>
      </rPr>
      <t>0</t>
    </r>
    <r>
      <rPr>
        <sz val="8"/>
        <rFont val="Arial"/>
        <family val="2"/>
      </rPr>
      <t xml:space="preserve"> - S</t>
    </r>
    <r>
      <rPr>
        <vertAlign val="subscript"/>
        <sz val="8"/>
        <rFont val="Arial"/>
        <family val="2"/>
      </rPr>
      <t>fa)</t>
    </r>
  </si>
  <si>
    <t>Length of section</t>
  </si>
  <si>
    <t>Difference b/w canal slope and average energy gradient</t>
  </si>
  <si>
    <t>Longitudinal slope</t>
  </si>
  <si>
    <t>Canal side slope</t>
  </si>
  <si>
    <t>Parent Canal Data</t>
  </si>
  <si>
    <t>Velocity</t>
  </si>
  <si>
    <t>Energy head u/s</t>
  </si>
  <si>
    <t>Design discharge</t>
  </si>
  <si>
    <t>Head loss at Crump De-Gryuter</t>
  </si>
  <si>
    <t>Crump De-Gryuter</t>
  </si>
  <si>
    <t xml:space="preserve">Velocity </t>
  </si>
  <si>
    <r>
      <t>Q</t>
    </r>
    <r>
      <rPr>
        <vertAlign val="subscript"/>
        <sz val="8"/>
        <rFont val="Arial"/>
        <family val="2"/>
      </rPr>
      <t>d/s</t>
    </r>
  </si>
  <si>
    <r>
      <t>v</t>
    </r>
    <r>
      <rPr>
        <vertAlign val="subscript"/>
        <sz val="8"/>
        <rFont val="Arial"/>
        <family val="2"/>
      </rPr>
      <t>1</t>
    </r>
  </si>
  <si>
    <t>v2</t>
  </si>
  <si>
    <r>
      <t>v</t>
    </r>
    <r>
      <rPr>
        <vertAlign val="subscript"/>
        <sz val="8"/>
        <rFont val="Arial"/>
        <family val="2"/>
      </rPr>
      <t>2</t>
    </r>
  </si>
  <si>
    <r>
      <t>E</t>
    </r>
    <r>
      <rPr>
        <vertAlign val="subscript"/>
        <sz val="8"/>
        <rFont val="Arial"/>
        <family val="2"/>
      </rPr>
      <t>1</t>
    </r>
    <r>
      <rPr>
        <sz val="8"/>
        <rFont val="Arial"/>
        <family val="2"/>
      </rPr>
      <t xml:space="preserve"> = FSLu/s + v</t>
    </r>
    <r>
      <rPr>
        <vertAlign val="subscript"/>
        <sz val="8"/>
        <rFont val="Arial"/>
        <family val="2"/>
      </rPr>
      <t>1</t>
    </r>
    <r>
      <rPr>
        <vertAlign val="superscript"/>
        <sz val="8"/>
        <rFont val="Arial"/>
        <family val="2"/>
      </rPr>
      <t>2</t>
    </r>
    <r>
      <rPr>
        <sz val="8"/>
        <rFont val="Arial"/>
        <family val="2"/>
      </rPr>
      <t>/(2 x g)</t>
    </r>
  </si>
  <si>
    <t>Discharge per unit width</t>
  </si>
  <si>
    <t>Gate opening</t>
  </si>
  <si>
    <t>Froude's No. d/s of gate</t>
  </si>
  <si>
    <t>Hydraulic Jump Calculations d/s of Crump De-Gryuter</t>
  </si>
  <si>
    <r>
      <t xml:space="preserve">for CDG yj = w, since </t>
    </r>
    <r>
      <rPr>
        <sz val="10"/>
        <rFont val="Symbol"/>
        <family val="1"/>
        <charset val="2"/>
      </rPr>
      <t>m</t>
    </r>
    <r>
      <rPr>
        <sz val="10"/>
        <rFont val="Arial"/>
        <family val="2"/>
      </rPr>
      <t xml:space="preserve"> = 1.0</t>
    </r>
  </si>
  <si>
    <r>
      <t>Fr = v</t>
    </r>
    <r>
      <rPr>
        <vertAlign val="subscript"/>
        <sz val="8"/>
        <rFont val="Arial"/>
        <family val="2"/>
      </rPr>
      <t xml:space="preserve">d/s gate </t>
    </r>
    <r>
      <rPr>
        <sz val="8"/>
        <rFont val="Arial"/>
        <family val="2"/>
      </rPr>
      <t>/ (g x w)</t>
    </r>
    <r>
      <rPr>
        <vertAlign val="superscript"/>
        <sz val="8"/>
        <rFont val="Arial"/>
        <family val="2"/>
      </rPr>
      <t>0.5</t>
    </r>
  </si>
  <si>
    <t>Its Conjugate depth</t>
  </si>
  <si>
    <t>Depth of water just d/s of gate</t>
  </si>
  <si>
    <r>
      <t>v</t>
    </r>
    <r>
      <rPr>
        <vertAlign val="subscript"/>
        <sz val="8"/>
        <rFont val="Arial"/>
        <family val="2"/>
      </rPr>
      <t>d/s</t>
    </r>
    <r>
      <rPr>
        <sz val="8"/>
        <rFont val="Arial"/>
        <family val="2"/>
      </rPr>
      <t xml:space="preserve"> </t>
    </r>
    <r>
      <rPr>
        <vertAlign val="subscript"/>
        <sz val="8"/>
        <rFont val="Arial"/>
        <family val="2"/>
      </rPr>
      <t>gate</t>
    </r>
  </si>
  <si>
    <r>
      <t>y</t>
    </r>
    <r>
      <rPr>
        <vertAlign val="subscript"/>
        <sz val="8"/>
        <rFont val="Arial"/>
        <family val="2"/>
      </rPr>
      <t>1(d/s gate)</t>
    </r>
  </si>
  <si>
    <r>
      <t>y</t>
    </r>
    <r>
      <rPr>
        <vertAlign val="subscript"/>
        <sz val="8"/>
        <rFont val="Arial"/>
        <family val="2"/>
      </rPr>
      <t>2(d/s gate)</t>
    </r>
  </si>
  <si>
    <t>Length of Jump d/s of gate</t>
  </si>
  <si>
    <r>
      <t>L</t>
    </r>
    <r>
      <rPr>
        <vertAlign val="subscript"/>
        <sz val="8"/>
        <rFont val="Arial"/>
        <family val="2"/>
      </rPr>
      <t>j (d/s gate)</t>
    </r>
  </si>
  <si>
    <t>Velocity head</t>
  </si>
  <si>
    <t>Glacis slope</t>
  </si>
  <si>
    <t>1 in</t>
  </si>
  <si>
    <t>Length of Glacis</t>
  </si>
  <si>
    <t>Depth of u/s water above Floor level</t>
  </si>
  <si>
    <t>Energy gradient at d/s of Hydraulic Jump</t>
  </si>
  <si>
    <t xml:space="preserve">Provided Crest level </t>
  </si>
  <si>
    <r>
      <rPr>
        <sz val="10"/>
        <rFont val="Symbol"/>
        <family val="1"/>
        <charset val="2"/>
      </rPr>
      <t></t>
    </r>
    <r>
      <rPr>
        <sz val="10"/>
        <rFont val="Arial"/>
        <family val="2"/>
      </rPr>
      <t>h = h</t>
    </r>
    <r>
      <rPr>
        <vertAlign val="subscript"/>
        <sz val="10"/>
        <rFont val="Arial"/>
        <family val="2"/>
      </rPr>
      <t>1</t>
    </r>
    <r>
      <rPr>
        <sz val="10"/>
        <rFont val="Arial"/>
        <family val="2"/>
      </rPr>
      <t xml:space="preserve"> – h</t>
    </r>
    <r>
      <rPr>
        <vertAlign val="subscript"/>
        <sz val="10"/>
        <rFont val="Arial"/>
        <family val="2"/>
      </rPr>
      <t>2</t>
    </r>
    <r>
      <rPr>
        <sz val="10"/>
        <rFont val="Arial"/>
        <family val="2"/>
      </rPr>
      <t xml:space="preserve"> is sufficient to create critical flow under the gate. This is true if </t>
    </r>
    <r>
      <rPr>
        <sz val="10"/>
        <rFont val="Symbol"/>
        <family val="1"/>
        <charset val="2"/>
      </rPr>
      <t></t>
    </r>
    <r>
      <rPr>
        <sz val="10"/>
        <rFont val="Arial"/>
        <family val="2"/>
      </rPr>
      <t>h = h</t>
    </r>
    <r>
      <rPr>
        <vertAlign val="subscript"/>
        <sz val="10"/>
        <rFont val="Arial"/>
        <family val="2"/>
      </rPr>
      <t>1</t>
    </r>
    <r>
      <rPr>
        <sz val="10"/>
        <rFont val="Arial"/>
        <family val="2"/>
      </rPr>
      <t>- w, but it may be less if the diverging transition is designed in such a way that part of the velocity head in the throat is recovered. If critical flow occurs, the actual diverging transition design has no influence on the head-opening-discharge rating of the structure.</t>
    </r>
  </si>
  <si>
    <r>
      <t>To avoid streamline curvature in the jet under the gate, the throat length L should not be less than h</t>
    </r>
    <r>
      <rPr>
        <vertAlign val="subscript"/>
        <sz val="10"/>
        <rFont val="Arial"/>
        <family val="2"/>
      </rPr>
      <t>1</t>
    </r>
    <r>
      <rPr>
        <sz val="10"/>
        <rFont val="Arial"/>
        <family val="2"/>
      </rPr>
      <t>.</t>
    </r>
  </si>
  <si>
    <t>Manning's N</t>
  </si>
  <si>
    <t>Offtake - Turnout</t>
  </si>
  <si>
    <t>Select Minimum Discharge in offtake</t>
  </si>
  <si>
    <t>Ratio of gate opening to head over crest</t>
  </si>
  <si>
    <t xml:space="preserve">Provided Floor levels </t>
  </si>
  <si>
    <t>Required Floor Level d/s of Galcis</t>
  </si>
  <si>
    <t>m/sec</t>
  </si>
  <si>
    <t>FSL</t>
  </si>
  <si>
    <t>Overall Freeboard</t>
  </si>
  <si>
    <t xml:space="preserve">Typical section of movable gate </t>
  </si>
  <si>
    <t>Following head losses will be calculated</t>
  </si>
  <si>
    <t>a) Inlet head loss</t>
  </si>
  <si>
    <t>b) Head Loss at Gate</t>
  </si>
  <si>
    <t>c) Frictional loss</t>
  </si>
  <si>
    <t>d) Outlet transition</t>
  </si>
  <si>
    <r>
      <t xml:space="preserve">Crest and maximum/minimum gate opening is designed in such a way that, both minimum </t>
    </r>
    <r>
      <rPr>
        <sz val="10"/>
        <color rgb="FFFF0000"/>
        <rFont val="Arial"/>
        <family val="2"/>
      </rPr>
      <t xml:space="preserve">(33%) </t>
    </r>
    <r>
      <rPr>
        <sz val="10"/>
        <rFont val="Arial"/>
        <family val="1"/>
        <charset val="2"/>
      </rPr>
      <t xml:space="preserve">and maximum discharge </t>
    </r>
    <r>
      <rPr>
        <sz val="10"/>
        <color rgb="FFFF0000"/>
        <rFont val="Arial"/>
        <family val="2"/>
      </rPr>
      <t xml:space="preserve">(100%) </t>
    </r>
    <r>
      <rPr>
        <sz val="10"/>
        <rFont val="Arial"/>
        <family val="1"/>
        <charset val="2"/>
      </rPr>
      <t>could pass by adjusting gate opening. Min 70% discharge and corresponding warer level is assumed in Parent channel (With no backup i.e. no gated control at check structure to achieve full supply levels at u/s of check structure and corrosponding backup upstream.</t>
    </r>
  </si>
  <si>
    <t>(4) Head Loss through Structure</t>
  </si>
  <si>
    <t>(5) Hydraulic jump calculations d/s of gate</t>
  </si>
  <si>
    <t>Depending upon the discharge of downstream canal, crest level, width and height gate opening will be designed in such a way that Froude Number is below 1.7 and maximum velocity is less than 3.0 m/s.</t>
  </si>
  <si>
    <t>(7) Downstram transition</t>
  </si>
  <si>
    <t>(6) Stilling Basin at drops</t>
  </si>
  <si>
    <t>Critical Velocity</t>
  </si>
  <si>
    <t>Velocity head before jump</t>
  </si>
  <si>
    <t>Energy Head Difference</t>
  </si>
  <si>
    <r>
      <t>H</t>
    </r>
    <r>
      <rPr>
        <vertAlign val="subscript"/>
        <sz val="8"/>
        <rFont val="Arial"/>
        <family val="2"/>
      </rPr>
      <t>1</t>
    </r>
    <r>
      <rPr>
        <sz val="8"/>
        <rFont val="Arial"/>
        <family val="2"/>
      </rPr>
      <t xml:space="preserve"> = y</t>
    </r>
    <r>
      <rPr>
        <vertAlign val="subscript"/>
        <sz val="8"/>
        <rFont val="Arial"/>
        <family val="2"/>
      </rPr>
      <t>f</t>
    </r>
    <r>
      <rPr>
        <sz val="8"/>
        <rFont val="Arial"/>
        <family val="2"/>
      </rPr>
      <t xml:space="preserve"> + v</t>
    </r>
    <r>
      <rPr>
        <vertAlign val="subscript"/>
        <sz val="8"/>
        <rFont val="Arial"/>
        <family val="2"/>
      </rPr>
      <t>f</t>
    </r>
    <r>
      <rPr>
        <vertAlign val="superscript"/>
        <sz val="8"/>
        <rFont val="Arial"/>
        <family val="2"/>
      </rPr>
      <t>2</t>
    </r>
    <r>
      <rPr>
        <sz val="8"/>
        <rFont val="Arial"/>
        <family val="2"/>
      </rPr>
      <t xml:space="preserve"> / (2xg)</t>
    </r>
  </si>
  <si>
    <r>
      <t xml:space="preserve">Ratio of </t>
    </r>
    <r>
      <rPr>
        <sz val="8"/>
        <rFont val="Symbol"/>
        <family val="1"/>
        <charset val="2"/>
      </rPr>
      <t>D</t>
    </r>
    <r>
      <rPr>
        <sz val="8"/>
        <rFont val="Arial"/>
        <family val="2"/>
      </rPr>
      <t>H and H</t>
    </r>
    <r>
      <rPr>
        <vertAlign val="subscript"/>
        <sz val="8"/>
        <rFont val="Arial"/>
        <family val="2"/>
      </rPr>
      <t>1</t>
    </r>
  </si>
  <si>
    <r>
      <rPr>
        <sz val="8"/>
        <rFont val="Symbol"/>
        <family val="1"/>
        <charset val="2"/>
      </rPr>
      <t>D</t>
    </r>
    <r>
      <rPr>
        <sz val="8"/>
        <rFont val="Arial"/>
        <family val="2"/>
      </rPr>
      <t xml:space="preserve">H </t>
    </r>
    <r>
      <rPr>
        <sz val="8"/>
        <rFont val="Arial"/>
        <family val="1"/>
        <charset val="2"/>
      </rPr>
      <t>/ H</t>
    </r>
    <r>
      <rPr>
        <vertAlign val="subscript"/>
        <sz val="8"/>
        <rFont val="Arial"/>
        <family val="2"/>
      </rPr>
      <t>1</t>
    </r>
  </si>
  <si>
    <r>
      <t xml:space="preserve">Use ratio of </t>
    </r>
    <r>
      <rPr>
        <b/>
        <sz val="9"/>
        <rFont val="Symbol"/>
        <family val="1"/>
        <charset val="2"/>
      </rPr>
      <t>D</t>
    </r>
    <r>
      <rPr>
        <b/>
        <sz val="9"/>
        <rFont val="Arial"/>
        <family val="2"/>
      </rPr>
      <t>H / H</t>
    </r>
    <r>
      <rPr>
        <b/>
        <vertAlign val="subscript"/>
        <sz val="9"/>
        <rFont val="Arial"/>
        <family val="2"/>
      </rPr>
      <t>1</t>
    </r>
    <r>
      <rPr>
        <b/>
        <sz val="9"/>
        <rFont val="Arial"/>
        <family val="2"/>
      </rPr>
      <t xml:space="preserve"> to get following dimensionless hydraulic jump parameters from Table A2-6</t>
    </r>
  </si>
  <si>
    <t>Ratio of depth of flow after jump and before jump</t>
  </si>
  <si>
    <r>
      <t>y</t>
    </r>
    <r>
      <rPr>
        <vertAlign val="subscript"/>
        <sz val="8"/>
        <rFont val="Arial"/>
        <family val="2"/>
      </rPr>
      <t>d</t>
    </r>
    <r>
      <rPr>
        <sz val="8"/>
        <rFont val="Arial"/>
        <family val="2"/>
      </rPr>
      <t xml:space="preserve"> / y</t>
    </r>
    <r>
      <rPr>
        <vertAlign val="subscript"/>
        <sz val="8"/>
        <rFont val="Arial"/>
        <family val="2"/>
      </rPr>
      <t>u</t>
    </r>
  </si>
  <si>
    <t>Ratio of depth of flow before jump and upstream head</t>
  </si>
  <si>
    <r>
      <t>y</t>
    </r>
    <r>
      <rPr>
        <vertAlign val="subscript"/>
        <sz val="8"/>
        <rFont val="Arial"/>
        <family val="2"/>
      </rPr>
      <t>u</t>
    </r>
    <r>
      <rPr>
        <sz val="8"/>
        <rFont val="Arial"/>
        <family val="2"/>
      </rPr>
      <t xml:space="preserve"> / H</t>
    </r>
    <r>
      <rPr>
        <vertAlign val="subscript"/>
        <sz val="8"/>
        <rFont val="Arial"/>
        <family val="2"/>
      </rPr>
      <t>1</t>
    </r>
    <r>
      <rPr>
        <sz val="8"/>
        <rFont val="Arial"/>
        <family val="2"/>
      </rPr>
      <t xml:space="preserve"> </t>
    </r>
  </si>
  <si>
    <t>Ratio of velocity head before jump and upstream head</t>
  </si>
  <si>
    <r>
      <t>(v</t>
    </r>
    <r>
      <rPr>
        <vertAlign val="subscript"/>
        <sz val="8"/>
        <rFont val="Arial"/>
        <family val="2"/>
      </rPr>
      <t>u</t>
    </r>
    <r>
      <rPr>
        <vertAlign val="superscript"/>
        <sz val="8"/>
        <rFont val="Arial"/>
        <family val="2"/>
      </rPr>
      <t>2</t>
    </r>
    <r>
      <rPr>
        <sz val="8"/>
        <rFont val="Arial"/>
        <family val="2"/>
      </rPr>
      <t>/ 2g ) / H</t>
    </r>
    <r>
      <rPr>
        <vertAlign val="subscript"/>
        <sz val="8"/>
        <rFont val="Arial"/>
        <family val="2"/>
      </rPr>
      <t>1</t>
    </r>
  </si>
  <si>
    <t>Ratio of Energy head at before Jump and upstream Head</t>
  </si>
  <si>
    <r>
      <t>H</t>
    </r>
    <r>
      <rPr>
        <vertAlign val="subscript"/>
        <sz val="8"/>
        <rFont val="Arial"/>
        <family val="2"/>
      </rPr>
      <t>u</t>
    </r>
    <r>
      <rPr>
        <sz val="8"/>
        <rFont val="Arial"/>
        <family val="2"/>
      </rPr>
      <t xml:space="preserve"> / H</t>
    </r>
    <r>
      <rPr>
        <vertAlign val="subscript"/>
        <sz val="8"/>
        <rFont val="Arial"/>
        <family val="2"/>
      </rPr>
      <t>1</t>
    </r>
  </si>
  <si>
    <t>Ratio of depth of flow after jump and upstream head</t>
  </si>
  <si>
    <r>
      <t>y</t>
    </r>
    <r>
      <rPr>
        <vertAlign val="subscript"/>
        <sz val="8"/>
        <rFont val="Arial"/>
        <family val="2"/>
      </rPr>
      <t>d</t>
    </r>
    <r>
      <rPr>
        <sz val="8"/>
        <rFont val="Arial"/>
        <family val="2"/>
      </rPr>
      <t xml:space="preserve"> / H</t>
    </r>
    <r>
      <rPr>
        <vertAlign val="subscript"/>
        <sz val="8"/>
        <rFont val="Arial"/>
        <family val="2"/>
      </rPr>
      <t xml:space="preserve">1 </t>
    </r>
  </si>
  <si>
    <t>Ratio of velocity head after jump and upstream head</t>
  </si>
  <si>
    <r>
      <t>(v</t>
    </r>
    <r>
      <rPr>
        <vertAlign val="subscript"/>
        <sz val="8"/>
        <rFont val="Arial"/>
        <family val="2"/>
      </rPr>
      <t>d</t>
    </r>
    <r>
      <rPr>
        <vertAlign val="superscript"/>
        <sz val="8"/>
        <rFont val="Arial"/>
        <family val="2"/>
      </rPr>
      <t>2</t>
    </r>
    <r>
      <rPr>
        <sz val="8"/>
        <rFont val="Arial"/>
        <family val="2"/>
      </rPr>
      <t>/ 2g ) / H</t>
    </r>
    <r>
      <rPr>
        <vertAlign val="subscript"/>
        <sz val="8"/>
        <rFont val="Arial"/>
        <family val="2"/>
      </rPr>
      <t>1</t>
    </r>
  </si>
  <si>
    <t>Ratio of d/s energy head to upstream head</t>
  </si>
  <si>
    <r>
      <t>H</t>
    </r>
    <r>
      <rPr>
        <vertAlign val="subscript"/>
        <sz val="8"/>
        <rFont val="Arial"/>
        <family val="2"/>
      </rPr>
      <t>d</t>
    </r>
    <r>
      <rPr>
        <sz val="8"/>
        <rFont val="Arial"/>
        <family val="2"/>
      </rPr>
      <t xml:space="preserve"> / H</t>
    </r>
    <r>
      <rPr>
        <vertAlign val="subscript"/>
        <sz val="8"/>
        <rFont val="Arial"/>
        <family val="2"/>
      </rPr>
      <t>1</t>
    </r>
  </si>
  <si>
    <t>Corresponding values of hydraulic jump parameters are given below</t>
  </si>
  <si>
    <t>Depth of flow after jump</t>
  </si>
  <si>
    <r>
      <t>y</t>
    </r>
    <r>
      <rPr>
        <vertAlign val="subscript"/>
        <sz val="8"/>
        <rFont val="Arial"/>
        <family val="2"/>
      </rPr>
      <t>d</t>
    </r>
    <r>
      <rPr>
        <sz val="8"/>
        <rFont val="Arial"/>
        <family val="2"/>
      </rPr>
      <t xml:space="preserve"> </t>
    </r>
  </si>
  <si>
    <t>Defpth of flow before jump</t>
  </si>
  <si>
    <r>
      <t>y</t>
    </r>
    <r>
      <rPr>
        <vertAlign val="subscript"/>
        <sz val="8"/>
        <rFont val="Arial"/>
        <family val="2"/>
      </rPr>
      <t>u</t>
    </r>
  </si>
  <si>
    <r>
      <t>(v</t>
    </r>
    <r>
      <rPr>
        <vertAlign val="subscript"/>
        <sz val="8"/>
        <rFont val="Arial"/>
        <family val="2"/>
      </rPr>
      <t>u</t>
    </r>
    <r>
      <rPr>
        <vertAlign val="superscript"/>
        <sz val="8"/>
        <rFont val="Arial"/>
        <family val="2"/>
      </rPr>
      <t>2</t>
    </r>
    <r>
      <rPr>
        <sz val="8"/>
        <rFont val="Arial"/>
        <family val="2"/>
      </rPr>
      <t>/ 2g )</t>
    </r>
  </si>
  <si>
    <t>Velocity of flow before jump</t>
  </si>
  <si>
    <r>
      <t>v</t>
    </r>
    <r>
      <rPr>
        <vertAlign val="subscript"/>
        <sz val="8"/>
        <rFont val="Arial"/>
        <family val="2"/>
      </rPr>
      <t>u</t>
    </r>
  </si>
  <si>
    <t>Difference in energy head before jump</t>
  </si>
  <si>
    <r>
      <t>H</t>
    </r>
    <r>
      <rPr>
        <vertAlign val="subscript"/>
        <sz val="8"/>
        <rFont val="Arial"/>
        <family val="2"/>
      </rPr>
      <t>u</t>
    </r>
  </si>
  <si>
    <t>Depth of fLow before jump</t>
  </si>
  <si>
    <t>Velocity head after jump</t>
  </si>
  <si>
    <r>
      <t>(v</t>
    </r>
    <r>
      <rPr>
        <vertAlign val="subscript"/>
        <sz val="8"/>
        <rFont val="Arial"/>
        <family val="2"/>
      </rPr>
      <t>d</t>
    </r>
    <r>
      <rPr>
        <vertAlign val="superscript"/>
        <sz val="8"/>
        <rFont val="Arial"/>
        <family val="2"/>
      </rPr>
      <t>2</t>
    </r>
    <r>
      <rPr>
        <sz val="8"/>
        <rFont val="Arial"/>
        <family val="2"/>
      </rPr>
      <t>/ 2g )</t>
    </r>
  </si>
  <si>
    <t>Velocity of flow after jump</t>
  </si>
  <si>
    <r>
      <t>v</t>
    </r>
    <r>
      <rPr>
        <vertAlign val="subscript"/>
        <sz val="8"/>
        <rFont val="Arial"/>
        <family val="2"/>
      </rPr>
      <t>d</t>
    </r>
  </si>
  <si>
    <t>Downstream enery head</t>
  </si>
  <si>
    <r>
      <t>H</t>
    </r>
    <r>
      <rPr>
        <vertAlign val="subscript"/>
        <sz val="8"/>
        <rFont val="Arial"/>
        <family val="2"/>
      </rPr>
      <t>d</t>
    </r>
  </si>
  <si>
    <t>Calculated basin level</t>
  </si>
  <si>
    <t>Depth of step</t>
  </si>
  <si>
    <t>Length of stilling basin Type I</t>
  </si>
  <si>
    <t>Froude Number</t>
  </si>
  <si>
    <t>Free Jump Performance</t>
  </si>
  <si>
    <t>Preferable type of Stilling Basin</t>
  </si>
  <si>
    <t>Jump Length factor</t>
  </si>
  <si>
    <r>
      <t>L</t>
    </r>
    <r>
      <rPr>
        <vertAlign val="subscript"/>
        <sz val="8"/>
        <rFont val="Arial"/>
        <family val="2"/>
      </rPr>
      <t>j</t>
    </r>
    <r>
      <rPr>
        <sz val="8"/>
        <rFont val="Arial"/>
        <family val="2"/>
      </rPr>
      <t>/H</t>
    </r>
    <r>
      <rPr>
        <vertAlign val="subscript"/>
        <sz val="8"/>
        <rFont val="Arial"/>
        <family val="2"/>
      </rPr>
      <t>d</t>
    </r>
  </si>
  <si>
    <r>
      <t xml:space="preserve">Lj </t>
    </r>
    <r>
      <rPr>
        <vertAlign val="subscript"/>
        <sz val="8"/>
        <rFont val="Arial"/>
        <family val="2"/>
      </rPr>
      <t>[T-IV]</t>
    </r>
    <r>
      <rPr>
        <sz val="8"/>
        <rFont val="Arial"/>
        <family val="2"/>
      </rPr>
      <t xml:space="preserve"> = L</t>
    </r>
    <r>
      <rPr>
        <vertAlign val="subscript"/>
        <sz val="8"/>
        <rFont val="Arial"/>
        <family val="2"/>
      </rPr>
      <t xml:space="preserve">j </t>
    </r>
    <r>
      <rPr>
        <sz val="8"/>
        <rFont val="Arial"/>
        <family val="2"/>
      </rPr>
      <t>/ H</t>
    </r>
    <r>
      <rPr>
        <vertAlign val="subscript"/>
        <sz val="8"/>
        <rFont val="Arial"/>
        <family val="2"/>
      </rPr>
      <t>d</t>
    </r>
    <r>
      <rPr>
        <sz val="8"/>
        <rFont val="Arial"/>
        <family val="2"/>
      </rPr>
      <t xml:space="preserve"> x H</t>
    </r>
    <r>
      <rPr>
        <vertAlign val="subscript"/>
        <sz val="8"/>
        <rFont val="Arial"/>
        <family val="2"/>
      </rPr>
      <t>d</t>
    </r>
  </si>
  <si>
    <t xml:space="preserve">Table A2-6 Dimensionless ratios of hydraulic jump (KP-04, Annexure 2) </t>
  </si>
  <si>
    <t xml:space="preserve">yd / H1 </t>
  </si>
  <si>
    <t>Inclined drops and Chutes</t>
  </si>
  <si>
    <t>1. Section 5.7.4 inclined drops - KP-04</t>
  </si>
  <si>
    <t>2. Section 4.3 Inclined drops or chutes - Discharge meaurement structures by Willem F Vlotman</t>
  </si>
  <si>
    <r>
      <t>v</t>
    </r>
    <r>
      <rPr>
        <vertAlign val="subscript"/>
        <sz val="8"/>
        <rFont val="Arial"/>
        <family val="2"/>
      </rPr>
      <t>i</t>
    </r>
  </si>
  <si>
    <r>
      <t>v</t>
    </r>
    <r>
      <rPr>
        <vertAlign val="subscript"/>
        <sz val="8"/>
        <rFont val="Arial"/>
        <family val="2"/>
      </rPr>
      <t>h1</t>
    </r>
  </si>
  <si>
    <t>Energy Head</t>
  </si>
  <si>
    <r>
      <t>E</t>
    </r>
    <r>
      <rPr>
        <vertAlign val="subscript"/>
        <sz val="8"/>
        <rFont val="Arial"/>
        <family val="2"/>
      </rPr>
      <t>h1</t>
    </r>
  </si>
  <si>
    <t>Energy Level</t>
  </si>
  <si>
    <r>
      <t>E</t>
    </r>
    <r>
      <rPr>
        <vertAlign val="subscript"/>
        <sz val="8"/>
        <rFont val="Arial"/>
        <family val="2"/>
      </rPr>
      <t>1</t>
    </r>
  </si>
  <si>
    <t>Downstream Canal Data</t>
  </si>
  <si>
    <r>
      <t>y</t>
    </r>
    <r>
      <rPr>
        <vertAlign val="subscript"/>
        <sz val="8"/>
        <rFont val="Arial"/>
        <family val="2"/>
      </rPr>
      <t>2</t>
    </r>
  </si>
  <si>
    <r>
      <t>v</t>
    </r>
    <r>
      <rPr>
        <vertAlign val="subscript"/>
        <sz val="8"/>
        <rFont val="Arial"/>
        <family val="2"/>
      </rPr>
      <t>h2</t>
    </r>
  </si>
  <si>
    <r>
      <t>E</t>
    </r>
    <r>
      <rPr>
        <vertAlign val="subscript"/>
        <sz val="8"/>
        <rFont val="Arial"/>
        <family val="2"/>
      </rPr>
      <t>h2</t>
    </r>
  </si>
  <si>
    <r>
      <t>E</t>
    </r>
    <r>
      <rPr>
        <vertAlign val="subscript"/>
        <sz val="8"/>
        <rFont val="Arial"/>
        <family val="2"/>
      </rPr>
      <t>2</t>
    </r>
  </si>
  <si>
    <t xml:space="preserve">Floor Level </t>
  </si>
  <si>
    <t>Width of Section</t>
  </si>
  <si>
    <t>Critical Depth</t>
  </si>
  <si>
    <t>Critical Velocity Head</t>
  </si>
  <si>
    <t>Energy Head at Transition</t>
  </si>
  <si>
    <t>Energy Level at Transition</t>
  </si>
  <si>
    <t>Free Jump Characteristics</t>
  </si>
  <si>
    <t>Basin Type</t>
  </si>
  <si>
    <t>Type I</t>
  </si>
  <si>
    <t>Type IV</t>
  </si>
  <si>
    <t>Type III</t>
  </si>
  <si>
    <t>Type IVA</t>
  </si>
  <si>
    <t xml:space="preserve">Froude Number </t>
  </si>
  <si>
    <t>Jump Type</t>
  </si>
  <si>
    <t>Performance</t>
  </si>
  <si>
    <t>Type</t>
  </si>
  <si>
    <r>
      <t>Fr</t>
    </r>
    <r>
      <rPr>
        <vertAlign val="subscript"/>
        <sz val="10"/>
        <rFont val="Arial"/>
        <family val="2"/>
      </rPr>
      <t>1</t>
    </r>
  </si>
  <si>
    <r>
      <t>Free Jump L/y</t>
    </r>
    <r>
      <rPr>
        <vertAlign val="subscript"/>
        <sz val="10"/>
        <rFont val="Arial"/>
        <family val="2"/>
      </rPr>
      <t>2</t>
    </r>
  </si>
  <si>
    <r>
      <t>L/y</t>
    </r>
    <r>
      <rPr>
        <vertAlign val="subscript"/>
        <sz val="10"/>
        <rFont val="Arial"/>
        <family val="2"/>
      </rPr>
      <t>2</t>
    </r>
  </si>
  <si>
    <t>Sweep Jump</t>
  </si>
  <si>
    <t>Suruface Turbulance Only</t>
  </si>
  <si>
    <t>Oscillating Jump</t>
  </si>
  <si>
    <t>Wavy</t>
  </si>
  <si>
    <t>Steady Jump</t>
  </si>
  <si>
    <t>Best Performance</t>
  </si>
  <si>
    <t>Strong Jump</t>
  </si>
  <si>
    <t>Acceptable Performance</t>
  </si>
  <si>
    <t>Expensive Stilling Basin and Rough Surface Conditions</t>
  </si>
  <si>
    <t>EL. C</t>
  </si>
  <si>
    <r>
      <t>L</t>
    </r>
    <r>
      <rPr>
        <vertAlign val="subscript"/>
        <sz val="8"/>
        <rFont val="Arial"/>
        <family val="2"/>
      </rPr>
      <t>14</t>
    </r>
  </si>
  <si>
    <r>
      <rPr>
        <b/>
        <sz val="8"/>
        <rFont val="Symbol"/>
        <family val="1"/>
        <charset val="2"/>
      </rPr>
      <t>D</t>
    </r>
    <r>
      <rPr>
        <b/>
        <sz val="8"/>
        <rFont val="Arial"/>
        <family val="2"/>
      </rPr>
      <t>H / H1</t>
    </r>
  </si>
  <si>
    <r>
      <t>y</t>
    </r>
    <r>
      <rPr>
        <b/>
        <vertAlign val="subscript"/>
        <sz val="8"/>
        <rFont val="Arial"/>
        <family val="2"/>
      </rPr>
      <t>d</t>
    </r>
    <r>
      <rPr>
        <b/>
        <sz val="8"/>
        <rFont val="Arial"/>
        <family val="2"/>
      </rPr>
      <t xml:space="preserve"> / y</t>
    </r>
    <r>
      <rPr>
        <b/>
        <vertAlign val="subscript"/>
        <sz val="8"/>
        <rFont val="Arial"/>
        <family val="2"/>
      </rPr>
      <t>u</t>
    </r>
  </si>
  <si>
    <r>
      <t>y</t>
    </r>
    <r>
      <rPr>
        <b/>
        <vertAlign val="subscript"/>
        <sz val="8"/>
        <rFont val="Arial"/>
        <family val="2"/>
      </rPr>
      <t>u</t>
    </r>
    <r>
      <rPr>
        <b/>
        <sz val="8"/>
        <rFont val="Arial"/>
        <family val="2"/>
      </rPr>
      <t xml:space="preserve"> / H1 </t>
    </r>
  </si>
  <si>
    <r>
      <t>(v</t>
    </r>
    <r>
      <rPr>
        <b/>
        <vertAlign val="subscript"/>
        <sz val="8"/>
        <rFont val="Arial"/>
        <family val="2"/>
      </rPr>
      <t>u</t>
    </r>
    <r>
      <rPr>
        <b/>
        <vertAlign val="superscript"/>
        <sz val="8"/>
        <rFont val="Arial"/>
        <family val="2"/>
      </rPr>
      <t>2</t>
    </r>
    <r>
      <rPr>
        <b/>
        <sz val="8"/>
        <rFont val="Arial"/>
        <family val="2"/>
      </rPr>
      <t>/ 2g ) / H1</t>
    </r>
  </si>
  <si>
    <r>
      <t>H</t>
    </r>
    <r>
      <rPr>
        <b/>
        <vertAlign val="subscript"/>
        <sz val="8"/>
        <rFont val="Arial"/>
        <family val="2"/>
      </rPr>
      <t>u</t>
    </r>
    <r>
      <rPr>
        <b/>
        <sz val="8"/>
        <rFont val="Arial"/>
        <family val="2"/>
      </rPr>
      <t xml:space="preserve"> / H1</t>
    </r>
  </si>
  <si>
    <r>
      <t>(v</t>
    </r>
    <r>
      <rPr>
        <b/>
        <vertAlign val="subscript"/>
        <sz val="8"/>
        <rFont val="Arial"/>
        <family val="2"/>
      </rPr>
      <t>d</t>
    </r>
    <r>
      <rPr>
        <b/>
        <vertAlign val="superscript"/>
        <sz val="8"/>
        <rFont val="Arial"/>
        <family val="2"/>
      </rPr>
      <t>2</t>
    </r>
    <r>
      <rPr>
        <b/>
        <sz val="8"/>
        <rFont val="Arial"/>
        <family val="2"/>
      </rPr>
      <t>/ 2g ) / H1</t>
    </r>
  </si>
  <si>
    <r>
      <t>H</t>
    </r>
    <r>
      <rPr>
        <b/>
        <vertAlign val="subscript"/>
        <sz val="8"/>
        <rFont val="Arial"/>
        <family val="2"/>
      </rPr>
      <t>d</t>
    </r>
    <r>
      <rPr>
        <b/>
        <sz val="8"/>
        <rFont val="Arial"/>
        <family val="2"/>
      </rPr>
      <t xml:space="preserve"> / H1</t>
    </r>
  </si>
  <si>
    <t>Project ID</t>
  </si>
  <si>
    <r>
      <t xml:space="preserve">To obtain critical flow under the gate and to avoid air vortices upstream of the gate, the gate opening height should be less than </t>
    </r>
    <r>
      <rPr>
        <b/>
        <sz val="10"/>
        <rFont val="Arial"/>
        <family val="2"/>
      </rPr>
      <t>0.63 h</t>
    </r>
    <r>
      <rPr>
        <b/>
        <vertAlign val="subscript"/>
        <sz val="10"/>
        <rFont val="Arial"/>
        <family val="2"/>
      </rPr>
      <t>1</t>
    </r>
    <r>
      <rPr>
        <b/>
        <sz val="10"/>
        <rFont val="Arial"/>
        <family val="2"/>
      </rPr>
      <t>.</t>
    </r>
    <r>
      <rPr>
        <sz val="10"/>
        <rFont val="Arial"/>
        <family val="1"/>
        <charset val="2"/>
      </rPr>
      <t xml:space="preserve"> The gate opening height should be more than </t>
    </r>
    <r>
      <rPr>
        <b/>
        <sz val="10"/>
        <rFont val="Arial"/>
        <family val="2"/>
      </rPr>
      <t>0.02 m</t>
    </r>
    <r>
      <rPr>
        <sz val="10"/>
        <rFont val="Arial"/>
        <family val="1"/>
        <charset val="2"/>
      </rPr>
      <t xml:space="preserve"> for accurate measurements.</t>
    </r>
  </si>
  <si>
    <r>
      <t>The head-loss required for modular flow is less than h</t>
    </r>
    <r>
      <rPr>
        <vertAlign val="subscript"/>
        <sz val="10"/>
        <rFont val="Arial"/>
        <family val="2"/>
      </rPr>
      <t>1</t>
    </r>
    <r>
      <rPr>
        <sz val="10"/>
        <rFont val="Arial"/>
        <family val="1"/>
        <charset val="2"/>
      </rPr>
      <t xml:space="preserve"> – w. It can be reduced if a gradual diverging transition is used downstream of the throat; e.g. For </t>
    </r>
    <r>
      <rPr>
        <b/>
        <sz val="10"/>
        <rFont val="Arial"/>
        <family val="2"/>
      </rPr>
      <t>1 : 4</t>
    </r>
    <r>
      <rPr>
        <sz val="10"/>
        <rFont val="Arial"/>
        <family val="1"/>
        <charset val="2"/>
      </rPr>
      <t xml:space="preserve"> sloping diverging transition the required head loss </t>
    </r>
    <r>
      <rPr>
        <sz val="10"/>
        <rFont val="Symbol"/>
        <family val="1"/>
        <charset val="2"/>
      </rPr>
      <t></t>
    </r>
    <r>
      <rPr>
        <sz val="10"/>
        <rFont val="Arial"/>
        <family val="1"/>
        <charset val="2"/>
      </rPr>
      <t>h is reduced to 0.5 (h</t>
    </r>
    <r>
      <rPr>
        <vertAlign val="subscript"/>
        <sz val="10"/>
        <rFont val="Arial"/>
        <family val="2"/>
      </rPr>
      <t>1</t>
    </r>
    <r>
      <rPr>
        <sz val="10"/>
        <rFont val="Arial"/>
        <family val="1"/>
        <charset val="2"/>
      </rPr>
      <t xml:space="preserve"> – w). This head loss is less than that required for other orifices.</t>
    </r>
  </si>
  <si>
    <t>At the end of basin along end sill a standard</t>
  </si>
  <si>
    <t xml:space="preserve">If required a stilling basin Type 1 will be provided (Refer Section 5.7.4 inclined drops - KP-04) at d/s of bridge (a chute with 1:1 slope until basin) to dissipate the energy. Length of stilling basin will be set as 5x( depth of water d/s + Height of End sill). A check for USBR Type 1 basin is also made to check the minum required length. Jump and level of basin will be selected in such a way that hydraulic jump forms at toe of glacis at design discharge. </t>
  </si>
  <si>
    <r>
      <t>m</t>
    </r>
    <r>
      <rPr>
        <vertAlign val="superscript"/>
        <sz val="8"/>
        <rFont val="Arial"/>
        <family val="2"/>
      </rPr>
      <t>3</t>
    </r>
    <r>
      <rPr>
        <sz val="8"/>
        <rFont val="Arial"/>
        <family val="2"/>
      </rPr>
      <t>/sec</t>
    </r>
  </si>
  <si>
    <t>q</t>
  </si>
  <si>
    <r>
      <t>m</t>
    </r>
    <r>
      <rPr>
        <vertAlign val="superscript"/>
        <sz val="8"/>
        <rFont val="Arial"/>
        <family val="2"/>
      </rPr>
      <t>3</t>
    </r>
    <r>
      <rPr>
        <sz val="8"/>
        <rFont val="Arial"/>
        <family val="2"/>
      </rPr>
      <t>/sec/m</t>
    </r>
  </si>
  <si>
    <r>
      <rPr>
        <sz val="8"/>
        <rFont val="Symbol"/>
        <family val="1"/>
        <charset val="2"/>
      </rPr>
      <t>D</t>
    </r>
    <r>
      <rPr>
        <sz val="8"/>
        <rFont val="Arial"/>
        <family val="2"/>
      </rPr>
      <t>H</t>
    </r>
    <r>
      <rPr>
        <sz val="8"/>
        <rFont val="Arial"/>
        <family val="1"/>
        <charset val="2"/>
      </rPr>
      <t xml:space="preserve"> = E</t>
    </r>
    <r>
      <rPr>
        <vertAlign val="subscript"/>
        <sz val="8"/>
        <rFont val="Arial"/>
        <family val="2"/>
      </rPr>
      <t>f</t>
    </r>
    <r>
      <rPr>
        <sz val="8"/>
        <rFont val="Arial"/>
        <family val="1"/>
        <charset val="2"/>
      </rPr>
      <t xml:space="preserve"> - E</t>
    </r>
    <r>
      <rPr>
        <vertAlign val="subscript"/>
        <sz val="8"/>
        <rFont val="Arial"/>
        <family val="2"/>
      </rPr>
      <t>2</t>
    </r>
  </si>
  <si>
    <t>Design Upstream Head at Control Section</t>
  </si>
  <si>
    <t>Calculation for Floor level d/s of Gate</t>
  </si>
  <si>
    <t>Design Turnout with Crump - de Gruyter gate</t>
  </si>
  <si>
    <t>Check of Turnout with Crump - de Gruyter gate : at Low flows</t>
  </si>
  <si>
    <r>
      <t>m</t>
    </r>
    <r>
      <rPr>
        <vertAlign val="subscript"/>
        <sz val="8"/>
        <rFont val="Arial"/>
        <family val="2"/>
      </rPr>
      <t>asl</t>
    </r>
  </si>
  <si>
    <t>Provided Level of Basin</t>
  </si>
  <si>
    <t>Available data (Control section in Flume - for calculation of hydraulic jump parameters</t>
  </si>
  <si>
    <t>Flume Section - Assume Critical Depth at Transition (Start of Glacis)</t>
  </si>
  <si>
    <t>Design discharge in Parent Canal</t>
  </si>
  <si>
    <r>
      <t>Q</t>
    </r>
    <r>
      <rPr>
        <vertAlign val="subscript"/>
        <sz val="8"/>
        <rFont val="Arial"/>
        <family val="2"/>
      </rPr>
      <t>d</t>
    </r>
  </si>
  <si>
    <r>
      <t>Q</t>
    </r>
    <r>
      <rPr>
        <vertAlign val="subscript"/>
        <sz val="8"/>
        <rFont val="Arial"/>
        <family val="2"/>
      </rPr>
      <t>max</t>
    </r>
  </si>
  <si>
    <r>
      <t>H</t>
    </r>
    <r>
      <rPr>
        <vertAlign val="subscript"/>
        <sz val="8"/>
        <rFont val="Arial"/>
        <family val="2"/>
      </rPr>
      <t>min</t>
    </r>
  </si>
  <si>
    <r>
      <t>DBW</t>
    </r>
    <r>
      <rPr>
        <vertAlign val="subscript"/>
        <sz val="8"/>
        <rFont val="Arial"/>
        <family val="2"/>
      </rPr>
      <t>u/s</t>
    </r>
  </si>
  <si>
    <r>
      <t>v</t>
    </r>
    <r>
      <rPr>
        <vertAlign val="subscript"/>
        <sz val="8"/>
        <rFont val="Arial"/>
        <family val="2"/>
      </rPr>
      <t>u/s</t>
    </r>
  </si>
  <si>
    <r>
      <t>FB</t>
    </r>
    <r>
      <rPr>
        <vertAlign val="subscript"/>
        <sz val="8"/>
        <rFont val="Arial"/>
        <family val="2"/>
      </rPr>
      <t>u/s</t>
    </r>
  </si>
  <si>
    <r>
      <t>v</t>
    </r>
    <r>
      <rPr>
        <vertAlign val="subscript"/>
        <sz val="8"/>
        <rFont val="Arial"/>
        <family val="2"/>
      </rPr>
      <t>d/s</t>
    </r>
  </si>
  <si>
    <r>
      <t>FB</t>
    </r>
    <r>
      <rPr>
        <vertAlign val="subscript"/>
        <sz val="8"/>
        <rFont val="Arial"/>
        <family val="2"/>
      </rPr>
      <t>d/s</t>
    </r>
  </si>
  <si>
    <t>Length of Type 1 Basin</t>
  </si>
  <si>
    <t>(3) Crest level and gate opening</t>
  </si>
  <si>
    <t>Calc. No.</t>
  </si>
  <si>
    <r>
      <t>Discharge (m</t>
    </r>
    <r>
      <rPr>
        <vertAlign val="superscript"/>
        <sz val="11"/>
        <rFont val="Times New Roman"/>
        <family val="1"/>
      </rPr>
      <t>3</t>
    </r>
    <r>
      <rPr>
        <sz val="11"/>
        <rFont val="Times New Roman"/>
        <family val="1"/>
      </rPr>
      <t>/sec)</t>
    </r>
  </si>
  <si>
    <t>for Embankment (m)</t>
  </si>
  <si>
    <t>for Lining (m)</t>
  </si>
  <si>
    <t>Less than 0.5</t>
  </si>
  <si>
    <t>0.5 to 1.5</t>
  </si>
  <si>
    <t>1.5 to 5.0</t>
  </si>
  <si>
    <t>5.0 to 10.0</t>
  </si>
  <si>
    <t>10.0 to 15.0</t>
  </si>
  <si>
    <t>More than 15.0</t>
  </si>
  <si>
    <t>(8) Free Board</t>
  </si>
  <si>
    <t>Parent Canal</t>
  </si>
  <si>
    <t>Name of Canal</t>
  </si>
  <si>
    <t>Crump De-Gryuter (All dimensions and Levels are in m)</t>
  </si>
  <si>
    <t>L1 = 2 x h1</t>
  </si>
  <si>
    <t>L9 = Stilling basin d/s wall</t>
  </si>
  <si>
    <t>L2 = 0.375 x h1</t>
  </si>
  <si>
    <t>L10 = Converging transition</t>
  </si>
  <si>
    <t>L3 = 0.6 + 0.25 x h1</t>
  </si>
  <si>
    <t>L11 = Length of throat</t>
  </si>
  <si>
    <t>L4 = Varies, Min. 0.2m</t>
  </si>
  <si>
    <t>L12 = d/s gate glacis length</t>
  </si>
  <si>
    <t>L5 = Width of road parapet</t>
  </si>
  <si>
    <t>L13= Flume straingth length</t>
  </si>
  <si>
    <t>L6 = Width of Road</t>
  </si>
  <si>
    <t xml:space="preserve">L14 = Basin glacis slope </t>
  </si>
  <si>
    <t>L7= Slope start d/s of bridge</t>
  </si>
  <si>
    <t>L15 = Stilling basin length</t>
  </si>
  <si>
    <t>L8 = Wall slopped length</t>
  </si>
  <si>
    <t>Crest Level, EL A.</t>
  </si>
  <si>
    <t>Road Bridge Top, EL.D.</t>
  </si>
  <si>
    <t>Floor d/s of Gate, EL.B.</t>
  </si>
  <si>
    <t>Side wall d/s, top, EL.E.</t>
  </si>
  <si>
    <t>Stilling basin Level, EL. C.</t>
  </si>
  <si>
    <t>Head Difference</t>
  </si>
  <si>
    <t>Velocity in parent channel</t>
  </si>
  <si>
    <t>v1</t>
  </si>
  <si>
    <t>Angle of offtake with Flow direction</t>
  </si>
  <si>
    <t>Degrees</t>
  </si>
  <si>
    <t>Approach Velocity</t>
  </si>
  <si>
    <t>Approach velocity head</t>
  </si>
  <si>
    <t>Upstream Energy Level</t>
  </si>
  <si>
    <t xml:space="preserve">Maximum theorotical discharge </t>
  </si>
  <si>
    <t>126,3</t>
  </si>
  <si>
    <t>Sek. BLMB 2 - BLMB 3</t>
  </si>
  <si>
    <t>15,16</t>
  </si>
  <si>
    <t>LMB 3 kn</t>
  </si>
  <si>
    <t>Tersier BLMB3-T1</t>
  </si>
  <si>
    <t>LMB 3 kn  Tersier BLMB3-T1</t>
  </si>
  <si>
    <t>BLMB3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</si>
</sst>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
    <numFmt numFmtId="165" formatCode="0.00000"/>
    <numFmt numFmtId="166" formatCode="0.0"/>
    <numFmt numFmtId="167" formatCode="&quot;h1 =&quot;0.00"/>
    <numFmt numFmtId="168" formatCode="&quot;FSL u/s = &quot;0.00"/>
    <numFmt numFmtId="169" formatCode="&quot;p1 = &quot;0.00"/>
    <numFmt numFmtId="170" formatCode="&quot;DBL u/s = &quot;0.00"/>
    <numFmt numFmtId="171" formatCode="&quot;Crest Level = &quot;0.00"/>
    <numFmt numFmtId="172" formatCode="0.0000"/>
    <numFmt numFmtId="173" formatCode="&quot;w = &quot;0.000"/>
    <numFmt numFmtId="174" formatCode="&quot;Q &quot;0%"/>
    <numFmt numFmtId="175" formatCode="&quot;L = &quot;0"/>
    <numFmt numFmtId="176" formatCode="&quot;WWL = &quot;0.00"/>
    <numFmt numFmtId="177" formatCode="&quot;h1 = &quot;0.00"/>
    <numFmt numFmtId="178" formatCode="&quot;w = &quot;0.00"/>
    <numFmt numFmtId="179" formatCode="0.0000000"/>
    <numFmt numFmtId="180" formatCode="&quot;L = &quot;0.00&quot; m&quot;"/>
    <numFmt numFmtId="181" formatCode="&quot;b = &quot;0.00"/>
  </numFmts>
  <fonts count="57">
    <font>
      <sz val="10"/>
      <name val="Arial"/>
    </font>
    <font>
      <sz val="11"/>
      <color theme="1"/>
      <name val="Calibri"/>
      <family val="2"/>
      <scheme val="minor"/>
    </font>
    <font>
      <sz val="11"/>
      <color theme="1"/>
      <name val="Calibri"/>
      <family val="2"/>
      <scheme val="minor"/>
    </font>
    <font>
      <sz val="12"/>
      <name val="Arial"/>
      <family val="2"/>
    </font>
    <font>
      <sz val="8"/>
      <name val="Arial"/>
      <family val="2"/>
    </font>
    <font>
      <sz val="12"/>
      <color indexed="8"/>
      <name val="Arial"/>
      <family val="2"/>
    </font>
    <font>
      <sz val="9"/>
      <color indexed="8"/>
      <name val="Arial"/>
      <family val="2"/>
    </font>
    <font>
      <sz val="7"/>
      <color indexed="8"/>
      <name val="Arial"/>
      <family val="2"/>
    </font>
    <font>
      <b/>
      <sz val="10"/>
      <name val="Arial"/>
      <family val="2"/>
    </font>
    <font>
      <sz val="10"/>
      <name val="Arial"/>
      <family val="2"/>
    </font>
    <font>
      <b/>
      <sz val="16"/>
      <name val="Arial"/>
      <family val="2"/>
    </font>
    <font>
      <sz val="9"/>
      <name val="Arial"/>
      <family val="2"/>
    </font>
    <font>
      <b/>
      <sz val="9"/>
      <name val="Arial"/>
      <family val="2"/>
    </font>
    <font>
      <sz val="10"/>
      <color rgb="FF0070C0"/>
      <name val="Arial"/>
      <family val="2"/>
    </font>
    <font>
      <sz val="9"/>
      <color rgb="FF0070C0"/>
      <name val="Arial"/>
      <family val="2"/>
    </font>
    <font>
      <sz val="10"/>
      <name val="Times New Roman"/>
      <family val="1"/>
    </font>
    <font>
      <vertAlign val="superscript"/>
      <sz val="10"/>
      <name val="Arial"/>
      <family val="2"/>
    </font>
    <font>
      <sz val="10"/>
      <color indexed="8"/>
      <name val="Arial"/>
      <family val="2"/>
    </font>
    <font>
      <vertAlign val="subscript"/>
      <sz val="10"/>
      <name val="Arial"/>
      <family val="2"/>
    </font>
    <font>
      <sz val="10"/>
      <name val="Symbol"/>
      <family val="1"/>
      <charset val="2"/>
    </font>
    <font>
      <sz val="10"/>
      <name val="Arial"/>
      <family val="1"/>
      <charset val="2"/>
    </font>
    <font>
      <b/>
      <sz val="8"/>
      <name val="Arial"/>
      <family val="2"/>
    </font>
    <font>
      <vertAlign val="superscript"/>
      <sz val="8"/>
      <name val="Arial"/>
      <family val="2"/>
    </font>
    <font>
      <vertAlign val="subscript"/>
      <sz val="8"/>
      <name val="Arial"/>
      <family val="2"/>
    </font>
    <font>
      <sz val="36"/>
      <name val="Mott MacDonald Logo"/>
      <family val="1"/>
      <charset val="2"/>
    </font>
    <font>
      <i/>
      <sz val="8"/>
      <name val="Arial"/>
      <family val="2"/>
    </font>
    <font>
      <i/>
      <u/>
      <sz val="8"/>
      <name val="Arial"/>
      <family val="2"/>
    </font>
    <font>
      <sz val="8"/>
      <name val="Symbol"/>
      <family val="1"/>
      <charset val="2"/>
    </font>
    <font>
      <i/>
      <sz val="10"/>
      <name val="Arial"/>
      <family val="2"/>
    </font>
    <font>
      <b/>
      <u/>
      <sz val="11"/>
      <color theme="1"/>
      <name val="Calibri"/>
      <family val="2"/>
      <scheme val="minor"/>
    </font>
    <font>
      <sz val="10"/>
      <name val="Arial"/>
      <family val="2"/>
    </font>
    <font>
      <b/>
      <vertAlign val="subscript"/>
      <sz val="8"/>
      <color theme="1"/>
      <name val="Calibri"/>
      <family val="2"/>
    </font>
    <font>
      <vertAlign val="subscript"/>
      <sz val="11"/>
      <color theme="1"/>
      <name val="Calibri"/>
      <family val="2"/>
      <scheme val="minor"/>
    </font>
    <font>
      <sz val="10"/>
      <color theme="0" tint="-0.34998626667073579"/>
      <name val="Arial"/>
      <family val="2"/>
    </font>
    <font>
      <sz val="10"/>
      <color rgb="FFFF0000"/>
      <name val="Arial"/>
      <family val="2"/>
    </font>
    <font>
      <sz val="9"/>
      <color theme="1"/>
      <name val="Arial"/>
      <family val="2"/>
    </font>
    <font>
      <i/>
      <sz val="10"/>
      <name val="Times New Roman"/>
      <family val="1"/>
    </font>
    <font>
      <b/>
      <u/>
      <sz val="10"/>
      <name val="Arial"/>
      <family val="2"/>
    </font>
    <font>
      <b/>
      <u/>
      <sz val="8"/>
      <name val="Arial"/>
      <family val="2"/>
    </font>
    <font>
      <sz val="8"/>
      <name val="Arial"/>
      <family val="1"/>
      <charset val="2"/>
    </font>
    <font>
      <b/>
      <sz val="9"/>
      <name val="Symbol"/>
      <family val="1"/>
      <charset val="2"/>
    </font>
    <font>
      <b/>
      <vertAlign val="subscript"/>
      <sz val="9"/>
      <name val="Arial"/>
      <family val="2"/>
    </font>
    <font>
      <sz val="10"/>
      <color rgb="FF040C28"/>
      <name val="Arial"/>
      <family val="2"/>
    </font>
    <font>
      <b/>
      <vertAlign val="subscript"/>
      <sz val="10"/>
      <name val="Arial"/>
      <family val="2"/>
    </font>
    <font>
      <sz val="9"/>
      <color rgb="FF000000"/>
      <name val="Times New Roman"/>
      <family val="1"/>
    </font>
    <font>
      <sz val="8"/>
      <color rgb="FF0070C0"/>
      <name val="Arial"/>
      <family val="2"/>
    </font>
    <font>
      <sz val="10"/>
      <color theme="0"/>
      <name val="Arial"/>
      <family val="2"/>
    </font>
    <font>
      <b/>
      <sz val="8"/>
      <name val="Symbol"/>
      <family val="1"/>
      <charset val="2"/>
    </font>
    <font>
      <b/>
      <vertAlign val="subscript"/>
      <sz val="8"/>
      <name val="Arial"/>
      <family val="2"/>
    </font>
    <font>
      <b/>
      <vertAlign val="superscript"/>
      <sz val="8"/>
      <name val="Arial"/>
      <family val="2"/>
    </font>
    <font>
      <sz val="8"/>
      <color theme="1"/>
      <name val="Arial"/>
      <family val="2"/>
    </font>
    <font>
      <sz val="8"/>
      <color rgb="FF000000"/>
      <name val="Arial"/>
      <family val="2"/>
    </font>
    <font>
      <b/>
      <sz val="12"/>
      <name val="Arial"/>
      <family val="2"/>
    </font>
    <font>
      <sz val="10"/>
      <color theme="0" tint="-0.499984740745262"/>
      <name val="Arial"/>
      <family val="2"/>
    </font>
    <font>
      <sz val="11"/>
      <name val="Times New Roman"/>
      <family val="1"/>
    </font>
    <font>
      <vertAlign val="superscript"/>
      <sz val="11"/>
      <name val="Times New Roman"/>
      <family val="1"/>
    </font>
    <font>
      <sz val="10"/>
      <color rgb="FF000000"/>
      <name val="Arial"/>
      <family val="2"/>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indexed="13"/>
        <bgColor indexed="64"/>
      </patternFill>
    </fill>
    <fill>
      <patternFill patternType="solid">
        <fgColor theme="0" tint="-0.49998474074526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6">
    <xf numFmtId="0" fontId="0" fillId="0" borderId="0"/>
    <xf numFmtId="0" fontId="9" fillId="0" borderId="0"/>
    <xf numFmtId="0" fontId="3" fillId="0" borderId="0"/>
    <xf numFmtId="0" fontId="15" fillId="0" borderId="0"/>
    <xf numFmtId="9" fontId="30" fillId="0" borderId="0" applyFont="0" applyFill="0" applyBorder="0" applyAlignment="0" applyProtection="0"/>
    <xf numFmtId="0" fontId="1" fillId="0" borderId="0"/>
  </cellStyleXfs>
  <cellXfs count="352">
    <xf numFmtId="0" fontId="0" fillId="0" borderId="0" xfId="0"/>
    <xf numFmtId="0" fontId="5" fillId="0" borderId="0" xfId="2" applyFont="1"/>
    <xf numFmtId="0" fontId="7" fillId="0" borderId="0" xfId="2" applyFont="1" applyAlignment="1">
      <alignment horizontal="center" vertical="center" wrapText="1"/>
    </xf>
    <xf numFmtId="0" fontId="14" fillId="2" borderId="1" xfId="2" applyFont="1" applyFill="1" applyBorder="1" applyAlignment="1" applyProtection="1">
      <alignment horizontal="center" vertical="center"/>
      <protection locked="0"/>
    </xf>
    <xf numFmtId="0" fontId="13" fillId="2" borderId="1" xfId="2" applyFont="1" applyFill="1" applyBorder="1" applyAlignment="1" applyProtection="1">
      <alignment horizontal="center" vertical="center"/>
      <protection locked="0"/>
    </xf>
    <xf numFmtId="14" fontId="13" fillId="2" borderId="11" xfId="2" applyNumberFormat="1" applyFont="1" applyFill="1" applyBorder="1" applyAlignment="1" applyProtection="1">
      <alignment horizontal="center" vertical="center"/>
      <protection locked="0"/>
    </xf>
    <xf numFmtId="0" fontId="9" fillId="0" borderId="5" xfId="1" applyBorder="1"/>
    <xf numFmtId="0" fontId="24" fillId="0" borderId="9" xfId="1" applyFont="1" applyBorder="1" applyAlignment="1">
      <alignment vertical="center"/>
    </xf>
    <xf numFmtId="0" fontId="24" fillId="0" borderId="10" xfId="1" applyFont="1" applyBorder="1" applyAlignment="1">
      <alignment vertical="center"/>
    </xf>
    <xf numFmtId="0" fontId="9" fillId="0" borderId="0" xfId="1"/>
    <xf numFmtId="0" fontId="9" fillId="0" borderId="6" xfId="1" applyBorder="1"/>
    <xf numFmtId="0" fontId="9" fillId="0" borderId="0" xfId="1" applyAlignment="1">
      <alignment horizontal="left" vertical="center"/>
    </xf>
    <xf numFmtId="0" fontId="24" fillId="0" borderId="0" xfId="1" applyFont="1" applyAlignment="1">
      <alignment vertical="center"/>
    </xf>
    <xf numFmtId="0" fontId="24" fillId="0" borderId="3" xfId="1" applyFont="1" applyBorder="1" applyAlignment="1">
      <alignment vertical="center"/>
    </xf>
    <xf numFmtId="0" fontId="9" fillId="0" borderId="2" xfId="1" applyBorder="1" applyAlignment="1">
      <alignment horizontal="left" vertical="center"/>
    </xf>
    <xf numFmtId="0" fontId="24" fillId="0" borderId="2" xfId="1" applyFont="1" applyBorder="1" applyAlignment="1">
      <alignment vertical="center"/>
    </xf>
    <xf numFmtId="0" fontId="24" fillId="0" borderId="7" xfId="1" applyFont="1" applyBorder="1" applyAlignment="1">
      <alignment vertical="center"/>
    </xf>
    <xf numFmtId="14" fontId="6" fillId="0" borderId="1" xfId="2" applyNumberFormat="1" applyFont="1" applyBorder="1" applyAlignment="1">
      <alignment horizontal="center" vertical="center"/>
    </xf>
    <xf numFmtId="0" fontId="5" fillId="0" borderId="12" xfId="2" applyFont="1" applyBorder="1" applyAlignment="1">
      <alignment vertical="center"/>
    </xf>
    <xf numFmtId="0" fontId="17" fillId="0" borderId="2" xfId="2" applyFont="1" applyBorder="1" applyAlignment="1">
      <alignment horizontal="center" vertical="center"/>
    </xf>
    <xf numFmtId="0" fontId="5" fillId="0" borderId="2" xfId="2" applyFont="1" applyBorder="1" applyAlignment="1">
      <alignment horizontal="center" vertical="center"/>
    </xf>
    <xf numFmtId="0" fontId="9" fillId="0" borderId="7" xfId="1" applyBorder="1" applyAlignment="1">
      <alignment vertical="center"/>
    </xf>
    <xf numFmtId="0" fontId="9" fillId="0" borderId="14" xfId="1" applyBorder="1"/>
    <xf numFmtId="0" fontId="9" fillId="0" borderId="0" xfId="1" applyAlignment="1">
      <alignment vertical="center" wrapText="1"/>
    </xf>
    <xf numFmtId="0" fontId="6" fillId="0" borderId="0" xfId="2" applyFont="1" applyAlignment="1">
      <alignment vertical="center"/>
    </xf>
    <xf numFmtId="0" fontId="6" fillId="0" borderId="0" xfId="2" applyFont="1" applyAlignment="1">
      <alignment horizontal="left" vertical="center"/>
    </xf>
    <xf numFmtId="14" fontId="6" fillId="0" borderId="0" xfId="2" applyNumberFormat="1" applyFont="1" applyAlignment="1">
      <alignment horizontal="left" vertical="center"/>
    </xf>
    <xf numFmtId="0" fontId="17" fillId="0" borderId="0" xfId="2" applyFont="1" applyAlignment="1">
      <alignment horizontal="center" vertical="center"/>
    </xf>
    <xf numFmtId="0" fontId="5" fillId="0" borderId="3" xfId="2" applyFont="1" applyBorder="1" applyAlignment="1">
      <alignment horizontal="center" vertical="center"/>
    </xf>
    <xf numFmtId="0" fontId="9" fillId="0" borderId="14" xfId="1" applyBorder="1" applyAlignment="1">
      <alignment vertical="center"/>
    </xf>
    <xf numFmtId="0" fontId="9" fillId="0" borderId="0" xfId="1" applyAlignment="1">
      <alignment vertical="center"/>
    </xf>
    <xf numFmtId="0" fontId="10" fillId="0" borderId="0" xfId="1" applyFont="1" applyAlignment="1">
      <alignment vertical="center"/>
    </xf>
    <xf numFmtId="0" fontId="9" fillId="0" borderId="3" xfId="1" applyBorder="1" applyAlignment="1">
      <alignment vertical="center"/>
    </xf>
    <xf numFmtId="0" fontId="4" fillId="0" borderId="0" xfId="1" applyFont="1"/>
    <xf numFmtId="0" fontId="25" fillId="0" borderId="0" xfId="1" applyFont="1" applyAlignment="1">
      <alignment vertical="center"/>
    </xf>
    <xf numFmtId="0" fontId="21" fillId="0" borderId="2" xfId="1" applyFont="1" applyBorder="1" applyAlignment="1">
      <alignment vertical="center"/>
    </xf>
    <xf numFmtId="0" fontId="9" fillId="0" borderId="2" xfId="1" applyBorder="1" applyAlignment="1">
      <alignment vertical="center"/>
    </xf>
    <xf numFmtId="0" fontId="9" fillId="0" borderId="2" xfId="1" applyBorder="1" applyAlignment="1">
      <alignment vertical="center" wrapText="1"/>
    </xf>
    <xf numFmtId="0" fontId="4" fillId="0" borderId="14" xfId="1" applyFont="1" applyBorder="1" applyAlignment="1">
      <alignment vertical="center"/>
    </xf>
    <xf numFmtId="0" fontId="4" fillId="0" borderId="0" xfId="1" applyFont="1" applyAlignment="1">
      <alignment vertical="center"/>
    </xf>
    <xf numFmtId="0" fontId="26" fillId="0" borderId="0" xfId="1" applyFont="1" applyAlignment="1">
      <alignment horizontal="left" vertical="center" indent="1"/>
    </xf>
    <xf numFmtId="2" fontId="4" fillId="0" borderId="0" xfId="1" applyNumberFormat="1" applyFont="1" applyAlignment="1">
      <alignment horizontal="center" vertical="center"/>
    </xf>
    <xf numFmtId="0" fontId="4" fillId="0" borderId="0" xfId="1" applyFont="1" applyAlignment="1">
      <alignment horizontal="center" vertical="center"/>
    </xf>
    <xf numFmtId="0" fontId="21" fillId="0" borderId="0" xfId="1" applyFont="1" applyAlignment="1">
      <alignment vertical="top"/>
    </xf>
    <xf numFmtId="0" fontId="4" fillId="0" borderId="3" xfId="1" applyFont="1" applyBorder="1" applyAlignment="1">
      <alignment vertical="center"/>
    </xf>
    <xf numFmtId="0" fontId="4" fillId="0" borderId="14" xfId="1" applyFont="1" applyBorder="1"/>
    <xf numFmtId="0" fontId="4" fillId="0" borderId="0" xfId="1" applyFont="1" applyAlignment="1">
      <alignment vertical="center" wrapText="1"/>
    </xf>
    <xf numFmtId="0" fontId="4" fillId="0" borderId="0" xfId="1" applyFont="1" applyAlignment="1">
      <alignment horizontal="left" vertical="center"/>
    </xf>
    <xf numFmtId="2" fontId="4" fillId="0" borderId="1" xfId="1" applyNumberFormat="1" applyFont="1" applyBorder="1" applyAlignment="1">
      <alignment horizontal="center" vertical="center"/>
    </xf>
    <xf numFmtId="0" fontId="21" fillId="0" borderId="0" xfId="1" applyFont="1" applyAlignment="1">
      <alignment horizontal="left" vertical="center"/>
    </xf>
    <xf numFmtId="0" fontId="4" fillId="0" borderId="3" xfId="1" applyFont="1" applyBorder="1"/>
    <xf numFmtId="0" fontId="4" fillId="0" borderId="1" xfId="1" applyFont="1" applyBorder="1" applyAlignment="1">
      <alignment horizontal="center" vertical="center"/>
    </xf>
    <xf numFmtId="165" fontId="4" fillId="0" borderId="1" xfId="1" applyNumberFormat="1" applyFont="1" applyBorder="1" applyAlignment="1">
      <alignment horizontal="center" vertical="center"/>
    </xf>
    <xf numFmtId="172" fontId="4" fillId="3" borderId="1" xfId="1" applyNumberFormat="1" applyFont="1" applyFill="1" applyBorder="1" applyAlignment="1">
      <alignment horizontal="center" vertical="center"/>
    </xf>
    <xf numFmtId="164" fontId="4" fillId="0" borderId="1" xfId="1" applyNumberFormat="1" applyFont="1" applyBorder="1" applyAlignment="1">
      <alignment horizontal="center" vertical="center"/>
    </xf>
    <xf numFmtId="0" fontId="27" fillId="0" borderId="0" xfId="1" applyFont="1" applyAlignment="1">
      <alignment horizontal="left" vertical="center"/>
    </xf>
    <xf numFmtId="0" fontId="21" fillId="0" borderId="0" xfId="1" applyFont="1" applyAlignment="1">
      <alignment vertical="center"/>
    </xf>
    <xf numFmtId="0" fontId="4" fillId="4" borderId="0" xfId="1" applyFont="1" applyFill="1" applyAlignment="1">
      <alignment horizontal="left" vertical="center"/>
    </xf>
    <xf numFmtId="0" fontId="4" fillId="0" borderId="14" xfId="1" applyFont="1" applyBorder="1" applyAlignment="1">
      <alignment horizontal="center" vertical="center" wrapText="1"/>
    </xf>
    <xf numFmtId="0" fontId="4" fillId="0" borderId="0" xfId="1" applyFont="1" applyAlignment="1">
      <alignment horizontal="center" vertical="center" wrapText="1"/>
    </xf>
    <xf numFmtId="0" fontId="4" fillId="0" borderId="3" xfId="1" applyFont="1" applyBorder="1" applyAlignment="1">
      <alignment horizontal="center" vertical="center" wrapText="1"/>
    </xf>
    <xf numFmtId="0" fontId="4" fillId="0" borderId="1" xfId="1" applyFont="1" applyBorder="1" applyAlignment="1">
      <alignment horizontal="center" vertical="center" wrapText="1"/>
    </xf>
    <xf numFmtId="0" fontId="4" fillId="0" borderId="15" xfId="1" applyFont="1" applyBorder="1" applyAlignment="1">
      <alignment horizontal="center" vertical="center" wrapText="1"/>
    </xf>
    <xf numFmtId="0" fontId="21" fillId="0" borderId="1" xfId="1" applyFont="1" applyBorder="1" applyAlignment="1">
      <alignment horizontal="center" vertical="center" wrapText="1"/>
    </xf>
    <xf numFmtId="164" fontId="4" fillId="0" borderId="3" xfId="1" applyNumberFormat="1" applyFont="1" applyBorder="1" applyAlignment="1">
      <alignment vertical="center" wrapText="1"/>
    </xf>
    <xf numFmtId="164" fontId="4" fillId="0" borderId="14" xfId="1" applyNumberFormat="1" applyFont="1" applyBorder="1" applyAlignment="1">
      <alignment horizontal="center" vertical="center" wrapText="1"/>
    </xf>
    <xf numFmtId="2" fontId="4" fillId="0" borderId="14" xfId="1" applyNumberFormat="1" applyFont="1" applyBorder="1" applyAlignment="1">
      <alignment horizontal="center" vertical="center"/>
    </xf>
    <xf numFmtId="0" fontId="4" fillId="0" borderId="13" xfId="1" applyFont="1" applyBorder="1" applyAlignment="1">
      <alignment horizontal="center" vertical="center"/>
    </xf>
    <xf numFmtId="2" fontId="4" fillId="0" borderId="13" xfId="1" applyNumberFormat="1" applyFont="1" applyBorder="1" applyAlignment="1">
      <alignment horizontal="center" vertical="center"/>
    </xf>
    <xf numFmtId="0" fontId="4" fillId="0" borderId="0" xfId="1" applyFont="1" applyAlignment="1">
      <alignment horizontal="left" vertical="center" wrapText="1"/>
    </xf>
    <xf numFmtId="0" fontId="4" fillId="0" borderId="3" xfId="1" applyFont="1" applyBorder="1" applyAlignment="1">
      <alignment horizontal="left" vertical="center" wrapText="1"/>
    </xf>
    <xf numFmtId="164" fontId="4" fillId="0" borderId="15" xfId="1" applyNumberFormat="1" applyFont="1" applyBorder="1" applyAlignment="1">
      <alignment horizontal="center" vertical="center" wrapText="1"/>
    </xf>
    <xf numFmtId="2" fontId="4" fillId="0" borderId="15" xfId="1" applyNumberFormat="1" applyFont="1" applyBorder="1" applyAlignment="1">
      <alignment horizontal="center" vertical="center"/>
    </xf>
    <xf numFmtId="166" fontId="4" fillId="0" borderId="0" xfId="1" applyNumberFormat="1" applyFont="1" applyAlignment="1">
      <alignment vertical="center"/>
    </xf>
    <xf numFmtId="0" fontId="9" fillId="0" borderId="15" xfId="1" applyBorder="1" applyAlignment="1">
      <alignment vertical="center"/>
    </xf>
    <xf numFmtId="0" fontId="28" fillId="0" borderId="2" xfId="1" applyFont="1" applyBorder="1" applyAlignment="1">
      <alignment vertical="center"/>
    </xf>
    <xf numFmtId="0" fontId="8" fillId="0" borderId="2" xfId="1" applyFont="1" applyBorder="1" applyAlignment="1">
      <alignment horizontal="left" vertical="center"/>
    </xf>
    <xf numFmtId="0" fontId="4" fillId="0" borderId="4" xfId="1" applyFont="1" applyBorder="1" applyAlignment="1">
      <alignment horizontal="center" vertical="center" wrapText="1"/>
    </xf>
    <xf numFmtId="164" fontId="4" fillId="0" borderId="14" xfId="1" applyNumberFormat="1" applyFont="1" applyBorder="1" applyAlignment="1">
      <alignment horizontal="center" vertical="center"/>
    </xf>
    <xf numFmtId="164" fontId="4" fillId="0" borderId="15" xfId="1" applyNumberFormat="1" applyFont="1" applyBorder="1" applyAlignment="1">
      <alignment horizontal="center" vertical="center"/>
    </xf>
    <xf numFmtId="0" fontId="6" fillId="0" borderId="4" xfId="2" applyFont="1" applyBorder="1" applyAlignment="1">
      <alignment horizontal="center" vertical="center"/>
    </xf>
    <xf numFmtId="0" fontId="6" fillId="0" borderId="4" xfId="2" applyFont="1" applyBorder="1" applyAlignment="1">
      <alignment vertical="center"/>
    </xf>
    <xf numFmtId="0" fontId="6" fillId="0" borderId="1" xfId="2" applyFont="1" applyBorder="1" applyAlignment="1">
      <alignment horizontal="center" vertical="center"/>
    </xf>
    <xf numFmtId="0" fontId="4" fillId="0" borderId="0" xfId="1" applyFont="1" applyAlignment="1">
      <alignment horizontal="right" vertical="center" indent="1"/>
    </xf>
    <xf numFmtId="0" fontId="4" fillId="0" borderId="0" xfId="1" applyFont="1" applyAlignment="1">
      <alignment horizontal="left" vertical="center" indent="1"/>
    </xf>
    <xf numFmtId="0" fontId="9" fillId="0" borderId="7" xfId="1" applyBorder="1" applyAlignment="1">
      <alignment horizontal="left" vertical="center" wrapText="1"/>
    </xf>
    <xf numFmtId="0" fontId="1" fillId="0" borderId="0" xfId="5" applyAlignment="1">
      <alignment horizontal="center"/>
    </xf>
    <xf numFmtId="0" fontId="4" fillId="0" borderId="0" xfId="5" applyFont="1" applyAlignment="1" applyProtection="1">
      <alignment horizontal="center" vertical="center"/>
      <protection locked="0"/>
    </xf>
    <xf numFmtId="0" fontId="1" fillId="0" borderId="0" xfId="5" applyAlignment="1">
      <alignment horizontal="left"/>
    </xf>
    <xf numFmtId="172" fontId="1" fillId="0" borderId="0" xfId="5" applyNumberFormat="1" applyAlignment="1">
      <alignment horizontal="center"/>
    </xf>
    <xf numFmtId="0" fontId="9" fillId="0" borderId="0" xfId="1" applyAlignment="1">
      <alignment horizontal="left"/>
    </xf>
    <xf numFmtId="0" fontId="4" fillId="0" borderId="0" xfId="1" applyFont="1" applyAlignment="1">
      <alignment horizontal="left"/>
    </xf>
    <xf numFmtId="2" fontId="4" fillId="0" borderId="0" xfId="1" applyNumberFormat="1" applyFont="1" applyAlignment="1">
      <alignment horizontal="left" vertical="center"/>
    </xf>
    <xf numFmtId="164" fontId="4" fillId="0" borderId="0" xfId="1" applyNumberFormat="1" applyFont="1" applyAlignment="1">
      <alignment horizontal="left" vertical="center"/>
    </xf>
    <xf numFmtId="164" fontId="4" fillId="0" borderId="0" xfId="1" applyNumberFormat="1" applyFont="1" applyAlignment="1">
      <alignment vertical="center"/>
    </xf>
    <xf numFmtId="0" fontId="4" fillId="0" borderId="11" xfId="1" applyFont="1" applyBorder="1" applyAlignment="1">
      <alignment horizontal="center" vertical="center" wrapText="1"/>
    </xf>
    <xf numFmtId="0" fontId="4" fillId="0" borderId="1" xfId="1" quotePrefix="1" applyFont="1" applyBorder="1" applyAlignment="1">
      <alignment horizontal="center" vertical="center" wrapText="1"/>
    </xf>
    <xf numFmtId="0" fontId="4" fillId="0" borderId="1" xfId="1" applyFont="1" applyBorder="1" applyAlignment="1">
      <alignment horizontal="center" vertical="top" wrapText="1"/>
    </xf>
    <xf numFmtId="0" fontId="4" fillId="0" borderId="4" xfId="1" applyFont="1" applyBorder="1" applyAlignment="1">
      <alignment horizontal="center" vertical="top" wrapText="1"/>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11" fontId="4" fillId="0" borderId="14" xfId="1" applyNumberFormat="1" applyFont="1" applyBorder="1" applyAlignment="1">
      <alignment horizontal="center" vertical="center"/>
    </xf>
    <xf numFmtId="179" fontId="4" fillId="0" borderId="14" xfId="1" applyNumberFormat="1" applyFont="1" applyBorder="1" applyAlignment="1">
      <alignment horizontal="center" vertical="center"/>
    </xf>
    <xf numFmtId="11" fontId="4" fillId="0" borderId="15" xfId="1" applyNumberFormat="1" applyFont="1" applyBorder="1" applyAlignment="1">
      <alignment horizontal="center" vertical="center"/>
    </xf>
    <xf numFmtId="179" fontId="4" fillId="0" borderId="15" xfId="1" applyNumberFormat="1" applyFont="1" applyBorder="1" applyAlignment="1">
      <alignment horizontal="center" vertical="center"/>
    </xf>
    <xf numFmtId="172" fontId="4" fillId="0" borderId="15" xfId="1" applyNumberFormat="1" applyFont="1" applyBorder="1" applyAlignment="1">
      <alignment horizontal="center" vertical="center" wrapText="1"/>
    </xf>
    <xf numFmtId="1" fontId="4" fillId="0" borderId="14" xfId="1" applyNumberFormat="1" applyFont="1" applyBorder="1" applyAlignment="1">
      <alignment horizontal="center" vertical="center" wrapText="1"/>
    </xf>
    <xf numFmtId="0" fontId="9" fillId="0" borderId="6" xfId="1" applyBorder="1" applyAlignment="1">
      <alignment vertical="center" wrapText="1"/>
    </xf>
    <xf numFmtId="0" fontId="9" fillId="0" borderId="6" xfId="1" applyBorder="1" applyAlignment="1">
      <alignment vertical="center"/>
    </xf>
    <xf numFmtId="0" fontId="4" fillId="0" borderId="6" xfId="1" applyFont="1" applyBorder="1"/>
    <xf numFmtId="0" fontId="4" fillId="0" borderId="6" xfId="1" applyFont="1" applyBorder="1" applyAlignment="1">
      <alignment vertical="center"/>
    </xf>
    <xf numFmtId="0" fontId="4" fillId="0" borderId="6" xfId="1" applyFont="1" applyBorder="1" applyAlignment="1">
      <alignment horizontal="center" vertical="center" wrapText="1"/>
    </xf>
    <xf numFmtId="0" fontId="9" fillId="0" borderId="12" xfId="1" applyBorder="1" applyAlignment="1">
      <alignment vertical="center"/>
    </xf>
    <xf numFmtId="0" fontId="9" fillId="0" borderId="1" xfId="1" applyBorder="1" applyAlignment="1">
      <alignment vertical="center"/>
    </xf>
    <xf numFmtId="0" fontId="9" fillId="0" borderId="1" xfId="1" applyBorder="1" applyAlignment="1">
      <alignment horizontal="center" vertical="center"/>
    </xf>
    <xf numFmtId="1" fontId="4" fillId="0" borderId="1" xfId="1" applyNumberFormat="1" applyFont="1" applyBorder="1" applyAlignment="1">
      <alignment horizontal="center"/>
    </xf>
    <xf numFmtId="0" fontId="9" fillId="0" borderId="1" xfId="1" applyBorder="1" applyAlignment="1">
      <alignment horizontal="left" vertical="center"/>
    </xf>
    <xf numFmtId="164" fontId="14" fillId="2" borderId="1" xfId="0" applyNumberFormat="1" applyFont="1" applyFill="1" applyBorder="1" applyAlignment="1" applyProtection="1">
      <alignment horizontal="center" vertical="center"/>
      <protection locked="0"/>
    </xf>
    <xf numFmtId="2" fontId="14" fillId="2" borderId="1" xfId="0" applyNumberFormat="1" applyFont="1" applyFill="1" applyBorder="1" applyAlignment="1" applyProtection="1">
      <alignment horizontal="center" vertical="center"/>
      <protection locked="0"/>
    </xf>
    <xf numFmtId="164" fontId="45" fillId="2" borderId="1" xfId="1" applyNumberFormat="1" applyFont="1" applyFill="1" applyBorder="1" applyAlignment="1" applyProtection="1">
      <alignment horizontal="center" vertical="center"/>
      <protection locked="0"/>
    </xf>
    <xf numFmtId="0" fontId="9" fillId="0" borderId="0" xfId="1" applyAlignment="1">
      <alignment horizontal="center" vertical="center"/>
    </xf>
    <xf numFmtId="0" fontId="9" fillId="0" borderId="0" xfId="1" applyAlignment="1">
      <alignment horizontal="center"/>
    </xf>
    <xf numFmtId="0" fontId="9" fillId="0" borderId="1" xfId="1" applyBorder="1" applyAlignment="1">
      <alignment vertical="top"/>
    </xf>
    <xf numFmtId="0" fontId="9" fillId="0" borderId="0" xfId="1" applyAlignment="1">
      <alignment vertical="top"/>
    </xf>
    <xf numFmtId="0" fontId="9" fillId="0" borderId="1" xfId="1" applyBorder="1" applyAlignment="1">
      <alignment horizontal="center" vertical="top"/>
    </xf>
    <xf numFmtId="0" fontId="9" fillId="0" borderId="0" xfId="1" applyAlignment="1">
      <alignment horizontal="left" vertical="top"/>
    </xf>
    <xf numFmtId="0" fontId="9" fillId="0" borderId="1" xfId="1" applyBorder="1" applyAlignment="1">
      <alignment horizontal="center" vertical="top" wrapText="1"/>
    </xf>
    <xf numFmtId="0" fontId="9" fillId="0" borderId="0" xfId="1" applyAlignment="1">
      <alignment horizontal="center" vertical="top"/>
    </xf>
    <xf numFmtId="166" fontId="9" fillId="0" borderId="1" xfId="1" applyNumberFormat="1" applyBorder="1" applyAlignment="1">
      <alignment horizontal="left" vertical="center"/>
    </xf>
    <xf numFmtId="2" fontId="9" fillId="0" borderId="0" xfId="1" applyNumberFormat="1" applyAlignment="1">
      <alignment horizontal="left" vertical="center"/>
    </xf>
    <xf numFmtId="164" fontId="9" fillId="0" borderId="1" xfId="1" applyNumberFormat="1" applyBorder="1" applyAlignment="1">
      <alignment horizontal="center" vertical="center"/>
    </xf>
    <xf numFmtId="0" fontId="9" fillId="0" borderId="1" xfId="1" applyBorder="1" applyAlignment="1">
      <alignment horizontal="center"/>
    </xf>
    <xf numFmtId="164" fontId="9" fillId="0" borderId="1" xfId="1" applyNumberFormat="1" applyBorder="1" applyAlignment="1">
      <alignment horizontal="center"/>
    </xf>
    <xf numFmtId="0" fontId="46" fillId="0" borderId="0" xfId="1" applyFont="1"/>
    <xf numFmtId="2" fontId="9" fillId="0" borderId="1" xfId="1" applyNumberFormat="1" applyBorder="1" applyAlignment="1">
      <alignment horizontal="center" vertical="center"/>
    </xf>
    <xf numFmtId="0" fontId="9" fillId="0" borderId="0" xfId="0" applyFont="1"/>
    <xf numFmtId="0" fontId="17" fillId="0" borderId="1" xfId="2" applyFont="1" applyBorder="1" applyAlignment="1">
      <alignment vertical="center"/>
    </xf>
    <xf numFmtId="0" fontId="17" fillId="0" borderId="1" xfId="2" applyFont="1" applyBorder="1" applyAlignment="1">
      <alignment horizontal="left" vertical="center"/>
    </xf>
    <xf numFmtId="0" fontId="9" fillId="0" borderId="1" xfId="0" applyFont="1" applyBorder="1" applyAlignment="1">
      <alignment horizontal="center" vertical="center"/>
    </xf>
    <xf numFmtId="0" fontId="9" fillId="0" borderId="6" xfId="0" applyFont="1" applyBorder="1" applyAlignment="1">
      <alignment vertical="center"/>
    </xf>
    <xf numFmtId="0" fontId="8" fillId="0" borderId="0" xfId="0" applyFont="1" applyAlignment="1">
      <alignment horizontal="left" vertical="center"/>
    </xf>
    <xf numFmtId="0" fontId="8" fillId="0" borderId="0" xfId="0" applyFont="1" applyAlignment="1">
      <alignment vertical="center"/>
    </xf>
    <xf numFmtId="0" fontId="9" fillId="0" borderId="0" xfId="0" applyFont="1" applyAlignment="1">
      <alignment vertical="center"/>
    </xf>
    <xf numFmtId="0" fontId="9" fillId="0" borderId="3" xfId="0" applyFont="1" applyBorder="1" applyAlignment="1">
      <alignment vertical="center"/>
    </xf>
    <xf numFmtId="0" fontId="8" fillId="0" borderId="0" xfId="0" applyFont="1" applyAlignment="1">
      <alignment horizontal="left" vertical="top"/>
    </xf>
    <xf numFmtId="0" fontId="9" fillId="0" borderId="0" xfId="0" applyFont="1" applyAlignment="1">
      <alignment horizontal="left" vertical="top" wrapText="1"/>
    </xf>
    <xf numFmtId="0" fontId="0" fillId="0" borderId="0" xfId="0" applyAlignment="1">
      <alignment vertical="center"/>
    </xf>
    <xf numFmtId="0" fontId="9" fillId="0" borderId="0" xfId="0" applyFont="1" applyAlignment="1">
      <alignment horizontal="right" indent="1"/>
    </xf>
    <xf numFmtId="0" fontId="8" fillId="0" borderId="0" xfId="0" applyFont="1"/>
    <xf numFmtId="0" fontId="9" fillId="0" borderId="0" xfId="0" applyFont="1" applyAlignment="1">
      <alignment horizontal="justify" vertical="top" wrapText="1"/>
    </xf>
    <xf numFmtId="0" fontId="9" fillId="0" borderId="0" xfId="0" applyFont="1" applyAlignment="1">
      <alignment vertical="top" wrapText="1"/>
    </xf>
    <xf numFmtId="0" fontId="9" fillId="0" borderId="12" xfId="0" applyFont="1" applyBorder="1" applyAlignment="1">
      <alignment vertical="center"/>
    </xf>
    <xf numFmtId="0" fontId="9" fillId="0" borderId="2" xfId="0" applyFont="1" applyBorder="1" applyAlignment="1">
      <alignment vertical="center"/>
    </xf>
    <xf numFmtId="0" fontId="9" fillId="0" borderId="7" xfId="0" applyFont="1" applyBorder="1" applyAlignment="1">
      <alignment vertical="center"/>
    </xf>
    <xf numFmtId="0" fontId="9" fillId="0" borderId="6" xfId="0" applyFont="1" applyBorder="1"/>
    <xf numFmtId="0" fontId="9" fillId="0" borderId="3" xfId="0" applyFont="1" applyBorder="1"/>
    <xf numFmtId="0" fontId="9" fillId="0" borderId="0" xfId="0" applyFont="1" applyAlignment="1">
      <alignment horizontal="left" vertical="top"/>
    </xf>
    <xf numFmtId="0" fontId="9" fillId="0" borderId="0" xfId="0" applyFont="1" applyAlignment="1">
      <alignment horizontal="left" vertical="top" indent="1"/>
    </xf>
    <xf numFmtId="0" fontId="15" fillId="0" borderId="0" xfId="0" applyFont="1"/>
    <xf numFmtId="0" fontId="36" fillId="0" borderId="0" xfId="0" applyFont="1"/>
    <xf numFmtId="0" fontId="9" fillId="0" borderId="12" xfId="0" applyFont="1" applyBorder="1"/>
    <xf numFmtId="0" fontId="9" fillId="0" borderId="2" xfId="0" applyFont="1" applyBorder="1" applyAlignment="1">
      <alignment horizontal="left"/>
    </xf>
    <xf numFmtId="0" fontId="9" fillId="0" borderId="2" xfId="0" applyFont="1" applyBorder="1"/>
    <xf numFmtId="0" fontId="9" fillId="0" borderId="7" xfId="0" applyFont="1" applyBorder="1"/>
    <xf numFmtId="0" fontId="9" fillId="0" borderId="0" xfId="0" applyFont="1" applyAlignment="1">
      <alignment horizontal="left"/>
    </xf>
    <xf numFmtId="0" fontId="4" fillId="0" borderId="0" xfId="0" applyFont="1"/>
    <xf numFmtId="0" fontId="4"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vertical="center" wrapText="1"/>
    </xf>
    <xf numFmtId="0" fontId="11" fillId="0" borderId="0" xfId="0" applyFont="1" applyAlignment="1">
      <alignment horizontal="right" vertical="center" wrapText="1" indent="1"/>
    </xf>
    <xf numFmtId="0" fontId="9" fillId="0" borderId="2" xfId="0" applyFont="1" applyBorder="1" applyAlignment="1">
      <alignment horizontal="center" vertical="top" wrapText="1"/>
    </xf>
    <xf numFmtId="0" fontId="9" fillId="0" borderId="2" xfId="0" applyFont="1" applyBorder="1" applyAlignment="1">
      <alignment horizontal="left" vertical="top" wrapText="1"/>
    </xf>
    <xf numFmtId="0" fontId="8" fillId="0" borderId="2" xfId="0" applyFont="1" applyBorder="1" applyAlignment="1">
      <alignment vertical="center"/>
    </xf>
    <xf numFmtId="164" fontId="14" fillId="3" borderId="1" xfId="0" applyNumberFormat="1" applyFont="1" applyFill="1" applyBorder="1" applyAlignment="1">
      <alignment horizontal="center" vertical="center"/>
    </xf>
    <xf numFmtId="164" fontId="9" fillId="0" borderId="0" xfId="0" applyNumberFormat="1" applyFont="1" applyAlignment="1">
      <alignment vertical="center"/>
    </xf>
    <xf numFmtId="174" fontId="4" fillId="3" borderId="0" xfId="4" applyNumberFormat="1" applyFont="1" applyFill="1" applyBorder="1" applyAlignment="1" applyProtection="1">
      <alignment horizontal="right" vertical="center"/>
    </xf>
    <xf numFmtId="174" fontId="4" fillId="3" borderId="0" xfId="4" applyNumberFormat="1" applyFont="1" applyFill="1" applyBorder="1" applyAlignment="1" applyProtection="1">
      <alignment horizontal="right" vertical="center" indent="1"/>
    </xf>
    <xf numFmtId="164" fontId="35" fillId="3" borderId="1" xfId="0" applyNumberFormat="1" applyFont="1" applyFill="1" applyBorder="1" applyAlignment="1">
      <alignment horizontal="center" vertical="center"/>
    </xf>
    <xf numFmtId="2" fontId="35" fillId="3" borderId="1" xfId="0" applyNumberFormat="1" applyFont="1" applyFill="1" applyBorder="1" applyAlignment="1">
      <alignment horizontal="center" vertical="center"/>
    </xf>
    <xf numFmtId="174" fontId="14" fillId="2" borderId="1" xfId="4" applyNumberFormat="1" applyFont="1" applyFill="1" applyBorder="1" applyAlignment="1" applyProtection="1">
      <alignment horizontal="center" vertical="center"/>
      <protection locked="0"/>
    </xf>
    <xf numFmtId="9" fontId="53" fillId="5" borderId="0" xfId="4" applyFont="1" applyFill="1" applyAlignment="1" applyProtection="1">
      <alignment vertical="center"/>
    </xf>
    <xf numFmtId="2" fontId="53" fillId="5" borderId="0" xfId="0" applyNumberFormat="1" applyFont="1" applyFill="1" applyAlignment="1">
      <alignment vertical="center"/>
    </xf>
    <xf numFmtId="0" fontId="4" fillId="0" borderId="0" xfId="0" applyFont="1" applyAlignment="1">
      <alignment horizontal="left" vertical="top" wrapText="1" indent="1"/>
    </xf>
    <xf numFmtId="0" fontId="4" fillId="0" borderId="0" xfId="0" applyFont="1" applyAlignment="1">
      <alignment horizontal="left" vertical="center" indent="1"/>
    </xf>
    <xf numFmtId="0" fontId="4" fillId="0" borderId="0" xfId="0" applyFont="1" applyAlignment="1">
      <alignment horizontal="left" vertical="center" wrapText="1" indent="1"/>
    </xf>
    <xf numFmtId="0" fontId="4" fillId="0" borderId="0" xfId="0" applyFont="1" applyAlignment="1">
      <alignment horizontal="right" vertical="center" wrapText="1" indent="1"/>
    </xf>
    <xf numFmtId="9" fontId="53" fillId="5" borderId="0" xfId="4" applyFont="1" applyFill="1" applyAlignment="1" applyProtection="1">
      <alignment horizontal="center"/>
    </xf>
    <xf numFmtId="0" fontId="53" fillId="5" borderId="0" xfId="0" applyFont="1" applyFill="1" applyAlignment="1">
      <alignment horizontal="left"/>
    </xf>
    <xf numFmtId="0" fontId="53" fillId="5" borderId="0" xfId="0" applyFont="1" applyFill="1"/>
    <xf numFmtId="0" fontId="53" fillId="5" borderId="0" xfId="0" applyFont="1" applyFill="1" applyAlignment="1">
      <alignment horizontal="center"/>
    </xf>
    <xf numFmtId="0" fontId="33" fillId="0" borderId="0" xfId="0" applyFont="1"/>
    <xf numFmtId="164" fontId="53" fillId="5" borderId="0" xfId="0" applyNumberFormat="1" applyFont="1" applyFill="1" applyAlignment="1">
      <alignment horizontal="center"/>
    </xf>
    <xf numFmtId="164" fontId="53" fillId="5" borderId="0" xfId="0" applyNumberFormat="1" applyFont="1" applyFill="1"/>
    <xf numFmtId="0" fontId="53" fillId="5" borderId="0" xfId="0" applyFont="1" applyFill="1" applyAlignment="1">
      <alignment horizontal="left" vertical="center"/>
    </xf>
    <xf numFmtId="0" fontId="53" fillId="5" borderId="0" xfId="0" applyFont="1" applyFill="1" applyAlignment="1">
      <alignment vertical="center"/>
    </xf>
    <xf numFmtId="0" fontId="33" fillId="0" borderId="0" xfId="0" applyFont="1" applyAlignment="1">
      <alignment vertical="center"/>
    </xf>
    <xf numFmtId="0" fontId="21" fillId="0" borderId="0" xfId="0" applyFont="1" applyAlignment="1">
      <alignment vertical="center"/>
    </xf>
    <xf numFmtId="2" fontId="53" fillId="5" borderId="0" xfId="0" applyNumberFormat="1" applyFont="1" applyFill="1" applyAlignment="1">
      <alignment horizontal="center"/>
    </xf>
    <xf numFmtId="167" fontId="4" fillId="0" borderId="0" xfId="0" applyNumberFormat="1" applyFont="1" applyAlignment="1">
      <alignment vertical="center"/>
    </xf>
    <xf numFmtId="173" fontId="4" fillId="0" borderId="0" xfId="0" applyNumberFormat="1" applyFont="1" applyAlignment="1">
      <alignment vertical="center"/>
    </xf>
    <xf numFmtId="169" fontId="4" fillId="0" borderId="0" xfId="0" applyNumberFormat="1" applyFont="1" applyAlignment="1">
      <alignment vertical="center"/>
    </xf>
    <xf numFmtId="181" fontId="4" fillId="0" borderId="0" xfId="0" applyNumberFormat="1" applyFont="1" applyAlignment="1">
      <alignment vertical="center"/>
    </xf>
    <xf numFmtId="0" fontId="29" fillId="0" borderId="0" xfId="0" applyFont="1" applyAlignment="1">
      <alignment vertical="center"/>
    </xf>
    <xf numFmtId="0" fontId="53" fillId="5" borderId="0" xfId="0" applyFont="1" applyFill="1" applyAlignment="1">
      <alignment horizontal="center" vertical="center"/>
    </xf>
    <xf numFmtId="0" fontId="4" fillId="0" borderId="0" xfId="0" applyFont="1" applyAlignment="1">
      <alignment horizontal="right" vertical="center" indent="1"/>
    </xf>
    <xf numFmtId="164" fontId="11" fillId="3" borderId="1" xfId="0" applyNumberFormat="1" applyFont="1" applyFill="1" applyBorder="1" applyAlignment="1">
      <alignment horizontal="center" vertical="center"/>
    </xf>
    <xf numFmtId="2" fontId="11" fillId="3" borderId="1" xfId="0" applyNumberFormat="1" applyFont="1" applyFill="1" applyBorder="1" applyAlignment="1">
      <alignment horizontal="center" vertical="center"/>
    </xf>
    <xf numFmtId="0" fontId="2" fillId="0" borderId="0" xfId="0" applyFont="1" applyAlignment="1">
      <alignment horizontal="left" vertical="center"/>
    </xf>
    <xf numFmtId="0" fontId="4" fillId="0" borderId="0" xfId="0" applyFont="1" applyAlignment="1">
      <alignment horizontal="left" vertical="center"/>
    </xf>
    <xf numFmtId="164" fontId="53" fillId="5" borderId="0" xfId="0" applyNumberFormat="1" applyFont="1" applyFill="1" applyAlignment="1">
      <alignment horizontal="left" vertical="center"/>
    </xf>
    <xf numFmtId="0" fontId="8" fillId="0" borderId="2" xfId="0" applyFont="1" applyBorder="1" applyAlignment="1">
      <alignment horizontal="left" vertical="center"/>
    </xf>
    <xf numFmtId="176" fontId="4" fillId="0" borderId="0" xfId="0" applyNumberFormat="1" applyFont="1" applyAlignment="1">
      <alignment vertical="center"/>
    </xf>
    <xf numFmtId="177" fontId="4" fillId="0" borderId="0" xfId="0" applyNumberFormat="1" applyFont="1" applyAlignment="1">
      <alignment vertical="center"/>
    </xf>
    <xf numFmtId="171" fontId="4" fillId="0" borderId="0" xfId="0" applyNumberFormat="1" applyFont="1" applyAlignment="1">
      <alignment vertical="center"/>
    </xf>
    <xf numFmtId="178" fontId="4" fillId="0" borderId="0" xfId="0" applyNumberFormat="1" applyFont="1" applyAlignment="1">
      <alignment vertical="center"/>
    </xf>
    <xf numFmtId="170" fontId="4" fillId="0" borderId="0" xfId="0" applyNumberFormat="1" applyFont="1" applyAlignment="1">
      <alignment vertical="center"/>
    </xf>
    <xf numFmtId="175" fontId="4" fillId="0" borderId="0" xfId="0" applyNumberFormat="1" applyFont="1" applyAlignment="1">
      <alignment vertical="center"/>
    </xf>
    <xf numFmtId="164" fontId="35" fillId="3" borderId="0" xfId="0" applyNumberFormat="1" applyFont="1" applyFill="1" applyAlignment="1">
      <alignment horizontal="center" vertical="center"/>
    </xf>
    <xf numFmtId="0" fontId="9" fillId="0" borderId="0" xfId="0" applyFont="1" applyAlignment="1">
      <alignment horizontal="left" vertical="center" indent="1"/>
    </xf>
    <xf numFmtId="2" fontId="9" fillId="0" borderId="0" xfId="0" applyNumberFormat="1" applyFont="1" applyAlignment="1">
      <alignment vertical="center"/>
    </xf>
    <xf numFmtId="0" fontId="17" fillId="0" borderId="1" xfId="2" applyFont="1" applyBorder="1" applyAlignment="1">
      <alignment horizontal="center" vertical="center"/>
    </xf>
    <xf numFmtId="0" fontId="52" fillId="0" borderId="0" xfId="1" applyFont="1" applyAlignment="1">
      <alignment vertical="center"/>
    </xf>
    <xf numFmtId="0" fontId="11" fillId="0" borderId="0" xfId="1" applyFont="1" applyAlignment="1">
      <alignment vertical="center"/>
    </xf>
    <xf numFmtId="0" fontId="11" fillId="0" borderId="0" xfId="1" applyFont="1" applyAlignment="1">
      <alignment horizontal="left" vertical="center"/>
    </xf>
    <xf numFmtId="0" fontId="38" fillId="0" borderId="0" xfId="1" applyFont="1" applyAlignment="1">
      <alignment vertical="center"/>
    </xf>
    <xf numFmtId="0" fontId="38" fillId="0" borderId="0" xfId="1" applyFont="1" applyAlignment="1">
      <alignment vertical="center" wrapText="1"/>
    </xf>
    <xf numFmtId="2" fontId="4" fillId="0" borderId="0" xfId="1" applyNumberFormat="1" applyFont="1" applyAlignment="1">
      <alignment horizontal="right" vertical="center" indent="1"/>
    </xf>
    <xf numFmtId="164" fontId="50" fillId="3" borderId="1" xfId="1" applyNumberFormat="1" applyFont="1" applyFill="1" applyBorder="1" applyAlignment="1">
      <alignment horizontal="center" vertical="center"/>
    </xf>
    <xf numFmtId="2" fontId="50" fillId="3" borderId="1" xfId="1" applyNumberFormat="1" applyFont="1" applyFill="1" applyBorder="1" applyAlignment="1">
      <alignment horizontal="center" vertical="center"/>
    </xf>
    <xf numFmtId="164" fontId="4" fillId="0" borderId="0" xfId="1" applyNumberFormat="1" applyFont="1" applyAlignment="1">
      <alignment horizontal="center" vertical="center"/>
    </xf>
    <xf numFmtId="0" fontId="37" fillId="0" borderId="0" xfId="1" applyFont="1" applyAlignment="1">
      <alignment vertical="center"/>
    </xf>
    <xf numFmtId="0" fontId="39" fillId="0" borderId="0" xfId="1" applyFont="1" applyAlignment="1">
      <alignment horizontal="right" vertical="center" indent="1"/>
    </xf>
    <xf numFmtId="0" fontId="4" fillId="0" borderId="12" xfId="1" applyFont="1" applyBorder="1"/>
    <xf numFmtId="0" fontId="4" fillId="0" borderId="2" xfId="1" applyFont="1" applyBorder="1" applyAlignment="1">
      <alignment vertical="center" wrapText="1"/>
    </xf>
    <xf numFmtId="0" fontId="4" fillId="0" borderId="2" xfId="1" applyFont="1" applyBorder="1"/>
    <xf numFmtId="0" fontId="4" fillId="0" borderId="2" xfId="1" applyFont="1" applyBorder="1" applyAlignment="1">
      <alignment horizontal="right" vertical="center" indent="1"/>
    </xf>
    <xf numFmtId="164" fontId="4" fillId="0" borderId="2" xfId="1" applyNumberFormat="1" applyFont="1" applyBorder="1" applyAlignment="1">
      <alignment horizontal="center" vertical="center"/>
    </xf>
    <xf numFmtId="0" fontId="4" fillId="0" borderId="2" xfId="1" applyFont="1" applyBorder="1" applyAlignment="1">
      <alignment horizontal="left" vertical="center"/>
    </xf>
    <xf numFmtId="0" fontId="21" fillId="0" borderId="2" xfId="1" applyFont="1" applyBorder="1" applyAlignment="1">
      <alignment horizontal="left" vertical="center"/>
    </xf>
    <xf numFmtId="0" fontId="4" fillId="0" borderId="7" xfId="1" applyFont="1" applyBorder="1"/>
    <xf numFmtId="0" fontId="12" fillId="0" borderId="0" xfId="1" applyFont="1" applyAlignment="1">
      <alignment vertical="center"/>
    </xf>
    <xf numFmtId="0" fontId="12" fillId="0" borderId="0" xfId="1" applyFont="1" applyAlignment="1">
      <alignment horizontal="left" vertical="center"/>
    </xf>
    <xf numFmtId="164" fontId="4" fillId="0" borderId="0" xfId="1" applyNumberFormat="1" applyFont="1"/>
    <xf numFmtId="2" fontId="45" fillId="3" borderId="1" xfId="1" applyNumberFormat="1" applyFont="1" applyFill="1" applyBorder="1" applyAlignment="1">
      <alignment horizontal="center" vertical="center"/>
    </xf>
    <xf numFmtId="164" fontId="45" fillId="3" borderId="1" xfId="1" applyNumberFormat="1" applyFont="1" applyFill="1" applyBorder="1" applyAlignment="1">
      <alignment horizontal="center" vertical="center"/>
    </xf>
    <xf numFmtId="164" fontId="4" fillId="3" borderId="1" xfId="1" applyNumberFormat="1" applyFont="1" applyFill="1" applyBorder="1" applyAlignment="1">
      <alignment horizontal="center" vertical="center"/>
    </xf>
    <xf numFmtId="0" fontId="42" fillId="0" borderId="0" xfId="1" applyFont="1"/>
    <xf numFmtId="0" fontId="9" fillId="0" borderId="3" xfId="1" applyBorder="1"/>
    <xf numFmtId="164" fontId="4" fillId="3" borderId="0" xfId="1" applyNumberFormat="1" applyFont="1" applyFill="1" applyAlignment="1">
      <alignment horizontal="center" vertical="center"/>
    </xf>
    <xf numFmtId="0" fontId="27" fillId="0" borderId="2" xfId="1" applyFont="1" applyBorder="1" applyAlignment="1">
      <alignment horizontal="left" vertical="center"/>
    </xf>
    <xf numFmtId="0" fontId="21" fillId="0" borderId="8" xfId="1" applyFont="1" applyBorder="1" applyAlignment="1">
      <alignment horizontal="center" vertical="top" wrapText="1"/>
    </xf>
    <xf numFmtId="172" fontId="44" fillId="0" borderId="0" xfId="1" applyNumberFormat="1" applyFont="1" applyAlignment="1">
      <alignment horizontal="center" vertical="center"/>
    </xf>
    <xf numFmtId="0" fontId="4" fillId="0" borderId="0" xfId="1" applyFont="1" applyAlignment="1">
      <alignment horizontal="center" vertical="top" wrapText="1"/>
    </xf>
    <xf numFmtId="2" fontId="4" fillId="0" borderId="0" xfId="1" applyNumberFormat="1" applyFont="1" applyAlignment="1">
      <alignment vertical="center"/>
    </xf>
    <xf numFmtId="172" fontId="44" fillId="0" borderId="0" xfId="1" applyNumberFormat="1" applyFont="1" applyAlignment="1">
      <alignment horizontal="center" vertical="center" wrapText="1"/>
    </xf>
    <xf numFmtId="172" fontId="4" fillId="0" borderId="0" xfId="1" applyNumberFormat="1" applyFont="1" applyAlignment="1">
      <alignment vertical="center"/>
    </xf>
    <xf numFmtId="172" fontId="44" fillId="0" borderId="2" xfId="1" applyNumberFormat="1" applyFont="1" applyBorder="1" applyAlignment="1">
      <alignment horizontal="center" vertical="center" wrapText="1"/>
    </xf>
    <xf numFmtId="0" fontId="6" fillId="0" borderId="1" xfId="2" applyFont="1" applyBorder="1" applyAlignment="1">
      <alignment vertical="center"/>
    </xf>
    <xf numFmtId="0" fontId="13" fillId="2" borderId="1" xfId="2" applyFont="1" applyFill="1" applyBorder="1" applyAlignment="1">
      <alignment horizontal="center" vertical="center"/>
    </xf>
    <xf numFmtId="14" fontId="13" fillId="2" borderId="1" xfId="2" applyNumberFormat="1" applyFont="1" applyFill="1" applyBorder="1" applyAlignment="1">
      <alignment horizontal="center" vertical="center"/>
    </xf>
    <xf numFmtId="0" fontId="11" fillId="0" borderId="0" xfId="0" applyFont="1" applyAlignment="1">
      <alignment horizontal="left" vertical="center" wrapText="1" indent="1"/>
    </xf>
    <xf numFmtId="164" fontId="9" fillId="0" borderId="0" xfId="0" applyNumberFormat="1" applyFont="1" applyAlignment="1">
      <alignment horizontal="left" vertical="center" wrapText="1" indent="1"/>
    </xf>
    <xf numFmtId="2" fontId="4" fillId="0" borderId="0" xfId="0" quotePrefix="1" applyNumberFormat="1" applyFont="1" applyAlignment="1">
      <alignment vertical="center"/>
    </xf>
    <xf numFmtId="0" fontId="53" fillId="5" borderId="16" xfId="0" applyFont="1" applyFill="1" applyBorder="1" applyAlignment="1">
      <alignment vertical="center"/>
    </xf>
    <xf numFmtId="0" fontId="9" fillId="0" borderId="1" xfId="1" applyBorder="1" applyAlignment="1">
      <alignment horizontal="center" vertical="center"/>
    </xf>
    <xf numFmtId="0" fontId="9" fillId="0" borderId="4" xfId="1" applyBorder="1" applyAlignment="1">
      <alignment horizontal="center" vertical="center"/>
    </xf>
    <xf numFmtId="0" fontId="9" fillId="0" borderId="11" xfId="1" applyBorder="1" applyAlignment="1">
      <alignment horizontal="center" vertical="center"/>
    </xf>
    <xf numFmtId="0" fontId="54" fillId="0" borderId="1" xfId="0" applyFont="1" applyBorder="1" applyAlignment="1">
      <alignment horizontal="center" vertical="center" wrapText="1"/>
    </xf>
    <xf numFmtId="0" fontId="13" fillId="2" borderId="4" xfId="2" applyFont="1" applyFill="1" applyBorder="1" applyAlignment="1">
      <alignment horizontal="left" vertical="center"/>
    </xf>
    <xf numFmtId="0" fontId="13" fillId="2" borderId="11" xfId="2" applyFont="1" applyFill="1" applyBorder="1" applyAlignment="1">
      <alignment horizontal="left" vertical="center"/>
    </xf>
    <xf numFmtId="0" fontId="13" fillId="3" borderId="5" xfId="0" applyFont="1" applyFill="1" applyBorder="1" applyAlignment="1">
      <alignment horizontal="center" vertical="center"/>
    </xf>
    <xf numFmtId="0" fontId="13" fillId="3" borderId="9" xfId="0" applyFont="1" applyFill="1" applyBorder="1" applyAlignment="1">
      <alignment horizontal="center" vertical="center"/>
    </xf>
    <xf numFmtId="0" fontId="13" fillId="3" borderId="10" xfId="0" applyFont="1" applyFill="1" applyBorder="1" applyAlignment="1">
      <alignment horizontal="center" vertical="center"/>
    </xf>
    <xf numFmtId="0" fontId="13" fillId="3" borderId="6" xfId="0" applyFont="1" applyFill="1" applyBorder="1" applyAlignment="1">
      <alignment horizontal="center" vertical="center"/>
    </xf>
    <xf numFmtId="0" fontId="13" fillId="3" borderId="0" xfId="0" applyFont="1" applyFill="1" applyAlignment="1">
      <alignment horizontal="center" vertical="center"/>
    </xf>
    <xf numFmtId="0" fontId="13" fillId="3" borderId="3" xfId="0" applyFont="1" applyFill="1" applyBorder="1" applyAlignment="1">
      <alignment horizontal="center" vertical="center"/>
    </xf>
    <xf numFmtId="0" fontId="13" fillId="3" borderId="12" xfId="0" applyFont="1" applyFill="1" applyBorder="1" applyAlignment="1">
      <alignment horizontal="center" vertical="center"/>
    </xf>
    <xf numFmtId="0" fontId="13" fillId="3" borderId="2" xfId="0" applyFont="1" applyFill="1" applyBorder="1" applyAlignment="1">
      <alignment horizontal="center" vertical="center"/>
    </xf>
    <xf numFmtId="0" fontId="13" fillId="3" borderId="7" xfId="0" applyFont="1" applyFill="1" applyBorder="1" applyAlignment="1">
      <alignment horizontal="center" vertical="center"/>
    </xf>
    <xf numFmtId="0" fontId="13" fillId="2" borderId="1" xfId="0" applyFont="1" applyFill="1" applyBorder="1" applyAlignment="1" applyProtection="1">
      <alignment horizontal="left" vertical="center"/>
      <protection locked="0"/>
    </xf>
    <xf numFmtId="0" fontId="9" fillId="0" borderId="0" xfId="0" applyFont="1" applyAlignment="1">
      <alignment horizontal="left" vertical="top" wrapText="1"/>
    </xf>
    <xf numFmtId="0" fontId="20" fillId="0" borderId="0" xfId="0" applyFont="1" applyAlignment="1">
      <alignment horizontal="left" vertical="center" wrapText="1"/>
    </xf>
    <xf numFmtId="0" fontId="20" fillId="0" borderId="0" xfId="0" applyFont="1" applyAlignment="1">
      <alignment horizontal="justify" vertical="top" wrapText="1"/>
    </xf>
    <xf numFmtId="0" fontId="9" fillId="0" borderId="0" xfId="0" applyFont="1" applyAlignment="1">
      <alignment horizontal="justify" vertical="top" wrapText="1"/>
    </xf>
    <xf numFmtId="0" fontId="13" fillId="2" borderId="1" xfId="0" applyFont="1" applyFill="1" applyBorder="1" applyAlignment="1" applyProtection="1">
      <alignment horizontal="left" vertical="center" wrapText="1"/>
      <protection locked="0"/>
    </xf>
    <xf numFmtId="0" fontId="9" fillId="0" borderId="4" xfId="0" applyFont="1" applyBorder="1" applyAlignment="1">
      <alignment horizontal="center" vertical="center"/>
    </xf>
    <xf numFmtId="0" fontId="9" fillId="0" borderId="8" xfId="0" applyFont="1" applyBorder="1" applyAlignment="1">
      <alignment horizontal="center" vertical="center"/>
    </xf>
    <xf numFmtId="0" fontId="9" fillId="0" borderId="11" xfId="0" applyFont="1" applyBorder="1" applyAlignment="1">
      <alignment horizontal="center" vertical="center"/>
    </xf>
    <xf numFmtId="0" fontId="8" fillId="0" borderId="1" xfId="0" applyFont="1" applyBorder="1" applyAlignment="1">
      <alignment horizontal="left" vertical="center"/>
    </xf>
    <xf numFmtId="0" fontId="8" fillId="0" borderId="4" xfId="0" applyFont="1" applyBorder="1" applyAlignment="1">
      <alignment horizontal="left" vertical="center"/>
    </xf>
    <xf numFmtId="0" fontId="8" fillId="0" borderId="8" xfId="0" applyFont="1" applyBorder="1" applyAlignment="1">
      <alignment horizontal="left" vertical="center"/>
    </xf>
    <xf numFmtId="0" fontId="8" fillId="0" borderId="11" xfId="0" applyFont="1" applyBorder="1" applyAlignment="1">
      <alignment horizontal="left" vertical="center"/>
    </xf>
    <xf numFmtId="0" fontId="11" fillId="0" borderId="0" xfId="0" applyFont="1" applyAlignment="1">
      <alignment horizontal="left" vertical="center" wrapText="1" indent="1"/>
    </xf>
    <xf numFmtId="0" fontId="11" fillId="0" borderId="3" xfId="0" applyFont="1" applyBorder="1" applyAlignment="1">
      <alignment horizontal="left" vertical="center" wrapText="1" indent="1"/>
    </xf>
    <xf numFmtId="0" fontId="8" fillId="0" borderId="0" xfId="0" applyFont="1" applyAlignment="1">
      <alignment horizontal="center" vertical="center"/>
    </xf>
    <xf numFmtId="0" fontId="13" fillId="2" borderId="1" xfId="0" applyFont="1" applyFill="1" applyBorder="1" applyAlignment="1">
      <alignment horizontal="left" vertical="center"/>
    </xf>
    <xf numFmtId="0" fontId="13" fillId="2" borderId="1" xfId="0" applyFont="1" applyFill="1" applyBorder="1" applyAlignment="1">
      <alignment horizontal="left" vertical="center" wrapText="1"/>
    </xf>
    <xf numFmtId="168" fontId="4" fillId="0" borderId="0" xfId="0" applyNumberFormat="1" applyFont="1" applyAlignment="1">
      <alignment horizontal="left" vertical="center"/>
    </xf>
    <xf numFmtId="171" fontId="4" fillId="0" borderId="0" xfId="0" applyNumberFormat="1" applyFont="1" applyAlignment="1">
      <alignment horizontal="left" vertical="center" indent="2"/>
    </xf>
    <xf numFmtId="170" fontId="4" fillId="0" borderId="0" xfId="0" applyNumberFormat="1" applyFont="1" applyAlignment="1">
      <alignment horizontal="left" vertical="center"/>
    </xf>
    <xf numFmtId="171" fontId="4" fillId="0" borderId="0" xfId="0" applyNumberFormat="1" applyFont="1" applyAlignment="1">
      <alignment horizontal="center" vertical="center"/>
    </xf>
    <xf numFmtId="170" fontId="4" fillId="0" borderId="0" xfId="0" applyNumberFormat="1" applyFont="1" applyAlignment="1">
      <alignment horizontal="center" vertical="center"/>
    </xf>
    <xf numFmtId="173" fontId="4" fillId="0" borderId="0" xfId="0" applyNumberFormat="1" applyFont="1" applyAlignment="1">
      <alignment horizontal="center" vertical="center"/>
    </xf>
    <xf numFmtId="0" fontId="13" fillId="2" borderId="4" xfId="0" applyFont="1" applyFill="1" applyBorder="1" applyAlignment="1">
      <alignment horizontal="left" vertical="center"/>
    </xf>
    <xf numFmtId="0" fontId="13" fillId="2" borderId="11" xfId="0" applyFont="1" applyFill="1" applyBorder="1" applyAlignment="1">
      <alignment horizontal="left" vertical="center"/>
    </xf>
    <xf numFmtId="180" fontId="4" fillId="0" borderId="0" xfId="0" applyNumberFormat="1" applyFont="1" applyAlignment="1">
      <alignment horizontal="left" vertical="center" indent="2"/>
    </xf>
    <xf numFmtId="169" fontId="4" fillId="0" borderId="0" xfId="0" applyNumberFormat="1" applyFont="1" applyAlignment="1">
      <alignment horizontal="right" vertical="center"/>
    </xf>
    <xf numFmtId="181" fontId="4" fillId="0" borderId="0" xfId="0" applyNumberFormat="1" applyFont="1" applyAlignment="1">
      <alignment horizontal="left" vertical="top" indent="7"/>
    </xf>
    <xf numFmtId="0" fontId="4" fillId="0" borderId="0" xfId="1" applyFont="1" applyAlignment="1">
      <alignment vertical="center" wrapText="1"/>
    </xf>
    <xf numFmtId="0" fontId="7" fillId="0" borderId="6" xfId="2" applyFont="1" applyBorder="1" applyAlignment="1">
      <alignment horizontal="center" vertical="center" wrapText="1"/>
    </xf>
    <xf numFmtId="0" fontId="7" fillId="0" borderId="0" xfId="2" applyFont="1" applyAlignment="1">
      <alignment horizontal="center" vertical="center" wrapText="1"/>
    </xf>
    <xf numFmtId="0" fontId="7" fillId="0" borderId="3" xfId="2" applyFont="1" applyBorder="1" applyAlignment="1">
      <alignment horizontal="center" vertical="center" wrapText="1"/>
    </xf>
    <xf numFmtId="0" fontId="4" fillId="0" borderId="4" xfId="1" applyFont="1" applyBorder="1" applyAlignment="1">
      <alignment horizontal="center" vertical="center"/>
    </xf>
    <xf numFmtId="0" fontId="4" fillId="0" borderId="8" xfId="1" applyFont="1" applyBorder="1" applyAlignment="1">
      <alignment horizontal="center" vertical="center"/>
    </xf>
    <xf numFmtId="0" fontId="4" fillId="0" borderId="11" xfId="1" applyFont="1" applyBorder="1" applyAlignment="1">
      <alignment horizontal="center" vertical="center"/>
    </xf>
    <xf numFmtId="0" fontId="13" fillId="2" borderId="1" xfId="1" applyFont="1" applyFill="1" applyBorder="1" applyAlignment="1">
      <alignment vertical="center" wrapText="1"/>
    </xf>
    <xf numFmtId="0" fontId="13" fillId="2" borderId="1" xfId="1" applyFont="1" applyFill="1" applyBorder="1" applyAlignment="1">
      <alignment vertical="center"/>
    </xf>
    <xf numFmtId="0" fontId="9" fillId="0" borderId="1" xfId="1" applyBorder="1" applyAlignment="1">
      <alignment vertical="center"/>
    </xf>
    <xf numFmtId="0" fontId="9" fillId="0" borderId="4" xfId="1" applyBorder="1" applyAlignment="1">
      <alignment horizontal="left" vertical="center"/>
    </xf>
    <xf numFmtId="0" fontId="9" fillId="0" borderId="8" xfId="1" applyBorder="1" applyAlignment="1">
      <alignment horizontal="left" vertical="center"/>
    </xf>
    <xf numFmtId="0" fontId="9" fillId="0" borderId="11" xfId="1" applyBorder="1" applyAlignment="1">
      <alignment horizontal="left" vertical="center"/>
    </xf>
    <xf numFmtId="0" fontId="21" fillId="0" borderId="0" xfId="1" applyFont="1" applyAlignment="1">
      <alignment horizontal="left" vertical="center"/>
    </xf>
    <xf numFmtId="0" fontId="4" fillId="0" borderId="0" xfId="1" applyFont="1"/>
    <xf numFmtId="0" fontId="4" fillId="0" borderId="3" xfId="1" applyFont="1" applyBorder="1"/>
    <xf numFmtId="0" fontId="9" fillId="0" borderId="5" xfId="1" applyBorder="1" applyAlignment="1">
      <alignment horizontal="left" vertical="center"/>
    </xf>
    <xf numFmtId="0" fontId="9" fillId="0" borderId="9" xfId="1" applyBorder="1" applyAlignment="1">
      <alignment horizontal="left" vertical="center"/>
    </xf>
    <xf numFmtId="0" fontId="9" fillId="0" borderId="10" xfId="1" applyBorder="1" applyAlignment="1">
      <alignment horizontal="left" vertical="center"/>
    </xf>
    <xf numFmtId="0" fontId="9" fillId="0" borderId="6" xfId="1" applyBorder="1" applyAlignment="1">
      <alignment horizontal="left" vertical="center"/>
    </xf>
    <xf numFmtId="0" fontId="9" fillId="0" borderId="0" xfId="1" applyAlignment="1">
      <alignment horizontal="left" vertical="center"/>
    </xf>
    <xf numFmtId="0" fontId="9" fillId="0" borderId="3" xfId="1" applyBorder="1" applyAlignment="1">
      <alignment horizontal="left" vertical="center"/>
    </xf>
    <xf numFmtId="0" fontId="9" fillId="0" borderId="12" xfId="1" applyBorder="1" applyAlignment="1">
      <alignment horizontal="left" vertical="center"/>
    </xf>
    <xf numFmtId="0" fontId="9" fillId="0" borderId="2" xfId="1" applyBorder="1" applyAlignment="1">
      <alignment horizontal="left" vertical="center"/>
    </xf>
    <xf numFmtId="0" fontId="9" fillId="0" borderId="7" xfId="1" applyBorder="1" applyAlignment="1">
      <alignment horizontal="left" vertical="center"/>
    </xf>
    <xf numFmtId="0" fontId="9" fillId="0" borderId="4" xfId="1" applyBorder="1" applyAlignment="1">
      <alignment vertical="center"/>
    </xf>
    <xf numFmtId="0" fontId="9" fillId="0" borderId="8" xfId="1" applyBorder="1" applyAlignment="1">
      <alignment vertical="center"/>
    </xf>
    <xf numFmtId="0" fontId="9" fillId="0" borderId="11" xfId="1" applyBorder="1" applyAlignment="1">
      <alignment vertical="center"/>
    </xf>
    <xf numFmtId="0" fontId="7" fillId="0" borderId="5" xfId="2" applyFont="1" applyBorder="1" applyAlignment="1">
      <alignment horizontal="center" vertical="center" wrapText="1"/>
    </xf>
    <xf numFmtId="0" fontId="7" fillId="0" borderId="9" xfId="2" applyFont="1" applyBorder="1" applyAlignment="1">
      <alignment horizontal="center" vertical="center" wrapText="1"/>
    </xf>
    <xf numFmtId="0" fontId="7" fillId="0" borderId="10" xfId="2" applyFont="1" applyBorder="1" applyAlignment="1">
      <alignment horizontal="center" vertical="center" wrapText="1"/>
    </xf>
    <xf numFmtId="0" fontId="9" fillId="0" borderId="2" xfId="1" applyBorder="1" applyAlignment="1">
      <alignment horizontal="left" vertical="center" wrapText="1"/>
    </xf>
    <xf numFmtId="0" fontId="9" fillId="0" borderId="7" xfId="1" applyBorder="1" applyAlignment="1">
      <alignment horizontal="left" vertical="center" wrapText="1"/>
    </xf>
    <xf numFmtId="0" fontId="9" fillId="0" borderId="1" xfId="1" applyBorder="1" applyAlignment="1">
      <alignment horizontal="left" vertical="center"/>
    </xf>
    <xf numFmtId="0" fontId="9" fillId="0" borderId="1" xfId="1" applyBorder="1" applyAlignment="1">
      <alignment horizontal="left" vertical="center" wrapText="1"/>
    </xf>
    <xf numFmtId="0" fontId="4" fillId="4" borderId="8" xfId="1" applyFont="1" applyFill="1" applyBorder="1" applyAlignment="1">
      <alignment horizontal="right" vertical="center"/>
    </xf>
    <xf numFmtId="0" fontId="4" fillId="0" borderId="13" xfId="1" applyFont="1" applyBorder="1" applyAlignment="1">
      <alignment horizontal="center" vertical="center" wrapText="1"/>
    </xf>
    <xf numFmtId="0" fontId="4" fillId="0" borderId="14" xfId="1" applyFont="1" applyBorder="1" applyAlignment="1">
      <alignment horizontal="center" vertical="center" wrapText="1"/>
    </xf>
    <xf numFmtId="0" fontId="4" fillId="0" borderId="15" xfId="1" applyFont="1" applyBorder="1" applyAlignment="1">
      <alignment horizontal="center" vertical="center" wrapText="1"/>
    </xf>
    <xf numFmtId="0" fontId="28" fillId="0" borderId="0" xfId="1" applyFont="1" applyAlignment="1">
      <alignment horizontal="left" vertical="top" wrapText="1"/>
    </xf>
    <xf numFmtId="0" fontId="28" fillId="0" borderId="3" xfId="1" applyFont="1" applyBorder="1" applyAlignment="1">
      <alignment horizontal="left" vertical="top" wrapText="1"/>
    </xf>
    <xf numFmtId="0" fontId="4" fillId="0" borderId="1" xfId="1" applyFont="1" applyBorder="1" applyAlignment="1">
      <alignment horizontal="center" vertical="center" wrapText="1"/>
    </xf>
    <xf numFmtId="0" fontId="21" fillId="0" borderId="3" xfId="1" applyFont="1" applyBorder="1" applyAlignment="1">
      <alignment horizontal="left" vertical="center"/>
    </xf>
    <xf numFmtId="0" fontId="1" fillId="0" borderId="0" xfId="5" applyAlignment="1">
      <alignment horizontal="center"/>
    </xf>
  </cellXfs>
  <cellStyles count="6">
    <cellStyle name="Normal" xfId="0" builtinId="0"/>
    <cellStyle name="Normal 2" xfId="1" xr:uid="{00000000-0005-0000-0000-000001000000}"/>
    <cellStyle name="Normal 3" xfId="5" xr:uid="{9277E80C-BA47-44EE-AD06-BB9C393EE298}"/>
    <cellStyle name="Normal_Camden Strut Design" xfId="2" xr:uid="{00000000-0005-0000-0000-000002000000}"/>
    <cellStyle name="Percent" xfId="4" builtinId="5"/>
    <cellStyle name="標準_03 Flume Type F100" xfId="3" xr:uid="{4124FEE3-7BB4-4F98-A502-BFEB63815CD8}"/>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 b="0" i="0" u="none" strike="noStrike" kern="1200" spc="0" baseline="0">
                <a:solidFill>
                  <a:schemeClr val="tx1">
                    <a:lumMod val="65000"/>
                    <a:lumOff val="35000"/>
                  </a:schemeClr>
                </a:solidFill>
                <a:latin typeface="+mn-lt"/>
                <a:ea typeface="+mn-ea"/>
                <a:cs typeface="+mn-cs"/>
              </a:defRPr>
            </a:pPr>
            <a:r>
              <a:rPr lang="fi-FI" sz="600" baseline="0"/>
              <a:t>Charachteristic of Crump De-gruyter gate</a:t>
            </a:r>
          </a:p>
        </c:rich>
      </c:tx>
      <c:layout>
        <c:manualLayout>
          <c:xMode val="edge"/>
          <c:yMode val="edge"/>
          <c:x val="0.2645761462091486"/>
          <c:y val="3.6036036036036036E-2"/>
        </c:manualLayout>
      </c:layout>
      <c:overlay val="0"/>
      <c:spPr>
        <a:noFill/>
        <a:ln w="3175">
          <a:solidFill>
            <a:schemeClr val="tx1">
              <a:alpha val="89000"/>
            </a:schemeClr>
          </a:solidFill>
        </a:ln>
        <a:effectLst/>
      </c:spPr>
      <c:txPr>
        <a:bodyPr rot="0" spcFirstLastPara="1" vertOverflow="ellipsis" vert="horz" wrap="square" anchor="ctr" anchorCtr="1"/>
        <a:lstStyle/>
        <a:p>
          <a:pPr>
            <a:defRPr sz="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739692237466973"/>
          <c:y val="0.17291375291375291"/>
          <c:w val="0.76325459317585309"/>
          <c:h val="0.62007782244002718"/>
        </c:manualLayout>
      </c:layout>
      <c:scatterChart>
        <c:scatterStyle val="smoothMarker"/>
        <c:varyColors val="0"/>
        <c:ser>
          <c:idx val="0"/>
          <c:order val="0"/>
          <c:spPr>
            <a:ln w="12700" cap="rnd">
              <a:solidFill>
                <a:srgbClr val="FF0000"/>
              </a:solidFill>
              <a:prstDash val="solid"/>
              <a:round/>
            </a:ln>
            <a:effectLst/>
          </c:spPr>
          <c:marker>
            <c:symbol val="none"/>
          </c:marker>
          <c:xVal>
            <c:numRef>
              <c:f>'Charact. CDG'!$A$3:$A$32</c:f>
              <c:numCache>
                <c:formatCode>0.0000</c:formatCode>
                <c:ptCount val="30"/>
                <c:pt idx="0">
                  <c:v>0</c:v>
                </c:pt>
                <c:pt idx="1">
                  <c:v>7.0000000000000001E-3</c:v>
                </c:pt>
                <c:pt idx="2">
                  <c:v>1.2999999999999999E-2</c:v>
                </c:pt>
                <c:pt idx="3">
                  <c:v>2.23E-2</c:v>
                </c:pt>
                <c:pt idx="4">
                  <c:v>3.2599999999999997E-2</c:v>
                </c:pt>
                <c:pt idx="5">
                  <c:v>4.4699999999999997E-2</c:v>
                </c:pt>
                <c:pt idx="6">
                  <c:v>5.57E-2</c:v>
                </c:pt>
                <c:pt idx="7">
                  <c:v>6.93E-2</c:v>
                </c:pt>
                <c:pt idx="8">
                  <c:v>8.7800000000000003E-2</c:v>
                </c:pt>
                <c:pt idx="9">
                  <c:v>0.10929999999999999</c:v>
                </c:pt>
                <c:pt idx="10">
                  <c:v>0.12230000000000001</c:v>
                </c:pt>
                <c:pt idx="11">
                  <c:v>0.13689999999999999</c:v>
                </c:pt>
                <c:pt idx="12">
                  <c:v>0.16239999999999999</c:v>
                </c:pt>
                <c:pt idx="13">
                  <c:v>0.18870000000000001</c:v>
                </c:pt>
                <c:pt idx="14">
                  <c:v>0.21379999999999999</c:v>
                </c:pt>
                <c:pt idx="15">
                  <c:v>0.23710000000000001</c:v>
                </c:pt>
                <c:pt idx="16">
                  <c:v>0.2621</c:v>
                </c:pt>
                <c:pt idx="17">
                  <c:v>0.29039999999999999</c:v>
                </c:pt>
                <c:pt idx="18">
                  <c:v>0.32819999999999999</c:v>
                </c:pt>
                <c:pt idx="19">
                  <c:v>0.3548</c:v>
                </c:pt>
                <c:pt idx="20">
                  <c:v>0.38390000000000002</c:v>
                </c:pt>
                <c:pt idx="21">
                  <c:v>0.41410000000000002</c:v>
                </c:pt>
                <c:pt idx="22">
                  <c:v>0.43769999999999998</c:v>
                </c:pt>
                <c:pt idx="23">
                  <c:v>0.46360000000000001</c:v>
                </c:pt>
                <c:pt idx="24">
                  <c:v>0.5</c:v>
                </c:pt>
                <c:pt idx="25">
                  <c:v>0.54620000000000002</c:v>
                </c:pt>
                <c:pt idx="26">
                  <c:v>0.57999999999999996</c:v>
                </c:pt>
                <c:pt idx="27">
                  <c:v>0.5978</c:v>
                </c:pt>
                <c:pt idx="28">
                  <c:v>0.63029999999999997</c:v>
                </c:pt>
                <c:pt idx="29">
                  <c:v>0.64839999999999998</c:v>
                </c:pt>
              </c:numCache>
            </c:numRef>
          </c:xVal>
          <c:yVal>
            <c:numRef>
              <c:f>'Charact. CDG'!$B$3:$B$32</c:f>
              <c:numCache>
                <c:formatCode>0.0000</c:formatCode>
                <c:ptCount val="30"/>
                <c:pt idx="0">
                  <c:v>1.0001</c:v>
                </c:pt>
                <c:pt idx="1">
                  <c:v>0.93969999999999998</c:v>
                </c:pt>
                <c:pt idx="2">
                  <c:v>0.90010000000000001</c:v>
                </c:pt>
                <c:pt idx="3">
                  <c:v>0.84319999999999995</c:v>
                </c:pt>
                <c:pt idx="4">
                  <c:v>0.79610000000000003</c:v>
                </c:pt>
                <c:pt idx="5">
                  <c:v>0.74590000000000001</c:v>
                </c:pt>
                <c:pt idx="6">
                  <c:v>0.70479999999999998</c:v>
                </c:pt>
                <c:pt idx="7">
                  <c:v>0.66359999999999997</c:v>
                </c:pt>
                <c:pt idx="8">
                  <c:v>0.61199999999999999</c:v>
                </c:pt>
                <c:pt idx="9">
                  <c:v>0.55830000000000002</c:v>
                </c:pt>
                <c:pt idx="10">
                  <c:v>0.52929999999999999</c:v>
                </c:pt>
                <c:pt idx="11">
                  <c:v>0.50009999999999999</c:v>
                </c:pt>
                <c:pt idx="12">
                  <c:v>0.45619999999999999</c:v>
                </c:pt>
                <c:pt idx="13">
                  <c:v>0.41620000000000001</c:v>
                </c:pt>
                <c:pt idx="14">
                  <c:v>0.38279999999999997</c:v>
                </c:pt>
                <c:pt idx="15">
                  <c:v>0.35449999999999998</c:v>
                </c:pt>
                <c:pt idx="16">
                  <c:v>0.32700000000000001</c:v>
                </c:pt>
                <c:pt idx="17">
                  <c:v>0.30009999999999998</c:v>
                </c:pt>
                <c:pt idx="18">
                  <c:v>0.26829999999999998</c:v>
                </c:pt>
                <c:pt idx="19">
                  <c:v>0.2482</c:v>
                </c:pt>
                <c:pt idx="20">
                  <c:v>0.22850000000000001</c:v>
                </c:pt>
                <c:pt idx="21">
                  <c:v>0.2114</c:v>
                </c:pt>
                <c:pt idx="22">
                  <c:v>0.2001</c:v>
                </c:pt>
                <c:pt idx="23">
                  <c:v>0.18770000000000001</c:v>
                </c:pt>
                <c:pt idx="24">
                  <c:v>0.1736</c:v>
                </c:pt>
                <c:pt idx="25">
                  <c:v>0.16039999999999999</c:v>
                </c:pt>
                <c:pt idx="26">
                  <c:v>0.15329999999999999</c:v>
                </c:pt>
                <c:pt idx="27">
                  <c:v>0.151</c:v>
                </c:pt>
                <c:pt idx="28">
                  <c:v>0.14990000000000001</c:v>
                </c:pt>
                <c:pt idx="29">
                  <c:v>0.14910000000000001</c:v>
                </c:pt>
              </c:numCache>
            </c:numRef>
          </c:yVal>
          <c:smooth val="1"/>
          <c:extLst>
            <c:ext xmlns:c16="http://schemas.microsoft.com/office/drawing/2014/chart" uri="{C3380CC4-5D6E-409C-BE32-E72D297353CC}">
              <c16:uniqueId val="{00000001-9D13-4344-9D3A-B7EECB67AD3F}"/>
            </c:ext>
          </c:extLst>
        </c:ser>
        <c:ser>
          <c:idx val="1"/>
          <c:order val="1"/>
          <c:spPr>
            <a:ln w="12700" cap="rnd">
              <a:solidFill>
                <a:schemeClr val="tx1"/>
              </a:solidFill>
              <a:prstDash val="dash"/>
              <a:round/>
              <a:headEnd type="none"/>
              <a:tailEnd type="stealth"/>
            </a:ln>
            <a:effectLst/>
          </c:spPr>
          <c:marker>
            <c:symbol val="none"/>
          </c:marker>
          <c:xVal>
            <c:numRef>
              <c:f>'Design of Crump'!$N$48:$N$49</c:f>
              <c:numCache>
                <c:formatCode>0.00</c:formatCode>
                <c:ptCount val="2"/>
                <c:pt idx="0">
                  <c:v>0.16150596525049415</c:v>
                </c:pt>
                <c:pt idx="1">
                  <c:v>0.16150596525049415</c:v>
                </c:pt>
              </c:numCache>
            </c:numRef>
          </c:xVal>
          <c:yVal>
            <c:numRef>
              <c:f>'Design of Crump'!$O$48:$O$49</c:f>
              <c:numCache>
                <c:formatCode>0.00</c:formatCode>
                <c:ptCount val="2"/>
                <c:pt idx="0">
                  <c:v>0</c:v>
                </c:pt>
                <c:pt idx="1">
                  <c:v>0.47134506920489838</c:v>
                </c:pt>
              </c:numCache>
            </c:numRef>
          </c:yVal>
          <c:smooth val="1"/>
          <c:extLst>
            <c:ext xmlns:c16="http://schemas.microsoft.com/office/drawing/2014/chart" uri="{C3380CC4-5D6E-409C-BE32-E72D297353CC}">
              <c16:uniqueId val="{00000002-9D13-4344-9D3A-B7EECB67AD3F}"/>
            </c:ext>
          </c:extLst>
        </c:ser>
        <c:ser>
          <c:idx val="2"/>
          <c:order val="2"/>
          <c:spPr>
            <a:ln w="12700" cap="rnd">
              <a:solidFill>
                <a:schemeClr val="tx1"/>
              </a:solidFill>
              <a:prstDash val="dash"/>
              <a:round/>
              <a:tailEnd type="stealth"/>
            </a:ln>
            <a:effectLst/>
          </c:spPr>
          <c:marker>
            <c:symbol val="none"/>
          </c:marker>
          <c:xVal>
            <c:numRef>
              <c:f>'Design of Crump'!$N$51:$N$52</c:f>
              <c:numCache>
                <c:formatCode>0.00</c:formatCode>
                <c:ptCount val="2"/>
                <c:pt idx="0">
                  <c:v>0.16150596525049415</c:v>
                </c:pt>
                <c:pt idx="1">
                  <c:v>0</c:v>
                </c:pt>
              </c:numCache>
            </c:numRef>
          </c:xVal>
          <c:yVal>
            <c:numRef>
              <c:f>'Design of Crump'!$O$51:$O$52</c:f>
              <c:numCache>
                <c:formatCode>0.00</c:formatCode>
                <c:ptCount val="2"/>
                <c:pt idx="0">
                  <c:v>0.47134506920489838</c:v>
                </c:pt>
                <c:pt idx="1">
                  <c:v>0.47134506920489838</c:v>
                </c:pt>
              </c:numCache>
            </c:numRef>
          </c:yVal>
          <c:smooth val="1"/>
          <c:extLst>
            <c:ext xmlns:c16="http://schemas.microsoft.com/office/drawing/2014/chart" uri="{C3380CC4-5D6E-409C-BE32-E72D297353CC}">
              <c16:uniqueId val="{00000003-9D13-4344-9D3A-B7EECB67AD3F}"/>
            </c:ext>
          </c:extLst>
        </c:ser>
        <c:dLbls>
          <c:showLegendKey val="0"/>
          <c:showVal val="0"/>
          <c:showCatName val="0"/>
          <c:showSerName val="0"/>
          <c:showPercent val="0"/>
          <c:showBubbleSize val="0"/>
        </c:dLbls>
        <c:axId val="2047783231"/>
        <c:axId val="1047991807"/>
      </c:scatterChart>
      <c:valAx>
        <c:axId val="204778323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6350"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fi-FI" sz="800"/>
                  <a:t>w/h1</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47991807"/>
        <c:crosses val="autoZero"/>
        <c:crossBetween val="midCat"/>
        <c:majorUnit val="0.1"/>
      </c:valAx>
      <c:valAx>
        <c:axId val="104799180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l-GR" sz="800" b="0" i="0" u="none" strike="noStrike" baseline="0">
                    <a:effectLst/>
                  </a:rPr>
                  <a:t>Δ</a:t>
                </a:r>
                <a:r>
                  <a:rPr lang="fi-FI" sz="800" b="0" i="0" u="none" strike="noStrike" baseline="0">
                    <a:effectLst/>
                  </a:rPr>
                  <a:t>h/h</a:t>
                </a:r>
                <a:r>
                  <a:rPr lang="fi-FI" sz="800" b="1" i="0" u="none" strike="noStrike" baseline="-25000">
                    <a:effectLst/>
                  </a:rPr>
                  <a:t>1</a:t>
                </a:r>
                <a:r>
                  <a:rPr lang="fi-FI" sz="800" b="0" i="0" u="none" strike="noStrike" baseline="0"/>
                  <a:t> </a:t>
                </a:r>
                <a:endParaRPr lang="fi-FI" sz="800"/>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0477832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 b="0" i="0" u="none" strike="noStrike" kern="1200" spc="0" baseline="0">
                <a:solidFill>
                  <a:schemeClr val="tx1">
                    <a:lumMod val="65000"/>
                    <a:lumOff val="35000"/>
                  </a:schemeClr>
                </a:solidFill>
                <a:latin typeface="+mn-lt"/>
                <a:ea typeface="+mn-ea"/>
                <a:cs typeface="+mn-cs"/>
              </a:defRPr>
            </a:pPr>
            <a:r>
              <a:rPr lang="fi-FI" sz="600" baseline="0"/>
              <a:t>Charachteristic of Crump De-gruyter gate</a:t>
            </a:r>
          </a:p>
        </c:rich>
      </c:tx>
      <c:layout>
        <c:manualLayout>
          <c:xMode val="edge"/>
          <c:yMode val="edge"/>
          <c:x val="0.23796945836315919"/>
          <c:y val="5.2219321148825062E-2"/>
        </c:manualLayout>
      </c:layout>
      <c:overlay val="0"/>
      <c:spPr>
        <a:noFill/>
        <a:ln w="3175">
          <a:solidFill>
            <a:schemeClr val="tx1">
              <a:alpha val="89000"/>
            </a:schemeClr>
          </a:solidFill>
        </a:ln>
        <a:effectLst/>
      </c:spPr>
      <c:txPr>
        <a:bodyPr rot="0" spcFirstLastPara="1" vertOverflow="ellipsis" vert="horz" wrap="square" anchor="ctr" anchorCtr="1"/>
        <a:lstStyle/>
        <a:p>
          <a:pPr>
            <a:defRPr sz="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380850831146106"/>
          <c:y val="0.17291375291375291"/>
          <c:w val="0.76684301181102366"/>
          <c:h val="0.62007782244002718"/>
        </c:manualLayout>
      </c:layout>
      <c:scatterChart>
        <c:scatterStyle val="smoothMarker"/>
        <c:varyColors val="0"/>
        <c:ser>
          <c:idx val="0"/>
          <c:order val="0"/>
          <c:spPr>
            <a:ln w="12700" cap="rnd">
              <a:solidFill>
                <a:srgbClr val="FF0000"/>
              </a:solidFill>
              <a:prstDash val="solid"/>
              <a:round/>
            </a:ln>
            <a:effectLst/>
          </c:spPr>
          <c:marker>
            <c:symbol val="none"/>
          </c:marker>
          <c:xVal>
            <c:numRef>
              <c:f>'Charact. CDG'!$A$3:$A$32</c:f>
              <c:numCache>
                <c:formatCode>0.0000</c:formatCode>
                <c:ptCount val="30"/>
                <c:pt idx="0">
                  <c:v>0</c:v>
                </c:pt>
                <c:pt idx="1">
                  <c:v>7.0000000000000001E-3</c:v>
                </c:pt>
                <c:pt idx="2">
                  <c:v>1.2999999999999999E-2</c:v>
                </c:pt>
                <c:pt idx="3">
                  <c:v>2.23E-2</c:v>
                </c:pt>
                <c:pt idx="4">
                  <c:v>3.2599999999999997E-2</c:v>
                </c:pt>
                <c:pt idx="5">
                  <c:v>4.4699999999999997E-2</c:v>
                </c:pt>
                <c:pt idx="6">
                  <c:v>5.57E-2</c:v>
                </c:pt>
                <c:pt idx="7">
                  <c:v>6.93E-2</c:v>
                </c:pt>
                <c:pt idx="8">
                  <c:v>8.7800000000000003E-2</c:v>
                </c:pt>
                <c:pt idx="9">
                  <c:v>0.10929999999999999</c:v>
                </c:pt>
                <c:pt idx="10">
                  <c:v>0.12230000000000001</c:v>
                </c:pt>
                <c:pt idx="11">
                  <c:v>0.13689999999999999</c:v>
                </c:pt>
                <c:pt idx="12">
                  <c:v>0.16239999999999999</c:v>
                </c:pt>
                <c:pt idx="13">
                  <c:v>0.18870000000000001</c:v>
                </c:pt>
                <c:pt idx="14">
                  <c:v>0.21379999999999999</c:v>
                </c:pt>
                <c:pt idx="15">
                  <c:v>0.23710000000000001</c:v>
                </c:pt>
                <c:pt idx="16">
                  <c:v>0.2621</c:v>
                </c:pt>
                <c:pt idx="17">
                  <c:v>0.29039999999999999</c:v>
                </c:pt>
                <c:pt idx="18">
                  <c:v>0.32819999999999999</c:v>
                </c:pt>
                <c:pt idx="19">
                  <c:v>0.3548</c:v>
                </c:pt>
                <c:pt idx="20">
                  <c:v>0.38390000000000002</c:v>
                </c:pt>
                <c:pt idx="21">
                  <c:v>0.41410000000000002</c:v>
                </c:pt>
                <c:pt idx="22">
                  <c:v>0.43769999999999998</c:v>
                </c:pt>
                <c:pt idx="23">
                  <c:v>0.46360000000000001</c:v>
                </c:pt>
                <c:pt idx="24">
                  <c:v>0.5</c:v>
                </c:pt>
                <c:pt idx="25">
                  <c:v>0.54620000000000002</c:v>
                </c:pt>
                <c:pt idx="26">
                  <c:v>0.57999999999999996</c:v>
                </c:pt>
                <c:pt idx="27">
                  <c:v>0.5978</c:v>
                </c:pt>
                <c:pt idx="28">
                  <c:v>0.63029999999999997</c:v>
                </c:pt>
                <c:pt idx="29">
                  <c:v>0.64839999999999998</c:v>
                </c:pt>
              </c:numCache>
            </c:numRef>
          </c:xVal>
          <c:yVal>
            <c:numRef>
              <c:f>'Charact. CDG'!$B$3:$B$32</c:f>
              <c:numCache>
                <c:formatCode>0.0000</c:formatCode>
                <c:ptCount val="30"/>
                <c:pt idx="0">
                  <c:v>1.0001</c:v>
                </c:pt>
                <c:pt idx="1">
                  <c:v>0.93969999999999998</c:v>
                </c:pt>
                <c:pt idx="2">
                  <c:v>0.90010000000000001</c:v>
                </c:pt>
                <c:pt idx="3">
                  <c:v>0.84319999999999995</c:v>
                </c:pt>
                <c:pt idx="4">
                  <c:v>0.79610000000000003</c:v>
                </c:pt>
                <c:pt idx="5">
                  <c:v>0.74590000000000001</c:v>
                </c:pt>
                <c:pt idx="6">
                  <c:v>0.70479999999999998</c:v>
                </c:pt>
                <c:pt idx="7">
                  <c:v>0.66359999999999997</c:v>
                </c:pt>
                <c:pt idx="8">
                  <c:v>0.61199999999999999</c:v>
                </c:pt>
                <c:pt idx="9">
                  <c:v>0.55830000000000002</c:v>
                </c:pt>
                <c:pt idx="10">
                  <c:v>0.52929999999999999</c:v>
                </c:pt>
                <c:pt idx="11">
                  <c:v>0.50009999999999999</c:v>
                </c:pt>
                <c:pt idx="12">
                  <c:v>0.45619999999999999</c:v>
                </c:pt>
                <c:pt idx="13">
                  <c:v>0.41620000000000001</c:v>
                </c:pt>
                <c:pt idx="14">
                  <c:v>0.38279999999999997</c:v>
                </c:pt>
                <c:pt idx="15">
                  <c:v>0.35449999999999998</c:v>
                </c:pt>
                <c:pt idx="16">
                  <c:v>0.32700000000000001</c:v>
                </c:pt>
                <c:pt idx="17">
                  <c:v>0.30009999999999998</c:v>
                </c:pt>
                <c:pt idx="18">
                  <c:v>0.26829999999999998</c:v>
                </c:pt>
                <c:pt idx="19">
                  <c:v>0.2482</c:v>
                </c:pt>
                <c:pt idx="20">
                  <c:v>0.22850000000000001</c:v>
                </c:pt>
                <c:pt idx="21">
                  <c:v>0.2114</c:v>
                </c:pt>
                <c:pt idx="22">
                  <c:v>0.2001</c:v>
                </c:pt>
                <c:pt idx="23">
                  <c:v>0.18770000000000001</c:v>
                </c:pt>
                <c:pt idx="24">
                  <c:v>0.1736</c:v>
                </c:pt>
                <c:pt idx="25">
                  <c:v>0.16039999999999999</c:v>
                </c:pt>
                <c:pt idx="26">
                  <c:v>0.15329999999999999</c:v>
                </c:pt>
                <c:pt idx="27">
                  <c:v>0.151</c:v>
                </c:pt>
                <c:pt idx="28">
                  <c:v>0.14990000000000001</c:v>
                </c:pt>
                <c:pt idx="29">
                  <c:v>0.14910000000000001</c:v>
                </c:pt>
              </c:numCache>
            </c:numRef>
          </c:yVal>
          <c:smooth val="1"/>
          <c:extLst>
            <c:ext xmlns:c16="http://schemas.microsoft.com/office/drawing/2014/chart" uri="{C3380CC4-5D6E-409C-BE32-E72D297353CC}">
              <c16:uniqueId val="{00000000-2893-4026-8A36-04937D361C9F}"/>
            </c:ext>
          </c:extLst>
        </c:ser>
        <c:ser>
          <c:idx val="1"/>
          <c:order val="1"/>
          <c:spPr>
            <a:ln w="12700" cap="rnd">
              <a:solidFill>
                <a:schemeClr val="tx1"/>
              </a:solidFill>
              <a:prstDash val="dash"/>
              <a:round/>
              <a:headEnd type="none"/>
              <a:tailEnd type="stealth"/>
            </a:ln>
            <a:effectLst/>
          </c:spPr>
          <c:marker>
            <c:symbol val="none"/>
          </c:marker>
          <c:xVal>
            <c:numRef>
              <c:f>'Design of Crump'!$N$90:$N$91</c:f>
              <c:numCache>
                <c:formatCode>0.00</c:formatCode>
                <c:ptCount val="2"/>
                <c:pt idx="0">
                  <c:v>0.1040949991163051</c:v>
                </c:pt>
                <c:pt idx="1">
                  <c:v>0.1040949991163051</c:v>
                </c:pt>
              </c:numCache>
            </c:numRef>
          </c:xVal>
          <c:yVal>
            <c:numRef>
              <c:f>'Design of Crump'!$O$90:$O$91</c:f>
              <c:numCache>
                <c:formatCode>0.00</c:formatCode>
                <c:ptCount val="2"/>
                <c:pt idx="0">
                  <c:v>0</c:v>
                </c:pt>
                <c:pt idx="1">
                  <c:v>0.57813118544331132</c:v>
                </c:pt>
              </c:numCache>
            </c:numRef>
          </c:yVal>
          <c:smooth val="1"/>
          <c:extLst>
            <c:ext xmlns:c16="http://schemas.microsoft.com/office/drawing/2014/chart" uri="{C3380CC4-5D6E-409C-BE32-E72D297353CC}">
              <c16:uniqueId val="{00000001-2893-4026-8A36-04937D361C9F}"/>
            </c:ext>
          </c:extLst>
        </c:ser>
        <c:ser>
          <c:idx val="2"/>
          <c:order val="2"/>
          <c:spPr>
            <a:ln w="12700" cap="rnd">
              <a:solidFill>
                <a:schemeClr val="tx1"/>
              </a:solidFill>
              <a:prstDash val="dash"/>
              <a:round/>
              <a:tailEnd type="stealth"/>
            </a:ln>
            <a:effectLst/>
          </c:spPr>
          <c:marker>
            <c:symbol val="none"/>
          </c:marker>
          <c:xVal>
            <c:numRef>
              <c:f>'Design of Crump'!$N$93:$N$94</c:f>
              <c:numCache>
                <c:formatCode>0.00</c:formatCode>
                <c:ptCount val="2"/>
                <c:pt idx="0">
                  <c:v>0.1040949991163051</c:v>
                </c:pt>
                <c:pt idx="1">
                  <c:v>0</c:v>
                </c:pt>
              </c:numCache>
            </c:numRef>
          </c:xVal>
          <c:yVal>
            <c:numRef>
              <c:f>'Design of Crump'!$O$93:$O$94</c:f>
              <c:numCache>
                <c:formatCode>0.00</c:formatCode>
                <c:ptCount val="2"/>
                <c:pt idx="0">
                  <c:v>0.57813118544331132</c:v>
                </c:pt>
                <c:pt idx="1">
                  <c:v>0.57813118544331132</c:v>
                </c:pt>
              </c:numCache>
            </c:numRef>
          </c:yVal>
          <c:smooth val="1"/>
          <c:extLst>
            <c:ext xmlns:c16="http://schemas.microsoft.com/office/drawing/2014/chart" uri="{C3380CC4-5D6E-409C-BE32-E72D297353CC}">
              <c16:uniqueId val="{00000002-2893-4026-8A36-04937D361C9F}"/>
            </c:ext>
          </c:extLst>
        </c:ser>
        <c:dLbls>
          <c:showLegendKey val="0"/>
          <c:showVal val="0"/>
          <c:showCatName val="0"/>
          <c:showSerName val="0"/>
          <c:showPercent val="0"/>
          <c:showBubbleSize val="0"/>
        </c:dLbls>
        <c:axId val="2047783231"/>
        <c:axId val="1047991807"/>
      </c:scatterChart>
      <c:valAx>
        <c:axId val="204778323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6350"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fi-FI" sz="800"/>
                  <a:t>w/h1</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47991807"/>
        <c:crosses val="autoZero"/>
        <c:crossBetween val="midCat"/>
        <c:majorUnit val="0.1"/>
      </c:valAx>
      <c:valAx>
        <c:axId val="104799180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l-GR" sz="800" b="0" i="0" u="none" strike="noStrike" baseline="0">
                    <a:effectLst/>
                  </a:rPr>
                  <a:t>Δ</a:t>
                </a:r>
                <a:r>
                  <a:rPr lang="fi-FI" sz="800" b="0" i="0" u="none" strike="noStrike" baseline="0">
                    <a:effectLst/>
                  </a:rPr>
                  <a:t>h/h</a:t>
                </a:r>
                <a:r>
                  <a:rPr lang="fi-FI" sz="800" b="1" i="0" u="none" strike="noStrike" baseline="-25000">
                    <a:effectLst/>
                  </a:rPr>
                  <a:t>1</a:t>
                </a:r>
                <a:r>
                  <a:rPr lang="fi-FI" sz="800" b="0" i="0" u="none" strike="noStrike" baseline="0"/>
                  <a:t> </a:t>
                </a:r>
                <a:endParaRPr lang="fi-FI" sz="800"/>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0477832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93193717277487E-2"/>
          <c:y val="0.10882368569578024"/>
          <c:w val="0.86125654450261779"/>
          <c:h val="0.7411775350090978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trendline>
            <c:trendlineType val="log"/>
            <c:dispRSqr val="0"/>
            <c:dispEq val="0"/>
          </c:trendline>
          <c:trendline>
            <c:trendlineType val="log"/>
            <c:dispRSqr val="0"/>
            <c:dispEq val="0"/>
          </c:trendline>
          <c:xVal>
            <c:numRef>
              <c:f>MRCurve!$H$25:$H$35</c:f>
              <c:numCache>
                <c:formatCode>0.000</c:formatCode>
                <c:ptCount val="11"/>
                <c:pt idx="0">
                  <c:v>0</c:v>
                </c:pt>
                <c:pt idx="1">
                  <c:v>2.5176728681992076E-2</c:v>
                </c:pt>
                <c:pt idx="2">
                  <c:v>8.2388514341774813E-2</c:v>
                </c:pt>
                <c:pt idx="3">
                  <c:v>0.16801934993375051</c:v>
                </c:pt>
                <c:pt idx="4">
                  <c:v>0.28248642339774765</c:v>
                </c:pt>
                <c:pt idx="5">
                  <c:v>0.42709256977597615</c:v>
                </c:pt>
                <c:pt idx="6">
                  <c:v>0.60345147986233549</c:v>
                </c:pt>
                <c:pt idx="7">
                  <c:v>0.81329608104597428</c:v>
                </c:pt>
                <c:pt idx="8">
                  <c:v>1.0584004810541163</c:v>
                </c:pt>
                <c:pt idx="9">
                  <c:v>1.3405445892996923</c:v>
                </c:pt>
                <c:pt idx="10">
                  <c:v>1.6614971429292222</c:v>
                </c:pt>
              </c:numCache>
            </c:numRef>
          </c:xVal>
          <c:yVal>
            <c:numRef>
              <c:f>MRCurve!$I$25:$I$35</c:f>
              <c:numCache>
                <c:formatCode>0.000</c:formatCode>
                <c:ptCount val="11"/>
                <c:pt idx="0">
                  <c:v>22.360471219111972</c:v>
                </c:pt>
                <c:pt idx="1">
                  <c:v>22.447251316722976</c:v>
                </c:pt>
                <c:pt idx="2">
                  <c:v>22.534031414333981</c:v>
                </c:pt>
                <c:pt idx="3">
                  <c:v>22.620811511944989</c:v>
                </c:pt>
                <c:pt idx="4">
                  <c:v>22.707591609555994</c:v>
                </c:pt>
                <c:pt idx="5">
                  <c:v>22.794371707166999</c:v>
                </c:pt>
                <c:pt idx="6">
                  <c:v>22.881151804778007</c:v>
                </c:pt>
                <c:pt idx="7">
                  <c:v>22.967931902389012</c:v>
                </c:pt>
                <c:pt idx="8">
                  <c:v>23.054712000000016</c:v>
                </c:pt>
                <c:pt idx="9">
                  <c:v>23.141492097611021</c:v>
                </c:pt>
                <c:pt idx="10">
                  <c:v>23.228272195222026</c:v>
                </c:pt>
              </c:numCache>
            </c:numRef>
          </c:yVal>
          <c:smooth val="0"/>
          <c:extLst>
            <c:ext xmlns:c16="http://schemas.microsoft.com/office/drawing/2014/chart" uri="{C3380CC4-5D6E-409C-BE32-E72D297353CC}">
              <c16:uniqueId val="{00000000-735D-43CF-8FAD-D0A540A59619}"/>
            </c:ext>
          </c:extLst>
        </c:ser>
        <c:dLbls>
          <c:showLegendKey val="0"/>
          <c:showVal val="0"/>
          <c:showCatName val="0"/>
          <c:showSerName val="0"/>
          <c:showPercent val="0"/>
          <c:showBubbleSize val="0"/>
        </c:dLbls>
        <c:axId val="1501660271"/>
        <c:axId val="1"/>
      </c:scatterChart>
      <c:valAx>
        <c:axId val="1501660271"/>
        <c:scaling>
          <c:orientation val="minMax"/>
        </c:scaling>
        <c:delete val="0"/>
        <c:axPos val="b"/>
        <c:majorGridlines>
          <c:spPr>
            <a:ln w="3175">
              <a:solidFill>
                <a:srgbClr val="C0C0C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PK" sz="825" b="1" i="0" u="none" strike="noStrike" baseline="0">
                    <a:solidFill>
                      <a:srgbClr val="000000"/>
                    </a:solidFill>
                    <a:latin typeface="Arial"/>
                    <a:cs typeface="Arial"/>
                  </a:rPr>
                  <a:t>Discharge (m</a:t>
                </a:r>
                <a:r>
                  <a:rPr lang="en-PK" sz="825" b="1" i="0" u="none" strike="noStrike" baseline="30000">
                    <a:solidFill>
                      <a:srgbClr val="000000"/>
                    </a:solidFill>
                    <a:latin typeface="Arial"/>
                    <a:cs typeface="Arial"/>
                  </a:rPr>
                  <a:t>3</a:t>
                </a:r>
                <a:r>
                  <a:rPr lang="en-PK" sz="825" b="1" i="0" u="none" strike="noStrike" baseline="0">
                    <a:solidFill>
                      <a:srgbClr val="000000"/>
                    </a:solidFill>
                    <a:latin typeface="Arial"/>
                    <a:cs typeface="Arial"/>
                  </a:rPr>
                  <a:t>s</a:t>
                </a:r>
                <a:r>
                  <a:rPr lang="en-PK" sz="825" b="1" i="0" u="none" strike="noStrike" baseline="30000">
                    <a:solidFill>
                      <a:srgbClr val="000000"/>
                    </a:solidFill>
                    <a:latin typeface="Arial"/>
                    <a:cs typeface="Arial"/>
                  </a:rPr>
                  <a:t>-1</a:t>
                </a:r>
                <a:r>
                  <a:rPr lang="en-PK" sz="825" b="1" i="0" u="none" strike="noStrike" baseline="0">
                    <a:solidFill>
                      <a:srgbClr val="000000"/>
                    </a:solidFill>
                    <a:latin typeface="Arial"/>
                    <a:cs typeface="Arial"/>
                  </a:rPr>
                  <a:t>)</a:t>
                </a:r>
              </a:p>
            </c:rich>
          </c:tx>
          <c:layout>
            <c:manualLayout>
              <c:xMode val="edge"/>
              <c:yMode val="edge"/>
              <c:x val="0.45942419079592728"/>
              <c:y val="0.92647178010112163"/>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ysDash"/>
            </a:ln>
          </c:spPr>
        </c:majorGridlines>
        <c:title>
          <c:tx>
            <c:rich>
              <a:bodyPr/>
              <a:lstStyle/>
              <a:p>
                <a:pPr>
                  <a:defRPr sz="825" b="1" i="0" u="none" strike="noStrike" baseline="0">
                    <a:solidFill>
                      <a:srgbClr val="000000"/>
                    </a:solidFill>
                    <a:latin typeface="Arial"/>
                    <a:ea typeface="Arial"/>
                    <a:cs typeface="Arial"/>
                  </a:defRPr>
                </a:pPr>
                <a:r>
                  <a:rPr lang="fi-FI"/>
                  <a:t>Water Level (mAD)</a:t>
                </a:r>
              </a:p>
            </c:rich>
          </c:tx>
          <c:layout>
            <c:manualLayout>
              <c:xMode val="edge"/>
              <c:yMode val="edge"/>
              <c:x val="9.1623515162678037E-3"/>
              <c:y val="0.323529778492652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501660271"/>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93193717277487E-2"/>
          <c:y val="0.10882368569578024"/>
          <c:w val="0.8037007658874934"/>
          <c:h val="0.74117753500909789"/>
        </c:manualLayout>
      </c:layout>
      <c:scatterChart>
        <c:scatterStyle val="lineMarker"/>
        <c:varyColors val="0"/>
        <c:ser>
          <c:idx val="0"/>
          <c:order val="0"/>
          <c:xVal>
            <c:numRef>
              <c:f>Backwater!$M$28:$M$36</c:f>
              <c:numCache>
                <c:formatCode>0</c:formatCode>
                <c:ptCount val="9"/>
                <c:pt idx="0">
                  <c:v>-74.96447071063082</c:v>
                </c:pt>
                <c:pt idx="1">
                  <c:v>-80.525426175726309</c:v>
                </c:pt>
                <c:pt idx="2">
                  <c:v>-87.646004051679824</c:v>
                </c:pt>
                <c:pt idx="3">
                  <c:v>-97.064336320588112</c:v>
                </c:pt>
                <c:pt idx="4">
                  <c:v>-110.07010155593917</c:v>
                </c:pt>
                <c:pt idx="5">
                  <c:v>-129.13796738240245</c:v>
                </c:pt>
                <c:pt idx="6">
                  <c:v>-159.69435643472468</c:v>
                </c:pt>
                <c:pt idx="7">
                  <c:v>-216.3883062460888</c:v>
                </c:pt>
                <c:pt idx="8">
                  <c:v>-357.15979453587892</c:v>
                </c:pt>
              </c:numCache>
            </c:numRef>
          </c:xVal>
          <c:yVal>
            <c:numRef>
              <c:f>Backwater!$P$28:$P$36</c:f>
              <c:numCache>
                <c:formatCode>0.000</c:formatCode>
                <c:ptCount val="9"/>
                <c:pt idx="0">
                  <c:v>23.066266543944163</c:v>
                </c:pt>
                <c:pt idx="1">
                  <c:v>23.055181341301918</c:v>
                </c:pt>
                <c:pt idx="2">
                  <c:v>23.044135063423081</c:v>
                </c:pt>
                <c:pt idx="3">
                  <c:v>23.033130932610177</c:v>
                </c:pt>
                <c:pt idx="4">
                  <c:v>23.022172494784691</c:v>
                </c:pt>
                <c:pt idx="5">
                  <c:v>23.011263658053409</c:v>
                </c:pt>
                <c:pt idx="6">
                  <c:v>23.000408736634817</c:v>
                </c:pt>
                <c:pt idx="7">
                  <c:v>22.989612501002348</c:v>
                </c:pt>
                <c:pt idx="8">
                  <c:v>22.978880235256938</c:v>
                </c:pt>
              </c:numCache>
            </c:numRef>
          </c:yVal>
          <c:smooth val="0"/>
          <c:extLst>
            <c:ext xmlns:c16="http://schemas.microsoft.com/office/drawing/2014/chart" uri="{C3380CC4-5D6E-409C-BE32-E72D297353CC}">
              <c16:uniqueId val="{00000003-96A3-4F97-A1C8-F5C4A027398F}"/>
            </c:ext>
          </c:extLst>
        </c:ser>
        <c:dLbls>
          <c:showLegendKey val="0"/>
          <c:showVal val="0"/>
          <c:showCatName val="0"/>
          <c:showSerName val="0"/>
          <c:showPercent val="0"/>
          <c:showBubbleSize val="0"/>
        </c:dLbls>
        <c:axId val="1501660271"/>
        <c:axId val="1"/>
      </c:scatterChart>
      <c:valAx>
        <c:axId val="1501660271"/>
        <c:scaling>
          <c:orientation val="minMax"/>
        </c:scaling>
        <c:delete val="0"/>
        <c:axPos val="t"/>
        <c:majorGridlines>
          <c:spPr>
            <a:ln w="3175">
              <a:solidFill>
                <a:srgbClr val="C0C0C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825" b="1" i="0" u="none" strike="noStrike" baseline="0">
                    <a:solidFill>
                      <a:srgbClr val="000000"/>
                    </a:solidFill>
                    <a:latin typeface="Arial"/>
                    <a:cs typeface="Arial"/>
                  </a:rPr>
                  <a:t>Length of canal</a:t>
                </a:r>
                <a:endParaRPr lang="en-PK" sz="825" b="1" i="0" u="none" strike="noStrike" baseline="0">
                  <a:solidFill>
                    <a:srgbClr val="000000"/>
                  </a:solidFill>
                  <a:latin typeface="Arial"/>
                  <a:cs typeface="Arial"/>
                </a:endParaRPr>
              </a:p>
            </c:rich>
          </c:tx>
          <c:layout>
            <c:manualLayout>
              <c:xMode val="edge"/>
              <c:yMode val="edge"/>
              <c:x val="0.45942419079592728"/>
              <c:y val="0.9264717801011216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
        <c:crosses val="max"/>
        <c:crossBetween val="midCat"/>
      </c:valAx>
      <c:valAx>
        <c:axId val="1"/>
        <c:scaling>
          <c:orientation val="minMax"/>
        </c:scaling>
        <c:delete val="0"/>
        <c:axPos val="r"/>
        <c:majorGridlines>
          <c:spPr>
            <a:ln w="3175">
              <a:solidFill>
                <a:srgbClr val="C0C0C0"/>
              </a:solidFill>
              <a:prstDash val="sysDash"/>
            </a:ln>
          </c:spPr>
        </c:majorGridlines>
        <c:minorGridlines/>
        <c:title>
          <c:tx>
            <c:rich>
              <a:bodyPr/>
              <a:lstStyle/>
              <a:p>
                <a:pPr>
                  <a:defRPr sz="825" b="1" i="0" u="none" strike="noStrike" baseline="0">
                    <a:solidFill>
                      <a:srgbClr val="000000"/>
                    </a:solidFill>
                    <a:latin typeface="Arial"/>
                    <a:ea typeface="Arial"/>
                    <a:cs typeface="Arial"/>
                  </a:defRPr>
                </a:pPr>
                <a:r>
                  <a:rPr lang="fi-FI"/>
                  <a:t>Energy Gradient</a:t>
                </a:r>
              </a:p>
            </c:rich>
          </c:tx>
          <c:layout>
            <c:manualLayout>
              <c:xMode val="edge"/>
              <c:yMode val="edge"/>
              <c:x val="0.96067866178217953"/>
              <c:y val="0.28974208898044196"/>
            </c:manualLayout>
          </c:layout>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501660271"/>
        <c:crosses val="max"/>
        <c:crossBetween val="midCat"/>
        <c:majorUnit val="1.0000000000000002E-2"/>
        <c:minorUnit val="1.0000000000000002E-2"/>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i-FI" sz="1000" baseline="0"/>
              <a:t>Charachteristic of Crump De-gruyter gate</a:t>
            </a:r>
          </a:p>
        </c:rich>
      </c:tx>
      <c:overlay val="0"/>
      <c:spPr>
        <a:noFill/>
        <a:ln>
          <a:solidFill>
            <a:srgbClr val="FF0000">
              <a:alpha val="89000"/>
            </a:srgbClr>
          </a:solid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48811917301697"/>
          <c:y val="0.17291375291375291"/>
          <c:w val="0.81775718851724877"/>
          <c:h val="0.62007782244002718"/>
        </c:manualLayout>
      </c:layout>
      <c:scatterChart>
        <c:scatterStyle val="smoothMarker"/>
        <c:varyColors val="0"/>
        <c:ser>
          <c:idx val="0"/>
          <c:order val="0"/>
          <c:spPr>
            <a:ln w="19050" cap="rnd">
              <a:solidFill>
                <a:srgbClr val="FF0000"/>
              </a:solidFill>
              <a:prstDash val="solid"/>
              <a:round/>
            </a:ln>
            <a:effectLst/>
          </c:spPr>
          <c:marker>
            <c:symbol val="none"/>
          </c:marker>
          <c:xVal>
            <c:numRef>
              <c:f>'Charact. CDG'!$A$3:$A$32</c:f>
              <c:numCache>
                <c:formatCode>0.0000</c:formatCode>
                <c:ptCount val="30"/>
                <c:pt idx="0">
                  <c:v>0</c:v>
                </c:pt>
                <c:pt idx="1">
                  <c:v>7.0000000000000001E-3</c:v>
                </c:pt>
                <c:pt idx="2">
                  <c:v>1.2999999999999999E-2</c:v>
                </c:pt>
                <c:pt idx="3">
                  <c:v>2.23E-2</c:v>
                </c:pt>
                <c:pt idx="4">
                  <c:v>3.2599999999999997E-2</c:v>
                </c:pt>
                <c:pt idx="5">
                  <c:v>4.4699999999999997E-2</c:v>
                </c:pt>
                <c:pt idx="6">
                  <c:v>5.57E-2</c:v>
                </c:pt>
                <c:pt idx="7">
                  <c:v>6.93E-2</c:v>
                </c:pt>
                <c:pt idx="8">
                  <c:v>8.7800000000000003E-2</c:v>
                </c:pt>
                <c:pt idx="9">
                  <c:v>0.10929999999999999</c:v>
                </c:pt>
                <c:pt idx="10">
                  <c:v>0.12230000000000001</c:v>
                </c:pt>
                <c:pt idx="11">
                  <c:v>0.13689999999999999</c:v>
                </c:pt>
                <c:pt idx="12">
                  <c:v>0.16239999999999999</c:v>
                </c:pt>
                <c:pt idx="13">
                  <c:v>0.18870000000000001</c:v>
                </c:pt>
                <c:pt idx="14">
                  <c:v>0.21379999999999999</c:v>
                </c:pt>
                <c:pt idx="15">
                  <c:v>0.23710000000000001</c:v>
                </c:pt>
                <c:pt idx="16">
                  <c:v>0.2621</c:v>
                </c:pt>
                <c:pt idx="17">
                  <c:v>0.29039999999999999</c:v>
                </c:pt>
                <c:pt idx="18">
                  <c:v>0.32819999999999999</c:v>
                </c:pt>
                <c:pt idx="19">
                  <c:v>0.3548</c:v>
                </c:pt>
                <c:pt idx="20">
                  <c:v>0.38390000000000002</c:v>
                </c:pt>
                <c:pt idx="21">
                  <c:v>0.41410000000000002</c:v>
                </c:pt>
                <c:pt idx="22">
                  <c:v>0.43769999999999998</c:v>
                </c:pt>
                <c:pt idx="23">
                  <c:v>0.46360000000000001</c:v>
                </c:pt>
                <c:pt idx="24">
                  <c:v>0.5</c:v>
                </c:pt>
                <c:pt idx="25">
                  <c:v>0.54620000000000002</c:v>
                </c:pt>
                <c:pt idx="26">
                  <c:v>0.57999999999999996</c:v>
                </c:pt>
                <c:pt idx="27">
                  <c:v>0.5978</c:v>
                </c:pt>
                <c:pt idx="28">
                  <c:v>0.63029999999999997</c:v>
                </c:pt>
                <c:pt idx="29">
                  <c:v>0.64839999999999998</c:v>
                </c:pt>
              </c:numCache>
            </c:numRef>
          </c:xVal>
          <c:yVal>
            <c:numRef>
              <c:f>'Charact. CDG'!$B$3:$B$32</c:f>
              <c:numCache>
                <c:formatCode>0.0000</c:formatCode>
                <c:ptCount val="30"/>
                <c:pt idx="0">
                  <c:v>1.0001</c:v>
                </c:pt>
                <c:pt idx="1">
                  <c:v>0.93969999999999998</c:v>
                </c:pt>
                <c:pt idx="2">
                  <c:v>0.90010000000000001</c:v>
                </c:pt>
                <c:pt idx="3">
                  <c:v>0.84319999999999995</c:v>
                </c:pt>
                <c:pt idx="4">
                  <c:v>0.79610000000000003</c:v>
                </c:pt>
                <c:pt idx="5">
                  <c:v>0.74590000000000001</c:v>
                </c:pt>
                <c:pt idx="6">
                  <c:v>0.70479999999999998</c:v>
                </c:pt>
                <c:pt idx="7">
                  <c:v>0.66359999999999997</c:v>
                </c:pt>
                <c:pt idx="8">
                  <c:v>0.61199999999999999</c:v>
                </c:pt>
                <c:pt idx="9">
                  <c:v>0.55830000000000002</c:v>
                </c:pt>
                <c:pt idx="10">
                  <c:v>0.52929999999999999</c:v>
                </c:pt>
                <c:pt idx="11">
                  <c:v>0.50009999999999999</c:v>
                </c:pt>
                <c:pt idx="12">
                  <c:v>0.45619999999999999</c:v>
                </c:pt>
                <c:pt idx="13">
                  <c:v>0.41620000000000001</c:v>
                </c:pt>
                <c:pt idx="14">
                  <c:v>0.38279999999999997</c:v>
                </c:pt>
                <c:pt idx="15">
                  <c:v>0.35449999999999998</c:v>
                </c:pt>
                <c:pt idx="16">
                  <c:v>0.32700000000000001</c:v>
                </c:pt>
                <c:pt idx="17">
                  <c:v>0.30009999999999998</c:v>
                </c:pt>
                <c:pt idx="18">
                  <c:v>0.26829999999999998</c:v>
                </c:pt>
                <c:pt idx="19">
                  <c:v>0.2482</c:v>
                </c:pt>
                <c:pt idx="20">
                  <c:v>0.22850000000000001</c:v>
                </c:pt>
                <c:pt idx="21">
                  <c:v>0.2114</c:v>
                </c:pt>
                <c:pt idx="22">
                  <c:v>0.2001</c:v>
                </c:pt>
                <c:pt idx="23">
                  <c:v>0.18770000000000001</c:v>
                </c:pt>
                <c:pt idx="24">
                  <c:v>0.1736</c:v>
                </c:pt>
                <c:pt idx="25">
                  <c:v>0.16039999999999999</c:v>
                </c:pt>
                <c:pt idx="26">
                  <c:v>0.15329999999999999</c:v>
                </c:pt>
                <c:pt idx="27">
                  <c:v>0.151</c:v>
                </c:pt>
                <c:pt idx="28">
                  <c:v>0.14990000000000001</c:v>
                </c:pt>
                <c:pt idx="29">
                  <c:v>0.14910000000000001</c:v>
                </c:pt>
              </c:numCache>
            </c:numRef>
          </c:yVal>
          <c:smooth val="1"/>
          <c:extLst>
            <c:ext xmlns:c16="http://schemas.microsoft.com/office/drawing/2014/chart" uri="{C3380CC4-5D6E-409C-BE32-E72D297353CC}">
              <c16:uniqueId val="{00000000-B101-4DE0-B895-70976EF49BCF}"/>
            </c:ext>
          </c:extLst>
        </c:ser>
        <c:ser>
          <c:idx val="1"/>
          <c:order val="1"/>
          <c:spPr>
            <a:ln w="19050" cap="rnd">
              <a:solidFill>
                <a:schemeClr val="accent2"/>
              </a:solidFill>
              <a:round/>
            </a:ln>
            <a:effectLst/>
          </c:spPr>
          <c:marker>
            <c:symbol val="none"/>
          </c:marker>
          <c:xVal>
            <c:numRef>
              <c:f>'Charact. CDG'!$C$3:$C$76</c:f>
              <c:numCache>
                <c:formatCode>General</c:formatCode>
                <c:ptCount val="74"/>
                <c:pt idx="0">
                  <c:v>0</c:v>
                </c:pt>
                <c:pt idx="1">
                  <c:v>5.0000000000000001E-3</c:v>
                </c:pt>
                <c:pt idx="2">
                  <c:v>0.01</c:v>
                </c:pt>
                <c:pt idx="3">
                  <c:v>0.02</c:v>
                </c:pt>
                <c:pt idx="4">
                  <c:v>0.03</c:v>
                </c:pt>
                <c:pt idx="5">
                  <c:v>0.04</c:v>
                </c:pt>
                <c:pt idx="6">
                  <c:v>0.05</c:v>
                </c:pt>
                <c:pt idx="7">
                  <c:v>6.0000000000000005E-2</c:v>
                </c:pt>
                <c:pt idx="8">
                  <c:v>7.0000000000000007E-2</c:v>
                </c:pt>
                <c:pt idx="9">
                  <c:v>0.08</c:v>
                </c:pt>
                <c:pt idx="10">
                  <c:v>0.09</c:v>
                </c:pt>
                <c:pt idx="11">
                  <c:v>9.9999999999999992E-2</c:v>
                </c:pt>
                <c:pt idx="12">
                  <c:v>0.10999999999999999</c:v>
                </c:pt>
                <c:pt idx="13">
                  <c:v>0.11999999999999998</c:v>
                </c:pt>
                <c:pt idx="14">
                  <c:v>0.12999999999999998</c:v>
                </c:pt>
                <c:pt idx="15">
                  <c:v>0.13999999999999999</c:v>
                </c:pt>
                <c:pt idx="16">
                  <c:v>0.15</c:v>
                </c:pt>
                <c:pt idx="17">
                  <c:v>0.16</c:v>
                </c:pt>
                <c:pt idx="18">
                  <c:v>0.17</c:v>
                </c:pt>
                <c:pt idx="19">
                  <c:v>0.18000000000000002</c:v>
                </c:pt>
                <c:pt idx="20">
                  <c:v>0.19000000000000003</c:v>
                </c:pt>
                <c:pt idx="21">
                  <c:v>0.20000000000000004</c:v>
                </c:pt>
                <c:pt idx="22">
                  <c:v>0.21000000000000005</c:v>
                </c:pt>
                <c:pt idx="23">
                  <c:v>0.22000000000000006</c:v>
                </c:pt>
                <c:pt idx="24">
                  <c:v>0.23000000000000007</c:v>
                </c:pt>
                <c:pt idx="25">
                  <c:v>0.24000000000000007</c:v>
                </c:pt>
                <c:pt idx="26">
                  <c:v>0.25000000000000006</c:v>
                </c:pt>
                <c:pt idx="27">
                  <c:v>0.26000000000000006</c:v>
                </c:pt>
                <c:pt idx="28">
                  <c:v>0.27000000000000007</c:v>
                </c:pt>
                <c:pt idx="29">
                  <c:v>0.28000000000000008</c:v>
                </c:pt>
                <c:pt idx="30">
                  <c:v>0.29000000000000009</c:v>
                </c:pt>
                <c:pt idx="31">
                  <c:v>0.3000000000000001</c:v>
                </c:pt>
                <c:pt idx="32">
                  <c:v>0.31000000000000011</c:v>
                </c:pt>
                <c:pt idx="33">
                  <c:v>0.32000000000000012</c:v>
                </c:pt>
                <c:pt idx="34">
                  <c:v>0.33000000000000013</c:v>
                </c:pt>
                <c:pt idx="35">
                  <c:v>0.34000000000000014</c:v>
                </c:pt>
                <c:pt idx="36">
                  <c:v>0.35000000000000014</c:v>
                </c:pt>
                <c:pt idx="37">
                  <c:v>0.36000000000000015</c:v>
                </c:pt>
                <c:pt idx="38">
                  <c:v>0.37000000000000016</c:v>
                </c:pt>
                <c:pt idx="39">
                  <c:v>0.38000000000000017</c:v>
                </c:pt>
                <c:pt idx="40">
                  <c:v>0.39000000000000018</c:v>
                </c:pt>
                <c:pt idx="41">
                  <c:v>0.40000000000000019</c:v>
                </c:pt>
                <c:pt idx="42">
                  <c:v>0.4100000000000002</c:v>
                </c:pt>
                <c:pt idx="43">
                  <c:v>0.42000000000000021</c:v>
                </c:pt>
                <c:pt idx="44">
                  <c:v>0.43000000000000022</c:v>
                </c:pt>
                <c:pt idx="45">
                  <c:v>0.44000000000000022</c:v>
                </c:pt>
                <c:pt idx="46">
                  <c:v>0.45000000000000023</c:v>
                </c:pt>
                <c:pt idx="47">
                  <c:v>0.46000000000000024</c:v>
                </c:pt>
                <c:pt idx="48">
                  <c:v>0.47000000000000025</c:v>
                </c:pt>
                <c:pt idx="49">
                  <c:v>0.48000000000000026</c:v>
                </c:pt>
                <c:pt idx="50">
                  <c:v>0.49000000000000027</c:v>
                </c:pt>
                <c:pt idx="51">
                  <c:v>0.50000000000000022</c:v>
                </c:pt>
                <c:pt idx="52">
                  <c:v>0.51000000000000023</c:v>
                </c:pt>
                <c:pt idx="53">
                  <c:v>0.52000000000000024</c:v>
                </c:pt>
                <c:pt idx="54">
                  <c:v>0.53000000000000025</c:v>
                </c:pt>
                <c:pt idx="55">
                  <c:v>0.54000000000000026</c:v>
                </c:pt>
                <c:pt idx="56">
                  <c:v>0.55000000000000027</c:v>
                </c:pt>
                <c:pt idx="57">
                  <c:v>0.56000000000000028</c:v>
                </c:pt>
                <c:pt idx="58">
                  <c:v>0.57000000000000028</c:v>
                </c:pt>
                <c:pt idx="59">
                  <c:v>0.58000000000000029</c:v>
                </c:pt>
                <c:pt idx="60">
                  <c:v>0.5900000000000003</c:v>
                </c:pt>
                <c:pt idx="61">
                  <c:v>0.60000000000000031</c:v>
                </c:pt>
                <c:pt idx="62">
                  <c:v>0.61000000000000032</c:v>
                </c:pt>
                <c:pt idx="63">
                  <c:v>0.62000000000000033</c:v>
                </c:pt>
                <c:pt idx="64">
                  <c:v>0.63000000000000034</c:v>
                </c:pt>
                <c:pt idx="65">
                  <c:v>0.64000000000000035</c:v>
                </c:pt>
                <c:pt idx="66">
                  <c:v>0.65000000000000036</c:v>
                </c:pt>
              </c:numCache>
            </c:numRef>
          </c:xVal>
          <c:yVal>
            <c:numRef>
              <c:f>'Charact. CDG'!$D$3:$D$76</c:f>
              <c:numCache>
                <c:formatCode>General</c:formatCode>
                <c:ptCount val="74"/>
                <c:pt idx="0">
                  <c:v>0.98809999999999998</c:v>
                </c:pt>
                <c:pt idx="1">
                  <c:v>0.95111926941839031</c:v>
                </c:pt>
                <c:pt idx="2">
                  <c:v>0.91660763092197994</c:v>
                </c:pt>
                <c:pt idx="3">
                  <c:v>0.85436514844671996</c:v>
                </c:pt>
                <c:pt idx="4">
                  <c:v>0.80019246659342003</c:v>
                </c:pt>
                <c:pt idx="5">
                  <c:v>0.75302130347008001</c:v>
                </c:pt>
                <c:pt idx="6">
                  <c:v>0.71188846843749998</c:v>
                </c:pt>
                <c:pt idx="7">
                  <c:v>0.67592934149887995</c:v>
                </c:pt>
                <c:pt idx="8">
                  <c:v>0.64437154491501991</c:v>
                </c:pt>
                <c:pt idx="9">
                  <c:v>0.61652880704512003</c:v>
                </c:pt>
                <c:pt idx="10">
                  <c:v>0.59179501841318005</c:v>
                </c:pt>
                <c:pt idx="11">
                  <c:v>0.56963848000000006</c:v>
                </c:pt>
                <c:pt idx="12">
                  <c:v>0.54959634376078004</c:v>
                </c:pt>
                <c:pt idx="13">
                  <c:v>0.53126924536831999</c:v>
                </c:pt>
                <c:pt idx="14">
                  <c:v>0.51431612918182013</c:v>
                </c:pt>
                <c:pt idx="15">
                  <c:v>0.4984492654412801</c:v>
                </c:pt>
                <c:pt idx="16">
                  <c:v>0.48342945968749995</c:v>
                </c:pt>
                <c:pt idx="17">
                  <c:v>0.46906145440767999</c:v>
                </c:pt>
                <c:pt idx="18">
                  <c:v>0.45518952290661996</c:v>
                </c:pt>
                <c:pt idx="19">
                  <c:v>0.44169325540352</c:v>
                </c:pt>
                <c:pt idx="20">
                  <c:v>0.42848353735438005</c:v>
                </c:pt>
                <c:pt idx="21">
                  <c:v>0.41549871999999999</c:v>
                </c:pt>
                <c:pt idx="22">
                  <c:v>0.40270098313957936</c:v>
                </c:pt>
                <c:pt idx="23">
                  <c:v>0.39007289012991975</c:v>
                </c:pt>
                <c:pt idx="24">
                  <c:v>0.37761413511021935</c:v>
                </c:pt>
                <c:pt idx="25">
                  <c:v>0.36533848245247968</c:v>
                </c:pt>
                <c:pt idx="26">
                  <c:v>0.35327089843749948</c:v>
                </c:pt>
                <c:pt idx="27">
                  <c:v>0.34144487515648003</c:v>
                </c:pt>
                <c:pt idx="28">
                  <c:v>0.32989994663821975</c:v>
                </c:pt>
                <c:pt idx="29">
                  <c:v>0.31867939720191951</c:v>
                </c:pt>
                <c:pt idx="30">
                  <c:v>0.30782816203557961</c:v>
                </c:pt>
                <c:pt idx="31">
                  <c:v>0.29739091999999956</c:v>
                </c:pt>
                <c:pt idx="32">
                  <c:v>0.28741037865837993</c:v>
                </c:pt>
                <c:pt idx="33">
                  <c:v>0.2779257515315201</c:v>
                </c:pt>
                <c:pt idx="34">
                  <c:v>0.26897142757862036</c:v>
                </c:pt>
                <c:pt idx="35">
                  <c:v>0.26057583290367936</c:v>
                </c:pt>
                <c:pt idx="36">
                  <c:v>0.25276048468749779</c:v>
                </c:pt>
                <c:pt idx="37">
                  <c:v>0.24553923734527916</c:v>
                </c:pt>
                <c:pt idx="38">
                  <c:v>0.23891772090981989</c:v>
                </c:pt>
                <c:pt idx="39">
                  <c:v>0.23289297164031963</c:v>
                </c:pt>
                <c:pt idx="40">
                  <c:v>0.22745325485677825</c:v>
                </c:pt>
                <c:pt idx="41">
                  <c:v>0.22257807999999968</c:v>
                </c:pt>
                <c:pt idx="42">
                  <c:v>0.21823840791717619</c:v>
                </c:pt>
                <c:pt idx="43">
                  <c:v>0.2143970503731174</c:v>
                </c:pt>
                <c:pt idx="44">
                  <c:v>0.21100926178701562</c:v>
                </c:pt>
                <c:pt idx="45">
                  <c:v>0.20802352319487594</c:v>
                </c:pt>
                <c:pt idx="46">
                  <c:v>0.20538251843749644</c:v>
                </c:pt>
                <c:pt idx="47">
                  <c:v>0.20302430257407722</c:v>
                </c:pt>
                <c:pt idx="48">
                  <c:v>0.20088366252142342</c:v>
                </c:pt>
                <c:pt idx="49">
                  <c:v>0.19889366991871538</c:v>
                </c:pt>
                <c:pt idx="50">
                  <c:v>0.19698742621797538</c:v>
                </c:pt>
                <c:pt idx="51">
                  <c:v>0.19509999999999184</c:v>
                </c:pt>
                <c:pt idx="52">
                  <c:v>0.19317055651596804</c:v>
                </c:pt>
                <c:pt idx="53">
                  <c:v>0.19114467945471048</c:v>
                </c:pt>
                <c:pt idx="54">
                  <c:v>0.18897688493540854</c:v>
                </c:pt>
                <c:pt idx="55">
                  <c:v>0.18663332772607855</c:v>
                </c:pt>
                <c:pt idx="56">
                  <c:v>0.18409469968749081</c:v>
                </c:pt>
                <c:pt idx="57">
                  <c:v>0.18135932044286718</c:v>
                </c:pt>
                <c:pt idx="58">
                  <c:v>0.17844642027300384</c:v>
                </c:pt>
                <c:pt idx="59">
                  <c:v>0.17539961523711223</c:v>
                </c:pt>
                <c:pt idx="60">
                  <c:v>0.1722905745191754</c:v>
                </c:pt>
                <c:pt idx="61">
                  <c:v>0.16922287999998864</c:v>
                </c:pt>
                <c:pt idx="62">
                  <c:v>0.16633607805476625</c:v>
                </c:pt>
                <c:pt idx="63">
                  <c:v>0.16380992357631885</c:v>
                </c:pt>
                <c:pt idx="64">
                  <c:v>0.16186881622379423</c:v>
                </c:pt>
                <c:pt idx="65">
                  <c:v>0.16078642889725514</c:v>
                </c:pt>
                <c:pt idx="66">
                  <c:v>0.16089052843749019</c:v>
                </c:pt>
              </c:numCache>
            </c:numRef>
          </c:yVal>
          <c:smooth val="1"/>
          <c:extLst>
            <c:ext xmlns:c16="http://schemas.microsoft.com/office/drawing/2014/chart" uri="{C3380CC4-5D6E-409C-BE32-E72D297353CC}">
              <c16:uniqueId val="{00000001-B101-4DE0-B895-70976EF49BCF}"/>
            </c:ext>
          </c:extLst>
        </c:ser>
        <c:dLbls>
          <c:showLegendKey val="0"/>
          <c:showVal val="0"/>
          <c:showCatName val="0"/>
          <c:showSerName val="0"/>
          <c:showPercent val="0"/>
          <c:showBubbleSize val="0"/>
        </c:dLbls>
        <c:axId val="2047783231"/>
        <c:axId val="1047991807"/>
      </c:scatterChart>
      <c:valAx>
        <c:axId val="204778323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i-FI"/>
                  <a:t>w/h1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7991807"/>
        <c:crosses val="autoZero"/>
        <c:crossBetween val="midCat"/>
      </c:valAx>
      <c:valAx>
        <c:axId val="104799180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sz="1000" b="0" i="0" u="none" strike="noStrike" baseline="0">
                    <a:effectLst/>
                  </a:rPr>
                  <a:t>Δ</a:t>
                </a:r>
                <a:r>
                  <a:rPr lang="fi-FI" sz="1000" b="0" i="0" u="none" strike="noStrike" baseline="0">
                    <a:effectLst/>
                  </a:rPr>
                  <a:t>h/h</a:t>
                </a:r>
                <a:r>
                  <a:rPr lang="fi-FI" sz="1000" b="1" i="0" u="none" strike="noStrike" baseline="-25000">
                    <a:effectLst/>
                  </a:rPr>
                  <a:t>1</a:t>
                </a:r>
                <a:r>
                  <a:rPr lang="fi-FI" sz="1000" b="0" i="0" u="none" strike="noStrike" baseline="0"/>
                  <a:t> </a:t>
                </a:r>
                <a:endParaRPr lang="fi-FI"/>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7832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7.emf"/><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9</xdr:col>
      <xdr:colOff>203200</xdr:colOff>
      <xdr:row>0</xdr:row>
      <xdr:rowOff>19050</xdr:rowOff>
    </xdr:from>
    <xdr:to>
      <xdr:col>11</xdr:col>
      <xdr:colOff>213359</xdr:colOff>
      <xdr:row>3</xdr:row>
      <xdr:rowOff>1891</xdr:rowOff>
    </xdr:to>
    <xdr:pic>
      <xdr:nvPicPr>
        <xdr:cNvPr id="2" name="Picture 2">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894060" y="19050"/>
          <a:ext cx="775969" cy="71667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389966</xdr:colOff>
      <xdr:row>21</xdr:row>
      <xdr:rowOff>8964</xdr:rowOff>
    </xdr:from>
    <xdr:to>
      <xdr:col>5</xdr:col>
      <xdr:colOff>133352</xdr:colOff>
      <xdr:row>22</xdr:row>
      <xdr:rowOff>58286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1353672" y="4428564"/>
          <a:ext cx="1912284" cy="286999"/>
        </a:xfrm>
        <a:prstGeom prst="rect">
          <a:avLst/>
        </a:prstGeom>
      </xdr:spPr>
    </xdr:pic>
    <xdr:clientData/>
  </xdr:twoCellAnchor>
  <xdr:twoCellAnchor editAs="oneCell">
    <xdr:from>
      <xdr:col>7</xdr:col>
      <xdr:colOff>483870</xdr:colOff>
      <xdr:row>18</xdr:row>
      <xdr:rowOff>44650</xdr:rowOff>
    </xdr:from>
    <xdr:to>
      <xdr:col>10</xdr:col>
      <xdr:colOff>358140</xdr:colOff>
      <xdr:row>28</xdr:row>
      <xdr:rowOff>59160</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44970" t="36384" r="43889" b="30178"/>
        <a:stretch/>
      </xdr:blipFill>
      <xdr:spPr bwMode="auto">
        <a:xfrm>
          <a:off x="5086350" y="4471870"/>
          <a:ext cx="1718310" cy="2540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361949</xdr:colOff>
      <xdr:row>9</xdr:row>
      <xdr:rowOff>140970</xdr:rowOff>
    </xdr:from>
    <xdr:to>
      <xdr:col>8</xdr:col>
      <xdr:colOff>706218</xdr:colOff>
      <xdr:row>19</xdr:row>
      <xdr:rowOff>91440</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6270" t="35846" r="43271" b="36293"/>
        <a:stretch/>
      </xdr:blipFill>
      <xdr:spPr bwMode="auto">
        <a:xfrm>
          <a:off x="598169" y="2305050"/>
          <a:ext cx="5434429" cy="2453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203200</xdr:colOff>
      <xdr:row>0</xdr:row>
      <xdr:rowOff>19050</xdr:rowOff>
    </xdr:from>
    <xdr:to>
      <xdr:col>18</xdr:col>
      <xdr:colOff>205740</xdr:colOff>
      <xdr:row>3</xdr:row>
      <xdr:rowOff>393</xdr:rowOff>
    </xdr:to>
    <xdr:pic>
      <xdr:nvPicPr>
        <xdr:cNvPr id="2" name="Picture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3450" y="19050"/>
          <a:ext cx="775970" cy="71667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386167</xdr:colOff>
      <xdr:row>5</xdr:row>
      <xdr:rowOff>61776</xdr:rowOff>
    </xdr:from>
    <xdr:to>
      <xdr:col>15</xdr:col>
      <xdr:colOff>590067</xdr:colOff>
      <xdr:row>19</xdr:row>
      <xdr:rowOff>131027</xdr:rowOff>
    </xdr:to>
    <xdr:pic>
      <xdr:nvPicPr>
        <xdr:cNvPr id="3" name="Picture 2">
          <a:extLst>
            <a:ext uri="{FF2B5EF4-FFF2-40B4-BE49-F238E27FC236}">
              <a16:creationId xmlns:a16="http://schemas.microsoft.com/office/drawing/2014/main" id="{E0B8D620-A2DF-4FAB-A894-63780174318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2923" t="28928" r="7970" b="23443"/>
        <a:stretch/>
      </xdr:blipFill>
      <xdr:spPr bwMode="auto">
        <a:xfrm>
          <a:off x="622387" y="1212396"/>
          <a:ext cx="12085385" cy="3578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556260</xdr:colOff>
      <xdr:row>53</xdr:row>
      <xdr:rowOff>7621</xdr:rowOff>
    </xdr:from>
    <xdr:to>
      <xdr:col>5</xdr:col>
      <xdr:colOff>361950</xdr:colOff>
      <xdr:row>53</xdr:row>
      <xdr:rowOff>209551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rotWithShape="1">
        <a:blip xmlns:r="http://schemas.openxmlformats.org/officeDocument/2006/relationships" r:embed="rId1"/>
        <a:srcRect l="9510" t="3806" r="13372" b="18922"/>
        <a:stretch/>
      </xdr:blipFill>
      <xdr:spPr>
        <a:xfrm>
          <a:off x="2247900" y="10088881"/>
          <a:ext cx="1253490" cy="186690"/>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53339</xdr:colOff>
          <xdr:row>42</xdr:row>
          <xdr:rowOff>221440</xdr:rowOff>
        </xdr:from>
        <xdr:to>
          <xdr:col>12</xdr:col>
          <xdr:colOff>1097016</xdr:colOff>
          <xdr:row>44</xdr:row>
          <xdr:rowOff>167640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800" b="0" i="0" u="none" strike="noStrike" baseline="0">
                  <a:solidFill>
                    <a:srgbClr val="000000"/>
                  </a:solidFill>
                  <a:latin typeface="Arial"/>
                  <a:cs typeface="Arial"/>
                </a:rPr>
                <a:t>Calculate Gate opening</a:t>
              </a:r>
            </a:p>
          </xdr:txBody>
        </xdr:sp>
        <xdr:clientData fPrintsWithSheet="0"/>
      </xdr:twoCellAnchor>
    </mc:Choice>
    <mc:Fallback/>
  </mc:AlternateContent>
  <xdr:twoCellAnchor editAs="oneCell">
    <xdr:from>
      <xdr:col>0</xdr:col>
      <xdr:colOff>28239</xdr:colOff>
      <xdr:row>4</xdr:row>
      <xdr:rowOff>227029</xdr:rowOff>
    </xdr:from>
    <xdr:to>
      <xdr:col>11</xdr:col>
      <xdr:colOff>402290</xdr:colOff>
      <xdr:row>24</xdr:row>
      <xdr:rowOff>97155</xdr:rowOff>
    </xdr:to>
    <xdr:pic>
      <xdr:nvPicPr>
        <xdr:cNvPr id="8" name="Picture 7">
          <a:extLst>
            <a:ext uri="{FF2B5EF4-FFF2-40B4-BE49-F238E27FC236}">
              <a16:creationId xmlns:a16="http://schemas.microsoft.com/office/drawing/2014/main" id="{00000000-0008-0000-0400-00000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529" t="34293" r="23109" b="34147"/>
        <a:stretch/>
      </xdr:blipFill>
      <xdr:spPr bwMode="auto">
        <a:xfrm>
          <a:off x="28239" y="1232869"/>
          <a:ext cx="7213001" cy="27142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xdr:row>
      <xdr:rowOff>192405</xdr:rowOff>
    </xdr:from>
    <xdr:to>
      <xdr:col>11</xdr:col>
      <xdr:colOff>396911</xdr:colOff>
      <xdr:row>77</xdr:row>
      <xdr:rowOff>21515</xdr:rowOff>
    </xdr:to>
    <xdr:pic>
      <xdr:nvPicPr>
        <xdr:cNvPr id="9" name="Picture 8">
          <a:extLst>
            <a:ext uri="{FF2B5EF4-FFF2-40B4-BE49-F238E27FC236}">
              <a16:creationId xmlns:a16="http://schemas.microsoft.com/office/drawing/2014/main" id="{00000000-0008-0000-0400-00000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529" t="34294" r="23109" b="34163"/>
        <a:stretch/>
      </xdr:blipFill>
      <xdr:spPr bwMode="auto">
        <a:xfrm>
          <a:off x="0" y="10955655"/>
          <a:ext cx="7188236" cy="2663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38100</xdr:colOff>
          <xdr:row>125</xdr:row>
          <xdr:rowOff>15240</xdr:rowOff>
        </xdr:from>
        <xdr:to>
          <xdr:col>11</xdr:col>
          <xdr:colOff>381000</xdr:colOff>
          <xdr:row>125</xdr:row>
          <xdr:rowOff>198120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800" b="0" i="0" u="none" strike="noStrike" baseline="0">
                  <a:solidFill>
                    <a:srgbClr val="000000"/>
                  </a:solidFill>
                  <a:latin typeface="Arial"/>
                  <a:cs typeface="Arial"/>
                </a:rPr>
                <a:t>Calculate Floor Level</a:t>
              </a:r>
            </a:p>
          </xdr:txBody>
        </xdr:sp>
        <xdr:clientData fPrintsWithSheet="0"/>
      </xdr:twoCellAnchor>
    </mc:Choice>
    <mc:Fallback/>
  </mc:AlternateContent>
  <xdr:twoCellAnchor>
    <xdr:from>
      <xdr:col>7</xdr:col>
      <xdr:colOff>358140</xdr:colOff>
      <xdr:row>46</xdr:row>
      <xdr:rowOff>179070</xdr:rowOff>
    </xdr:from>
    <xdr:to>
      <xdr:col>11</xdr:col>
      <xdr:colOff>411480</xdr:colOff>
      <xdr:row>52</xdr:row>
      <xdr:rowOff>217170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438150</xdr:colOff>
      <xdr:row>89</xdr:row>
      <xdr:rowOff>118111</xdr:rowOff>
    </xdr:from>
    <xdr:to>
      <xdr:col>11</xdr:col>
      <xdr:colOff>407670</xdr:colOff>
      <xdr:row>95</xdr:row>
      <xdr:rowOff>205741</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541020</xdr:colOff>
      <xdr:row>95</xdr:row>
      <xdr:rowOff>26670</xdr:rowOff>
    </xdr:from>
    <xdr:to>
      <xdr:col>5</xdr:col>
      <xdr:colOff>339090</xdr:colOff>
      <xdr:row>95</xdr:row>
      <xdr:rowOff>205740</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1"/>
        <a:srcRect l="9510" t="3806" r="13372" b="18922"/>
        <a:stretch/>
      </xdr:blipFill>
      <xdr:spPr>
        <a:xfrm>
          <a:off x="2232660" y="17503140"/>
          <a:ext cx="1253490" cy="18669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548640</xdr:colOff>
          <xdr:row>86</xdr:row>
          <xdr:rowOff>213360</xdr:rowOff>
        </xdr:from>
        <xdr:to>
          <xdr:col>11</xdr:col>
          <xdr:colOff>259080</xdr:colOff>
          <xdr:row>87</xdr:row>
          <xdr:rowOff>182880</xdr:rowOff>
        </xdr:to>
        <xdr:sp macro="" textlink="">
          <xdr:nvSpPr>
            <xdr:cNvPr id="3141" name="Button 69" hidden="1">
              <a:extLst>
                <a:ext uri="{63B3BB69-23CF-44E3-9099-C40C66FF867C}">
                  <a14:compatExt spid="_x0000_s3141"/>
                </a:ext>
                <a:ext uri="{FF2B5EF4-FFF2-40B4-BE49-F238E27FC236}">
                  <a16:creationId xmlns:a16="http://schemas.microsoft.com/office/drawing/2014/main" id="{00000000-0008-0000-0300-00004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800" b="0" i="0" u="none" strike="noStrike" baseline="0">
                  <a:solidFill>
                    <a:srgbClr val="000000"/>
                  </a:solidFill>
                  <a:latin typeface="Arial"/>
                  <a:cs typeface="Arial"/>
                </a:rPr>
                <a:t>Calculate Gate opening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1219463</xdr:colOff>
          <xdr:row>43</xdr:row>
          <xdr:rowOff>0</xdr:rowOff>
        </xdr:from>
        <xdr:to>
          <xdr:col>14</xdr:col>
          <xdr:colOff>525518</xdr:colOff>
          <xdr:row>44</xdr:row>
          <xdr:rowOff>167640</xdr:rowOff>
        </xdr:to>
        <xdr:sp macro="" textlink="">
          <xdr:nvSpPr>
            <xdr:cNvPr id="3142" name="Button 70" hidden="1">
              <a:extLst>
                <a:ext uri="{63B3BB69-23CF-44E3-9099-C40C66FF867C}">
                  <a14:compatExt spid="_x0000_s3142"/>
                </a:ext>
                <a:ext uri="{FF2B5EF4-FFF2-40B4-BE49-F238E27FC236}">
                  <a16:creationId xmlns:a16="http://schemas.microsoft.com/office/drawing/2014/main" id="{00000000-0008-0000-0300-00004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D" sz="1000" b="0" i="0" u="none" strike="noStrike" baseline="0">
                  <a:solidFill>
                    <a:srgbClr val="000000"/>
                  </a:solidFill>
                  <a:latin typeface="Arial"/>
                  <a:cs typeface="Arial"/>
                </a:rPr>
                <a:t>Calculate with Determined Δh</a:t>
              </a:r>
            </a:p>
          </xdr:txBody>
        </xdr:sp>
        <xdr:clientData fPrintsWithSheet="0"/>
      </xdr:twoCellAnchor>
    </mc:Choice>
    <mc:Fallback/>
  </mc:AlternateContent>
  <xdr:twoCellAnchor editAs="oneCell">
    <xdr:from>
      <xdr:col>9</xdr:col>
      <xdr:colOff>232489</xdr:colOff>
      <xdr:row>0</xdr:row>
      <xdr:rowOff>0</xdr:rowOff>
    </xdr:from>
    <xdr:to>
      <xdr:col>11</xdr:col>
      <xdr:colOff>208359</xdr:colOff>
      <xdr:row>2</xdr:row>
      <xdr:rowOff>231146</xdr:rowOff>
    </xdr:to>
    <xdr:pic>
      <xdr:nvPicPr>
        <xdr:cNvPr id="3" name="Picture 2">
          <a:extLst>
            <a:ext uri="{FF2B5EF4-FFF2-40B4-BE49-F238E27FC236}">
              <a16:creationId xmlns:a16="http://schemas.microsoft.com/office/drawing/2014/main" id="{275F496A-9B05-491B-B2B0-C84C86E4211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237380" y="0"/>
          <a:ext cx="737870" cy="72810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87122</xdr:colOff>
      <xdr:row>48</xdr:row>
      <xdr:rowOff>217071</xdr:rowOff>
    </xdr:from>
    <xdr:to>
      <xdr:col>13</xdr:col>
      <xdr:colOff>322161</xdr:colOff>
      <xdr:row>59</xdr:row>
      <xdr:rowOff>19050</xdr:rowOff>
    </xdr:to>
    <xdr:pic>
      <xdr:nvPicPr>
        <xdr:cNvPr id="5" name="Picture 1">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185" r="12206"/>
        <a:stretch>
          <a:fillRect/>
        </a:stretch>
      </xdr:blipFill>
      <xdr:spPr bwMode="auto">
        <a:xfrm>
          <a:off x="4773422" y="13395861"/>
          <a:ext cx="3203029" cy="25527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196215</xdr:colOff>
      <xdr:row>0</xdr:row>
      <xdr:rowOff>0</xdr:rowOff>
    </xdr:from>
    <xdr:to>
      <xdr:col>13</xdr:col>
      <xdr:colOff>196850</xdr:colOff>
      <xdr:row>3</xdr:row>
      <xdr:rowOff>393</xdr:rowOff>
    </xdr:to>
    <xdr:pic>
      <xdr:nvPicPr>
        <xdr:cNvPr id="3" name="Picture 2">
          <a:extLst>
            <a:ext uri="{FF2B5EF4-FFF2-40B4-BE49-F238E27FC236}">
              <a16:creationId xmlns:a16="http://schemas.microsoft.com/office/drawing/2014/main" id="{9C2F7339-A5B5-4D60-BA05-06BD45999CA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35165" y="0"/>
          <a:ext cx="762635" cy="74334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118110</xdr:colOff>
      <xdr:row>35</xdr:row>
      <xdr:rowOff>102870</xdr:rowOff>
    </xdr:from>
    <xdr:to>
      <xdr:col>14</xdr:col>
      <xdr:colOff>19050</xdr:colOff>
      <xdr:row>46</xdr:row>
      <xdr:rowOff>304800</xdr:rowOff>
    </xdr:to>
    <xdr:graphicFrame macro="">
      <xdr:nvGraphicFramePr>
        <xdr:cNvPr id="2" name="Chart 2">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106680</xdr:colOff>
      <xdr:row>0</xdr:row>
      <xdr:rowOff>19050</xdr:rowOff>
    </xdr:from>
    <xdr:to>
      <xdr:col>14</xdr:col>
      <xdr:colOff>232409</xdr:colOff>
      <xdr:row>2</xdr:row>
      <xdr:rowOff>293370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20840" y="19050"/>
          <a:ext cx="1546860" cy="975360"/>
        </a:xfrm>
        <a:prstGeom prst="rect">
          <a:avLst/>
        </a:prstGeom>
        <a:noFill/>
        <a:ln w="9525">
          <a:solidFill>
            <a:srgbClr val="7F7F7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270511</xdr:colOff>
      <xdr:row>40</xdr:row>
      <xdr:rowOff>170330</xdr:rowOff>
    </xdr:from>
    <xdr:to>
      <xdr:col>13</xdr:col>
      <xdr:colOff>246529</xdr:colOff>
      <xdr:row>48</xdr:row>
      <xdr:rowOff>215153</xdr:rowOff>
    </xdr:to>
    <xdr:graphicFrame macro="">
      <xdr:nvGraphicFramePr>
        <xdr:cNvPr id="2" name="Chart 2">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106681</xdr:colOff>
      <xdr:row>0</xdr:row>
      <xdr:rowOff>19050</xdr:rowOff>
    </xdr:from>
    <xdr:to>
      <xdr:col>12</xdr:col>
      <xdr:colOff>703225</xdr:colOff>
      <xdr:row>2</xdr:row>
      <xdr:rowOff>152400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73963" y="19050"/>
          <a:ext cx="1322686" cy="832597"/>
        </a:xfrm>
        <a:prstGeom prst="rect">
          <a:avLst/>
        </a:prstGeom>
        <a:noFill/>
        <a:ln w="9525">
          <a:solidFill>
            <a:srgbClr val="7F7F7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472984</xdr:colOff>
      <xdr:row>3</xdr:row>
      <xdr:rowOff>157752</xdr:rowOff>
    </xdr:from>
    <xdr:to>
      <xdr:col>13</xdr:col>
      <xdr:colOff>499020</xdr:colOff>
      <xdr:row>18</xdr:row>
      <xdr:rowOff>136525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Jackcad%20Komering%20Supervisi\Data\Long&amp;Cross\Crump%20De%20Gruyter%20Lempuing%20II\BL%2018%20-%20BTM%201%20-%20Input%20for%20design%20of%20Crump%20De%20Gruyter.xlsm" TargetMode="External"/><Relationship Id="rId1" Type="http://schemas.openxmlformats.org/officeDocument/2006/relationships/externalLinkPath" Target="file:///D:\Jackcad%20Komering%20Supervisi\Data\Long&amp;Cross\Crump%20De%20Gruyter%20Lempuing%20II\BL%2018%20-%20BTM%201%20-%20Input%20for%20design%20of%20Crump%20De%20Gruy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isc"/>
      <sheetName val="Design Criteria"/>
      <sheetName val="Input"/>
      <sheetName val="MRCurve"/>
      <sheetName val="Design of Crump"/>
      <sheetName val="Stilling Basin"/>
      <sheetName val="Backwater"/>
      <sheetName val="Charact. CDG"/>
    </sheetNames>
    <sheetDataSet>
      <sheetData sheetId="0" refreshError="1"/>
      <sheetData sheetId="1" refreshError="1"/>
      <sheetData sheetId="2">
        <row r="30">
          <cell r="E30">
            <v>1.1673590942196517</v>
          </cell>
        </row>
      </sheetData>
      <sheetData sheetId="3" refreshError="1"/>
      <sheetData sheetId="4">
        <row r="42">
          <cell r="G42">
            <v>25.665000000000003</v>
          </cell>
        </row>
        <row r="43">
          <cell r="G43">
            <v>1.3949999999999996</v>
          </cell>
        </row>
        <row r="45">
          <cell r="G45">
            <v>0.15500000000000114</v>
          </cell>
        </row>
        <row r="87">
          <cell r="G87">
            <v>1.1169339531499958</v>
          </cell>
        </row>
        <row r="122">
          <cell r="G122">
            <v>4</v>
          </cell>
        </row>
        <row r="123">
          <cell r="G123">
            <v>25.2</v>
          </cell>
        </row>
      </sheetData>
      <sheetData sheetId="5">
        <row r="68">
          <cell r="H68">
            <v>25.5</v>
          </cell>
        </row>
        <row r="74">
          <cell r="H74">
            <v>2.2000000000000002</v>
          </cell>
        </row>
      </sheetData>
      <sheetData sheetId="6" refreshError="1"/>
      <sheetData sheetId="7"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D5394-F79B-4DA7-96DD-AE5BA6912A94}">
  <sheetPr codeName="Sheet2"/>
  <dimension ref="A1:R24"/>
  <sheetViews>
    <sheetView topLeftCell="C1" workbookViewId="0">
      <selection activeCell="F10" sqref="F10:F13"/>
    </sheetView>
  </sheetViews>
  <sheetFormatPr defaultColWidth="8.88671875" defaultRowHeight="13.2"/>
  <cols>
    <col min="1" max="1" width="13.77734375" style="90" bestFit="1" customWidth="1"/>
    <col min="2" max="2" width="14.109375" style="90" bestFit="1" customWidth="1"/>
    <col min="3" max="3" width="44.88671875" style="90" bestFit="1" customWidth="1"/>
    <col min="4" max="4" width="8.88671875" style="90" customWidth="1"/>
    <col min="5" max="6" width="10.88671875" style="90" customWidth="1"/>
    <col min="7" max="8" width="8.88671875" style="90"/>
    <col min="9" max="9" width="13.109375" style="90" customWidth="1"/>
    <col min="10" max="16384" width="8.88671875" style="90"/>
  </cols>
  <sheetData>
    <row r="1" spans="1:18" s="11" customFormat="1" ht="20.100000000000001" customHeight="1">
      <c r="A1" s="264" t="s">
        <v>286</v>
      </c>
      <c r="B1" s="264"/>
      <c r="C1" s="264"/>
      <c r="D1" s="120"/>
      <c r="E1" s="264" t="s">
        <v>287</v>
      </c>
      <c r="F1" s="264"/>
      <c r="H1" s="265" t="s">
        <v>288</v>
      </c>
      <c r="I1" s="266"/>
      <c r="J1" s="9"/>
      <c r="K1" s="264" t="s">
        <v>289</v>
      </c>
      <c r="L1" s="264"/>
      <c r="M1" s="9"/>
      <c r="N1" s="264" t="s">
        <v>290</v>
      </c>
      <c r="O1" s="264"/>
      <c r="P1" s="121"/>
      <c r="Q1" s="264" t="s">
        <v>291</v>
      </c>
      <c r="R1" s="264"/>
    </row>
    <row r="2" spans="1:18" s="125" customFormat="1" ht="20.100000000000001" customHeight="1">
      <c r="A2" s="122" t="s">
        <v>292</v>
      </c>
      <c r="B2" s="122" t="s">
        <v>293</v>
      </c>
      <c r="C2" s="122" t="s">
        <v>294</v>
      </c>
      <c r="D2" s="123"/>
      <c r="E2" s="124" t="s">
        <v>60</v>
      </c>
      <c r="F2" s="124" t="s">
        <v>295</v>
      </c>
      <c r="H2" s="124" t="s">
        <v>296</v>
      </c>
      <c r="I2" s="126" t="s">
        <v>297</v>
      </c>
      <c r="J2" s="123"/>
      <c r="K2" s="124" t="s">
        <v>64</v>
      </c>
      <c r="L2" s="124" t="s">
        <v>298</v>
      </c>
      <c r="M2" s="123"/>
      <c r="N2" s="124" t="s">
        <v>64</v>
      </c>
      <c r="O2" s="124" t="s">
        <v>298</v>
      </c>
      <c r="P2" s="127"/>
      <c r="Q2" s="124" t="s">
        <v>64</v>
      </c>
      <c r="R2" s="124" t="s">
        <v>298</v>
      </c>
    </row>
    <row r="3" spans="1:18" s="11" customFormat="1" ht="20.100000000000001" customHeight="1">
      <c r="A3" s="128">
        <v>0</v>
      </c>
      <c r="B3" s="116" t="s">
        <v>299</v>
      </c>
      <c r="C3" s="116" t="s">
        <v>300</v>
      </c>
      <c r="E3" s="114">
        <v>0</v>
      </c>
      <c r="F3" s="114"/>
      <c r="G3" s="129"/>
      <c r="H3" s="114">
        <v>1</v>
      </c>
      <c r="I3" s="114">
        <v>0</v>
      </c>
      <c r="J3" s="9"/>
      <c r="K3" s="114">
        <v>0</v>
      </c>
      <c r="L3" s="130">
        <v>4</v>
      </c>
      <c r="M3" s="9"/>
      <c r="N3" s="131">
        <v>4.5</v>
      </c>
      <c r="O3" s="132">
        <v>2.21</v>
      </c>
      <c r="P3" s="121"/>
      <c r="Q3" s="131">
        <v>2.5</v>
      </c>
      <c r="R3" s="132">
        <v>3.210666666666667</v>
      </c>
    </row>
    <row r="4" spans="1:18" s="11" customFormat="1" ht="20.100000000000001" customHeight="1">
      <c r="A4" s="128">
        <v>2.5</v>
      </c>
      <c r="B4" s="116" t="s">
        <v>301</v>
      </c>
      <c r="C4" s="116" t="s">
        <v>302</v>
      </c>
      <c r="E4" s="114">
        <v>1.7</v>
      </c>
      <c r="F4" s="114" t="s">
        <v>288</v>
      </c>
      <c r="G4" s="129"/>
      <c r="H4" s="114">
        <v>1.5</v>
      </c>
      <c r="I4" s="114">
        <v>2.5</v>
      </c>
      <c r="J4" s="9"/>
      <c r="K4" s="114">
        <v>2</v>
      </c>
      <c r="L4" s="130">
        <f>M4/11.5+4</f>
        <v>4.3913043478260869</v>
      </c>
      <c r="M4" s="133">
        <v>4.5</v>
      </c>
      <c r="N4" s="131">
        <v>5</v>
      </c>
      <c r="O4" s="132">
        <v>2.38</v>
      </c>
      <c r="P4" s="121"/>
      <c r="Q4" s="131">
        <v>3</v>
      </c>
      <c r="R4" s="132">
        <v>3.1573333333333333</v>
      </c>
    </row>
    <row r="5" spans="1:18" s="11" customFormat="1" ht="20.100000000000001" customHeight="1">
      <c r="A5" s="128">
        <v>4.5</v>
      </c>
      <c r="B5" s="116" t="s">
        <v>303</v>
      </c>
      <c r="C5" s="116" t="s">
        <v>304</v>
      </c>
      <c r="E5" s="114">
        <v>2.5</v>
      </c>
      <c r="F5" s="114" t="s">
        <v>291</v>
      </c>
      <c r="H5" s="114">
        <v>2</v>
      </c>
      <c r="I5" s="114">
        <v>4.3</v>
      </c>
      <c r="J5" s="9"/>
      <c r="K5" s="114">
        <v>2.2000000000000002</v>
      </c>
      <c r="L5" s="130">
        <f t="shared" ref="L5:L11" si="0">M5/11.5+4</f>
        <v>4.9130434782608692</v>
      </c>
      <c r="M5" s="133">
        <v>10.5</v>
      </c>
      <c r="N5" s="131">
        <v>6</v>
      </c>
      <c r="O5" s="132">
        <v>2.4500000000000002</v>
      </c>
      <c r="P5" s="121"/>
      <c r="Q5" s="131">
        <v>3.5</v>
      </c>
      <c r="R5" s="132">
        <v>3.12</v>
      </c>
    </row>
    <row r="6" spans="1:18" s="11" customFormat="1" ht="19.05" customHeight="1">
      <c r="A6" s="128">
        <v>9</v>
      </c>
      <c r="B6" s="116" t="s">
        <v>305</v>
      </c>
      <c r="C6" s="116" t="s">
        <v>306</v>
      </c>
      <c r="E6" s="114">
        <v>3.5</v>
      </c>
      <c r="F6" s="114" t="s">
        <v>291</v>
      </c>
      <c r="H6" s="114">
        <v>2.5</v>
      </c>
      <c r="I6" s="114">
        <v>4.8499999999999996</v>
      </c>
      <c r="J6" s="9"/>
      <c r="K6" s="114">
        <v>2.8</v>
      </c>
      <c r="L6" s="130">
        <f t="shared" si="0"/>
        <v>5.3913043478260869</v>
      </c>
      <c r="M6" s="133">
        <v>16</v>
      </c>
      <c r="N6" s="131">
        <v>7</v>
      </c>
      <c r="O6" s="132">
        <v>2.58</v>
      </c>
      <c r="P6" s="121"/>
      <c r="Q6" s="131">
        <v>4</v>
      </c>
      <c r="R6" s="132">
        <v>3.0933333333333333</v>
      </c>
    </row>
    <row r="7" spans="1:18" s="11" customFormat="1" ht="19.05" customHeight="1">
      <c r="A7" s="128">
        <v>13</v>
      </c>
      <c r="B7" s="116" t="s">
        <v>305</v>
      </c>
      <c r="C7" s="116" t="s">
        <v>307</v>
      </c>
      <c r="E7" s="114">
        <v>4.5</v>
      </c>
      <c r="F7" s="114" t="s">
        <v>290</v>
      </c>
      <c r="H7" s="114">
        <v>3</v>
      </c>
      <c r="I7" s="134">
        <v>5.2667000000000002</v>
      </c>
      <c r="J7" s="9"/>
      <c r="K7" s="114">
        <v>3</v>
      </c>
      <c r="L7" s="130">
        <f t="shared" si="0"/>
        <v>5.5217391304347831</v>
      </c>
      <c r="M7" s="133">
        <v>17.5</v>
      </c>
      <c r="N7" s="131">
        <v>8</v>
      </c>
      <c r="O7" s="132">
        <v>2.65</v>
      </c>
      <c r="P7" s="121"/>
      <c r="Q7" s="131">
        <v>4.5</v>
      </c>
      <c r="R7" s="132">
        <v>3.04</v>
      </c>
    </row>
    <row r="8" spans="1:18" ht="19.05" customHeight="1">
      <c r="H8" s="114">
        <v>3.5</v>
      </c>
      <c r="I8" s="134">
        <v>5.58</v>
      </c>
      <c r="J8" s="9"/>
      <c r="K8" s="114">
        <v>3.2</v>
      </c>
      <c r="L8" s="130">
        <f t="shared" si="0"/>
        <v>5.6521739130434785</v>
      </c>
      <c r="M8" s="133">
        <v>19</v>
      </c>
      <c r="N8" s="131">
        <v>9</v>
      </c>
      <c r="O8" s="132">
        <v>2.7</v>
      </c>
      <c r="P8" s="121"/>
      <c r="Q8" s="131">
        <v>5</v>
      </c>
      <c r="R8" s="132">
        <v>2.96</v>
      </c>
    </row>
    <row r="9" spans="1:18" ht="19.05" customHeight="1">
      <c r="H9" s="114">
        <v>4</v>
      </c>
      <c r="I9" s="134">
        <v>5.8</v>
      </c>
      <c r="J9" s="9"/>
      <c r="K9" s="114">
        <v>3.8</v>
      </c>
      <c r="L9" s="130">
        <f t="shared" si="0"/>
        <v>5.7391304347826084</v>
      </c>
      <c r="M9" s="133">
        <v>20</v>
      </c>
      <c r="N9" s="131">
        <v>10</v>
      </c>
      <c r="O9" s="132">
        <v>2.72</v>
      </c>
      <c r="P9" s="121"/>
      <c r="Q9" s="131">
        <v>5.5</v>
      </c>
      <c r="R9" s="132">
        <v>2.72</v>
      </c>
    </row>
    <row r="10" spans="1:18" ht="19.05" customHeight="1">
      <c r="H10" s="114">
        <v>5</v>
      </c>
      <c r="I10" s="134">
        <v>6</v>
      </c>
      <c r="J10" s="9"/>
      <c r="K10" s="114">
        <v>4</v>
      </c>
      <c r="L10" s="130">
        <f t="shared" si="0"/>
        <v>5.7826086956521738</v>
      </c>
      <c r="M10" s="133">
        <v>20.5</v>
      </c>
      <c r="N10" s="131">
        <v>11</v>
      </c>
      <c r="O10" s="132">
        <v>2.75</v>
      </c>
      <c r="P10" s="121"/>
      <c r="Q10" s="131">
        <v>6</v>
      </c>
      <c r="R10" s="132">
        <v>2.5066666666666668</v>
      </c>
    </row>
    <row r="11" spans="1:18" ht="19.05" customHeight="1">
      <c r="H11" s="114">
        <v>6</v>
      </c>
      <c r="I11" s="134">
        <v>6.0734000000000004</v>
      </c>
      <c r="J11" s="9"/>
      <c r="K11" s="114">
        <v>4.2</v>
      </c>
      <c r="L11" s="130">
        <f t="shared" si="0"/>
        <v>5.8913043478260869</v>
      </c>
      <c r="M11" s="133">
        <v>21.75</v>
      </c>
      <c r="N11" s="131">
        <v>12</v>
      </c>
      <c r="O11" s="132">
        <v>2.78</v>
      </c>
      <c r="P11" s="121"/>
      <c r="Q11" s="131">
        <v>6.5</v>
      </c>
      <c r="R11" s="132">
        <f>R10-(R9-R10)/(Q10-Q9)*(Q11-Q10)</f>
        <v>2.2933333333333334</v>
      </c>
    </row>
    <row r="12" spans="1:18" ht="19.05" customHeight="1">
      <c r="H12" s="114">
        <v>7</v>
      </c>
      <c r="I12" s="134">
        <v>6.1070000000000002</v>
      </c>
      <c r="J12" s="9"/>
      <c r="K12" s="114">
        <v>5</v>
      </c>
      <c r="L12" s="130">
        <v>6</v>
      </c>
      <c r="M12" s="9"/>
      <c r="N12" s="131">
        <v>13</v>
      </c>
      <c r="O12" s="132">
        <v>2.78</v>
      </c>
      <c r="P12" s="121"/>
      <c r="Q12" s="9"/>
      <c r="R12" s="9"/>
    </row>
    <row r="13" spans="1:18" ht="19.05" customHeight="1">
      <c r="H13" s="114">
        <v>7.5</v>
      </c>
      <c r="I13" s="134">
        <v>6.1669999999999998</v>
      </c>
      <c r="J13" s="9"/>
      <c r="K13" s="9"/>
      <c r="L13" s="9"/>
      <c r="M13" s="9"/>
      <c r="N13" s="131">
        <v>14</v>
      </c>
      <c r="O13" s="132">
        <v>2.77</v>
      </c>
      <c r="P13" s="121"/>
      <c r="Q13" s="9"/>
      <c r="R13" s="9"/>
    </row>
    <row r="14" spans="1:18" ht="19.05" customHeight="1">
      <c r="H14" s="114">
        <v>8</v>
      </c>
      <c r="I14" s="134">
        <v>6.133</v>
      </c>
      <c r="J14" s="9"/>
      <c r="K14" s="9"/>
      <c r="L14" s="9"/>
      <c r="M14" s="9"/>
      <c r="N14" s="131">
        <v>15</v>
      </c>
      <c r="O14" s="132">
        <v>2.76</v>
      </c>
      <c r="P14" s="121"/>
      <c r="Q14" s="9"/>
      <c r="R14" s="9"/>
    </row>
    <row r="15" spans="1:18" ht="19.05" customHeight="1">
      <c r="H15" s="114">
        <v>9</v>
      </c>
      <c r="I15" s="134">
        <v>6.1</v>
      </c>
      <c r="J15" s="9"/>
      <c r="K15" s="9"/>
      <c r="L15" s="9"/>
      <c r="M15" s="9"/>
      <c r="N15" s="131">
        <v>16</v>
      </c>
      <c r="O15" s="132">
        <v>2.74</v>
      </c>
      <c r="P15" s="121"/>
      <c r="Q15" s="9"/>
      <c r="R15" s="9"/>
    </row>
    <row r="16" spans="1:18" ht="19.05" customHeight="1">
      <c r="H16" s="114">
        <v>10</v>
      </c>
      <c r="I16" s="134">
        <v>6.08</v>
      </c>
      <c r="J16" s="9"/>
      <c r="K16" s="9"/>
      <c r="L16" s="9"/>
      <c r="M16" s="9"/>
      <c r="N16" s="131">
        <v>16.5</v>
      </c>
      <c r="O16" s="132">
        <v>2.72</v>
      </c>
      <c r="P16" s="121"/>
      <c r="Q16" s="9"/>
      <c r="R16" s="9"/>
    </row>
    <row r="17" spans="8:18" ht="19.05" customHeight="1">
      <c r="H17" s="114">
        <v>11</v>
      </c>
      <c r="I17" s="134">
        <v>6.06</v>
      </c>
      <c r="J17" s="9"/>
      <c r="K17" s="9"/>
      <c r="L17" s="9"/>
      <c r="M17" s="9"/>
      <c r="N17" s="131">
        <v>20</v>
      </c>
      <c r="O17" s="131">
        <v>2.75</v>
      </c>
      <c r="P17" s="121"/>
      <c r="Q17" s="9"/>
      <c r="R17" s="9"/>
    </row>
    <row r="18" spans="8:18" ht="19.05" customHeight="1">
      <c r="H18" s="114">
        <v>12</v>
      </c>
      <c r="I18" s="134">
        <v>6.04</v>
      </c>
      <c r="J18" s="9"/>
      <c r="K18" s="9"/>
      <c r="L18" s="9"/>
      <c r="M18" s="9"/>
      <c r="N18" s="9"/>
      <c r="O18" s="9"/>
      <c r="P18" s="9"/>
      <c r="Q18" s="9"/>
      <c r="R18" s="9"/>
    </row>
    <row r="19" spans="8:18" ht="19.05" customHeight="1">
      <c r="H19" s="114">
        <v>15</v>
      </c>
      <c r="I19" s="134">
        <v>5.9</v>
      </c>
      <c r="J19" s="9"/>
      <c r="K19" s="9"/>
      <c r="L19" s="9"/>
      <c r="M19" s="9"/>
      <c r="N19" s="9"/>
      <c r="O19" s="9"/>
      <c r="P19" s="9"/>
      <c r="Q19" s="9"/>
      <c r="R19" s="9"/>
    </row>
    <row r="20" spans="8:18" ht="19.05" customHeight="1">
      <c r="H20" s="114">
        <v>17</v>
      </c>
      <c r="I20" s="134">
        <v>5.8</v>
      </c>
      <c r="J20" s="9"/>
      <c r="K20" s="9"/>
      <c r="L20" s="9"/>
      <c r="M20" s="9"/>
      <c r="N20" s="9"/>
      <c r="O20" s="9"/>
      <c r="P20" s="9"/>
      <c r="Q20" s="9"/>
      <c r="R20" s="9"/>
    </row>
    <row r="21" spans="8:18" ht="19.05" customHeight="1">
      <c r="H21" s="114">
        <v>18</v>
      </c>
      <c r="I21" s="134">
        <v>5.7</v>
      </c>
      <c r="J21" s="9"/>
      <c r="K21" s="9"/>
      <c r="L21" s="9"/>
      <c r="M21" s="9"/>
      <c r="N21" s="9"/>
      <c r="O21" s="9"/>
      <c r="P21" s="9"/>
      <c r="Q21" s="9"/>
      <c r="R21" s="9"/>
    </row>
    <row r="22" spans="8:18" ht="19.05" customHeight="1">
      <c r="H22" s="114">
        <v>19</v>
      </c>
      <c r="I22" s="134">
        <v>5.6</v>
      </c>
      <c r="J22" s="9"/>
      <c r="K22" s="9"/>
      <c r="L22" s="9"/>
      <c r="M22" s="9"/>
      <c r="N22" s="9"/>
      <c r="O22" s="9"/>
      <c r="P22" s="9"/>
      <c r="Q22" s="9"/>
      <c r="R22" s="9"/>
    </row>
    <row r="23" spans="8:18" ht="19.05" customHeight="1">
      <c r="H23" s="114">
        <v>20</v>
      </c>
      <c r="I23" s="134">
        <v>5.45</v>
      </c>
      <c r="J23" s="9"/>
      <c r="K23" s="9"/>
      <c r="L23" s="9"/>
      <c r="M23" s="9"/>
      <c r="N23" s="9"/>
      <c r="O23" s="9"/>
      <c r="P23" s="9"/>
      <c r="Q23" s="9"/>
      <c r="R23" s="9"/>
    </row>
    <row r="24" spans="8:18" ht="19.05" customHeight="1"/>
  </sheetData>
  <sheetProtection selectLockedCells="1" selectUnlockedCells="1"/>
  <mergeCells count="6">
    <mergeCell ref="Q1:R1"/>
    <mergeCell ref="A1:C1"/>
    <mergeCell ref="E1:F1"/>
    <mergeCell ref="H1:I1"/>
    <mergeCell ref="K1:L1"/>
    <mergeCell ref="N1:O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91D29-6155-4F26-99EC-1806DF574064}">
  <sheetPr codeName="Sheet7"/>
  <dimension ref="A1:L117"/>
  <sheetViews>
    <sheetView showGridLines="0" view="pageBreakPreview" zoomScale="89" zoomScaleNormal="100" zoomScaleSheetLayoutView="100" workbookViewId="0">
      <selection activeCell="Z16" sqref="Z16"/>
    </sheetView>
  </sheetViews>
  <sheetFormatPr defaultRowHeight="13.2"/>
  <cols>
    <col min="1" max="1" width="3.44140625" style="135" customWidth="1"/>
    <col min="2" max="2" width="10.5546875" style="164" customWidth="1"/>
    <col min="3" max="9" width="10.5546875" style="135" customWidth="1"/>
    <col min="10" max="12" width="5.5546875" style="135" customWidth="1"/>
    <col min="13" max="16384" width="8.88671875" style="135"/>
  </cols>
  <sheetData>
    <row r="1" spans="1:12" ht="20.100000000000001" customHeight="1">
      <c r="A1" s="289" t="s">
        <v>0</v>
      </c>
      <c r="B1" s="290"/>
      <c r="C1" s="290"/>
      <c r="D1" s="290"/>
      <c r="E1" s="290"/>
      <c r="F1" s="291"/>
      <c r="G1" s="136" t="s">
        <v>317</v>
      </c>
      <c r="H1" s="268">
        <f>Input!O1</f>
        <v>0</v>
      </c>
      <c r="I1" s="269"/>
      <c r="J1" s="270"/>
      <c r="K1" s="271"/>
      <c r="L1" s="272"/>
    </row>
    <row r="2" spans="1:12" ht="20.100000000000001" customHeight="1">
      <c r="A2" s="279"/>
      <c r="B2" s="279"/>
      <c r="C2" s="279"/>
      <c r="D2" s="279"/>
      <c r="E2" s="279"/>
      <c r="F2" s="279"/>
      <c r="G2" s="137" t="s">
        <v>7</v>
      </c>
      <c r="H2" s="268">
        <f>Input!O2</f>
        <v>0</v>
      </c>
      <c r="I2" s="269"/>
      <c r="J2" s="273"/>
      <c r="K2" s="274"/>
      <c r="L2" s="275"/>
    </row>
    <row r="3" spans="1:12" ht="20.100000000000001" customHeight="1">
      <c r="A3" s="288" t="s">
        <v>6</v>
      </c>
      <c r="B3" s="288"/>
      <c r="C3" s="288"/>
      <c r="D3" s="288"/>
      <c r="E3" s="288"/>
      <c r="F3" s="288"/>
      <c r="G3" s="137" t="s">
        <v>345</v>
      </c>
      <c r="H3" s="268">
        <f>Input!O3</f>
        <v>0</v>
      </c>
      <c r="I3" s="269"/>
      <c r="J3" s="276"/>
      <c r="K3" s="277"/>
      <c r="L3" s="278"/>
    </row>
    <row r="4" spans="1:12" ht="16.05" customHeight="1">
      <c r="A4" s="284"/>
      <c r="B4" s="284"/>
      <c r="C4" s="284"/>
      <c r="D4" s="284"/>
      <c r="E4" s="284"/>
      <c r="F4" s="284"/>
      <c r="G4" s="136" t="s">
        <v>2</v>
      </c>
      <c r="H4" s="258">
        <f>Input!O4</f>
        <v>0</v>
      </c>
      <c r="I4" s="5">
        <f>Input!P4</f>
        <v>0</v>
      </c>
      <c r="J4" s="285" t="s">
        <v>3</v>
      </c>
      <c r="K4" s="286"/>
      <c r="L4" s="287"/>
    </row>
    <row r="5" spans="1:12" ht="16.05" customHeight="1">
      <c r="A5" s="284"/>
      <c r="B5" s="284"/>
      <c r="C5" s="284"/>
      <c r="D5" s="284"/>
      <c r="E5" s="284"/>
      <c r="F5" s="284"/>
      <c r="G5" s="136" t="s">
        <v>4</v>
      </c>
      <c r="H5" s="258">
        <f>Input!O5</f>
        <v>0</v>
      </c>
      <c r="I5" s="5">
        <f>Input!P5</f>
        <v>0</v>
      </c>
      <c r="J5" s="4">
        <v>1</v>
      </c>
      <c r="K5" s="138" t="s">
        <v>5</v>
      </c>
      <c r="L5" s="4">
        <v>2</v>
      </c>
    </row>
    <row r="6" spans="1:12" s="142" customFormat="1" ht="20.100000000000001" customHeight="1">
      <c r="A6" s="139"/>
      <c r="B6" s="140" t="s">
        <v>23</v>
      </c>
      <c r="C6" s="141"/>
      <c r="D6" s="141"/>
      <c r="E6" s="141"/>
      <c r="L6" s="143"/>
    </row>
    <row r="7" spans="1:12" s="142" customFormat="1" ht="20.100000000000001" customHeight="1">
      <c r="A7" s="139"/>
      <c r="B7" s="144" t="s">
        <v>19</v>
      </c>
      <c r="C7" s="141"/>
      <c r="D7" s="141"/>
      <c r="E7" s="141"/>
      <c r="L7" s="143"/>
    </row>
    <row r="8" spans="1:12" s="142" customFormat="1" ht="20.100000000000001" customHeight="1">
      <c r="A8" s="139"/>
      <c r="B8" s="280" t="s">
        <v>28</v>
      </c>
      <c r="C8" s="280"/>
      <c r="D8" s="280"/>
      <c r="E8" s="280"/>
      <c r="F8" s="280"/>
      <c r="G8" s="280"/>
      <c r="H8" s="280"/>
      <c r="I8" s="280"/>
      <c r="J8" s="280"/>
      <c r="K8" s="280"/>
      <c r="L8" s="143"/>
    </row>
    <row r="9" spans="1:12" s="142" customFormat="1" ht="20.100000000000001" customHeight="1">
      <c r="A9" s="139"/>
      <c r="B9" s="280"/>
      <c r="C9" s="280"/>
      <c r="D9" s="280"/>
      <c r="E9" s="280"/>
      <c r="F9" s="280"/>
      <c r="G9" s="280"/>
      <c r="H9" s="280"/>
      <c r="I9" s="280"/>
      <c r="J9" s="280"/>
      <c r="K9" s="280"/>
      <c r="L9" s="143"/>
    </row>
    <row r="10" spans="1:12" s="142" customFormat="1" ht="20.100000000000001" customHeight="1">
      <c r="A10" s="139"/>
      <c r="B10" s="280"/>
      <c r="C10" s="280"/>
      <c r="D10" s="280"/>
      <c r="E10" s="280"/>
      <c r="F10" s="280"/>
      <c r="G10" s="280"/>
      <c r="H10" s="280"/>
      <c r="I10" s="280"/>
      <c r="J10" s="280"/>
      <c r="K10" s="280"/>
      <c r="L10" s="143"/>
    </row>
    <row r="11" spans="1:12" s="142" customFormat="1" ht="20.100000000000001" customHeight="1">
      <c r="A11" s="139"/>
      <c r="B11" s="145"/>
      <c r="C11" s="145"/>
      <c r="D11" s="145"/>
      <c r="E11" s="145"/>
      <c r="F11" s="145"/>
      <c r="G11" s="145"/>
      <c r="H11" s="145"/>
      <c r="I11" s="145"/>
      <c r="J11" s="141"/>
      <c r="K11" s="141"/>
      <c r="L11" s="143"/>
    </row>
    <row r="12" spans="1:12" s="142" customFormat="1" ht="20.100000000000001" customHeight="1">
      <c r="A12" s="139"/>
      <c r="B12" s="145"/>
      <c r="C12" s="145"/>
      <c r="D12" s="145"/>
      <c r="E12" s="145"/>
      <c r="F12" s="145"/>
      <c r="G12" s="145"/>
      <c r="H12" s="145"/>
      <c r="I12" s="145"/>
      <c r="J12" s="141"/>
      <c r="K12" s="141"/>
      <c r="L12" s="143"/>
    </row>
    <row r="13" spans="1:12" s="142" customFormat="1" ht="20.100000000000001" customHeight="1">
      <c r="A13" s="139"/>
      <c r="B13" s="145"/>
      <c r="C13" s="145"/>
      <c r="D13" s="145"/>
      <c r="E13" s="145"/>
      <c r="F13" s="145"/>
      <c r="G13" s="145"/>
      <c r="H13" s="145"/>
      <c r="I13" s="145"/>
      <c r="J13" s="141"/>
      <c r="K13" s="141"/>
      <c r="L13" s="143"/>
    </row>
    <row r="14" spans="1:12" s="142" customFormat="1" ht="20.100000000000001" customHeight="1">
      <c r="A14" s="139"/>
      <c r="B14" s="145"/>
      <c r="C14" s="145"/>
      <c r="D14" s="145"/>
      <c r="E14" s="145"/>
      <c r="F14" s="145"/>
      <c r="G14" s="145"/>
      <c r="H14" s="145"/>
      <c r="I14" s="145"/>
      <c r="J14" s="141"/>
      <c r="K14" s="141"/>
      <c r="L14" s="143"/>
    </row>
    <row r="15" spans="1:12" s="142" customFormat="1" ht="20.100000000000001" customHeight="1">
      <c r="A15" s="139"/>
      <c r="B15" s="145"/>
      <c r="C15" s="145"/>
      <c r="D15" s="145"/>
      <c r="E15" s="145"/>
      <c r="F15" s="145"/>
      <c r="G15" s="145"/>
      <c r="H15" s="145"/>
      <c r="I15" s="145"/>
      <c r="J15" s="141"/>
      <c r="K15" s="141"/>
      <c r="L15" s="143"/>
    </row>
    <row r="16" spans="1:12" s="142" customFormat="1" ht="20.100000000000001" customHeight="1">
      <c r="A16" s="139"/>
      <c r="B16" s="145"/>
      <c r="C16" s="145"/>
      <c r="D16" s="145"/>
      <c r="E16" s="145"/>
      <c r="F16" s="145"/>
      <c r="G16" s="145"/>
      <c r="H16" s="145"/>
      <c r="I16" s="145"/>
      <c r="J16" s="141"/>
      <c r="K16" s="141"/>
      <c r="L16" s="143"/>
    </row>
    <row r="17" spans="1:12" s="142" customFormat="1" ht="20.100000000000001" customHeight="1">
      <c r="A17" s="139"/>
      <c r="B17" s="145"/>
      <c r="C17" s="145"/>
      <c r="D17" s="145"/>
      <c r="E17" s="145"/>
      <c r="F17" s="145"/>
      <c r="G17" s="145"/>
      <c r="H17" s="145"/>
      <c r="I17" s="145"/>
      <c r="J17" s="141"/>
      <c r="K17" s="141"/>
      <c r="L17" s="143"/>
    </row>
    <row r="18" spans="1:12" s="142" customFormat="1" ht="20.100000000000001" customHeight="1">
      <c r="A18" s="139"/>
      <c r="B18" s="145"/>
      <c r="C18" s="145"/>
      <c r="D18" s="145"/>
      <c r="E18" s="145"/>
      <c r="F18" s="145"/>
      <c r="G18" s="145"/>
      <c r="H18" s="145"/>
      <c r="I18" s="145"/>
      <c r="J18" s="141"/>
      <c r="K18" s="141"/>
      <c r="L18" s="143"/>
    </row>
    <row r="19" spans="1:12" s="142" customFormat="1" ht="20.100000000000001" customHeight="1">
      <c r="A19" s="139"/>
      <c r="B19" s="145"/>
      <c r="C19" s="145"/>
      <c r="D19" s="145"/>
      <c r="E19" s="145"/>
      <c r="F19" s="145"/>
      <c r="G19" s="145"/>
      <c r="H19" s="145"/>
      <c r="I19" s="145"/>
      <c r="J19" s="141"/>
      <c r="K19" s="141"/>
      <c r="L19" s="143"/>
    </row>
    <row r="20" spans="1:12" s="142" customFormat="1" ht="20.100000000000001" customHeight="1">
      <c r="A20" s="139"/>
      <c r="B20" s="141" t="s">
        <v>29</v>
      </c>
      <c r="C20" s="145"/>
      <c r="D20" s="145"/>
      <c r="E20" s="145"/>
      <c r="F20" s="145"/>
      <c r="G20" s="145"/>
      <c r="H20" s="145"/>
      <c r="I20" s="145"/>
      <c r="J20" s="141"/>
      <c r="K20" s="141"/>
      <c r="L20" s="143"/>
    </row>
    <row r="21" spans="1:12" s="142" customFormat="1" ht="20.100000000000001" customHeight="1">
      <c r="A21" s="139"/>
      <c r="B21" s="146" t="s">
        <v>30</v>
      </c>
      <c r="C21" s="145"/>
      <c r="D21" s="145"/>
      <c r="E21" s="145"/>
      <c r="F21" s="145"/>
      <c r="G21" s="145"/>
      <c r="H21" s="145"/>
      <c r="I21" s="145"/>
      <c r="J21" s="141"/>
      <c r="K21" s="141"/>
      <c r="L21" s="143"/>
    </row>
    <row r="22" spans="1:12" s="142" customFormat="1" ht="20.100000000000001" customHeight="1">
      <c r="A22" s="139"/>
      <c r="B22" s="145"/>
      <c r="C22" s="145"/>
      <c r="D22" s="145"/>
      <c r="E22" s="145"/>
      <c r="F22" s="145"/>
      <c r="G22" s="145"/>
      <c r="H22" s="145"/>
      <c r="I22" s="145"/>
      <c r="J22" s="141"/>
      <c r="K22" s="141"/>
      <c r="L22" s="143"/>
    </row>
    <row r="23" spans="1:12" s="142" customFormat="1" ht="20.100000000000001" customHeight="1">
      <c r="A23" s="139"/>
      <c r="B23" s="145"/>
      <c r="C23" s="147" t="s">
        <v>45</v>
      </c>
      <c r="D23" s="135" t="s">
        <v>31</v>
      </c>
      <c r="F23" s="145"/>
      <c r="G23" s="145"/>
      <c r="H23" s="145"/>
      <c r="I23" s="145"/>
      <c r="J23" s="141"/>
      <c r="K23" s="141"/>
      <c r="L23" s="143"/>
    </row>
    <row r="24" spans="1:12" s="142" customFormat="1" ht="20.100000000000001" customHeight="1">
      <c r="A24" s="139"/>
      <c r="B24" s="145"/>
      <c r="C24" s="147" t="s">
        <v>41</v>
      </c>
      <c r="D24" s="135" t="s">
        <v>32</v>
      </c>
      <c r="F24" s="145"/>
      <c r="G24" s="145"/>
      <c r="H24" s="145"/>
      <c r="I24" s="145"/>
      <c r="J24" s="141"/>
      <c r="K24" s="141"/>
      <c r="L24" s="143"/>
    </row>
    <row r="25" spans="1:12" s="142" customFormat="1" ht="20.100000000000001" customHeight="1">
      <c r="A25" s="139"/>
      <c r="B25" s="145"/>
      <c r="C25" s="147" t="s">
        <v>35</v>
      </c>
      <c r="D25" s="135" t="s">
        <v>33</v>
      </c>
      <c r="F25" s="145"/>
      <c r="G25" s="145"/>
      <c r="H25" s="145"/>
      <c r="I25" s="145"/>
      <c r="J25" s="141"/>
      <c r="K25" s="141"/>
      <c r="L25" s="143"/>
    </row>
    <row r="26" spans="1:12" s="142" customFormat="1" ht="20.100000000000001" customHeight="1">
      <c r="A26" s="139"/>
      <c r="B26" s="145"/>
      <c r="C26" s="147" t="s">
        <v>36</v>
      </c>
      <c r="D26" s="135" t="s">
        <v>39</v>
      </c>
      <c r="F26" s="145"/>
      <c r="G26" s="145"/>
      <c r="H26" s="145"/>
      <c r="I26" s="145"/>
      <c r="J26" s="141"/>
      <c r="K26" s="141"/>
      <c r="L26" s="143"/>
    </row>
    <row r="27" spans="1:12" s="142" customFormat="1" ht="20.100000000000001" customHeight="1">
      <c r="A27" s="139"/>
      <c r="B27" s="145"/>
      <c r="C27" s="147" t="s">
        <v>37</v>
      </c>
      <c r="D27" s="135" t="s">
        <v>40</v>
      </c>
      <c r="F27" s="145"/>
      <c r="G27" s="145"/>
      <c r="H27" s="145"/>
      <c r="I27" s="145"/>
      <c r="J27" s="141"/>
      <c r="K27" s="141"/>
      <c r="L27" s="143"/>
    </row>
    <row r="28" spans="1:12" s="142" customFormat="1" ht="20.100000000000001" customHeight="1">
      <c r="A28" s="139"/>
      <c r="B28" s="145"/>
      <c r="C28" s="147" t="s">
        <v>42</v>
      </c>
      <c r="D28" s="135" t="s">
        <v>34</v>
      </c>
      <c r="F28" s="145"/>
      <c r="G28" s="145"/>
      <c r="H28" s="145"/>
      <c r="I28" s="145"/>
      <c r="J28" s="141"/>
      <c r="K28" s="141"/>
      <c r="L28" s="143"/>
    </row>
    <row r="29" spans="1:12" s="142" customFormat="1" ht="20.100000000000001" customHeight="1">
      <c r="A29" s="139"/>
      <c r="B29" s="145"/>
      <c r="C29" s="147"/>
      <c r="D29" s="135"/>
      <c r="F29" s="145"/>
      <c r="G29" s="145"/>
      <c r="H29" s="145"/>
      <c r="I29" s="135" t="s">
        <v>205</v>
      </c>
      <c r="J29" s="141"/>
      <c r="K29" s="141"/>
      <c r="L29" s="143"/>
    </row>
    <row r="30" spans="1:12" s="142" customFormat="1" ht="20.100000000000001" customHeight="1">
      <c r="A30" s="139"/>
      <c r="B30" s="148" t="s">
        <v>43</v>
      </c>
      <c r="C30" s="145"/>
      <c r="D30" s="145"/>
      <c r="E30" s="145"/>
      <c r="F30" s="145"/>
      <c r="G30" s="145"/>
      <c r="H30" s="145"/>
      <c r="J30" s="141"/>
      <c r="K30" s="141"/>
      <c r="L30" s="143"/>
    </row>
    <row r="31" spans="1:12" s="142" customFormat="1" ht="20.100000000000001" customHeight="1">
      <c r="A31" s="139"/>
      <c r="B31" s="145"/>
      <c r="C31" s="145"/>
      <c r="D31" s="145"/>
      <c r="E31" s="145"/>
      <c r="F31" s="145"/>
      <c r="G31" s="145"/>
      <c r="H31" s="145"/>
      <c r="I31" s="145"/>
      <c r="J31" s="141"/>
      <c r="K31" s="141"/>
      <c r="L31" s="143"/>
    </row>
    <row r="32" spans="1:12" s="142" customFormat="1" ht="20.100000000000001" customHeight="1">
      <c r="A32" s="139"/>
      <c r="B32" s="282" t="s">
        <v>194</v>
      </c>
      <c r="C32" s="283"/>
      <c r="D32" s="283"/>
      <c r="E32" s="283"/>
      <c r="F32" s="283"/>
      <c r="G32" s="283"/>
      <c r="H32" s="283"/>
      <c r="I32" s="283"/>
      <c r="J32" s="283"/>
      <c r="K32" s="283"/>
      <c r="L32" s="143"/>
    </row>
    <row r="33" spans="1:12" s="142" customFormat="1" ht="20.100000000000001" customHeight="1">
      <c r="A33" s="139"/>
      <c r="B33" s="283"/>
      <c r="C33" s="283"/>
      <c r="D33" s="283"/>
      <c r="E33" s="283"/>
      <c r="F33" s="283"/>
      <c r="G33" s="283"/>
      <c r="H33" s="283"/>
      <c r="I33" s="283"/>
      <c r="J33" s="283"/>
      <c r="K33" s="283"/>
      <c r="L33" s="143"/>
    </row>
    <row r="34" spans="1:12" s="142" customFormat="1" ht="20.100000000000001" customHeight="1">
      <c r="A34" s="139"/>
      <c r="B34" s="135" t="s">
        <v>195</v>
      </c>
      <c r="C34" s="150"/>
      <c r="D34" s="150"/>
      <c r="E34" s="150"/>
      <c r="F34" s="150"/>
      <c r="G34" s="150"/>
      <c r="H34" s="150"/>
      <c r="I34" s="150"/>
      <c r="J34" s="150"/>
      <c r="K34" s="150"/>
      <c r="L34" s="143"/>
    </row>
    <row r="35" spans="1:12" s="142" customFormat="1" ht="20.100000000000001" customHeight="1">
      <c r="A35" s="139"/>
      <c r="C35" s="145"/>
      <c r="D35" s="145"/>
      <c r="E35" s="145"/>
      <c r="F35" s="145"/>
      <c r="G35" s="145"/>
      <c r="H35" s="145"/>
      <c r="I35" s="145"/>
      <c r="J35" s="141"/>
      <c r="K35" s="141"/>
      <c r="L35" s="143"/>
    </row>
    <row r="36" spans="1:12" s="142" customFormat="1" ht="20.100000000000001" customHeight="1">
      <c r="A36" s="139"/>
      <c r="B36" s="282" t="s">
        <v>318</v>
      </c>
      <c r="C36" s="283"/>
      <c r="D36" s="283"/>
      <c r="E36" s="283"/>
      <c r="F36" s="283"/>
      <c r="G36" s="283"/>
      <c r="H36" s="283"/>
      <c r="I36" s="283"/>
      <c r="J36" s="283"/>
      <c r="K36" s="283"/>
      <c r="L36" s="143"/>
    </row>
    <row r="37" spans="1:12" s="142" customFormat="1" ht="20.100000000000001" customHeight="1">
      <c r="A37" s="139"/>
      <c r="B37" s="283"/>
      <c r="C37" s="283"/>
      <c r="D37" s="283"/>
      <c r="E37" s="283"/>
      <c r="F37" s="283"/>
      <c r="G37" s="283"/>
      <c r="H37" s="283"/>
      <c r="I37" s="283"/>
      <c r="J37" s="283"/>
      <c r="K37" s="283"/>
      <c r="L37" s="143"/>
    </row>
    <row r="38" spans="1:12" s="142" customFormat="1" ht="16.05" customHeight="1">
      <c r="A38" s="139"/>
      <c r="B38" s="282" t="s">
        <v>44</v>
      </c>
      <c r="C38" s="283"/>
      <c r="D38" s="283"/>
      <c r="E38" s="283"/>
      <c r="F38" s="283"/>
      <c r="G38" s="283"/>
      <c r="H38" s="283"/>
      <c r="I38" s="283"/>
      <c r="J38" s="283"/>
      <c r="K38" s="283"/>
      <c r="L38" s="143"/>
    </row>
    <row r="39" spans="1:12" s="142" customFormat="1" ht="16.05" customHeight="1">
      <c r="A39" s="139"/>
      <c r="B39" s="283"/>
      <c r="C39" s="283"/>
      <c r="D39" s="283"/>
      <c r="E39" s="283"/>
      <c r="F39" s="283"/>
      <c r="G39" s="283"/>
      <c r="H39" s="283"/>
      <c r="I39" s="283"/>
      <c r="J39" s="283"/>
      <c r="K39" s="283"/>
      <c r="L39" s="143"/>
    </row>
    <row r="40" spans="1:12" s="142" customFormat="1" ht="20.100000000000001" customHeight="1">
      <c r="A40" s="139"/>
      <c r="B40" s="281" t="s">
        <v>319</v>
      </c>
      <c r="C40" s="281"/>
      <c r="D40" s="281"/>
      <c r="E40" s="281"/>
      <c r="F40" s="281"/>
      <c r="G40" s="281"/>
      <c r="H40" s="281"/>
      <c r="I40" s="281"/>
      <c r="J40" s="281"/>
      <c r="K40" s="281"/>
      <c r="L40" s="143"/>
    </row>
    <row r="41" spans="1:12" s="142" customFormat="1" ht="20.100000000000001" customHeight="1">
      <c r="A41" s="139"/>
      <c r="B41" s="281"/>
      <c r="C41" s="281"/>
      <c r="D41" s="281"/>
      <c r="E41" s="281"/>
      <c r="F41" s="281"/>
      <c r="G41" s="281"/>
      <c r="H41" s="281"/>
      <c r="I41" s="281"/>
      <c r="J41" s="281"/>
      <c r="K41" s="281"/>
      <c r="L41" s="143"/>
    </row>
    <row r="42" spans="1:12" s="142" customFormat="1" ht="20.100000000000001" customHeight="1">
      <c r="A42" s="139"/>
      <c r="L42" s="143"/>
    </row>
    <row r="43" spans="1:12" s="142" customFormat="1" ht="20.100000000000001" customHeight="1">
      <c r="A43" s="151"/>
      <c r="B43" s="152"/>
      <c r="C43" s="152"/>
      <c r="D43" s="152"/>
      <c r="E43" s="152"/>
      <c r="F43" s="152"/>
      <c r="G43" s="152"/>
      <c r="H43" s="152"/>
      <c r="I43" s="152"/>
      <c r="J43" s="152"/>
      <c r="K43" s="152"/>
      <c r="L43" s="153"/>
    </row>
    <row r="44" spans="1:12" ht="20.100000000000001" customHeight="1">
      <c r="A44" s="154"/>
      <c r="B44" s="141" t="s">
        <v>344</v>
      </c>
      <c r="L44" s="155"/>
    </row>
    <row r="45" spans="1:12" ht="20.100000000000001" customHeight="1">
      <c r="A45" s="154"/>
      <c r="B45" s="282" t="s">
        <v>211</v>
      </c>
      <c r="C45" s="282"/>
      <c r="D45" s="282"/>
      <c r="E45" s="282"/>
      <c r="F45" s="282"/>
      <c r="G45" s="282"/>
      <c r="H45" s="282"/>
      <c r="I45" s="282"/>
      <c r="J45" s="282"/>
      <c r="K45" s="282"/>
      <c r="L45" s="155"/>
    </row>
    <row r="46" spans="1:12" ht="20.100000000000001" customHeight="1">
      <c r="A46" s="154"/>
      <c r="B46" s="282"/>
      <c r="C46" s="282"/>
      <c r="D46" s="282"/>
      <c r="E46" s="282"/>
      <c r="F46" s="282"/>
      <c r="G46" s="282"/>
      <c r="H46" s="282"/>
      <c r="I46" s="282"/>
      <c r="J46" s="282"/>
      <c r="K46" s="282"/>
      <c r="L46" s="155"/>
    </row>
    <row r="47" spans="1:12" ht="20.100000000000001" customHeight="1">
      <c r="A47" s="154"/>
      <c r="B47" s="282"/>
      <c r="C47" s="282"/>
      <c r="D47" s="282"/>
      <c r="E47" s="282"/>
      <c r="F47" s="282"/>
      <c r="G47" s="282"/>
      <c r="H47" s="282"/>
      <c r="I47" s="282"/>
      <c r="J47" s="282"/>
      <c r="K47" s="282"/>
      <c r="L47" s="155"/>
    </row>
    <row r="48" spans="1:12" ht="20.100000000000001" customHeight="1">
      <c r="A48" s="154"/>
      <c r="B48" s="141" t="s">
        <v>212</v>
      </c>
      <c r="C48" s="149"/>
      <c r="D48" s="149"/>
      <c r="E48" s="149"/>
      <c r="F48" s="149"/>
      <c r="G48" s="149"/>
      <c r="H48" s="149"/>
      <c r="I48" s="149"/>
      <c r="J48" s="149"/>
      <c r="K48" s="149"/>
      <c r="L48" s="155"/>
    </row>
    <row r="49" spans="1:12" ht="20.100000000000001" customHeight="1">
      <c r="A49" s="154"/>
      <c r="B49" s="156" t="s">
        <v>206</v>
      </c>
      <c r="C49" s="149"/>
      <c r="D49" s="149"/>
      <c r="E49" s="149"/>
      <c r="F49" s="149"/>
      <c r="G49" s="149"/>
      <c r="H49" s="149"/>
      <c r="I49" s="149"/>
      <c r="J49" s="149"/>
      <c r="K49" s="149"/>
      <c r="L49" s="155"/>
    </row>
    <row r="50" spans="1:12" ht="20.100000000000001" customHeight="1">
      <c r="A50" s="154"/>
      <c r="B50" s="157" t="s">
        <v>207</v>
      </c>
      <c r="C50" s="149"/>
      <c r="D50" s="149"/>
      <c r="E50" s="149"/>
      <c r="F50" s="149"/>
      <c r="G50" s="158"/>
      <c r="H50" s="159"/>
      <c r="I50" s="158"/>
      <c r="J50" s="149"/>
      <c r="K50" s="149"/>
      <c r="L50" s="155"/>
    </row>
    <row r="51" spans="1:12" ht="20.100000000000001" customHeight="1">
      <c r="A51" s="154"/>
      <c r="B51" s="157" t="s">
        <v>208</v>
      </c>
      <c r="C51" s="149"/>
      <c r="D51" s="149"/>
      <c r="E51" s="149"/>
      <c r="F51" s="149"/>
      <c r="G51" s="158"/>
      <c r="H51" s="158"/>
      <c r="I51" s="158"/>
      <c r="J51" s="149"/>
      <c r="K51" s="149"/>
      <c r="L51" s="155"/>
    </row>
    <row r="52" spans="1:12" ht="20.100000000000001" customHeight="1">
      <c r="A52" s="154"/>
      <c r="B52" s="157" t="s">
        <v>209</v>
      </c>
      <c r="C52" s="149"/>
      <c r="D52" s="149"/>
      <c r="E52" s="149"/>
      <c r="F52" s="149"/>
      <c r="G52" s="158"/>
      <c r="H52" s="158"/>
      <c r="I52" s="158"/>
      <c r="J52" s="149"/>
      <c r="K52" s="149"/>
      <c r="L52" s="155"/>
    </row>
    <row r="53" spans="1:12" ht="20.100000000000001" customHeight="1">
      <c r="A53" s="154"/>
      <c r="B53" s="157" t="s">
        <v>210</v>
      </c>
      <c r="C53" s="149"/>
      <c r="D53" s="149"/>
      <c r="E53" s="149"/>
      <c r="F53" s="149"/>
      <c r="G53" s="158"/>
      <c r="H53" s="158"/>
      <c r="I53" s="158"/>
      <c r="J53" s="149"/>
      <c r="K53" s="149"/>
      <c r="L53" s="155"/>
    </row>
    <row r="54" spans="1:12" ht="20.100000000000001" customHeight="1">
      <c r="A54" s="154"/>
      <c r="B54" s="141" t="s">
        <v>213</v>
      </c>
      <c r="C54" s="149"/>
      <c r="D54" s="149"/>
      <c r="E54" s="149"/>
      <c r="F54" s="149"/>
      <c r="G54" s="158"/>
      <c r="H54" s="158"/>
      <c r="I54" s="158"/>
      <c r="J54" s="149"/>
      <c r="K54" s="149"/>
      <c r="L54" s="155"/>
    </row>
    <row r="55" spans="1:12" ht="20.100000000000001" customHeight="1">
      <c r="A55" s="154"/>
      <c r="B55" s="280" t="s">
        <v>214</v>
      </c>
      <c r="C55" s="280"/>
      <c r="D55" s="280"/>
      <c r="E55" s="280"/>
      <c r="F55" s="280"/>
      <c r="G55" s="280"/>
      <c r="H55" s="280"/>
      <c r="I55" s="280"/>
      <c r="J55" s="280"/>
      <c r="K55" s="280"/>
      <c r="L55" s="155"/>
    </row>
    <row r="56" spans="1:12" ht="20.100000000000001" customHeight="1">
      <c r="A56" s="154"/>
      <c r="B56" s="280"/>
      <c r="C56" s="280"/>
      <c r="D56" s="280"/>
      <c r="E56" s="280"/>
      <c r="F56" s="280"/>
      <c r="G56" s="280"/>
      <c r="H56" s="280"/>
      <c r="I56" s="280"/>
      <c r="J56" s="280"/>
      <c r="K56" s="280"/>
      <c r="L56" s="155"/>
    </row>
    <row r="57" spans="1:12" ht="20.100000000000001" customHeight="1">
      <c r="A57" s="154"/>
      <c r="B57" s="141" t="s">
        <v>216</v>
      </c>
      <c r="C57" s="149"/>
      <c r="D57" s="149"/>
      <c r="E57" s="149"/>
      <c r="F57" s="149"/>
      <c r="G57" s="149"/>
      <c r="H57" s="149"/>
      <c r="I57" s="149"/>
      <c r="J57" s="149"/>
      <c r="K57" s="149"/>
      <c r="L57" s="155"/>
    </row>
    <row r="58" spans="1:12" ht="20.100000000000001" customHeight="1">
      <c r="A58" s="154"/>
      <c r="B58" s="280" t="s">
        <v>321</v>
      </c>
      <c r="C58" s="280"/>
      <c r="D58" s="280"/>
      <c r="E58" s="280"/>
      <c r="F58" s="280"/>
      <c r="G58" s="280"/>
      <c r="H58" s="280"/>
      <c r="I58" s="280"/>
      <c r="J58" s="280"/>
      <c r="K58" s="280"/>
      <c r="L58" s="155"/>
    </row>
    <row r="59" spans="1:12" ht="20.100000000000001" customHeight="1">
      <c r="A59" s="154"/>
      <c r="B59" s="280"/>
      <c r="C59" s="280"/>
      <c r="D59" s="280"/>
      <c r="E59" s="280"/>
      <c r="F59" s="280"/>
      <c r="G59" s="280"/>
      <c r="H59" s="280"/>
      <c r="I59" s="280"/>
      <c r="J59" s="280"/>
      <c r="K59" s="280"/>
      <c r="L59" s="155"/>
    </row>
    <row r="60" spans="1:12" ht="20.100000000000001" customHeight="1">
      <c r="A60" s="154"/>
      <c r="B60" s="280"/>
      <c r="C60" s="280"/>
      <c r="D60" s="280"/>
      <c r="E60" s="280"/>
      <c r="F60" s="280"/>
      <c r="G60" s="280"/>
      <c r="H60" s="280"/>
      <c r="I60" s="280"/>
      <c r="J60" s="280"/>
      <c r="K60" s="280"/>
      <c r="L60" s="155"/>
    </row>
    <row r="61" spans="1:12" ht="20.100000000000001" customHeight="1">
      <c r="A61" s="154"/>
      <c r="B61" s="141" t="s">
        <v>215</v>
      </c>
      <c r="C61" s="149"/>
      <c r="D61" s="149"/>
      <c r="E61" s="149"/>
      <c r="F61" s="149"/>
      <c r="G61" s="149"/>
      <c r="H61" s="149"/>
      <c r="I61" s="149"/>
      <c r="J61" s="149"/>
      <c r="K61" s="149"/>
      <c r="L61" s="155"/>
    </row>
    <row r="62" spans="1:12" ht="20.100000000000001" customHeight="1">
      <c r="A62" s="154"/>
      <c r="B62" s="156" t="s">
        <v>320</v>
      </c>
      <c r="C62" s="149"/>
      <c r="D62" s="149"/>
      <c r="E62" s="149"/>
      <c r="F62" s="149"/>
      <c r="G62" s="149"/>
      <c r="H62" s="149"/>
      <c r="I62" s="149"/>
      <c r="J62" s="149"/>
      <c r="K62" s="149"/>
      <c r="L62" s="155"/>
    </row>
    <row r="63" spans="1:12" ht="20.100000000000001" customHeight="1">
      <c r="A63" s="154"/>
      <c r="B63" s="149"/>
      <c r="C63" s="149"/>
      <c r="D63" s="149"/>
      <c r="E63" s="149"/>
      <c r="F63" s="149"/>
      <c r="G63" s="149"/>
      <c r="H63" s="149"/>
      <c r="I63" s="149"/>
      <c r="J63" s="149"/>
      <c r="K63" s="149"/>
      <c r="L63" s="155"/>
    </row>
    <row r="64" spans="1:12" ht="20.100000000000001" customHeight="1">
      <c r="A64" s="154"/>
      <c r="B64" s="141" t="s">
        <v>355</v>
      </c>
      <c r="C64" s="149"/>
      <c r="D64" s="149"/>
      <c r="E64" s="149"/>
      <c r="F64" s="149"/>
      <c r="G64" s="149"/>
      <c r="H64" s="149"/>
      <c r="I64" s="149"/>
      <c r="J64" s="149"/>
      <c r="K64" s="149"/>
      <c r="L64" s="155"/>
    </row>
    <row r="65" spans="1:12" ht="20.100000000000001" customHeight="1">
      <c r="A65" s="154"/>
      <c r="B65" s="149"/>
      <c r="C65" s="267" t="s">
        <v>346</v>
      </c>
      <c r="D65" s="267"/>
      <c r="E65" s="267" t="s">
        <v>347</v>
      </c>
      <c r="F65" s="267"/>
      <c r="G65" s="267" t="s">
        <v>348</v>
      </c>
      <c r="H65" s="267"/>
      <c r="I65" s="149"/>
      <c r="J65" s="149"/>
      <c r="K65" s="149"/>
      <c r="L65" s="155"/>
    </row>
    <row r="66" spans="1:12" ht="20.100000000000001" customHeight="1">
      <c r="A66" s="154"/>
      <c r="B66" s="149"/>
      <c r="C66" s="267" t="s">
        <v>349</v>
      </c>
      <c r="D66" s="267"/>
      <c r="E66" s="267">
        <v>0.4</v>
      </c>
      <c r="F66" s="267"/>
      <c r="G66" s="267">
        <v>0.2</v>
      </c>
      <c r="H66" s="267"/>
      <c r="I66" s="149"/>
      <c r="J66" s="149"/>
      <c r="K66" s="149"/>
      <c r="L66" s="155"/>
    </row>
    <row r="67" spans="1:12" ht="20.100000000000001" customHeight="1">
      <c r="A67" s="154"/>
      <c r="B67" s="149"/>
      <c r="C67" s="267" t="s">
        <v>350</v>
      </c>
      <c r="D67" s="267"/>
      <c r="E67" s="267">
        <v>0.5</v>
      </c>
      <c r="F67" s="267"/>
      <c r="G67" s="267">
        <v>0.2</v>
      </c>
      <c r="H67" s="267"/>
      <c r="I67" s="149"/>
      <c r="J67" s="149"/>
      <c r="K67" s="149"/>
      <c r="L67" s="155"/>
    </row>
    <row r="68" spans="1:12" ht="20.100000000000001" customHeight="1">
      <c r="A68" s="154"/>
      <c r="B68" s="149"/>
      <c r="C68" s="267" t="s">
        <v>351</v>
      </c>
      <c r="D68" s="267"/>
      <c r="E68" s="267">
        <v>0.6</v>
      </c>
      <c r="F68" s="267"/>
      <c r="G68" s="267">
        <v>0.25</v>
      </c>
      <c r="H68" s="267"/>
      <c r="I68" s="149"/>
      <c r="J68" s="149"/>
      <c r="K68" s="149"/>
      <c r="L68" s="155"/>
    </row>
    <row r="69" spans="1:12" ht="20.100000000000001" customHeight="1">
      <c r="A69" s="154"/>
      <c r="B69" s="149"/>
      <c r="C69" s="267" t="s">
        <v>352</v>
      </c>
      <c r="D69" s="267"/>
      <c r="E69" s="267">
        <v>0.75</v>
      </c>
      <c r="F69" s="267"/>
      <c r="G69" s="267">
        <v>0.3</v>
      </c>
      <c r="H69" s="267"/>
      <c r="I69" s="149"/>
      <c r="J69" s="149"/>
      <c r="K69" s="149"/>
      <c r="L69" s="155"/>
    </row>
    <row r="70" spans="1:12" ht="20.100000000000001" customHeight="1">
      <c r="A70" s="154"/>
      <c r="B70" s="149"/>
      <c r="C70" s="267" t="s">
        <v>353</v>
      </c>
      <c r="D70" s="267"/>
      <c r="E70" s="267">
        <v>0.85</v>
      </c>
      <c r="F70" s="267"/>
      <c r="G70" s="267">
        <v>0.4</v>
      </c>
      <c r="H70" s="267"/>
      <c r="I70" s="149"/>
      <c r="J70" s="149"/>
      <c r="K70" s="149"/>
      <c r="L70" s="155"/>
    </row>
    <row r="71" spans="1:12" ht="20.100000000000001" customHeight="1">
      <c r="A71" s="154"/>
      <c r="B71" s="149"/>
      <c r="C71" s="267" t="s">
        <v>354</v>
      </c>
      <c r="D71" s="267"/>
      <c r="E71" s="267">
        <v>1</v>
      </c>
      <c r="F71" s="267"/>
      <c r="G71" s="267">
        <v>0.5</v>
      </c>
      <c r="H71" s="267"/>
      <c r="I71" s="149"/>
      <c r="J71" s="149"/>
      <c r="K71" s="149"/>
      <c r="L71" s="155"/>
    </row>
    <row r="72" spans="1:12" ht="20.100000000000001" customHeight="1">
      <c r="A72" s="154"/>
      <c r="B72" s="149"/>
      <c r="C72" s="149"/>
      <c r="D72" s="149"/>
      <c r="E72" s="149"/>
      <c r="F72" s="149"/>
      <c r="G72" s="149"/>
      <c r="H72" s="149"/>
      <c r="I72" s="149"/>
      <c r="J72" s="149"/>
      <c r="K72" s="149"/>
      <c r="L72" s="155"/>
    </row>
    <row r="73" spans="1:12" ht="20.100000000000001" customHeight="1">
      <c r="A73" s="154"/>
      <c r="B73" s="149"/>
      <c r="C73" s="149"/>
      <c r="D73" s="149"/>
      <c r="E73" s="149"/>
      <c r="F73" s="149"/>
      <c r="G73" s="149"/>
      <c r="H73" s="149"/>
      <c r="I73" s="149"/>
      <c r="J73" s="149"/>
      <c r="K73" s="149"/>
      <c r="L73" s="155"/>
    </row>
    <row r="74" spans="1:12" ht="20.100000000000001" customHeight="1">
      <c r="A74" s="154"/>
      <c r="B74" s="149"/>
      <c r="C74" s="149"/>
      <c r="D74" s="149"/>
      <c r="E74" s="149"/>
      <c r="F74" s="149"/>
      <c r="G74" s="149"/>
      <c r="H74" s="149"/>
      <c r="I74" s="149"/>
      <c r="J74" s="149"/>
      <c r="K74" s="149"/>
      <c r="L74" s="155"/>
    </row>
    <row r="75" spans="1:12" ht="20.100000000000001" customHeight="1">
      <c r="A75" s="154"/>
      <c r="B75" s="149"/>
      <c r="C75" s="149"/>
      <c r="D75" s="149"/>
      <c r="E75" s="149"/>
      <c r="F75" s="149"/>
      <c r="G75" s="149"/>
      <c r="H75" s="149"/>
      <c r="I75" s="149"/>
      <c r="J75" s="149"/>
      <c r="K75" s="149"/>
      <c r="L75" s="155"/>
    </row>
    <row r="76" spans="1:12" ht="20.100000000000001" customHeight="1">
      <c r="A76" s="154"/>
      <c r="B76" s="149"/>
      <c r="C76" s="149"/>
      <c r="D76" s="149"/>
      <c r="E76" s="149"/>
      <c r="F76" s="149"/>
      <c r="G76" s="149"/>
      <c r="H76" s="149"/>
      <c r="I76" s="149"/>
      <c r="J76" s="149"/>
      <c r="K76" s="149"/>
      <c r="L76" s="155"/>
    </row>
    <row r="77" spans="1:12" ht="20.100000000000001" customHeight="1">
      <c r="A77" s="154"/>
      <c r="B77" s="149"/>
      <c r="C77" s="149"/>
      <c r="D77" s="149"/>
      <c r="E77" s="149"/>
      <c r="F77" s="149"/>
      <c r="G77" s="149"/>
      <c r="H77" s="149"/>
      <c r="I77" s="149"/>
      <c r="J77" s="149"/>
      <c r="K77" s="149"/>
      <c r="L77" s="155"/>
    </row>
    <row r="78" spans="1:12" ht="20.100000000000001" customHeight="1">
      <c r="A78" s="154"/>
      <c r="B78" s="149"/>
      <c r="C78" s="149"/>
      <c r="D78" s="149"/>
      <c r="E78" s="149"/>
      <c r="F78" s="149"/>
      <c r="G78" s="149"/>
      <c r="H78" s="149"/>
      <c r="I78" s="149"/>
      <c r="J78" s="149"/>
      <c r="K78" s="149"/>
      <c r="L78" s="155"/>
    </row>
    <row r="79" spans="1:12" ht="20.100000000000001" customHeight="1">
      <c r="A79" s="154"/>
      <c r="B79" s="149"/>
      <c r="C79" s="149"/>
      <c r="D79" s="149"/>
      <c r="E79" s="149"/>
      <c r="F79" s="149"/>
      <c r="G79" s="149"/>
      <c r="H79" s="149"/>
      <c r="I79" s="149"/>
      <c r="J79" s="149"/>
      <c r="K79" s="149"/>
      <c r="L79" s="155"/>
    </row>
    <row r="80" spans="1:12" ht="20.100000000000001" customHeight="1">
      <c r="A80" s="154"/>
      <c r="B80" s="149"/>
      <c r="C80" s="149"/>
      <c r="D80" s="149"/>
      <c r="E80" s="149"/>
      <c r="F80" s="149"/>
      <c r="G80" s="149"/>
      <c r="H80" s="149"/>
      <c r="I80" s="149"/>
      <c r="J80" s="149"/>
      <c r="K80" s="149"/>
      <c r="L80" s="155"/>
    </row>
    <row r="81" spans="1:12" ht="20.100000000000001" customHeight="1">
      <c r="A81" s="160"/>
      <c r="B81" s="161"/>
      <c r="C81" s="162"/>
      <c r="D81" s="162"/>
      <c r="E81" s="162"/>
      <c r="F81" s="162"/>
      <c r="G81" s="162"/>
      <c r="H81" s="162"/>
      <c r="I81" s="162"/>
      <c r="J81" s="162"/>
      <c r="K81" s="162"/>
      <c r="L81" s="163"/>
    </row>
    <row r="82" spans="1:12" ht="20.100000000000001" customHeight="1"/>
    <row r="83" spans="1:12" ht="20.100000000000001" customHeight="1"/>
    <row r="84" spans="1:12" ht="20.100000000000001" customHeight="1"/>
    <row r="85" spans="1:12" ht="20.100000000000001" customHeight="1"/>
    <row r="86" spans="1:12" ht="20.100000000000001" customHeight="1"/>
    <row r="87" spans="1:12" ht="20.100000000000001" customHeight="1"/>
    <row r="88" spans="1:12" ht="20.100000000000001" customHeight="1"/>
    <row r="89" spans="1:12" ht="20.100000000000001" customHeight="1"/>
    <row r="90" spans="1:12" ht="20.100000000000001" customHeight="1"/>
    <row r="91" spans="1:12" ht="20.100000000000001" customHeight="1"/>
    <row r="92" spans="1:12" ht="20.100000000000001" customHeight="1"/>
    <row r="93" spans="1:12" ht="20.100000000000001" customHeight="1"/>
    <row r="94" spans="1:12" ht="20.100000000000001" customHeight="1"/>
    <row r="95" spans="1:12" ht="20.100000000000001" customHeight="1"/>
    <row r="96" spans="1:12" ht="20.100000000000001" customHeight="1"/>
    <row r="97" ht="20.100000000000001" customHeight="1"/>
    <row r="98" ht="20.100000000000001" customHeight="1"/>
    <row r="99" ht="20.100000000000001" customHeight="1"/>
    <row r="100" ht="20.100000000000001" customHeight="1"/>
    <row r="101" ht="20.100000000000001" customHeight="1"/>
    <row r="102" ht="20.100000000000001" customHeight="1"/>
    <row r="103" ht="20.100000000000001" customHeight="1"/>
    <row r="104" ht="20.100000000000001" customHeight="1"/>
    <row r="105" ht="20.100000000000001" customHeight="1"/>
    <row r="106" ht="20.100000000000001" customHeight="1"/>
    <row r="107" ht="20.100000000000001" customHeight="1"/>
    <row r="108" ht="20.100000000000001" customHeight="1"/>
    <row r="109" ht="20.100000000000001" customHeight="1"/>
    <row r="110" ht="20.100000000000001" customHeight="1"/>
    <row r="111" ht="20.100000000000001" customHeight="1"/>
    <row r="112" ht="20.100000000000001" customHeight="1"/>
    <row r="113" ht="20.100000000000001" customHeight="1"/>
    <row r="114" ht="20.100000000000001" customHeight="1"/>
    <row r="115" ht="20.100000000000001" customHeight="1"/>
    <row r="116" ht="20.100000000000001" customHeight="1"/>
    <row r="117" ht="20.100000000000001" customHeight="1"/>
  </sheetData>
  <mergeCells count="38">
    <mergeCell ref="J1:L3"/>
    <mergeCell ref="A2:F2"/>
    <mergeCell ref="B58:K60"/>
    <mergeCell ref="B40:K41"/>
    <mergeCell ref="B36:K37"/>
    <mergeCell ref="B38:K39"/>
    <mergeCell ref="A4:F5"/>
    <mergeCell ref="J4:L4"/>
    <mergeCell ref="B8:K10"/>
    <mergeCell ref="B32:K33"/>
    <mergeCell ref="B45:K47"/>
    <mergeCell ref="B55:K56"/>
    <mergeCell ref="H2:I2"/>
    <mergeCell ref="A3:F3"/>
    <mergeCell ref="H3:I3"/>
    <mergeCell ref="A1:F1"/>
    <mergeCell ref="H1:I1"/>
    <mergeCell ref="C65:D65"/>
    <mergeCell ref="E65:F65"/>
    <mergeCell ref="G65:H65"/>
    <mergeCell ref="C66:D66"/>
    <mergeCell ref="E66:F66"/>
    <mergeCell ref="G66:H66"/>
    <mergeCell ref="C67:D67"/>
    <mergeCell ref="E67:F67"/>
    <mergeCell ref="G67:H67"/>
    <mergeCell ref="C68:D68"/>
    <mergeCell ref="E68:F68"/>
    <mergeCell ref="G68:H68"/>
    <mergeCell ref="C71:D71"/>
    <mergeCell ref="E71:F71"/>
    <mergeCell ref="G71:H71"/>
    <mergeCell ref="C69:D69"/>
    <mergeCell ref="E69:F69"/>
    <mergeCell ref="G69:H69"/>
    <mergeCell ref="C70:D70"/>
    <mergeCell ref="E70:F70"/>
    <mergeCell ref="G70:H70"/>
  </mergeCells>
  <pageMargins left="0.51181102362204722" right="0.31496062992125984" top="0.59055118110236227" bottom="0.35433070866141736" header="0" footer="0"/>
  <pageSetup paperSize="9" scale="90" fitToHeight="0" orientation="portrait" r:id="rId1"/>
  <headerFooter alignWithMargins="0"/>
  <rowBreaks count="1" manualBreakCount="1">
    <brk id="43" max="11"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8D764-FFCD-4202-861B-B3E5580ED45F}">
  <sheetPr codeName="Sheet5">
    <pageSetUpPr fitToPage="1"/>
  </sheetPr>
  <dimension ref="A1:U37"/>
  <sheetViews>
    <sheetView showGridLines="0" tabSelected="1" view="pageBreakPreview" zoomScaleNormal="100" zoomScaleSheetLayoutView="100" workbookViewId="0">
      <selection activeCell="W11" sqref="W11"/>
    </sheetView>
  </sheetViews>
  <sheetFormatPr defaultRowHeight="13.2"/>
  <cols>
    <col min="1" max="1" width="3.44140625" style="135" customWidth="1"/>
    <col min="2" max="2" width="11.5546875" style="164" customWidth="1"/>
    <col min="3" max="7" width="11.5546875" style="135" customWidth="1"/>
    <col min="8" max="8" width="22.88671875" style="135" bestFit="1" customWidth="1"/>
    <col min="9" max="16" width="11.5546875" style="135" customWidth="1"/>
    <col min="17" max="19" width="5.5546875" style="135" customWidth="1"/>
    <col min="20" max="20" width="8.88671875" style="135" customWidth="1"/>
    <col min="21" max="16384" width="8.88671875" style="135"/>
  </cols>
  <sheetData>
    <row r="1" spans="1:19" ht="20.100000000000001" customHeight="1">
      <c r="A1" s="289" t="s">
        <v>0</v>
      </c>
      <c r="B1" s="290"/>
      <c r="C1" s="290"/>
      <c r="D1" s="290"/>
      <c r="E1" s="290"/>
      <c r="F1" s="290"/>
      <c r="G1" s="290"/>
      <c r="H1" s="290"/>
      <c r="I1" s="290"/>
      <c r="J1" s="290"/>
      <c r="K1" s="290"/>
      <c r="L1" s="290"/>
      <c r="M1" s="291"/>
      <c r="N1" s="136" t="s">
        <v>317</v>
      </c>
      <c r="O1" s="268"/>
      <c r="P1" s="269"/>
      <c r="Q1" s="270"/>
      <c r="R1" s="271"/>
      <c r="S1" s="272"/>
    </row>
    <row r="2" spans="1:19" ht="20.100000000000001" customHeight="1">
      <c r="A2" s="295">
        <f>'Design Criteria'!A2:F2</f>
        <v>0</v>
      </c>
      <c r="B2" s="295"/>
      <c r="C2" s="295"/>
      <c r="D2" s="295"/>
      <c r="E2" s="295"/>
      <c r="F2" s="295"/>
      <c r="G2" s="295"/>
      <c r="H2" s="295"/>
      <c r="I2" s="295"/>
      <c r="J2" s="295"/>
      <c r="K2" s="295"/>
      <c r="L2" s="295"/>
      <c r="M2" s="295"/>
      <c r="N2" s="137" t="s">
        <v>7</v>
      </c>
      <c r="O2" s="268"/>
      <c r="P2" s="269"/>
      <c r="Q2" s="273"/>
      <c r="R2" s="274"/>
      <c r="S2" s="275"/>
    </row>
    <row r="3" spans="1:19" ht="20.100000000000001" customHeight="1">
      <c r="A3" s="288" t="s">
        <v>6</v>
      </c>
      <c r="B3" s="288"/>
      <c r="C3" s="288"/>
      <c r="D3" s="288"/>
      <c r="E3" s="288"/>
      <c r="F3" s="288"/>
      <c r="G3" s="288"/>
      <c r="H3" s="288"/>
      <c r="I3" s="288"/>
      <c r="J3" s="288"/>
      <c r="K3" s="288"/>
      <c r="L3" s="288"/>
      <c r="M3" s="288"/>
      <c r="N3" s="137" t="s">
        <v>345</v>
      </c>
      <c r="O3" s="268"/>
      <c r="P3" s="269"/>
      <c r="Q3" s="276"/>
      <c r="R3" s="277"/>
      <c r="S3" s="278"/>
    </row>
    <row r="4" spans="1:19" ht="16.05" customHeight="1">
      <c r="A4" s="296">
        <f>'Design Criteria'!A4:F5</f>
        <v>0</v>
      </c>
      <c r="B4" s="296"/>
      <c r="C4" s="296"/>
      <c r="D4" s="296"/>
      <c r="E4" s="296"/>
      <c r="F4" s="296"/>
      <c r="G4" s="296"/>
      <c r="H4" s="296"/>
      <c r="I4" s="296"/>
      <c r="J4" s="296"/>
      <c r="K4" s="296"/>
      <c r="L4" s="296"/>
      <c r="M4" s="296"/>
      <c r="N4" s="136" t="s">
        <v>2</v>
      </c>
      <c r="O4" s="258"/>
      <c r="P4" s="259"/>
      <c r="Q4" s="285" t="s">
        <v>3</v>
      </c>
      <c r="R4" s="286"/>
      <c r="S4" s="287"/>
    </row>
    <row r="5" spans="1:19" ht="16.05" customHeight="1">
      <c r="A5" s="296"/>
      <c r="B5" s="296"/>
      <c r="C5" s="296"/>
      <c r="D5" s="296"/>
      <c r="E5" s="296"/>
      <c r="F5" s="296"/>
      <c r="G5" s="296"/>
      <c r="H5" s="296"/>
      <c r="I5" s="296"/>
      <c r="J5" s="296"/>
      <c r="K5" s="296"/>
      <c r="L5" s="296"/>
      <c r="M5" s="296"/>
      <c r="N5" s="136" t="s">
        <v>4</v>
      </c>
      <c r="O5" s="258"/>
      <c r="P5" s="259"/>
      <c r="Q5" s="258"/>
      <c r="R5" s="138" t="s">
        <v>5</v>
      </c>
      <c r="S5" s="258"/>
    </row>
    <row r="6" spans="1:19" s="142" customFormat="1" ht="20.100000000000001" customHeight="1">
      <c r="A6" s="139"/>
      <c r="B6" s="140"/>
      <c r="C6" s="141"/>
      <c r="D6" s="141"/>
      <c r="E6" s="141"/>
      <c r="F6" s="141"/>
      <c r="G6" s="141"/>
      <c r="H6" s="141"/>
      <c r="S6" s="143"/>
    </row>
    <row r="7" spans="1:19" s="142" customFormat="1" ht="20.100000000000001" customHeight="1">
      <c r="A7" s="139"/>
      <c r="C7" s="141"/>
      <c r="D7" s="141"/>
      <c r="E7" s="141"/>
      <c r="F7" s="141"/>
      <c r="G7" s="141"/>
      <c r="H7" s="141"/>
      <c r="S7" s="143"/>
    </row>
    <row r="8" spans="1:19" s="142" customFormat="1" ht="20.100000000000001" customHeight="1">
      <c r="A8" s="139"/>
      <c r="B8" s="145"/>
      <c r="C8" s="145"/>
      <c r="D8" s="145"/>
      <c r="E8" s="145"/>
      <c r="F8" s="145"/>
      <c r="G8" s="145"/>
      <c r="H8" s="145"/>
      <c r="I8" s="145"/>
      <c r="J8" s="145"/>
      <c r="K8" s="145"/>
      <c r="L8" s="145"/>
      <c r="M8" s="145"/>
      <c r="N8" s="145"/>
      <c r="O8" s="145"/>
      <c r="P8" s="145"/>
      <c r="Q8" s="141"/>
      <c r="R8" s="141"/>
      <c r="S8" s="143"/>
    </row>
    <row r="9" spans="1:19" s="142" customFormat="1" ht="20.100000000000001" customHeight="1">
      <c r="A9" s="139"/>
      <c r="B9" s="145"/>
      <c r="C9" s="145"/>
      <c r="D9" s="145"/>
      <c r="E9" s="145"/>
      <c r="F9" s="145"/>
      <c r="G9" s="145"/>
      <c r="H9" s="145"/>
      <c r="I9" s="145"/>
      <c r="J9" s="145"/>
      <c r="K9" s="145"/>
      <c r="L9" s="145"/>
      <c r="M9" s="145"/>
      <c r="N9" s="145"/>
      <c r="O9" s="145"/>
      <c r="P9" s="145"/>
      <c r="Q9" s="141"/>
      <c r="R9" s="141"/>
      <c r="S9" s="143"/>
    </row>
    <row r="10" spans="1:19" s="142" customFormat="1" ht="20.100000000000001" customHeight="1">
      <c r="A10" s="139"/>
      <c r="B10" s="145"/>
      <c r="C10" s="145"/>
      <c r="D10" s="145"/>
      <c r="E10" s="145"/>
      <c r="F10" s="145"/>
      <c r="G10" s="145"/>
      <c r="H10" s="145"/>
      <c r="I10" s="145"/>
      <c r="J10" s="145"/>
      <c r="K10" s="145"/>
      <c r="L10" s="145"/>
      <c r="M10" s="145"/>
      <c r="N10" s="145"/>
      <c r="O10" s="145"/>
      <c r="P10" s="145"/>
      <c r="Q10" s="141"/>
      <c r="R10" s="141"/>
      <c r="S10" s="143"/>
    </row>
    <row r="11" spans="1:19" s="142" customFormat="1" ht="20.100000000000001" customHeight="1">
      <c r="A11" s="139"/>
      <c r="B11" s="145"/>
      <c r="C11" s="145"/>
      <c r="D11" s="145"/>
      <c r="E11" s="145"/>
      <c r="F11" s="145"/>
      <c r="G11" s="145"/>
      <c r="H11" s="145"/>
      <c r="I11" s="145"/>
      <c r="J11" s="145"/>
      <c r="K11" s="145"/>
      <c r="L11" s="145"/>
      <c r="M11" s="145"/>
      <c r="N11" s="145"/>
      <c r="O11" s="145"/>
      <c r="P11" s="145"/>
      <c r="Q11" s="141"/>
      <c r="R11" s="141"/>
      <c r="S11" s="143"/>
    </row>
    <row r="12" spans="1:19" s="142" customFormat="1" ht="20.100000000000001" customHeight="1">
      <c r="A12" s="139"/>
      <c r="B12" s="145"/>
      <c r="C12" s="145"/>
      <c r="D12" s="145"/>
      <c r="E12" s="145"/>
      <c r="F12" s="145"/>
      <c r="G12" s="145"/>
      <c r="H12" s="145"/>
      <c r="I12" s="145"/>
      <c r="J12" s="145"/>
      <c r="K12" s="145"/>
      <c r="L12" s="145"/>
      <c r="M12" s="145"/>
      <c r="N12" s="145"/>
      <c r="O12" s="145"/>
      <c r="P12" s="145"/>
      <c r="Q12" s="141"/>
      <c r="R12" s="141"/>
      <c r="S12" s="143"/>
    </row>
    <row r="13" spans="1:19" s="142" customFormat="1" ht="20.100000000000001" customHeight="1">
      <c r="A13" s="139"/>
      <c r="B13" s="145"/>
      <c r="C13" s="145"/>
      <c r="D13" s="145"/>
      <c r="E13" s="145"/>
      <c r="F13" s="145"/>
      <c r="G13" s="145"/>
      <c r="H13" s="145"/>
      <c r="I13" s="145"/>
      <c r="J13" s="145"/>
      <c r="K13" s="145"/>
      <c r="L13" s="145"/>
      <c r="M13" s="145"/>
      <c r="N13" s="145"/>
      <c r="O13" s="145"/>
      <c r="P13" s="145"/>
      <c r="Q13" s="141"/>
      <c r="R13" s="141"/>
      <c r="S13" s="143"/>
    </row>
    <row r="14" spans="1:19" s="142" customFormat="1" ht="20.100000000000001" customHeight="1">
      <c r="A14" s="139"/>
      <c r="B14" s="145"/>
      <c r="C14" s="145"/>
      <c r="D14" s="145"/>
      <c r="E14" s="145"/>
      <c r="F14" s="145"/>
      <c r="G14" s="145"/>
      <c r="H14" s="145"/>
      <c r="I14" s="145"/>
      <c r="J14" s="145"/>
      <c r="K14" s="145"/>
      <c r="L14" s="145"/>
      <c r="M14" s="145"/>
      <c r="N14" s="145"/>
      <c r="O14" s="145"/>
      <c r="P14" s="145"/>
      <c r="Q14" s="141"/>
      <c r="R14" s="141"/>
      <c r="S14" s="143"/>
    </row>
    <row r="15" spans="1:19" s="142" customFormat="1" ht="20.100000000000001" customHeight="1">
      <c r="A15" s="139"/>
      <c r="B15" s="145"/>
      <c r="C15" s="145"/>
      <c r="D15" s="145"/>
      <c r="E15" s="145"/>
      <c r="F15" s="145"/>
      <c r="G15" s="145"/>
      <c r="H15" s="145"/>
      <c r="I15" s="145"/>
      <c r="J15" s="145"/>
      <c r="K15" s="145"/>
      <c r="L15" s="145"/>
      <c r="M15" s="145"/>
      <c r="N15" s="145"/>
      <c r="O15" s="145"/>
      <c r="P15" s="145"/>
      <c r="Q15" s="141"/>
      <c r="R15" s="141"/>
      <c r="S15" s="143"/>
    </row>
    <row r="16" spans="1:19" s="142" customFormat="1" ht="20.100000000000001" customHeight="1">
      <c r="A16" s="139"/>
      <c r="B16" s="145"/>
      <c r="C16" s="145"/>
      <c r="D16" s="145"/>
      <c r="E16" s="145"/>
      <c r="F16" s="145"/>
      <c r="G16" s="145"/>
      <c r="H16" s="145"/>
      <c r="I16" s="145"/>
      <c r="J16" s="145"/>
      <c r="K16" s="145"/>
      <c r="L16" s="145"/>
      <c r="M16" s="145"/>
      <c r="N16" s="145"/>
      <c r="O16" s="145"/>
      <c r="P16" s="145"/>
      <c r="Q16" s="141"/>
      <c r="R16" s="141"/>
      <c r="S16" s="143"/>
    </row>
    <row r="17" spans="1:21" s="142" customFormat="1" ht="20.100000000000001" customHeight="1">
      <c r="A17" s="139"/>
      <c r="B17" s="145"/>
      <c r="C17" s="145"/>
      <c r="D17" s="145"/>
      <c r="E17" s="145"/>
      <c r="F17" s="145"/>
      <c r="G17" s="145"/>
      <c r="H17" s="145"/>
      <c r="I17" s="145"/>
      <c r="J17" s="145"/>
      <c r="K17" s="145"/>
      <c r="L17" s="145"/>
      <c r="M17" s="145"/>
      <c r="N17" s="145"/>
      <c r="O17" s="145"/>
      <c r="P17" s="145"/>
      <c r="Q17" s="141"/>
      <c r="R17" s="141"/>
      <c r="S17" s="143"/>
      <c r="U17" s="135"/>
    </row>
    <row r="18" spans="1:21" s="142" customFormat="1" ht="20.100000000000001" customHeight="1">
      <c r="A18" s="139"/>
      <c r="B18" s="145"/>
      <c r="C18" s="145"/>
      <c r="D18" s="145"/>
      <c r="E18" s="145"/>
      <c r="F18" s="145"/>
      <c r="G18" s="145"/>
      <c r="H18" s="145"/>
      <c r="I18" s="145"/>
      <c r="J18" s="145"/>
      <c r="K18" s="145"/>
      <c r="L18" s="145"/>
      <c r="M18" s="145"/>
      <c r="N18" s="145"/>
      <c r="O18" s="145"/>
      <c r="P18" s="145"/>
      <c r="Q18" s="141"/>
      <c r="R18" s="141"/>
      <c r="S18" s="143"/>
      <c r="U18" s="135"/>
    </row>
    <row r="19" spans="1:21" s="142" customFormat="1" ht="20.100000000000001" customHeight="1">
      <c r="A19" s="139"/>
      <c r="B19" s="145"/>
      <c r="C19" s="145"/>
      <c r="D19" s="145"/>
      <c r="E19" s="145"/>
      <c r="F19" s="145"/>
      <c r="G19" s="145"/>
      <c r="H19" s="145"/>
      <c r="I19" s="145"/>
      <c r="J19" s="145"/>
      <c r="K19" s="145"/>
      <c r="L19" s="145"/>
      <c r="M19" s="145"/>
      <c r="N19" s="145"/>
      <c r="O19" s="145"/>
      <c r="P19" s="145"/>
      <c r="Q19" s="141"/>
      <c r="R19" s="141"/>
      <c r="S19" s="143"/>
      <c r="U19" s="135"/>
    </row>
    <row r="20" spans="1:21" s="142" customFormat="1" ht="20.100000000000001" customHeight="1">
      <c r="A20" s="139"/>
      <c r="B20" s="145"/>
      <c r="C20" s="145"/>
      <c r="D20" s="145"/>
      <c r="E20" s="144" t="s">
        <v>356</v>
      </c>
      <c r="F20" s="145"/>
      <c r="H20" s="144" t="s">
        <v>197</v>
      </c>
      <c r="I20" s="145"/>
      <c r="J20" s="294" t="s">
        <v>358</v>
      </c>
      <c r="K20" s="294"/>
      <c r="L20" s="294"/>
      <c r="M20" s="294"/>
      <c r="N20" s="294"/>
      <c r="O20" s="294"/>
      <c r="P20" s="294"/>
      <c r="Q20" s="294"/>
      <c r="R20" s="294"/>
      <c r="S20" s="141"/>
      <c r="U20" s="135"/>
    </row>
    <row r="21" spans="1:21" s="142" customFormat="1" ht="20.100000000000001" customHeight="1">
      <c r="A21" s="139"/>
      <c r="B21" s="142" t="s">
        <v>357</v>
      </c>
      <c r="C21" s="145"/>
      <c r="D21" s="145"/>
      <c r="E21" s="173" t="s">
        <v>394</v>
      </c>
      <c r="F21" s="167"/>
      <c r="G21" s="145"/>
      <c r="H21" s="173" t="s">
        <v>393</v>
      </c>
      <c r="I21" s="167"/>
      <c r="J21" s="292" t="s">
        <v>359</v>
      </c>
      <c r="K21" s="293"/>
      <c r="L21" s="173">
        <f>ROUNDUP('[1]Design of Crump'!G43*2,1)</f>
        <v>2.8000000000000003</v>
      </c>
      <c r="M21" s="218" t="s">
        <v>9</v>
      </c>
      <c r="N21" s="292" t="s">
        <v>360</v>
      </c>
      <c r="O21" s="293"/>
      <c r="P21" s="173">
        <f>ROUND((P26+P27-L28),2)</f>
        <v>-0.48</v>
      </c>
      <c r="Q21" s="218" t="s">
        <v>9</v>
      </c>
      <c r="R21" s="141"/>
      <c r="S21" s="141"/>
      <c r="U21" s="135"/>
    </row>
    <row r="22" spans="1:21" s="142" customFormat="1" ht="20.100000000000001" customHeight="1">
      <c r="A22" s="139"/>
      <c r="B22" s="167" t="s">
        <v>17</v>
      </c>
      <c r="C22" s="168"/>
      <c r="D22" s="185" t="s">
        <v>88</v>
      </c>
      <c r="E22" s="177">
        <v>1.0583999999999998</v>
      </c>
      <c r="F22" s="182" t="s">
        <v>322</v>
      </c>
      <c r="G22" s="185" t="s">
        <v>88</v>
      </c>
      <c r="H22" s="177">
        <v>0.12240000000000001</v>
      </c>
      <c r="I22" s="184" t="s">
        <v>322</v>
      </c>
      <c r="J22" s="292" t="s">
        <v>361</v>
      </c>
      <c r="K22" s="293"/>
      <c r="L22" s="173">
        <f>0.375*'[1]Design of Crump'!G43</f>
        <v>0.52312499999999984</v>
      </c>
      <c r="M22" s="218" t="s">
        <v>9</v>
      </c>
      <c r="N22" s="292" t="s">
        <v>362</v>
      </c>
      <c r="O22" s="293"/>
      <c r="P22" s="173">
        <f>ROUNDUP(2.5*'[1]Design of Crump'!G45,2)</f>
        <v>0.39</v>
      </c>
      <c r="Q22" s="218" t="s">
        <v>9</v>
      </c>
      <c r="R22" s="141"/>
      <c r="S22" s="141"/>
      <c r="U22" s="135"/>
    </row>
    <row r="23" spans="1:21" s="142" customFormat="1" ht="20.100000000000001" customHeight="1">
      <c r="A23" s="139"/>
      <c r="B23" s="167" t="s">
        <v>25</v>
      </c>
      <c r="C23" s="168"/>
      <c r="D23" s="185" t="s">
        <v>112</v>
      </c>
      <c r="E23" s="177">
        <f>E25-E24</f>
        <v>22.360471219111972</v>
      </c>
      <c r="F23" s="183" t="s">
        <v>330</v>
      </c>
      <c r="G23" s="185" t="s">
        <v>112</v>
      </c>
      <c r="H23" s="177">
        <f>H25-H24</f>
        <v>21.402055885629448</v>
      </c>
      <c r="I23" s="183" t="s">
        <v>330</v>
      </c>
      <c r="J23" s="292" t="s">
        <v>363</v>
      </c>
      <c r="K23" s="293"/>
      <c r="L23" s="173">
        <f>ROUNDUP((0.6+0.25*'[1]Design of Crump'!G43),1)</f>
        <v>1</v>
      </c>
      <c r="M23" s="218" t="s">
        <v>9</v>
      </c>
      <c r="N23" s="292" t="s">
        <v>364</v>
      </c>
      <c r="O23" s="293"/>
      <c r="P23" s="173">
        <f>MAX(0.5,ROUNDUP('[1]Design of Crump'!G87,1))</f>
        <v>1.2000000000000002</v>
      </c>
      <c r="Q23" s="218" t="s">
        <v>9</v>
      </c>
      <c r="R23" s="141"/>
      <c r="S23" s="141"/>
      <c r="U23" s="135"/>
    </row>
    <row r="24" spans="1:21" s="142" customFormat="1" ht="20.100000000000001" customHeight="1">
      <c r="A24" s="139"/>
      <c r="B24" s="167" t="s">
        <v>99</v>
      </c>
      <c r="C24" s="168"/>
      <c r="D24" s="185" t="s">
        <v>100</v>
      </c>
      <c r="E24" s="177">
        <v>0.69424078088804586</v>
      </c>
      <c r="F24" s="183" t="s">
        <v>9</v>
      </c>
      <c r="G24" s="185" t="s">
        <v>100</v>
      </c>
      <c r="H24" s="177">
        <v>0.36577749346433036</v>
      </c>
      <c r="I24" s="183" t="s">
        <v>9</v>
      </c>
      <c r="J24" s="292" t="s">
        <v>365</v>
      </c>
      <c r="K24" s="293"/>
      <c r="L24" s="173">
        <f>ROUNDUP(IF((L22+L23+0.2)&gt;(P23+P24),0.2,MIN(0.6,P23+P24-L22-L23)),1)</f>
        <v>0.6</v>
      </c>
      <c r="M24" s="218" t="s">
        <v>9</v>
      </c>
      <c r="N24" s="292" t="s">
        <v>366</v>
      </c>
      <c r="O24" s="293"/>
      <c r="P24" s="173">
        <f>('[1]Design of Crump'!G42-'[1]Design of Crump'!G123)*'[1]Design of Crump'!G122</f>
        <v>1.8600000000000136</v>
      </c>
      <c r="Q24" s="218" t="s">
        <v>9</v>
      </c>
      <c r="R24" s="141"/>
      <c r="S24" s="141"/>
      <c r="U24" s="135"/>
    </row>
    <row r="25" spans="1:21" s="142" customFormat="1" ht="20.100000000000001" customHeight="1">
      <c r="A25" s="139"/>
      <c r="B25" s="167" t="s">
        <v>26</v>
      </c>
      <c r="C25" s="168"/>
      <c r="D25" s="185" t="s">
        <v>111</v>
      </c>
      <c r="E25" s="177">
        <v>23.054712000000016</v>
      </c>
      <c r="F25" s="183" t="s">
        <v>330</v>
      </c>
      <c r="G25" s="185" t="s">
        <v>111</v>
      </c>
      <c r="H25" s="177">
        <v>21.76783337909378</v>
      </c>
      <c r="I25" s="183" t="s">
        <v>330</v>
      </c>
      <c r="J25" s="292" t="s">
        <v>367</v>
      </c>
      <c r="K25" s="293"/>
      <c r="L25" s="117">
        <v>0.25</v>
      </c>
      <c r="M25" s="218" t="s">
        <v>9</v>
      </c>
      <c r="N25" s="292" t="s">
        <v>368</v>
      </c>
      <c r="O25" s="293"/>
      <c r="P25" s="173">
        <f>2*L25+L26+IF(L24=0.2,(P23+P24-L22-L23),0)</f>
        <v>3.5</v>
      </c>
      <c r="Q25" s="218" t="s">
        <v>9</v>
      </c>
      <c r="R25" s="141"/>
      <c r="S25" s="141"/>
      <c r="U25" s="135"/>
    </row>
    <row r="26" spans="1:21" s="142" customFormat="1" ht="20.100000000000001" customHeight="1">
      <c r="A26" s="139"/>
      <c r="B26" s="167" t="s">
        <v>24</v>
      </c>
      <c r="C26" s="168"/>
      <c r="D26" s="185" t="s">
        <v>338</v>
      </c>
      <c r="E26" s="178">
        <v>1.2</v>
      </c>
      <c r="F26" s="182" t="s">
        <v>93</v>
      </c>
      <c r="G26" s="185" t="s">
        <v>338</v>
      </c>
      <c r="H26" s="178">
        <v>0.5</v>
      </c>
      <c r="I26" s="184" t="s">
        <v>93</v>
      </c>
      <c r="J26" s="292" t="s">
        <v>369</v>
      </c>
      <c r="K26" s="293"/>
      <c r="L26" s="117">
        <v>3</v>
      </c>
      <c r="M26" s="218" t="s">
        <v>9</v>
      </c>
      <c r="N26" s="292" t="s">
        <v>370</v>
      </c>
      <c r="O26" s="293"/>
      <c r="P26" s="173">
        <f>('[1]Design of Crump'!G123-'[1]Stilling Basin'!H68)*1.5</f>
        <v>-0.45000000000000107</v>
      </c>
      <c r="Q26" s="218" t="s">
        <v>9</v>
      </c>
      <c r="R26" s="262"/>
      <c r="S26" s="262"/>
      <c r="T26" s="262"/>
      <c r="U26" s="135"/>
    </row>
    <row r="27" spans="1:21" s="142" customFormat="1" ht="20.100000000000001" customHeight="1">
      <c r="A27" s="139"/>
      <c r="B27" s="167" t="s">
        <v>161</v>
      </c>
      <c r="C27" s="168"/>
      <c r="D27" s="185" t="s">
        <v>9</v>
      </c>
      <c r="E27" s="178">
        <v>1.5</v>
      </c>
      <c r="F27" s="182" t="s">
        <v>20</v>
      </c>
      <c r="G27" s="185" t="s">
        <v>9</v>
      </c>
      <c r="H27" s="178">
        <v>1</v>
      </c>
      <c r="I27" s="184" t="s">
        <v>20</v>
      </c>
      <c r="J27" s="292" t="s">
        <v>371</v>
      </c>
      <c r="K27" s="293"/>
      <c r="L27" s="117">
        <v>0.3</v>
      </c>
      <c r="M27" s="218" t="s">
        <v>9</v>
      </c>
      <c r="N27" s="292" t="s">
        <v>372</v>
      </c>
      <c r="O27" s="293"/>
      <c r="P27" s="173">
        <f>'[1]Stilling Basin'!H74</f>
        <v>2.2000000000000002</v>
      </c>
      <c r="Q27" s="218" t="s">
        <v>9</v>
      </c>
      <c r="R27" s="141"/>
      <c r="S27" s="141"/>
      <c r="U27" s="135"/>
    </row>
    <row r="28" spans="1:21" s="142" customFormat="1" ht="20.100000000000001" customHeight="1">
      <c r="A28" s="139"/>
      <c r="B28" s="167" t="s">
        <v>160</v>
      </c>
      <c r="C28" s="168"/>
      <c r="D28" s="185" t="s">
        <v>46</v>
      </c>
      <c r="E28" s="177">
        <v>2.9999999999999997E-4</v>
      </c>
      <c r="F28" s="183" t="s">
        <v>20</v>
      </c>
      <c r="G28" s="185" t="s">
        <v>46</v>
      </c>
      <c r="H28" s="177">
        <v>2.5000000000000001E-4</v>
      </c>
      <c r="I28" s="183" t="s">
        <v>20</v>
      </c>
      <c r="J28" s="292" t="s">
        <v>373</v>
      </c>
      <c r="K28" s="293"/>
      <c r="L28" s="173">
        <f>((E25+E31)-(H25+H31))*1.5</f>
        <v>2.2303179313593535</v>
      </c>
      <c r="M28" s="218" t="s">
        <v>9</v>
      </c>
      <c r="N28" s="218"/>
      <c r="O28" s="167"/>
      <c r="Q28" s="218"/>
      <c r="R28" s="141"/>
      <c r="S28" s="141"/>
      <c r="U28" s="135"/>
    </row>
    <row r="29" spans="1:21" s="142" customFormat="1" ht="20.100000000000001" customHeight="1">
      <c r="A29" s="139"/>
      <c r="B29" s="168" t="s">
        <v>196</v>
      </c>
      <c r="C29" s="168"/>
      <c r="D29" s="185" t="s">
        <v>27</v>
      </c>
      <c r="E29" s="177">
        <v>1.4285714285714285E-2</v>
      </c>
      <c r="F29" s="182" t="s">
        <v>20</v>
      </c>
      <c r="G29" s="185" t="s">
        <v>27</v>
      </c>
      <c r="H29" s="177">
        <v>1.4285714285714285E-2</v>
      </c>
      <c r="I29" s="184" t="s">
        <v>20</v>
      </c>
      <c r="J29" s="260"/>
      <c r="K29" s="260"/>
      <c r="N29" s="167"/>
      <c r="O29" s="167"/>
      <c r="Q29" s="141"/>
      <c r="R29" s="141"/>
      <c r="S29" s="141"/>
      <c r="U29" s="135"/>
    </row>
    <row r="30" spans="1:21" s="142" customFormat="1" ht="20.100000000000001" customHeight="1">
      <c r="A30" s="139"/>
      <c r="B30" s="168" t="s">
        <v>163</v>
      </c>
      <c r="C30" s="168"/>
      <c r="D30" s="185" t="s">
        <v>339</v>
      </c>
      <c r="E30" s="178">
        <v>0.68018658643516938</v>
      </c>
      <c r="F30" s="182" t="s">
        <v>202</v>
      </c>
      <c r="G30" s="185" t="s">
        <v>341</v>
      </c>
      <c r="H30" s="178">
        <v>0.38650769885658454</v>
      </c>
      <c r="I30" s="182" t="s">
        <v>202</v>
      </c>
      <c r="J30" s="292" t="s">
        <v>374</v>
      </c>
      <c r="K30" s="293"/>
      <c r="L30" s="173">
        <f>'[1]Design of Crump'!G42</f>
        <v>25.665000000000003</v>
      </c>
      <c r="M30" s="261" t="s">
        <v>92</v>
      </c>
      <c r="N30" s="292" t="s">
        <v>375</v>
      </c>
      <c r="O30" s="293"/>
      <c r="P30" s="173">
        <f>E25+E31</f>
        <v>23.554712000000016</v>
      </c>
      <c r="Q30" s="218" t="s">
        <v>92</v>
      </c>
      <c r="R30" s="141"/>
      <c r="S30" s="141"/>
      <c r="U30" s="135"/>
    </row>
    <row r="31" spans="1:21" s="142" customFormat="1" ht="20.100000000000001" customHeight="1">
      <c r="A31" s="139"/>
      <c r="B31" s="167" t="s">
        <v>204</v>
      </c>
      <c r="C31" s="168"/>
      <c r="D31" s="185" t="s">
        <v>340</v>
      </c>
      <c r="E31" s="178">
        <v>0.5</v>
      </c>
      <c r="F31" s="182" t="s">
        <v>9</v>
      </c>
      <c r="G31" s="185" t="s">
        <v>342</v>
      </c>
      <c r="H31" s="178">
        <v>0.3</v>
      </c>
      <c r="I31" s="182" t="s">
        <v>9</v>
      </c>
      <c r="J31" s="292" t="s">
        <v>376</v>
      </c>
      <c r="K31" s="293"/>
      <c r="L31" s="173">
        <f>'[1]Design of Crump'!G123</f>
        <v>25.2</v>
      </c>
      <c r="M31" s="261" t="s">
        <v>92</v>
      </c>
      <c r="N31" s="292" t="s">
        <v>377</v>
      </c>
      <c r="O31" s="293"/>
      <c r="P31" s="173">
        <f>H25+H31</f>
        <v>22.067833379093781</v>
      </c>
      <c r="Q31" s="218" t="s">
        <v>92</v>
      </c>
      <c r="R31" s="141"/>
      <c r="S31" s="141"/>
      <c r="U31" s="135"/>
    </row>
    <row r="32" spans="1:21" s="142" customFormat="1" ht="20.100000000000001" customHeight="1">
      <c r="A32" s="139"/>
      <c r="D32" s="145"/>
      <c r="E32" s="145"/>
      <c r="F32" s="145"/>
      <c r="G32" s="169"/>
      <c r="I32" s="168"/>
      <c r="J32" s="292" t="s">
        <v>378</v>
      </c>
      <c r="K32" s="293"/>
      <c r="L32" s="173">
        <f>'[1]Stilling Basin'!H68</f>
        <v>25.5</v>
      </c>
      <c r="M32" s="261" t="s">
        <v>92</v>
      </c>
      <c r="N32" s="292" t="s">
        <v>379</v>
      </c>
      <c r="O32" s="293"/>
      <c r="P32" s="173">
        <f>E25-H25</f>
        <v>1.2868786209062364</v>
      </c>
      <c r="Q32" s="218" t="s">
        <v>9</v>
      </c>
      <c r="R32" s="135"/>
      <c r="S32" s="135"/>
      <c r="T32" s="135"/>
      <c r="U32" s="135"/>
    </row>
    <row r="33" spans="1:21" s="142" customFormat="1" ht="20.100000000000001" customHeight="1">
      <c r="A33" s="151"/>
      <c r="B33" s="152"/>
      <c r="C33" s="152"/>
      <c r="D33" s="152"/>
      <c r="E33" s="152"/>
      <c r="F33" s="152"/>
      <c r="G33" s="170"/>
      <c r="H33" s="171"/>
      <c r="I33" s="152"/>
      <c r="J33" s="152"/>
      <c r="K33" s="152"/>
      <c r="L33" s="152"/>
      <c r="M33" s="171"/>
      <c r="N33" s="171"/>
      <c r="O33" s="152"/>
      <c r="P33" s="152"/>
      <c r="Q33" s="172"/>
      <c r="R33" s="172"/>
      <c r="S33" s="153"/>
      <c r="U33" s="135"/>
    </row>
    <row r="35" spans="1:21">
      <c r="B35" s="135" t="str">
        <f>"Design of CDG - "&amp;H21 &amp; " off taking from "&amp;E21</f>
        <v>Design of CDG - LMB 3 kn  Tersier BLMB3-T1 off taking from BLMB3</v>
      </c>
    </row>
    <row r="36" spans="1:21">
      <c r="B36" s="164" t="s">
        <v>388</v>
      </c>
      <c r="D36" s="135" t="s">
        <v>389</v>
      </c>
    </row>
    <row r="37" spans="1:21">
      <c r="B37" s="164" t="s">
        <v>390</v>
      </c>
      <c r="C37" s="135" t="s">
        <v>391</v>
      </c>
      <c r="D37" s="135" t="s">
        <v>392</v>
      </c>
    </row>
  </sheetData>
  <mergeCells count="31">
    <mergeCell ref="Q4:S4"/>
    <mergeCell ref="Q1:S3"/>
    <mergeCell ref="O2:P2"/>
    <mergeCell ref="O3:P3"/>
    <mergeCell ref="N26:O26"/>
    <mergeCell ref="A2:M2"/>
    <mergeCell ref="A3:M3"/>
    <mergeCell ref="A4:M5"/>
    <mergeCell ref="A1:M1"/>
    <mergeCell ref="O1:P1"/>
    <mergeCell ref="J27:K27"/>
    <mergeCell ref="N27:O27"/>
    <mergeCell ref="J28:K28"/>
    <mergeCell ref="J30:K30"/>
    <mergeCell ref="N30:O30"/>
    <mergeCell ref="J31:K31"/>
    <mergeCell ref="N31:O31"/>
    <mergeCell ref="J32:K32"/>
    <mergeCell ref="N32:O32"/>
    <mergeCell ref="J20:R20"/>
    <mergeCell ref="J21:K21"/>
    <mergeCell ref="N21:O21"/>
    <mergeCell ref="J22:K22"/>
    <mergeCell ref="N22:O22"/>
    <mergeCell ref="J23:K23"/>
    <mergeCell ref="N23:O23"/>
    <mergeCell ref="J24:K24"/>
    <mergeCell ref="N24:O24"/>
    <mergeCell ref="J25:K25"/>
    <mergeCell ref="N25:O25"/>
    <mergeCell ref="J26:K26"/>
  </mergeCells>
  <phoneticPr fontId="4" type="noConversion"/>
  <pageMargins left="0.51181102362204722" right="0.31496062992125984" top="0.59055118110236227" bottom="0.35433070866141736" header="0" footer="0"/>
  <pageSetup paperSize="9" scale="69" fitToHeight="0"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0585D-60A2-4513-B2C4-7EBAB865D288}">
  <sheetPr codeName="Sheet9"/>
  <dimension ref="A1:AN154"/>
  <sheetViews>
    <sheetView showGridLines="0" view="pageBreakPreview" zoomScale="115" zoomScaleNormal="100" zoomScaleSheetLayoutView="115" workbookViewId="0">
      <selection activeCell="J1" sqref="J1:L3"/>
    </sheetView>
  </sheetViews>
  <sheetFormatPr defaultRowHeight="13.2"/>
  <cols>
    <col min="1" max="1" width="3.44140625" style="135" customWidth="1"/>
    <col min="2" max="2" width="10.5546875" style="164" customWidth="1"/>
    <col min="3" max="9" width="10.5546875" style="135" customWidth="1"/>
    <col min="10" max="11" width="5.5546875" style="135" customWidth="1"/>
    <col min="12" max="12" width="6.5546875" style="135" customWidth="1"/>
    <col min="13" max="13" width="17.77734375" style="187" customWidth="1"/>
    <col min="14" max="15" width="8.88671875" style="188"/>
    <col min="16" max="16" width="17" style="188" bestFit="1" customWidth="1"/>
    <col min="17" max="18" width="8.88671875" style="189"/>
    <col min="19" max="38" width="8.88671875" style="188"/>
    <col min="39" max="40" width="8.88671875" style="190"/>
    <col min="41" max="16384" width="8.88671875" style="135"/>
  </cols>
  <sheetData>
    <row r="1" spans="1:40" ht="20.100000000000001" customHeight="1">
      <c r="A1" s="289" t="str">
        <f>Input!A1</f>
        <v>Project</v>
      </c>
      <c r="B1" s="290"/>
      <c r="C1" s="290"/>
      <c r="D1" s="290"/>
      <c r="E1" s="290"/>
      <c r="F1" s="291"/>
      <c r="G1" s="136" t="s">
        <v>317</v>
      </c>
      <c r="H1" s="303">
        <f>Input!O1</f>
        <v>0</v>
      </c>
      <c r="I1" s="304"/>
      <c r="J1" s="270"/>
      <c r="K1" s="271"/>
      <c r="L1" s="272"/>
      <c r="Q1" s="189" t="s">
        <v>18</v>
      </c>
      <c r="R1" s="189" t="s">
        <v>130</v>
      </c>
      <c r="S1" s="188" t="s">
        <v>131</v>
      </c>
    </row>
    <row r="2" spans="1:40" ht="20.100000000000001" customHeight="1">
      <c r="A2" s="295">
        <f>Input!A2</f>
        <v>0</v>
      </c>
      <c r="B2" s="295"/>
      <c r="C2" s="295"/>
      <c r="D2" s="295"/>
      <c r="E2" s="295"/>
      <c r="F2" s="295"/>
      <c r="G2" s="137" t="s">
        <v>7</v>
      </c>
      <c r="H2" s="303">
        <f>Input!O2</f>
        <v>0</v>
      </c>
      <c r="I2" s="304"/>
      <c r="J2" s="273"/>
      <c r="K2" s="274"/>
      <c r="L2" s="275"/>
      <c r="Q2" s="191">
        <f>MRCurve!R25</f>
        <v>0</v>
      </c>
      <c r="R2" s="191">
        <f>MRCurve!T25</f>
        <v>22.360471219111972</v>
      </c>
      <c r="S2" s="192">
        <f>MRCurve!S25</f>
        <v>0</v>
      </c>
    </row>
    <row r="3" spans="1:40" ht="20.100000000000001" customHeight="1">
      <c r="A3" s="288" t="s">
        <v>6</v>
      </c>
      <c r="B3" s="288"/>
      <c r="C3" s="288"/>
      <c r="D3" s="288"/>
      <c r="E3" s="288"/>
      <c r="F3" s="288"/>
      <c r="G3" s="137" t="s">
        <v>345</v>
      </c>
      <c r="H3" s="303">
        <f>Input!O3</f>
        <v>0</v>
      </c>
      <c r="I3" s="304"/>
      <c r="J3" s="276"/>
      <c r="K3" s="277"/>
      <c r="L3" s="278"/>
      <c r="Q3" s="191">
        <f>MRCurve!R26</f>
        <v>2.5176728681992076E-2</v>
      </c>
      <c r="R3" s="191">
        <f>MRCurve!T26</f>
        <v>22.447251316722976</v>
      </c>
      <c r="S3" s="192">
        <f>MRCurve!S26</f>
        <v>8.678009761100558E-2</v>
      </c>
    </row>
    <row r="4" spans="1:40" ht="20.100000000000001" customHeight="1">
      <c r="A4" s="296">
        <f>Input!A4</f>
        <v>0</v>
      </c>
      <c r="B4" s="296"/>
      <c r="C4" s="296"/>
      <c r="D4" s="296"/>
      <c r="E4" s="296"/>
      <c r="F4" s="296"/>
      <c r="G4" s="136" t="s">
        <v>2</v>
      </c>
      <c r="H4" s="258">
        <f>Input!O4</f>
        <v>0</v>
      </c>
      <c r="I4" s="259">
        <f>Input!P4</f>
        <v>0</v>
      </c>
      <c r="J4" s="285" t="s">
        <v>3</v>
      </c>
      <c r="K4" s="286"/>
      <c r="L4" s="287"/>
      <c r="Q4" s="191">
        <f>MRCurve!R27</f>
        <v>8.2388514341774813E-2</v>
      </c>
      <c r="R4" s="191">
        <f>MRCurve!T27</f>
        <v>22.534031414333981</v>
      </c>
      <c r="S4" s="192">
        <f>MRCurve!S27</f>
        <v>0.17356019522201116</v>
      </c>
    </row>
    <row r="5" spans="1:40" ht="20.100000000000001" customHeight="1">
      <c r="A5" s="296"/>
      <c r="B5" s="296"/>
      <c r="C5" s="296"/>
      <c r="D5" s="296"/>
      <c r="E5" s="296"/>
      <c r="F5" s="296"/>
      <c r="G5" s="136" t="s">
        <v>4</v>
      </c>
      <c r="H5" s="258">
        <f>Input!O5</f>
        <v>0</v>
      </c>
      <c r="I5" s="259">
        <f>Input!P5</f>
        <v>0</v>
      </c>
      <c r="J5" s="4">
        <v>1</v>
      </c>
      <c r="K5" s="138" t="s">
        <v>5</v>
      </c>
      <c r="L5" s="4">
        <v>3</v>
      </c>
      <c r="Q5" s="191">
        <f>MRCurve!R28</f>
        <v>0.16801934993375051</v>
      </c>
      <c r="R5" s="191">
        <f>MRCurve!T28</f>
        <v>22.620811511944989</v>
      </c>
      <c r="S5" s="192">
        <f>MRCurve!S28</f>
        <v>0.26034029283301674</v>
      </c>
    </row>
    <row r="6" spans="1:40" s="142" customFormat="1" ht="20.100000000000001" customHeight="1">
      <c r="A6" s="139"/>
      <c r="B6" s="140"/>
      <c r="C6" s="141"/>
      <c r="D6" s="141"/>
      <c r="E6" s="141"/>
      <c r="L6" s="143"/>
      <c r="M6" s="193"/>
      <c r="N6" s="194"/>
      <c r="O6" s="194"/>
      <c r="P6" s="194"/>
      <c r="Q6" s="191">
        <f>MRCurve!R29</f>
        <v>0.28248642339774765</v>
      </c>
      <c r="R6" s="191">
        <f>MRCurve!T29</f>
        <v>22.707591609555994</v>
      </c>
      <c r="S6" s="192">
        <f>MRCurve!S29</f>
        <v>0.34712039044402232</v>
      </c>
      <c r="T6" s="194"/>
      <c r="U6" s="194"/>
      <c r="V6" s="194"/>
      <c r="W6" s="194"/>
      <c r="X6" s="194"/>
      <c r="Y6" s="194"/>
      <c r="Z6" s="194"/>
      <c r="AA6" s="194"/>
      <c r="AB6" s="194"/>
      <c r="AC6" s="194"/>
      <c r="AD6" s="194"/>
      <c r="AE6" s="194"/>
      <c r="AF6" s="194"/>
      <c r="AG6" s="194"/>
      <c r="AH6" s="194"/>
      <c r="AI6" s="194"/>
      <c r="AJ6" s="194"/>
      <c r="AK6" s="194"/>
      <c r="AL6" s="194"/>
      <c r="AM6" s="195"/>
      <c r="AN6" s="195"/>
    </row>
    <row r="7" spans="1:40" s="142" customFormat="1" ht="10.050000000000001" customHeight="1">
      <c r="A7" s="139"/>
      <c r="B7" s="140"/>
      <c r="C7" s="141"/>
      <c r="D7" s="141"/>
      <c r="E7" s="141"/>
      <c r="L7" s="143"/>
      <c r="M7" s="193"/>
      <c r="N7" s="194"/>
      <c r="O7" s="194"/>
      <c r="P7" s="194"/>
      <c r="Q7" s="191">
        <f>MRCurve!R30</f>
        <v>0.42709256977597615</v>
      </c>
      <c r="R7" s="191">
        <f>MRCurve!T30</f>
        <v>22.794371707166999</v>
      </c>
      <c r="S7" s="192">
        <f>MRCurve!S30</f>
        <v>0.4339004880550279</v>
      </c>
      <c r="T7" s="194"/>
      <c r="U7" s="194"/>
      <c r="V7" s="194"/>
      <c r="W7" s="194"/>
      <c r="X7" s="194"/>
      <c r="Y7" s="194"/>
      <c r="Z7" s="194"/>
      <c r="AA7" s="194"/>
      <c r="AB7" s="194"/>
      <c r="AC7" s="194"/>
      <c r="AD7" s="194"/>
      <c r="AE7" s="194"/>
      <c r="AF7" s="194"/>
      <c r="AG7" s="194"/>
      <c r="AH7" s="194"/>
      <c r="AI7" s="194"/>
      <c r="AJ7" s="194"/>
      <c r="AK7" s="194"/>
      <c r="AL7" s="194"/>
      <c r="AM7" s="195"/>
      <c r="AN7" s="195"/>
    </row>
    <row r="8" spans="1:40" s="142" customFormat="1" ht="10.050000000000001" customHeight="1">
      <c r="A8" s="139"/>
      <c r="B8" s="140"/>
      <c r="C8" s="141"/>
      <c r="D8" s="141"/>
      <c r="E8" s="141"/>
      <c r="L8" s="143"/>
      <c r="M8" s="193"/>
      <c r="N8" s="194"/>
      <c r="O8" s="194"/>
      <c r="P8" s="194"/>
      <c r="Q8" s="191">
        <f>MRCurve!R31</f>
        <v>0.60345147986233549</v>
      </c>
      <c r="R8" s="191">
        <f>MRCurve!T31</f>
        <v>22.881151804778007</v>
      </c>
      <c r="S8" s="192">
        <f>MRCurve!S31</f>
        <v>0.52068058566603348</v>
      </c>
      <c r="T8" s="194"/>
      <c r="U8" s="194"/>
      <c r="V8" s="194"/>
      <c r="W8" s="194"/>
      <c r="X8" s="194"/>
      <c r="Y8" s="194"/>
      <c r="Z8" s="194"/>
      <c r="AA8" s="194"/>
      <c r="AB8" s="194"/>
      <c r="AC8" s="194"/>
      <c r="AD8" s="194"/>
      <c r="AE8" s="194"/>
      <c r="AF8" s="194"/>
      <c r="AG8" s="194"/>
      <c r="AH8" s="194"/>
      <c r="AI8" s="194"/>
      <c r="AJ8" s="194"/>
      <c r="AK8" s="194"/>
      <c r="AL8" s="194"/>
      <c r="AM8" s="195"/>
      <c r="AN8" s="195"/>
    </row>
    <row r="9" spans="1:40" s="142" customFormat="1" ht="10.050000000000001" customHeight="1">
      <c r="A9" s="139"/>
      <c r="B9" s="140"/>
      <c r="C9" s="141"/>
      <c r="D9" s="141"/>
      <c r="E9" s="141"/>
      <c r="L9" s="143"/>
      <c r="M9" s="193"/>
      <c r="N9" s="194"/>
      <c r="O9" s="194"/>
      <c r="P9" s="194"/>
      <c r="Q9" s="191">
        <f>MRCurve!R32</f>
        <v>0.81329608104597428</v>
      </c>
      <c r="R9" s="191">
        <f>MRCurve!T32</f>
        <v>22.967931902389012</v>
      </c>
      <c r="S9" s="192">
        <f>MRCurve!S32</f>
        <v>0.60746068327703906</v>
      </c>
      <c r="T9" s="194"/>
      <c r="U9" s="194"/>
      <c r="V9" s="194"/>
      <c r="W9" s="194"/>
      <c r="X9" s="194"/>
      <c r="Y9" s="194"/>
      <c r="Z9" s="194"/>
      <c r="AA9" s="194"/>
      <c r="AB9" s="194"/>
      <c r="AC9" s="194"/>
      <c r="AD9" s="194"/>
      <c r="AE9" s="194"/>
      <c r="AF9" s="194"/>
      <c r="AG9" s="194"/>
      <c r="AH9" s="194"/>
      <c r="AI9" s="194"/>
      <c r="AJ9" s="194"/>
      <c r="AK9" s="194"/>
      <c r="AL9" s="194"/>
      <c r="AM9" s="195"/>
      <c r="AN9" s="195"/>
    </row>
    <row r="10" spans="1:40" s="142" customFormat="1" ht="10.050000000000001" customHeight="1">
      <c r="A10" s="139"/>
      <c r="B10" s="140"/>
      <c r="C10" s="196"/>
      <c r="D10" s="196"/>
      <c r="E10" s="196"/>
      <c r="F10" s="166"/>
      <c r="G10" s="166"/>
      <c r="H10" s="166"/>
      <c r="I10" s="166"/>
      <c r="L10" s="143"/>
      <c r="M10" s="193"/>
      <c r="N10" s="194"/>
      <c r="O10" s="194"/>
      <c r="P10" s="194"/>
      <c r="Q10" s="191">
        <f>MRCurve!R33</f>
        <v>1.0584004810541163</v>
      </c>
      <c r="R10" s="191">
        <f>MRCurve!T33</f>
        <v>23.054712000000016</v>
      </c>
      <c r="S10" s="192">
        <f>MRCurve!S33</f>
        <v>0.69424078088804464</v>
      </c>
      <c r="T10" s="194"/>
      <c r="U10" s="194"/>
      <c r="V10" s="194"/>
      <c r="W10" s="194"/>
      <c r="X10" s="194"/>
      <c r="Y10" s="194"/>
      <c r="Z10" s="194"/>
      <c r="AA10" s="194"/>
      <c r="AB10" s="194"/>
      <c r="AC10" s="194"/>
      <c r="AD10" s="194"/>
      <c r="AE10" s="194"/>
      <c r="AF10" s="194"/>
      <c r="AG10" s="194"/>
      <c r="AH10" s="194"/>
      <c r="AI10" s="194"/>
      <c r="AJ10" s="194"/>
      <c r="AK10" s="194"/>
      <c r="AL10" s="194"/>
      <c r="AM10" s="195"/>
      <c r="AN10" s="195"/>
    </row>
    <row r="11" spans="1:40" s="142" customFormat="1" ht="10.050000000000001" customHeight="1">
      <c r="A11" s="139"/>
      <c r="B11" s="140"/>
      <c r="C11" s="196"/>
      <c r="D11" s="196"/>
      <c r="E11" s="196"/>
      <c r="F11" s="166"/>
      <c r="G11" s="166"/>
      <c r="H11" s="166"/>
      <c r="I11" s="166"/>
      <c r="L11" s="143"/>
      <c r="M11" s="193"/>
      <c r="N11" s="194"/>
      <c r="O11" s="194"/>
      <c r="P11" s="194"/>
      <c r="Q11" s="191">
        <f>MRCurve!R34</f>
        <v>1.3405445892996923</v>
      </c>
      <c r="R11" s="191">
        <f>MRCurve!T34</f>
        <v>23.141492097611021</v>
      </c>
      <c r="S11" s="192">
        <f>MRCurve!S34</f>
        <v>0.78102087849905022</v>
      </c>
      <c r="T11" s="194"/>
      <c r="U11" s="194"/>
      <c r="V11" s="194"/>
      <c r="W11" s="194"/>
      <c r="X11" s="194"/>
      <c r="Y11" s="194"/>
      <c r="Z11" s="194"/>
      <c r="AA11" s="194"/>
      <c r="AB11" s="194"/>
      <c r="AC11" s="194"/>
      <c r="AD11" s="194"/>
      <c r="AE11" s="194"/>
      <c r="AF11" s="194"/>
      <c r="AG11" s="194"/>
      <c r="AH11" s="194"/>
      <c r="AI11" s="194"/>
      <c r="AJ11" s="194"/>
      <c r="AK11" s="194"/>
      <c r="AL11" s="194"/>
      <c r="AM11" s="195"/>
      <c r="AN11" s="195"/>
    </row>
    <row r="12" spans="1:40" s="142" customFormat="1" ht="10.050000000000001" customHeight="1">
      <c r="A12" s="139"/>
      <c r="B12" s="167"/>
      <c r="C12" s="166"/>
      <c r="D12" s="166"/>
      <c r="E12" s="166"/>
      <c r="F12" s="166"/>
      <c r="G12" s="166"/>
      <c r="H12" s="166"/>
      <c r="I12" s="166"/>
      <c r="L12" s="143"/>
      <c r="M12" s="193"/>
      <c r="N12" s="194"/>
      <c r="O12" s="194"/>
      <c r="P12" s="194"/>
      <c r="Q12" s="191">
        <f>MRCurve!R35</f>
        <v>1.6614971429292222</v>
      </c>
      <c r="R12" s="191">
        <f>MRCurve!T35</f>
        <v>23.228272195222026</v>
      </c>
      <c r="S12" s="192">
        <f>MRCurve!S35</f>
        <v>0.8678009761100558</v>
      </c>
      <c r="T12" s="194"/>
      <c r="U12" s="194"/>
      <c r="V12" s="194"/>
      <c r="W12" s="194"/>
      <c r="X12" s="194"/>
      <c r="Y12" s="194"/>
      <c r="Z12" s="194"/>
      <c r="AA12" s="194"/>
      <c r="AB12" s="194"/>
      <c r="AC12" s="194"/>
      <c r="AD12" s="194"/>
      <c r="AE12" s="194"/>
      <c r="AF12" s="194"/>
      <c r="AG12" s="194"/>
      <c r="AH12" s="194"/>
      <c r="AI12" s="194"/>
      <c r="AJ12" s="194"/>
      <c r="AK12" s="194"/>
      <c r="AL12" s="194"/>
      <c r="AM12" s="195"/>
      <c r="AN12" s="195"/>
    </row>
    <row r="13" spans="1:40" s="142" customFormat="1" ht="10.050000000000001" customHeight="1">
      <c r="A13" s="139"/>
      <c r="B13" s="167"/>
      <c r="C13" s="166"/>
      <c r="D13" s="297">
        <f>Input!E25</f>
        <v>23.054712000000016</v>
      </c>
      <c r="E13" s="297"/>
      <c r="F13" s="166"/>
      <c r="G13" s="166"/>
      <c r="H13" s="166"/>
      <c r="I13" s="166"/>
      <c r="L13" s="143"/>
      <c r="M13" s="193"/>
      <c r="N13" s="194"/>
      <c r="O13" s="194"/>
      <c r="P13" s="194"/>
      <c r="Q13" s="197"/>
      <c r="R13" s="197"/>
      <c r="S13" s="194"/>
      <c r="T13" s="194"/>
      <c r="U13" s="194"/>
      <c r="V13" s="194"/>
      <c r="W13" s="194"/>
      <c r="X13" s="194"/>
      <c r="Y13" s="194"/>
      <c r="Z13" s="194"/>
      <c r="AA13" s="194"/>
      <c r="AB13" s="194"/>
      <c r="AC13" s="194"/>
      <c r="AD13" s="194"/>
      <c r="AE13" s="194"/>
      <c r="AF13" s="194"/>
      <c r="AG13" s="194"/>
      <c r="AH13" s="194"/>
      <c r="AI13" s="194"/>
      <c r="AJ13" s="194"/>
      <c r="AK13" s="194"/>
      <c r="AL13" s="194"/>
      <c r="AM13" s="195"/>
      <c r="AN13" s="195"/>
    </row>
    <row r="14" spans="1:40" s="142" customFormat="1" ht="10.050000000000001" customHeight="1">
      <c r="A14" s="139"/>
      <c r="B14" s="167"/>
      <c r="C14" s="166"/>
      <c r="D14" s="166"/>
      <c r="E14" s="166"/>
      <c r="F14" s="166"/>
      <c r="G14" s="166"/>
      <c r="H14" s="166"/>
      <c r="I14" s="166"/>
      <c r="L14" s="143"/>
      <c r="M14" s="193"/>
      <c r="N14" s="194"/>
      <c r="O14" s="194"/>
      <c r="P14" s="194"/>
      <c r="Q14" s="197"/>
      <c r="R14" s="197"/>
      <c r="S14" s="194"/>
      <c r="T14" s="194"/>
      <c r="U14" s="194"/>
      <c r="V14" s="194"/>
      <c r="W14" s="194"/>
      <c r="X14" s="194"/>
      <c r="Y14" s="194"/>
      <c r="Z14" s="194"/>
      <c r="AA14" s="194"/>
      <c r="AB14" s="194"/>
      <c r="AC14" s="194"/>
      <c r="AD14" s="194"/>
      <c r="AE14" s="194"/>
      <c r="AF14" s="194"/>
      <c r="AG14" s="194"/>
      <c r="AH14" s="194"/>
      <c r="AI14" s="194"/>
      <c r="AJ14" s="194"/>
      <c r="AK14" s="194"/>
      <c r="AL14" s="194"/>
      <c r="AM14" s="195"/>
      <c r="AN14" s="195"/>
    </row>
    <row r="15" spans="1:40" s="142" customFormat="1" ht="10.050000000000001" customHeight="1">
      <c r="A15" s="139"/>
      <c r="B15" s="167"/>
      <c r="C15" s="166"/>
      <c r="D15" s="166"/>
      <c r="E15" s="166"/>
      <c r="F15" s="166"/>
      <c r="G15" s="166"/>
      <c r="H15" s="166"/>
      <c r="I15" s="166"/>
      <c r="L15" s="143"/>
      <c r="M15" s="193"/>
      <c r="N15" s="194"/>
      <c r="O15" s="194"/>
      <c r="P15" s="194"/>
      <c r="Q15" s="197"/>
      <c r="R15" s="197"/>
      <c r="S15" s="194"/>
      <c r="T15" s="194"/>
      <c r="U15" s="194"/>
      <c r="V15" s="194"/>
      <c r="W15" s="194"/>
      <c r="X15" s="194"/>
      <c r="Y15" s="194"/>
      <c r="Z15" s="194"/>
      <c r="AA15" s="194"/>
      <c r="AB15" s="194"/>
      <c r="AC15" s="194"/>
      <c r="AD15" s="194"/>
      <c r="AE15" s="194"/>
      <c r="AF15" s="194"/>
      <c r="AG15" s="194"/>
      <c r="AH15" s="194"/>
      <c r="AI15" s="194"/>
      <c r="AJ15" s="194"/>
      <c r="AK15" s="194"/>
      <c r="AL15" s="194"/>
      <c r="AM15" s="195"/>
      <c r="AN15" s="195"/>
    </row>
    <row r="16" spans="1:40" s="142" customFormat="1" ht="10.050000000000001" customHeight="1">
      <c r="A16" s="139"/>
      <c r="B16" s="167"/>
      <c r="C16" s="166"/>
      <c r="D16" s="166"/>
      <c r="E16" s="198">
        <f>G43</f>
        <v>0.62481670279924018</v>
      </c>
      <c r="F16" s="166"/>
      <c r="G16" s="166"/>
      <c r="H16" s="166"/>
      <c r="I16" s="166"/>
      <c r="L16" s="143"/>
      <c r="M16" s="193"/>
      <c r="N16" s="194"/>
      <c r="O16" s="194"/>
      <c r="P16" s="194"/>
      <c r="Q16" s="197"/>
      <c r="R16" s="197"/>
      <c r="S16" s="194"/>
      <c r="T16" s="194"/>
      <c r="U16" s="194"/>
      <c r="V16" s="194"/>
      <c r="W16" s="194"/>
      <c r="X16" s="194"/>
      <c r="Y16" s="194"/>
      <c r="Z16" s="194"/>
      <c r="AA16" s="194"/>
      <c r="AB16" s="194"/>
      <c r="AC16" s="194"/>
      <c r="AD16" s="194"/>
      <c r="AE16" s="194"/>
      <c r="AF16" s="194"/>
      <c r="AG16" s="194"/>
      <c r="AH16" s="194"/>
      <c r="AI16" s="194"/>
      <c r="AJ16" s="194"/>
      <c r="AK16" s="194"/>
      <c r="AL16" s="194"/>
      <c r="AM16" s="195"/>
      <c r="AN16" s="195"/>
    </row>
    <row r="17" spans="1:40" s="142" customFormat="1" ht="10.050000000000001" customHeight="1">
      <c r="A17" s="139"/>
      <c r="B17" s="167"/>
      <c r="C17" s="166"/>
      <c r="D17" s="166"/>
      <c r="E17" s="166"/>
      <c r="L17" s="143"/>
      <c r="M17" s="193"/>
      <c r="N17" s="194"/>
      <c r="O17" s="194"/>
      <c r="P17" s="194"/>
      <c r="Q17" s="197"/>
      <c r="R17" s="197"/>
      <c r="S17" s="194"/>
      <c r="T17" s="194"/>
      <c r="U17" s="194"/>
      <c r="V17" s="194"/>
      <c r="W17" s="194"/>
      <c r="X17" s="194"/>
      <c r="Y17" s="194"/>
      <c r="Z17" s="194"/>
      <c r="AA17" s="194"/>
      <c r="AB17" s="194"/>
      <c r="AC17" s="194"/>
      <c r="AD17" s="194"/>
      <c r="AE17" s="194"/>
      <c r="AF17" s="194"/>
      <c r="AG17" s="194"/>
      <c r="AH17" s="194"/>
      <c r="AI17" s="194"/>
      <c r="AJ17" s="194"/>
      <c r="AK17" s="194"/>
      <c r="AL17" s="194"/>
      <c r="AM17" s="195"/>
      <c r="AN17" s="195"/>
    </row>
    <row r="18" spans="1:40" s="142" customFormat="1" ht="10.050000000000001" customHeight="1">
      <c r="A18" s="139"/>
      <c r="B18" s="167"/>
      <c r="C18" s="166"/>
      <c r="D18" s="166"/>
      <c r="E18" s="166"/>
      <c r="F18" s="166"/>
      <c r="G18" s="166"/>
      <c r="H18" s="166"/>
      <c r="I18" s="166"/>
      <c r="L18" s="143"/>
      <c r="M18" s="193"/>
      <c r="N18" s="194"/>
      <c r="O18" s="194"/>
      <c r="P18" s="194"/>
      <c r="Q18" s="197"/>
      <c r="R18" s="197"/>
      <c r="S18" s="194"/>
      <c r="T18" s="194"/>
      <c r="U18" s="194"/>
      <c r="V18" s="194"/>
      <c r="W18" s="194"/>
      <c r="X18" s="194"/>
      <c r="Y18" s="194"/>
      <c r="Z18" s="194"/>
      <c r="AA18" s="194"/>
      <c r="AB18" s="194"/>
      <c r="AC18" s="194"/>
      <c r="AD18" s="194"/>
      <c r="AE18" s="194"/>
      <c r="AF18" s="194"/>
      <c r="AG18" s="194"/>
      <c r="AH18" s="194"/>
      <c r="AI18" s="194"/>
      <c r="AJ18" s="194"/>
      <c r="AK18" s="194"/>
      <c r="AL18" s="194"/>
      <c r="AM18" s="195"/>
      <c r="AN18" s="195"/>
    </row>
    <row r="19" spans="1:40" s="142" customFormat="1" ht="15.3" customHeight="1">
      <c r="A19" s="139"/>
      <c r="B19" s="167"/>
      <c r="C19" s="166"/>
      <c r="D19" s="166"/>
      <c r="F19" s="199">
        <f>G46</f>
        <v>0.10091162469022241</v>
      </c>
      <c r="G19" s="300">
        <f>G42</f>
        <v>22.429895297200776</v>
      </c>
      <c r="H19" s="300"/>
      <c r="I19" s="166"/>
      <c r="L19" s="143"/>
      <c r="M19" s="193"/>
      <c r="N19" s="194"/>
      <c r="O19" s="194"/>
      <c r="P19" s="194"/>
      <c r="Q19" s="197"/>
      <c r="R19" s="197"/>
      <c r="S19" s="194"/>
      <c r="T19" s="194"/>
      <c r="U19" s="194"/>
      <c r="V19" s="194"/>
      <c r="W19" s="194"/>
      <c r="X19" s="194"/>
      <c r="Y19" s="194"/>
      <c r="Z19" s="194"/>
      <c r="AA19" s="194"/>
      <c r="AB19" s="194"/>
      <c r="AC19" s="194"/>
      <c r="AD19" s="194"/>
      <c r="AE19" s="194"/>
      <c r="AF19" s="194"/>
      <c r="AG19" s="194"/>
      <c r="AH19" s="194"/>
      <c r="AI19" s="194"/>
      <c r="AJ19" s="194"/>
      <c r="AK19" s="194"/>
      <c r="AL19" s="194"/>
      <c r="AM19" s="195"/>
      <c r="AN19" s="195"/>
    </row>
    <row r="20" spans="1:40" s="142" customFormat="1" ht="10.050000000000001" customHeight="1">
      <c r="A20" s="139"/>
      <c r="B20" s="167"/>
      <c r="C20" s="166"/>
      <c r="D20" s="166"/>
      <c r="E20" s="200"/>
      <c r="F20" s="199"/>
      <c r="G20" s="166"/>
      <c r="H20" s="166"/>
      <c r="I20" s="166"/>
      <c r="L20" s="143"/>
      <c r="M20" s="193"/>
      <c r="N20" s="194"/>
      <c r="O20" s="194"/>
      <c r="P20" s="194"/>
      <c r="Q20" s="197"/>
      <c r="R20" s="197"/>
      <c r="S20" s="194"/>
      <c r="T20" s="194"/>
      <c r="U20" s="194"/>
      <c r="V20" s="194"/>
      <c r="W20" s="194"/>
      <c r="X20" s="194"/>
      <c r="Y20" s="194"/>
      <c r="Z20" s="194"/>
      <c r="AA20" s="194"/>
      <c r="AB20" s="194"/>
      <c r="AC20" s="194"/>
      <c r="AD20" s="194"/>
      <c r="AE20" s="194"/>
      <c r="AF20" s="194"/>
      <c r="AG20" s="194"/>
      <c r="AH20" s="194"/>
      <c r="AI20" s="194"/>
      <c r="AJ20" s="194"/>
      <c r="AK20" s="194"/>
      <c r="AL20" s="194"/>
      <c r="AM20" s="195"/>
      <c r="AN20" s="195"/>
    </row>
    <row r="21" spans="1:40" s="142" customFormat="1" ht="10.050000000000001" customHeight="1">
      <c r="A21" s="139"/>
      <c r="B21" s="167"/>
      <c r="C21" s="166"/>
      <c r="D21" s="166"/>
      <c r="E21" s="306">
        <f>G19-C22</f>
        <v>6.9424078088804464E-2</v>
      </c>
      <c r="F21" s="166"/>
      <c r="G21" s="166"/>
      <c r="H21" s="166"/>
      <c r="I21" s="166"/>
      <c r="L21" s="143"/>
      <c r="M21" s="193"/>
      <c r="N21" s="194"/>
      <c r="O21" s="194"/>
      <c r="P21" s="194"/>
      <c r="Q21" s="197"/>
      <c r="R21" s="197"/>
      <c r="S21" s="194"/>
      <c r="T21" s="194"/>
      <c r="U21" s="194"/>
      <c r="V21" s="194"/>
      <c r="W21" s="194"/>
      <c r="X21" s="194"/>
      <c r="Y21" s="194"/>
      <c r="Z21" s="194"/>
      <c r="AA21" s="194"/>
      <c r="AB21" s="194"/>
      <c r="AC21" s="194"/>
      <c r="AD21" s="194"/>
      <c r="AE21" s="194"/>
      <c r="AF21" s="194"/>
      <c r="AG21" s="194"/>
      <c r="AH21" s="194"/>
      <c r="AI21" s="194"/>
      <c r="AJ21" s="194"/>
      <c r="AK21" s="194"/>
      <c r="AL21" s="194"/>
      <c r="AM21" s="195"/>
      <c r="AN21" s="195"/>
    </row>
    <row r="22" spans="1:40" s="142" customFormat="1" ht="10.050000000000001" customHeight="1">
      <c r="A22" s="139"/>
      <c r="B22" s="167"/>
      <c r="C22" s="301">
        <f>Input!E23</f>
        <v>22.360471219111972</v>
      </c>
      <c r="D22" s="301"/>
      <c r="E22" s="306"/>
      <c r="G22" s="166"/>
      <c r="H22" s="166"/>
      <c r="I22" s="166"/>
      <c r="L22" s="143"/>
      <c r="M22" s="193"/>
      <c r="N22" s="194"/>
      <c r="O22" s="194"/>
      <c r="P22" s="194"/>
      <c r="Q22" s="197"/>
      <c r="R22" s="197"/>
      <c r="S22" s="194"/>
      <c r="T22" s="194"/>
      <c r="U22" s="194"/>
      <c r="V22" s="194"/>
      <c r="W22" s="194"/>
      <c r="X22" s="194"/>
      <c r="Y22" s="194"/>
      <c r="Z22" s="194"/>
      <c r="AA22" s="194"/>
      <c r="AB22" s="194"/>
      <c r="AC22" s="194"/>
      <c r="AD22" s="194"/>
      <c r="AE22" s="194"/>
      <c r="AF22" s="194"/>
      <c r="AG22" s="194"/>
      <c r="AH22" s="194"/>
      <c r="AI22" s="194"/>
      <c r="AJ22" s="194"/>
      <c r="AK22" s="194"/>
      <c r="AL22" s="194"/>
      <c r="AM22" s="195"/>
      <c r="AN22" s="195"/>
    </row>
    <row r="23" spans="1:40" s="142" customFormat="1" ht="10.050000000000001" customHeight="1">
      <c r="A23" s="139"/>
      <c r="B23" s="167"/>
      <c r="C23" s="301"/>
      <c r="D23" s="301"/>
      <c r="F23" s="201"/>
      <c r="I23" s="166"/>
      <c r="L23" s="143"/>
      <c r="M23" s="193"/>
      <c r="N23" s="194"/>
      <c r="O23" s="194"/>
      <c r="P23" s="194"/>
      <c r="Q23" s="197"/>
      <c r="R23" s="197"/>
      <c r="S23" s="194"/>
      <c r="T23" s="194"/>
      <c r="U23" s="194"/>
      <c r="V23" s="194"/>
      <c r="W23" s="194"/>
      <c r="X23" s="194"/>
      <c r="Y23" s="194"/>
      <c r="Z23" s="194"/>
      <c r="AA23" s="194"/>
      <c r="AB23" s="194"/>
      <c r="AC23" s="194"/>
      <c r="AD23" s="194"/>
      <c r="AE23" s="194"/>
      <c r="AF23" s="194"/>
      <c r="AG23" s="194"/>
      <c r="AH23" s="194"/>
      <c r="AI23" s="194"/>
      <c r="AJ23" s="194"/>
      <c r="AK23" s="194"/>
      <c r="AL23" s="194"/>
      <c r="AM23" s="195"/>
      <c r="AN23" s="195"/>
    </row>
    <row r="24" spans="1:40" s="142" customFormat="1" ht="10.050000000000001" customHeight="1">
      <c r="A24" s="139"/>
      <c r="B24" s="167"/>
      <c r="C24" s="166"/>
      <c r="D24" s="166"/>
      <c r="E24" s="166"/>
      <c r="F24" s="307">
        <f>G39</f>
        <v>0.4</v>
      </c>
      <c r="G24" s="307"/>
      <c r="H24" s="201"/>
      <c r="I24" s="166"/>
      <c r="L24" s="143"/>
      <c r="M24" s="193"/>
      <c r="N24" s="194"/>
      <c r="O24" s="194"/>
      <c r="P24" s="194"/>
      <c r="Q24" s="197"/>
      <c r="R24" s="197"/>
      <c r="S24" s="194"/>
      <c r="T24" s="194"/>
      <c r="U24" s="194"/>
      <c r="V24" s="194"/>
      <c r="W24" s="194"/>
      <c r="X24" s="194"/>
      <c r="Y24" s="194"/>
      <c r="Z24" s="194"/>
      <c r="AA24" s="194"/>
      <c r="AB24" s="194"/>
      <c r="AC24" s="194"/>
      <c r="AD24" s="194"/>
      <c r="AE24" s="194"/>
      <c r="AF24" s="194"/>
      <c r="AG24" s="194"/>
      <c r="AH24" s="194"/>
      <c r="AI24" s="194"/>
      <c r="AJ24" s="194"/>
      <c r="AK24" s="194"/>
      <c r="AL24" s="194"/>
      <c r="AM24" s="195"/>
      <c r="AN24" s="195"/>
    </row>
    <row r="25" spans="1:40" s="142" customFormat="1" ht="10.050000000000001" customHeight="1">
      <c r="A25" s="139"/>
      <c r="B25" s="167"/>
      <c r="C25" s="166"/>
      <c r="D25" s="166"/>
      <c r="E25" s="166"/>
      <c r="F25" s="201"/>
      <c r="G25" s="201"/>
      <c r="H25" s="305"/>
      <c r="I25" s="305"/>
      <c r="L25" s="143"/>
      <c r="M25" s="193"/>
      <c r="N25" s="194"/>
      <c r="O25" s="194"/>
      <c r="P25" s="194"/>
      <c r="Q25" s="197"/>
      <c r="R25" s="197"/>
      <c r="S25" s="194"/>
      <c r="T25" s="194"/>
      <c r="U25" s="194"/>
      <c r="V25" s="194"/>
      <c r="W25" s="194"/>
      <c r="X25" s="194"/>
      <c r="Y25" s="194"/>
      <c r="Z25" s="194"/>
      <c r="AA25" s="194"/>
      <c r="AB25" s="194"/>
      <c r="AC25" s="194"/>
      <c r="AD25" s="194"/>
      <c r="AE25" s="194"/>
      <c r="AF25" s="194"/>
      <c r="AG25" s="194"/>
      <c r="AH25" s="194"/>
      <c r="AI25" s="194"/>
      <c r="AJ25" s="194"/>
      <c r="AK25" s="194"/>
      <c r="AL25" s="194"/>
      <c r="AM25" s="195"/>
      <c r="AN25" s="195"/>
    </row>
    <row r="26" spans="1:40" s="142" customFormat="1" ht="18" customHeight="1">
      <c r="A26" s="139"/>
      <c r="B26" s="202" t="s">
        <v>328</v>
      </c>
      <c r="C26" s="196"/>
      <c r="D26" s="196"/>
      <c r="E26" s="196"/>
      <c r="F26" s="166"/>
      <c r="H26" s="166"/>
      <c r="L26" s="143"/>
      <c r="M26" s="193"/>
      <c r="N26" s="194"/>
      <c r="O26" s="194"/>
      <c r="P26" s="194"/>
      <c r="Q26" s="203"/>
      <c r="R26" s="203"/>
      <c r="S26" s="194"/>
      <c r="T26" s="194"/>
      <c r="U26" s="194"/>
      <c r="V26" s="194"/>
      <c r="W26" s="194"/>
      <c r="X26" s="194"/>
      <c r="Y26" s="194"/>
      <c r="Z26" s="194"/>
      <c r="AA26" s="194"/>
      <c r="AB26" s="194"/>
      <c r="AC26" s="194"/>
      <c r="AD26" s="194"/>
      <c r="AE26" s="194"/>
      <c r="AF26" s="194"/>
      <c r="AG26" s="194"/>
      <c r="AH26" s="194"/>
      <c r="AI26" s="194"/>
      <c r="AJ26" s="194"/>
      <c r="AK26" s="194"/>
      <c r="AL26" s="194"/>
      <c r="AM26" s="195"/>
      <c r="AN26" s="195"/>
    </row>
    <row r="27" spans="1:40" s="142" customFormat="1" ht="18" customHeight="1">
      <c r="A27" s="139"/>
      <c r="B27" s="202"/>
      <c r="C27" s="196"/>
      <c r="D27" s="196"/>
      <c r="F27" s="204"/>
      <c r="H27" s="166"/>
      <c r="L27" s="143"/>
      <c r="M27" s="193"/>
      <c r="N27" s="194"/>
      <c r="O27" s="194"/>
      <c r="P27" s="181"/>
      <c r="Q27" s="203"/>
      <c r="R27" s="203"/>
      <c r="S27" s="194"/>
      <c r="T27" s="194"/>
      <c r="U27" s="194"/>
      <c r="V27" s="194"/>
      <c r="W27" s="194"/>
      <c r="X27" s="194"/>
      <c r="Y27" s="194"/>
      <c r="Z27" s="194"/>
      <c r="AA27" s="194"/>
      <c r="AB27" s="194"/>
      <c r="AC27" s="194"/>
      <c r="AD27" s="194"/>
      <c r="AE27" s="194"/>
      <c r="AF27" s="194"/>
      <c r="AG27" s="194"/>
      <c r="AH27" s="194"/>
      <c r="AI27" s="194"/>
      <c r="AJ27" s="194"/>
      <c r="AK27" s="194"/>
      <c r="AL27" s="194"/>
      <c r="AM27" s="195"/>
      <c r="AN27" s="195"/>
    </row>
    <row r="28" spans="1:40" s="142" customFormat="1" ht="18" customHeight="1">
      <c r="A28" s="139"/>
      <c r="B28" s="167" t="s">
        <v>334</v>
      </c>
      <c r="C28" s="196"/>
      <c r="D28" s="196"/>
      <c r="F28" s="204" t="s">
        <v>335</v>
      </c>
      <c r="G28" s="205">
        <f>Input!E22</f>
        <v>1.0583999999999998</v>
      </c>
      <c r="H28" s="166" t="s">
        <v>322</v>
      </c>
      <c r="L28" s="143"/>
      <c r="M28" s="193"/>
      <c r="N28" s="194"/>
      <c r="O28" s="194"/>
      <c r="P28" s="194"/>
      <c r="Q28" s="203"/>
      <c r="R28" s="203"/>
      <c r="S28" s="194"/>
      <c r="T28" s="194"/>
      <c r="U28" s="194"/>
      <c r="V28" s="194"/>
      <c r="W28" s="194"/>
      <c r="X28" s="194"/>
      <c r="Y28" s="194"/>
      <c r="Z28" s="194"/>
      <c r="AA28" s="194"/>
      <c r="AB28" s="194"/>
      <c r="AC28" s="194"/>
      <c r="AD28" s="194"/>
      <c r="AE28" s="194"/>
      <c r="AF28" s="194"/>
      <c r="AG28" s="194"/>
      <c r="AH28" s="194"/>
      <c r="AI28" s="194"/>
      <c r="AJ28" s="194"/>
      <c r="AK28" s="194"/>
      <c r="AL28" s="194"/>
      <c r="AM28" s="195"/>
      <c r="AN28" s="195"/>
    </row>
    <row r="29" spans="1:40" s="142" customFormat="1" ht="18" customHeight="1">
      <c r="A29" s="139"/>
      <c r="B29" s="167" t="s">
        <v>128</v>
      </c>
      <c r="C29" s="196"/>
      <c r="D29" s="196"/>
      <c r="F29" s="204"/>
      <c r="G29" s="205">
        <f>Input!H22</f>
        <v>0.12240000000000001</v>
      </c>
      <c r="H29" s="166" t="s">
        <v>322</v>
      </c>
      <c r="L29" s="143"/>
      <c r="M29" s="193"/>
      <c r="N29" s="194"/>
      <c r="O29" s="194"/>
      <c r="P29" s="194"/>
      <c r="Q29" s="203"/>
      <c r="R29" s="203"/>
      <c r="S29" s="194"/>
      <c r="T29" s="194"/>
      <c r="U29" s="194"/>
      <c r="V29" s="194"/>
      <c r="W29" s="194"/>
      <c r="X29" s="194"/>
      <c r="Y29" s="194"/>
      <c r="Z29" s="194"/>
      <c r="AA29" s="194"/>
      <c r="AB29" s="194"/>
      <c r="AC29" s="194"/>
      <c r="AD29" s="194"/>
      <c r="AE29" s="194"/>
      <c r="AF29" s="194"/>
      <c r="AG29" s="194"/>
      <c r="AH29" s="194"/>
      <c r="AI29" s="194"/>
      <c r="AJ29" s="194"/>
      <c r="AK29" s="194"/>
      <c r="AL29" s="194"/>
      <c r="AM29" s="195"/>
      <c r="AN29" s="195"/>
    </row>
    <row r="30" spans="1:40" s="142" customFormat="1" ht="18" customHeight="1">
      <c r="A30" s="139"/>
      <c r="B30" s="167" t="s">
        <v>107</v>
      </c>
      <c r="C30" s="196"/>
      <c r="D30" s="196"/>
      <c r="F30" s="204" t="s">
        <v>111</v>
      </c>
      <c r="G30" s="205">
        <f>Input!E25</f>
        <v>23.054712000000016</v>
      </c>
      <c r="H30" s="166" t="s">
        <v>92</v>
      </c>
      <c r="L30" s="143"/>
      <c r="M30" s="193"/>
      <c r="N30" s="194"/>
      <c r="O30" s="180"/>
      <c r="P30" s="194"/>
      <c r="Q30" s="203"/>
      <c r="R30" s="203"/>
      <c r="S30" s="194"/>
      <c r="T30" s="194"/>
      <c r="U30" s="194"/>
      <c r="V30" s="194"/>
      <c r="W30" s="194"/>
      <c r="X30" s="194"/>
      <c r="Y30" s="194"/>
      <c r="Z30" s="194"/>
      <c r="AA30" s="194"/>
      <c r="AB30" s="194"/>
      <c r="AC30" s="194"/>
      <c r="AD30" s="194"/>
      <c r="AE30" s="194"/>
      <c r="AF30" s="194"/>
      <c r="AG30" s="194"/>
      <c r="AH30" s="194"/>
      <c r="AI30" s="194"/>
      <c r="AJ30" s="194"/>
      <c r="AK30" s="194"/>
      <c r="AL30" s="194"/>
      <c r="AM30" s="195"/>
      <c r="AN30" s="195"/>
    </row>
    <row r="31" spans="1:40" s="142" customFormat="1" ht="18" customHeight="1">
      <c r="A31" s="139"/>
      <c r="B31" s="142" t="s">
        <v>108</v>
      </c>
      <c r="F31" s="204" t="s">
        <v>112</v>
      </c>
      <c r="G31" s="206">
        <f>Input!E23</f>
        <v>22.360471219111972</v>
      </c>
      <c r="H31" s="166" t="s">
        <v>92</v>
      </c>
      <c r="L31" s="143"/>
      <c r="M31" s="193"/>
      <c r="N31" s="194"/>
      <c r="O31" s="194"/>
      <c r="P31" s="194"/>
      <c r="Q31" s="203"/>
      <c r="R31" s="203"/>
      <c r="S31" s="194"/>
      <c r="T31" s="194"/>
      <c r="U31" s="194"/>
      <c r="V31" s="194"/>
      <c r="W31" s="194"/>
      <c r="X31" s="194"/>
      <c r="Y31" s="194"/>
      <c r="Z31" s="194"/>
      <c r="AA31" s="194"/>
      <c r="AB31" s="194"/>
      <c r="AC31" s="194"/>
      <c r="AD31" s="194"/>
      <c r="AE31" s="194"/>
      <c r="AF31" s="194"/>
      <c r="AG31" s="194"/>
      <c r="AH31" s="194"/>
      <c r="AI31" s="194"/>
      <c r="AJ31" s="194"/>
      <c r="AK31" s="194"/>
      <c r="AL31" s="194"/>
      <c r="AM31" s="195"/>
      <c r="AN31" s="195"/>
    </row>
    <row r="32" spans="1:40" s="142" customFormat="1" ht="18" customHeight="1">
      <c r="A32" s="139"/>
      <c r="B32" s="142" t="s">
        <v>122</v>
      </c>
      <c r="F32" s="204" t="s">
        <v>100</v>
      </c>
      <c r="G32" s="206">
        <f>G30-G31</f>
        <v>0.69424078088804464</v>
      </c>
      <c r="H32" s="166" t="s">
        <v>9</v>
      </c>
      <c r="L32" s="143"/>
      <c r="M32" s="193"/>
      <c r="N32" s="181"/>
      <c r="O32" s="180"/>
      <c r="P32" s="194"/>
      <c r="Q32" s="203"/>
      <c r="R32" s="203"/>
      <c r="S32" s="194"/>
      <c r="T32" s="194"/>
      <c r="U32" s="194"/>
      <c r="V32" s="194"/>
      <c r="W32" s="194"/>
      <c r="X32" s="194"/>
      <c r="Y32" s="194"/>
      <c r="Z32" s="194"/>
      <c r="AA32" s="194"/>
      <c r="AB32" s="194"/>
      <c r="AC32" s="194"/>
      <c r="AD32" s="194"/>
      <c r="AE32" s="194"/>
      <c r="AF32" s="194"/>
      <c r="AG32" s="194"/>
      <c r="AH32" s="194"/>
      <c r="AI32" s="194"/>
      <c r="AJ32" s="194"/>
      <c r="AK32" s="194"/>
      <c r="AL32" s="194"/>
      <c r="AM32" s="195"/>
      <c r="AN32" s="195"/>
    </row>
    <row r="33" spans="1:40" s="142" customFormat="1" ht="18" customHeight="1">
      <c r="A33" s="139"/>
      <c r="B33" s="142" t="s">
        <v>380</v>
      </c>
      <c r="F33" s="204" t="s">
        <v>381</v>
      </c>
      <c r="G33" s="206">
        <f>[1]Input!E30</f>
        <v>1.1673590942196517</v>
      </c>
      <c r="H33" s="166" t="s">
        <v>96</v>
      </c>
      <c r="L33" s="143"/>
      <c r="M33" s="193"/>
      <c r="N33" s="181"/>
      <c r="O33" s="180"/>
      <c r="P33" s="194"/>
      <c r="Q33" s="203"/>
      <c r="R33" s="203"/>
      <c r="S33" s="194"/>
      <c r="T33" s="194"/>
      <c r="U33" s="194"/>
      <c r="V33" s="194"/>
      <c r="W33" s="194"/>
      <c r="X33" s="194"/>
      <c r="Y33" s="194"/>
      <c r="Z33" s="194"/>
      <c r="AA33" s="194"/>
      <c r="AB33" s="194"/>
      <c r="AC33" s="194"/>
      <c r="AD33" s="194"/>
      <c r="AE33" s="194"/>
      <c r="AF33" s="194"/>
      <c r="AG33" s="194"/>
      <c r="AH33" s="194"/>
      <c r="AI33" s="194"/>
      <c r="AJ33" s="194"/>
      <c r="AK33" s="194"/>
      <c r="AL33" s="194"/>
      <c r="AM33" s="195"/>
      <c r="AN33" s="195"/>
    </row>
    <row r="34" spans="1:40" s="142" customFormat="1" ht="18" customHeight="1">
      <c r="A34" s="139"/>
      <c r="B34" s="142" t="s">
        <v>382</v>
      </c>
      <c r="F34" s="204"/>
      <c r="G34" s="118">
        <v>90</v>
      </c>
      <c r="H34" s="166" t="s">
        <v>383</v>
      </c>
      <c r="L34" s="143"/>
      <c r="M34" s="193"/>
      <c r="N34" s="181"/>
      <c r="O34" s="180"/>
      <c r="P34" s="194"/>
      <c r="Q34" s="203"/>
      <c r="R34" s="203"/>
      <c r="S34" s="194"/>
      <c r="T34" s="194"/>
      <c r="U34" s="194"/>
      <c r="V34" s="194"/>
      <c r="W34" s="194"/>
      <c r="X34" s="194"/>
      <c r="Y34" s="194"/>
      <c r="Z34" s="194"/>
      <c r="AA34" s="194"/>
      <c r="AB34" s="194"/>
      <c r="AC34" s="194"/>
      <c r="AD34" s="194"/>
      <c r="AE34" s="194"/>
      <c r="AF34" s="194"/>
      <c r="AG34" s="194"/>
      <c r="AH34" s="194"/>
      <c r="AI34" s="194"/>
      <c r="AJ34" s="194"/>
      <c r="AK34" s="194"/>
      <c r="AL34" s="194"/>
      <c r="AM34" s="195"/>
      <c r="AN34" s="195"/>
    </row>
    <row r="35" spans="1:40" s="142" customFormat="1" ht="18" customHeight="1">
      <c r="A35" s="139"/>
      <c r="B35" s="142" t="s">
        <v>384</v>
      </c>
      <c r="F35" s="204"/>
      <c r="G35" s="206">
        <f>G33*COS(RADIANS(G34))</f>
        <v>7.150940953033662E-17</v>
      </c>
      <c r="H35" s="166" t="s">
        <v>96</v>
      </c>
      <c r="L35" s="143"/>
      <c r="M35" s="193"/>
      <c r="N35" s="181"/>
      <c r="O35" s="180"/>
      <c r="P35" s="194"/>
      <c r="Q35" s="203"/>
      <c r="R35" s="203"/>
      <c r="S35" s="194"/>
      <c r="T35" s="194"/>
      <c r="U35" s="194"/>
      <c r="V35" s="194"/>
      <c r="W35" s="194"/>
      <c r="X35" s="194"/>
      <c r="Y35" s="194"/>
      <c r="Z35" s="194"/>
      <c r="AA35" s="194"/>
      <c r="AB35" s="194"/>
      <c r="AC35" s="194"/>
      <c r="AD35" s="194"/>
      <c r="AE35" s="194"/>
      <c r="AF35" s="194"/>
      <c r="AG35" s="194"/>
      <c r="AH35" s="194"/>
      <c r="AI35" s="194"/>
      <c r="AJ35" s="194"/>
      <c r="AK35" s="194"/>
      <c r="AL35" s="194"/>
      <c r="AM35" s="195"/>
      <c r="AN35" s="195"/>
    </row>
    <row r="36" spans="1:40" s="142" customFormat="1" ht="18" customHeight="1">
      <c r="A36" s="139"/>
      <c r="B36" s="142" t="s">
        <v>385</v>
      </c>
      <c r="F36" s="204"/>
      <c r="G36" s="206">
        <f>G35^2/2/9.81</f>
        <v>2.6063178651260946E-34</v>
      </c>
      <c r="H36" s="166" t="s">
        <v>9</v>
      </c>
      <c r="L36" s="143"/>
      <c r="M36" s="193"/>
      <c r="N36" s="181"/>
      <c r="O36" s="180"/>
      <c r="P36" s="194"/>
      <c r="Q36" s="203"/>
      <c r="R36" s="203"/>
      <c r="S36" s="194"/>
      <c r="T36" s="194"/>
      <c r="U36" s="194"/>
      <c r="V36" s="194"/>
      <c r="W36" s="194"/>
      <c r="X36" s="194"/>
      <c r="Y36" s="194"/>
      <c r="Z36" s="194"/>
      <c r="AA36" s="194"/>
      <c r="AB36" s="194"/>
      <c r="AC36" s="194"/>
      <c r="AD36" s="194"/>
      <c r="AE36" s="194"/>
      <c r="AF36" s="194"/>
      <c r="AG36" s="194"/>
      <c r="AH36" s="194"/>
      <c r="AI36" s="194"/>
      <c r="AJ36" s="194"/>
      <c r="AK36" s="194"/>
      <c r="AL36" s="194"/>
      <c r="AM36" s="195"/>
      <c r="AN36" s="195"/>
    </row>
    <row r="37" spans="1:40" s="142" customFormat="1" ht="18" customHeight="1">
      <c r="A37" s="139"/>
      <c r="B37" s="142" t="s">
        <v>386</v>
      </c>
      <c r="F37" s="204"/>
      <c r="G37" s="206">
        <f>G30+G36</f>
        <v>23.054712000000016</v>
      </c>
      <c r="H37" s="166" t="s">
        <v>92</v>
      </c>
      <c r="L37" s="143"/>
      <c r="M37" s="193"/>
      <c r="N37" s="181"/>
      <c r="O37" s="180"/>
      <c r="P37" s="194"/>
      <c r="Q37" s="203"/>
      <c r="R37" s="203"/>
      <c r="S37" s="194"/>
      <c r="T37" s="194"/>
      <c r="U37" s="194"/>
      <c r="V37" s="194"/>
      <c r="W37" s="194"/>
      <c r="X37" s="194"/>
      <c r="Y37" s="194"/>
      <c r="Z37" s="194"/>
      <c r="AA37" s="194"/>
      <c r="AB37" s="194"/>
      <c r="AC37" s="194"/>
      <c r="AD37" s="194"/>
      <c r="AE37" s="194"/>
      <c r="AF37" s="194"/>
      <c r="AG37" s="194"/>
      <c r="AH37" s="194"/>
      <c r="AI37" s="194"/>
      <c r="AJ37" s="194"/>
      <c r="AK37" s="194"/>
      <c r="AL37" s="194"/>
      <c r="AM37" s="195"/>
      <c r="AN37" s="195"/>
    </row>
    <row r="38" spans="1:40" s="142" customFormat="1" ht="18" customHeight="1">
      <c r="A38" s="139"/>
      <c r="B38" s="167" t="s">
        <v>125</v>
      </c>
      <c r="C38" s="196"/>
      <c r="D38" s="196"/>
      <c r="F38" s="204" t="s">
        <v>113</v>
      </c>
      <c r="G38" s="206">
        <f>0.63*G32</f>
        <v>0.43737169195946812</v>
      </c>
      <c r="H38" s="166" t="s">
        <v>9</v>
      </c>
      <c r="L38" s="143"/>
      <c r="M38" s="193"/>
      <c r="N38" s="194"/>
      <c r="O38" s="194"/>
      <c r="P38" s="194"/>
      <c r="Q38" s="203"/>
      <c r="R38" s="203"/>
      <c r="S38" s="194"/>
      <c r="T38" s="194"/>
      <c r="U38" s="194"/>
      <c r="V38" s="194"/>
      <c r="W38" s="194"/>
      <c r="X38" s="194"/>
      <c r="Y38" s="194"/>
      <c r="Z38" s="194"/>
      <c r="AA38" s="194"/>
      <c r="AB38" s="194"/>
      <c r="AC38" s="194"/>
      <c r="AD38" s="194"/>
      <c r="AE38" s="194"/>
      <c r="AF38" s="194"/>
      <c r="AG38" s="194"/>
      <c r="AH38" s="194"/>
      <c r="AI38" s="194"/>
      <c r="AJ38" s="194"/>
      <c r="AK38" s="194"/>
      <c r="AL38" s="194"/>
      <c r="AM38" s="195"/>
      <c r="AN38" s="195"/>
    </row>
    <row r="39" spans="1:40" s="142" customFormat="1" ht="18" customHeight="1">
      <c r="A39" s="139"/>
      <c r="B39" s="167" t="s">
        <v>90</v>
      </c>
      <c r="C39" s="196"/>
      <c r="D39" s="196"/>
      <c r="F39" s="204" t="s">
        <v>35</v>
      </c>
      <c r="G39" s="118">
        <v>0.4</v>
      </c>
      <c r="H39" s="166" t="s">
        <v>9</v>
      </c>
      <c r="L39" s="143"/>
      <c r="M39" s="193"/>
      <c r="N39" s="194"/>
      <c r="O39" s="194"/>
      <c r="P39" s="194"/>
      <c r="Q39" s="203"/>
      <c r="R39" s="203"/>
      <c r="S39" s="194"/>
      <c r="T39" s="194"/>
      <c r="U39" s="194"/>
      <c r="V39" s="194"/>
      <c r="W39" s="194"/>
      <c r="X39" s="194"/>
      <c r="Y39" s="194"/>
      <c r="Z39" s="194"/>
      <c r="AA39" s="194"/>
      <c r="AB39" s="194"/>
      <c r="AC39" s="194"/>
      <c r="AD39" s="194"/>
      <c r="AE39" s="194"/>
      <c r="AF39" s="194"/>
      <c r="AG39" s="194"/>
      <c r="AH39" s="194"/>
      <c r="AI39" s="194"/>
      <c r="AJ39" s="194"/>
      <c r="AK39" s="194"/>
      <c r="AL39" s="194"/>
      <c r="AM39" s="195"/>
      <c r="AN39" s="195"/>
    </row>
    <row r="40" spans="1:40" s="142" customFormat="1" ht="18" customHeight="1">
      <c r="A40" s="139"/>
      <c r="B40" s="167" t="s">
        <v>387</v>
      </c>
      <c r="C40" s="196"/>
      <c r="D40" s="196"/>
      <c r="F40" s="204" t="s">
        <v>336</v>
      </c>
      <c r="G40" s="205">
        <f>1.6*G39*G32^1.5</f>
        <v>0.37020745147174172</v>
      </c>
      <c r="H40" s="166" t="s">
        <v>322</v>
      </c>
      <c r="L40" s="143"/>
      <c r="M40" s="193"/>
      <c r="N40" s="194"/>
      <c r="O40" s="194"/>
      <c r="P40" s="194"/>
      <c r="Q40" s="203"/>
      <c r="R40" s="203"/>
      <c r="S40" s="194"/>
      <c r="T40" s="194"/>
      <c r="U40" s="194"/>
      <c r="V40" s="194"/>
      <c r="W40" s="194"/>
      <c r="X40" s="194"/>
      <c r="Y40" s="194"/>
      <c r="Z40" s="194"/>
      <c r="AA40" s="194"/>
      <c r="AB40" s="194"/>
      <c r="AC40" s="194"/>
      <c r="AD40" s="194"/>
      <c r="AE40" s="194"/>
      <c r="AF40" s="194"/>
      <c r="AG40" s="194"/>
      <c r="AH40" s="194"/>
      <c r="AI40" s="194"/>
      <c r="AJ40" s="194"/>
      <c r="AK40" s="194"/>
      <c r="AL40" s="194"/>
      <c r="AM40" s="195"/>
      <c r="AN40" s="195"/>
    </row>
    <row r="41" spans="1:40" s="142" customFormat="1" ht="18" customHeight="1">
      <c r="A41" s="139"/>
      <c r="B41" s="167" t="s">
        <v>106</v>
      </c>
      <c r="C41" s="196"/>
      <c r="D41" s="196"/>
      <c r="F41" s="204" t="s">
        <v>337</v>
      </c>
      <c r="G41" s="205">
        <f>G40/(1.6*G39)^(2/3)</f>
        <v>0.49849235997438462</v>
      </c>
      <c r="H41" s="166" t="s">
        <v>9</v>
      </c>
      <c r="L41" s="143"/>
      <c r="M41" s="193"/>
      <c r="N41" s="194"/>
      <c r="O41" s="194"/>
      <c r="P41" s="194"/>
      <c r="Q41" s="203"/>
      <c r="R41" s="203"/>
      <c r="S41" s="194"/>
      <c r="T41" s="194"/>
      <c r="U41" s="194"/>
      <c r="V41" s="194"/>
      <c r="W41" s="194"/>
      <c r="X41" s="194"/>
      <c r="Y41" s="194"/>
      <c r="Z41" s="194"/>
      <c r="AA41" s="194"/>
      <c r="AB41" s="194"/>
      <c r="AC41" s="194"/>
      <c r="AD41" s="194"/>
      <c r="AE41" s="194"/>
      <c r="AF41" s="194"/>
      <c r="AG41" s="194"/>
      <c r="AH41" s="194"/>
      <c r="AI41" s="194"/>
      <c r="AJ41" s="194"/>
      <c r="AK41" s="194"/>
      <c r="AL41" s="194"/>
      <c r="AM41" s="195"/>
      <c r="AN41" s="195"/>
    </row>
    <row r="42" spans="1:40" s="142" customFormat="1" ht="18" customHeight="1">
      <c r="A42" s="139"/>
      <c r="B42" s="167" t="s">
        <v>193</v>
      </c>
      <c r="C42" s="196"/>
      <c r="D42" s="196"/>
      <c r="F42" s="204"/>
      <c r="G42" s="118">
        <f>IF(G41&gt;G31,G41+0.05,G31+0.1*G32)</f>
        <v>22.429895297200776</v>
      </c>
      <c r="H42" s="166" t="s">
        <v>92</v>
      </c>
      <c r="L42" s="143"/>
      <c r="M42" s="193"/>
      <c r="N42" s="194"/>
      <c r="O42" s="194"/>
      <c r="P42" s="194"/>
      <c r="Q42" s="203"/>
      <c r="R42" s="203"/>
      <c r="S42" s="194"/>
      <c r="T42" s="194"/>
      <c r="U42" s="194"/>
      <c r="V42" s="194"/>
      <c r="W42" s="194"/>
      <c r="X42" s="194"/>
      <c r="Y42" s="194"/>
      <c r="Z42" s="194"/>
      <c r="AA42" s="194"/>
      <c r="AB42" s="194"/>
      <c r="AC42" s="194"/>
      <c r="AD42" s="194"/>
      <c r="AE42" s="194"/>
      <c r="AF42" s="194"/>
      <c r="AG42" s="194"/>
      <c r="AH42" s="194"/>
      <c r="AI42" s="194"/>
      <c r="AJ42" s="194"/>
      <c r="AK42" s="194"/>
      <c r="AL42" s="194"/>
      <c r="AM42" s="195"/>
      <c r="AN42" s="195"/>
    </row>
    <row r="43" spans="1:40" s="142" customFormat="1" ht="18" customHeight="1">
      <c r="A43" s="139"/>
      <c r="B43" s="142" t="s">
        <v>91</v>
      </c>
      <c r="F43" s="204" t="s">
        <v>38</v>
      </c>
      <c r="G43" s="206">
        <f>G30-G42</f>
        <v>0.62481670279924018</v>
      </c>
      <c r="H43" s="166" t="s">
        <v>9</v>
      </c>
      <c r="L43" s="143"/>
      <c r="M43" s="193"/>
      <c r="N43" s="194"/>
      <c r="O43" s="194"/>
      <c r="P43" s="194"/>
      <c r="Q43" s="203"/>
      <c r="R43" s="203"/>
      <c r="S43" s="194"/>
      <c r="T43" s="194"/>
      <c r="U43" s="194"/>
      <c r="V43" s="194"/>
      <c r="W43" s="194"/>
      <c r="X43" s="194"/>
      <c r="Y43" s="194"/>
      <c r="Z43" s="194"/>
      <c r="AA43" s="194"/>
      <c r="AB43" s="194"/>
      <c r="AC43" s="194"/>
      <c r="AD43" s="194"/>
      <c r="AE43" s="194"/>
      <c r="AF43" s="194"/>
      <c r="AG43" s="194"/>
      <c r="AH43" s="194"/>
      <c r="AI43" s="194"/>
      <c r="AJ43" s="194"/>
      <c r="AK43" s="194"/>
      <c r="AL43" s="194"/>
      <c r="AM43" s="195"/>
      <c r="AN43" s="195"/>
    </row>
    <row r="44" spans="1:40" s="142" customFormat="1" ht="18" customHeight="1">
      <c r="A44" s="139"/>
      <c r="B44" s="167" t="s">
        <v>126</v>
      </c>
      <c r="C44" s="196"/>
      <c r="D44" s="196"/>
      <c r="F44" s="204" t="s">
        <v>113</v>
      </c>
      <c r="G44" s="206">
        <f>0.63*G43</f>
        <v>0.39363452276352129</v>
      </c>
      <c r="H44" s="166" t="s">
        <v>9</v>
      </c>
      <c r="L44" s="143"/>
      <c r="M44" s="193"/>
      <c r="N44" s="194"/>
      <c r="O44" s="194"/>
      <c r="P44" s="194"/>
      <c r="Q44" s="203"/>
      <c r="R44" s="203"/>
      <c r="S44" s="194"/>
      <c r="T44" s="194"/>
      <c r="U44" s="194"/>
      <c r="V44" s="194"/>
      <c r="W44" s="194"/>
      <c r="X44" s="194"/>
      <c r="Y44" s="194"/>
      <c r="Z44" s="194"/>
      <c r="AA44" s="194"/>
      <c r="AB44" s="194"/>
      <c r="AC44" s="194"/>
      <c r="AD44" s="194"/>
      <c r="AE44" s="194"/>
      <c r="AF44" s="194"/>
      <c r="AG44" s="194"/>
      <c r="AH44" s="194"/>
      <c r="AI44" s="194"/>
      <c r="AJ44" s="194"/>
      <c r="AK44" s="194"/>
      <c r="AL44" s="194"/>
      <c r="AM44" s="195"/>
      <c r="AN44" s="195"/>
    </row>
    <row r="45" spans="1:40" s="142" customFormat="1" ht="18" customHeight="1" thickBot="1">
      <c r="A45" s="139"/>
      <c r="B45" s="142" t="s">
        <v>109</v>
      </c>
      <c r="C45" s="196"/>
      <c r="D45" s="196"/>
      <c r="F45" s="204" t="s">
        <v>110</v>
      </c>
      <c r="G45" s="206">
        <f>G42-G31</f>
        <v>6.9424078088804464E-2</v>
      </c>
      <c r="H45" s="166" t="s">
        <v>9</v>
      </c>
      <c r="L45" s="143"/>
      <c r="M45" s="193"/>
      <c r="N45" s="194"/>
      <c r="O45" s="194"/>
      <c r="P45" s="194"/>
      <c r="Q45" s="203"/>
      <c r="R45" s="203"/>
      <c r="S45" s="194"/>
      <c r="T45" s="194"/>
      <c r="U45" s="194"/>
      <c r="V45" s="194"/>
      <c r="W45" s="194"/>
      <c r="X45" s="194"/>
      <c r="Y45" s="194"/>
      <c r="Z45" s="194"/>
      <c r="AA45" s="194"/>
      <c r="AB45" s="194"/>
      <c r="AC45" s="194"/>
      <c r="AD45" s="194"/>
      <c r="AE45" s="194"/>
      <c r="AF45" s="194"/>
      <c r="AG45" s="194"/>
      <c r="AH45" s="194"/>
      <c r="AI45" s="194"/>
      <c r="AJ45" s="194"/>
      <c r="AK45" s="194"/>
      <c r="AL45" s="194"/>
      <c r="AM45" s="195"/>
      <c r="AN45" s="195"/>
    </row>
    <row r="46" spans="1:40" s="142" customFormat="1" ht="18" customHeight="1" thickBot="1">
      <c r="A46" s="139"/>
      <c r="B46" s="207" t="s">
        <v>89</v>
      </c>
      <c r="C46" s="196"/>
      <c r="D46" s="196"/>
      <c r="F46" s="204" t="s">
        <v>36</v>
      </c>
      <c r="G46" s="117">
        <v>0.10091162469022241</v>
      </c>
      <c r="H46" s="166" t="s">
        <v>9</v>
      </c>
      <c r="I46" s="208" t="str">
        <f>IF(AND(G46&lt;G43*0.63,G46&gt;=0.02),"OK","Check")</f>
        <v>OK</v>
      </c>
      <c r="L46" s="143"/>
      <c r="M46" s="209">
        <f>G54-G29</f>
        <v>-7.5203480749039264E-4</v>
      </c>
      <c r="N46" s="263">
        <v>0.3</v>
      </c>
      <c r="O46" s="194"/>
      <c r="P46" s="194"/>
      <c r="Q46" s="203"/>
      <c r="R46" s="203"/>
      <c r="S46" s="194"/>
      <c r="T46" s="194"/>
      <c r="U46" s="194"/>
      <c r="V46" s="194"/>
      <c r="W46" s="194"/>
      <c r="X46" s="194"/>
      <c r="Y46" s="194"/>
      <c r="Z46" s="194"/>
      <c r="AA46" s="194"/>
      <c r="AB46" s="194"/>
      <c r="AC46" s="194"/>
      <c r="AD46" s="194"/>
      <c r="AE46" s="194"/>
      <c r="AF46" s="194"/>
      <c r="AG46" s="194"/>
      <c r="AH46" s="194"/>
      <c r="AI46" s="194"/>
      <c r="AJ46" s="194"/>
      <c r="AK46" s="194"/>
      <c r="AL46" s="194"/>
      <c r="AM46" s="195"/>
      <c r="AN46" s="195"/>
    </row>
    <row r="47" spans="1:40" s="142" customFormat="1" ht="18" customHeight="1">
      <c r="A47" s="139"/>
      <c r="B47" s="142" t="s">
        <v>95</v>
      </c>
      <c r="C47" s="145"/>
      <c r="D47" s="145"/>
      <c r="F47" s="204" t="s">
        <v>114</v>
      </c>
      <c r="G47" s="206">
        <f>G46/G43</f>
        <v>0.16150596525049415</v>
      </c>
      <c r="H47" s="166" t="s">
        <v>20</v>
      </c>
      <c r="L47" s="143"/>
      <c r="M47" s="193"/>
      <c r="N47" s="194"/>
      <c r="O47" s="194"/>
      <c r="P47" s="194"/>
      <c r="Q47" s="203"/>
      <c r="R47" s="203"/>
      <c r="S47" s="194"/>
      <c r="T47" s="194"/>
      <c r="U47" s="194"/>
      <c r="V47" s="194"/>
      <c r="W47" s="194"/>
      <c r="X47" s="194"/>
      <c r="Y47" s="194"/>
      <c r="Z47" s="194"/>
      <c r="AA47" s="194"/>
      <c r="AB47" s="194"/>
      <c r="AC47" s="194"/>
      <c r="AD47" s="194"/>
      <c r="AE47" s="194"/>
      <c r="AF47" s="194"/>
      <c r="AG47" s="194"/>
      <c r="AH47" s="194"/>
      <c r="AI47" s="194"/>
      <c r="AJ47" s="194"/>
      <c r="AK47" s="194"/>
      <c r="AL47" s="194"/>
      <c r="AM47" s="195"/>
      <c r="AN47" s="195"/>
    </row>
    <row r="48" spans="1:40" s="142" customFormat="1" ht="18" customHeight="1">
      <c r="A48" s="139"/>
      <c r="B48" s="142" t="s">
        <v>94</v>
      </c>
      <c r="C48" s="196"/>
      <c r="D48" s="196"/>
      <c r="F48" s="204" t="s">
        <v>115</v>
      </c>
      <c r="G48" s="205">
        <f>184.75*G47^6-406.68*G47^5+355.39*G47^4-158.65*G47^3+40.292*G47^2-6.8832*G47+1</f>
        <v>0.47134506920489838</v>
      </c>
      <c r="H48" s="166" t="s">
        <v>20</v>
      </c>
      <c r="L48" s="143"/>
      <c r="M48" s="193"/>
      <c r="N48" s="181">
        <f>G47</f>
        <v>0.16150596525049415</v>
      </c>
      <c r="O48" s="181">
        <v>0</v>
      </c>
      <c r="P48" s="194"/>
      <c r="Q48" s="203"/>
      <c r="R48" s="203"/>
      <c r="S48" s="194"/>
      <c r="T48" s="194"/>
      <c r="U48" s="194"/>
      <c r="V48" s="194"/>
      <c r="W48" s="194"/>
      <c r="X48" s="194"/>
      <c r="Y48" s="194"/>
      <c r="Z48" s="194"/>
      <c r="AA48" s="194"/>
      <c r="AB48" s="194"/>
      <c r="AC48" s="194"/>
      <c r="AD48" s="194"/>
      <c r="AE48" s="194"/>
      <c r="AF48" s="194"/>
      <c r="AG48" s="194"/>
      <c r="AH48" s="194"/>
      <c r="AI48" s="194"/>
      <c r="AJ48" s="194"/>
      <c r="AK48" s="194"/>
      <c r="AL48" s="194"/>
      <c r="AM48" s="195"/>
      <c r="AN48" s="195"/>
    </row>
    <row r="49" spans="1:40" s="142" customFormat="1" ht="18" customHeight="1">
      <c r="A49" s="139"/>
      <c r="B49" s="167" t="s">
        <v>102</v>
      </c>
      <c r="C49" s="196"/>
      <c r="D49" s="196"/>
      <c r="F49" s="204" t="s">
        <v>101</v>
      </c>
      <c r="G49" s="205">
        <f>G48*G43</f>
        <v>0.29450427202128426</v>
      </c>
      <c r="H49" s="166" t="s">
        <v>9</v>
      </c>
      <c r="I49" s="174"/>
      <c r="L49" s="143"/>
      <c r="M49" s="193"/>
      <c r="N49" s="181">
        <f>N48</f>
        <v>0.16150596525049415</v>
      </c>
      <c r="O49" s="181">
        <f>G48</f>
        <v>0.47134506920489838</v>
      </c>
      <c r="P49" s="194"/>
      <c r="Q49" s="203"/>
      <c r="R49" s="203"/>
      <c r="S49" s="194"/>
      <c r="T49" s="194"/>
      <c r="U49" s="194"/>
      <c r="V49" s="194"/>
      <c r="W49" s="194"/>
      <c r="X49" s="194"/>
      <c r="Y49" s="194"/>
      <c r="Z49" s="194"/>
      <c r="AA49" s="194"/>
      <c r="AB49" s="194"/>
      <c r="AC49" s="194"/>
      <c r="AD49" s="194"/>
      <c r="AE49" s="194"/>
      <c r="AF49" s="194"/>
      <c r="AG49" s="194"/>
      <c r="AH49" s="194"/>
      <c r="AI49" s="194"/>
      <c r="AJ49" s="194"/>
      <c r="AK49" s="194"/>
      <c r="AL49" s="194"/>
      <c r="AM49" s="195"/>
      <c r="AN49" s="195"/>
    </row>
    <row r="50" spans="1:40" s="142" customFormat="1" ht="18" customHeight="1">
      <c r="A50" s="139"/>
      <c r="B50" s="167" t="s">
        <v>135</v>
      </c>
      <c r="C50" s="196"/>
      <c r="D50" s="196"/>
      <c r="F50" s="204"/>
      <c r="G50" s="205">
        <f>G30-G49</f>
        <v>22.760207727978731</v>
      </c>
      <c r="H50" s="166" t="s">
        <v>92</v>
      </c>
      <c r="L50" s="143"/>
      <c r="M50" s="193"/>
      <c r="N50" s="181"/>
      <c r="O50" s="181"/>
      <c r="P50" s="194"/>
      <c r="Q50" s="203"/>
      <c r="R50" s="203"/>
      <c r="S50" s="194"/>
      <c r="T50" s="194"/>
      <c r="U50" s="194"/>
      <c r="V50" s="194"/>
      <c r="W50" s="194"/>
      <c r="X50" s="194"/>
      <c r="Y50" s="194"/>
      <c r="Z50" s="194"/>
      <c r="AA50" s="194"/>
      <c r="AB50" s="194"/>
      <c r="AC50" s="194"/>
      <c r="AD50" s="194"/>
      <c r="AE50" s="194"/>
      <c r="AF50" s="194"/>
      <c r="AG50" s="194"/>
      <c r="AH50" s="194"/>
      <c r="AI50" s="194"/>
      <c r="AJ50" s="194"/>
      <c r="AK50" s="194"/>
      <c r="AL50" s="194"/>
      <c r="AM50" s="195"/>
      <c r="AN50" s="195"/>
    </row>
    <row r="51" spans="1:40" s="142" customFormat="1" ht="18" customHeight="1">
      <c r="A51" s="139"/>
      <c r="B51" s="167" t="s">
        <v>134</v>
      </c>
      <c r="C51" s="196"/>
      <c r="D51" s="196"/>
      <c r="F51" s="204" t="s">
        <v>116</v>
      </c>
      <c r="G51" s="205">
        <f>Input!H25</f>
        <v>21.76783337909378</v>
      </c>
      <c r="H51" s="166" t="s">
        <v>92</v>
      </c>
      <c r="I51" s="174"/>
      <c r="L51" s="143"/>
      <c r="M51" s="193"/>
      <c r="N51" s="181">
        <f>N49</f>
        <v>0.16150596525049415</v>
      </c>
      <c r="O51" s="181">
        <f>O49</f>
        <v>0.47134506920489838</v>
      </c>
      <c r="P51" s="194"/>
      <c r="Q51" s="203"/>
      <c r="R51" s="203"/>
      <c r="S51" s="194"/>
      <c r="T51" s="194"/>
      <c r="U51" s="194"/>
      <c r="V51" s="194"/>
      <c r="W51" s="194"/>
      <c r="X51" s="194"/>
      <c r="Y51" s="194"/>
      <c r="Z51" s="194"/>
      <c r="AA51" s="194"/>
      <c r="AB51" s="194"/>
      <c r="AC51" s="194"/>
      <c r="AD51" s="194"/>
      <c r="AE51" s="194"/>
      <c r="AF51" s="194"/>
      <c r="AG51" s="194"/>
      <c r="AH51" s="194"/>
      <c r="AI51" s="194"/>
      <c r="AJ51" s="194"/>
      <c r="AK51" s="194"/>
      <c r="AL51" s="194"/>
      <c r="AM51" s="195"/>
      <c r="AN51" s="195"/>
    </row>
    <row r="52" spans="1:40" s="142" customFormat="1" ht="18" customHeight="1">
      <c r="A52" s="139"/>
      <c r="B52" s="167" t="s">
        <v>123</v>
      </c>
      <c r="C52" s="196"/>
      <c r="D52" s="196"/>
      <c r="F52" s="204"/>
      <c r="G52" s="205" t="str">
        <f>IF(G50&gt;G51,"OK","Not OK")</f>
        <v>OK</v>
      </c>
      <c r="H52" s="166"/>
      <c r="L52" s="143"/>
      <c r="M52" s="193"/>
      <c r="N52" s="181">
        <v>0</v>
      </c>
      <c r="O52" s="181">
        <f>O51</f>
        <v>0.47134506920489838</v>
      </c>
      <c r="P52" s="194"/>
      <c r="Q52" s="203"/>
      <c r="R52" s="203"/>
      <c r="S52" s="194"/>
      <c r="T52" s="194"/>
      <c r="U52" s="194"/>
      <c r="V52" s="194"/>
      <c r="W52" s="194"/>
      <c r="X52" s="194"/>
      <c r="Y52" s="194"/>
      <c r="Z52" s="194"/>
      <c r="AA52" s="194"/>
      <c r="AB52" s="194"/>
      <c r="AC52" s="194"/>
      <c r="AD52" s="194"/>
      <c r="AE52" s="194"/>
      <c r="AF52" s="194"/>
      <c r="AG52" s="194"/>
      <c r="AH52" s="194"/>
      <c r="AI52" s="194"/>
      <c r="AJ52" s="194"/>
      <c r="AK52" s="194"/>
      <c r="AL52" s="194"/>
      <c r="AM52" s="195"/>
      <c r="AN52" s="195"/>
    </row>
    <row r="53" spans="1:40" s="142" customFormat="1" ht="18" customHeight="1">
      <c r="A53" s="139"/>
      <c r="B53" s="167" t="s">
        <v>105</v>
      </c>
      <c r="C53" s="196"/>
      <c r="D53" s="196"/>
      <c r="F53" s="204" t="s">
        <v>117</v>
      </c>
      <c r="G53" s="205">
        <v>0.94</v>
      </c>
      <c r="H53" s="166"/>
      <c r="L53" s="143"/>
      <c r="M53" s="193"/>
      <c r="N53" s="194"/>
      <c r="O53" s="194"/>
      <c r="P53" s="194"/>
      <c r="Q53" s="203"/>
      <c r="R53" s="203"/>
      <c r="S53" s="194"/>
      <c r="T53" s="194"/>
      <c r="U53" s="194"/>
      <c r="V53" s="194"/>
      <c r="W53" s="194"/>
      <c r="X53" s="194"/>
      <c r="Y53" s="194"/>
      <c r="Z53" s="194"/>
      <c r="AA53" s="194"/>
      <c r="AB53" s="194"/>
      <c r="AC53" s="194"/>
      <c r="AD53" s="194"/>
      <c r="AE53" s="194"/>
      <c r="AF53" s="194"/>
      <c r="AG53" s="194"/>
      <c r="AH53" s="194"/>
      <c r="AI53" s="194"/>
      <c r="AJ53" s="194"/>
      <c r="AK53" s="194"/>
      <c r="AL53" s="194"/>
      <c r="AM53" s="195"/>
      <c r="AN53" s="195"/>
    </row>
    <row r="54" spans="1:40" s="142" customFormat="1" ht="18" customHeight="1">
      <c r="A54" s="139"/>
      <c r="B54" s="167" t="s">
        <v>127</v>
      </c>
      <c r="C54" s="196"/>
      <c r="D54" s="196"/>
      <c r="F54" s="204" t="s">
        <v>104</v>
      </c>
      <c r="G54" s="205">
        <f>G53*G39*G46*((2*9.81*(G43-G46))^0.5)</f>
        <v>0.12164796519250962</v>
      </c>
      <c r="H54" s="166"/>
      <c r="L54" s="143"/>
      <c r="M54" s="193"/>
      <c r="N54" s="194"/>
      <c r="O54" s="194"/>
      <c r="P54" s="194"/>
      <c r="Q54" s="203"/>
      <c r="R54" s="203"/>
      <c r="S54" s="194"/>
      <c r="T54" s="194"/>
      <c r="U54" s="194"/>
      <c r="V54" s="194"/>
      <c r="W54" s="194"/>
      <c r="X54" s="194"/>
      <c r="Y54" s="194"/>
      <c r="Z54" s="194"/>
      <c r="AA54" s="194"/>
      <c r="AB54" s="194"/>
      <c r="AC54" s="194"/>
      <c r="AD54" s="194"/>
      <c r="AE54" s="194"/>
      <c r="AF54" s="194"/>
      <c r="AG54" s="194"/>
      <c r="AH54" s="194"/>
      <c r="AI54" s="194"/>
      <c r="AJ54" s="194"/>
      <c r="AK54" s="194"/>
      <c r="AL54" s="194"/>
      <c r="AM54" s="195"/>
      <c r="AN54" s="195"/>
    </row>
    <row r="55" spans="1:40" s="142" customFormat="1" ht="18" customHeight="1">
      <c r="A55" s="139"/>
      <c r="B55" s="167"/>
      <c r="C55" s="196"/>
      <c r="D55" s="196"/>
      <c r="L55" s="143"/>
      <c r="M55" s="193"/>
      <c r="N55" s="194"/>
      <c r="O55" s="194"/>
      <c r="P55" s="194"/>
      <c r="Q55" s="203"/>
      <c r="R55" s="203"/>
      <c r="S55" s="194"/>
      <c r="T55" s="194"/>
      <c r="U55" s="194"/>
      <c r="V55" s="194"/>
      <c r="W55" s="194"/>
      <c r="X55" s="194"/>
      <c r="Y55" s="194"/>
      <c r="Z55" s="194"/>
      <c r="AA55" s="194"/>
      <c r="AB55" s="194"/>
      <c r="AC55" s="194"/>
      <c r="AD55" s="194"/>
      <c r="AE55" s="194"/>
      <c r="AF55" s="194"/>
      <c r="AG55" s="194"/>
      <c r="AH55" s="194"/>
      <c r="AI55" s="194"/>
      <c r="AJ55" s="194"/>
      <c r="AK55" s="194"/>
      <c r="AL55" s="194"/>
      <c r="AM55" s="195"/>
      <c r="AN55" s="195"/>
    </row>
    <row r="56" spans="1:40" s="142" customFormat="1" ht="18" customHeight="1">
      <c r="A56" s="151"/>
      <c r="B56" s="210"/>
      <c r="C56" s="172"/>
      <c r="D56" s="172"/>
      <c r="E56" s="172"/>
      <c r="F56" s="152"/>
      <c r="G56" s="152"/>
      <c r="H56" s="152"/>
      <c r="I56" s="152"/>
      <c r="J56" s="152"/>
      <c r="K56" s="152"/>
      <c r="L56" s="153"/>
      <c r="M56" s="193"/>
      <c r="N56" s="194"/>
      <c r="O56" s="194"/>
      <c r="P56" s="194"/>
      <c r="Q56" s="197"/>
      <c r="R56" s="197"/>
      <c r="S56" s="194"/>
      <c r="T56" s="194"/>
      <c r="U56" s="194"/>
      <c r="V56" s="194"/>
      <c r="W56" s="194"/>
      <c r="X56" s="194"/>
      <c r="Y56" s="194"/>
      <c r="Z56" s="194"/>
      <c r="AA56" s="194"/>
      <c r="AB56" s="194"/>
      <c r="AC56" s="194"/>
      <c r="AD56" s="194"/>
      <c r="AE56" s="194"/>
      <c r="AF56" s="194"/>
      <c r="AG56" s="194"/>
      <c r="AH56" s="194"/>
      <c r="AI56" s="194"/>
      <c r="AJ56" s="194"/>
      <c r="AK56" s="194"/>
      <c r="AL56" s="194"/>
      <c r="AM56" s="195"/>
      <c r="AN56" s="195"/>
    </row>
    <row r="57" spans="1:40" s="142" customFormat="1" ht="10.050000000000001" customHeight="1">
      <c r="A57" s="139"/>
      <c r="B57" s="140"/>
      <c r="C57" s="141"/>
      <c r="D57" s="141"/>
      <c r="E57" s="141"/>
      <c r="L57" s="143"/>
      <c r="M57" s="193"/>
      <c r="N57" s="194"/>
      <c r="O57" s="194"/>
      <c r="P57" s="194"/>
      <c r="Q57" s="197"/>
      <c r="R57" s="197"/>
      <c r="S57" s="194"/>
      <c r="T57" s="194"/>
      <c r="U57" s="194"/>
      <c r="V57" s="194"/>
      <c r="W57" s="194"/>
      <c r="X57" s="194"/>
      <c r="Y57" s="194"/>
      <c r="Z57" s="194"/>
      <c r="AA57" s="194"/>
      <c r="AB57" s="194"/>
      <c r="AC57" s="194"/>
      <c r="AD57" s="194"/>
      <c r="AE57" s="194"/>
      <c r="AF57" s="194"/>
      <c r="AG57" s="194"/>
      <c r="AH57" s="194"/>
      <c r="AI57" s="194"/>
      <c r="AJ57" s="194"/>
      <c r="AK57" s="194"/>
      <c r="AL57" s="194"/>
      <c r="AM57" s="195"/>
      <c r="AN57" s="195"/>
    </row>
    <row r="58" spans="1:40" s="142" customFormat="1" ht="10.050000000000001" customHeight="1">
      <c r="A58" s="139"/>
      <c r="B58" s="140"/>
      <c r="C58" s="141"/>
      <c r="D58" s="141"/>
      <c r="E58" s="141"/>
      <c r="L58" s="143"/>
      <c r="M58" s="193"/>
      <c r="N58" s="194"/>
      <c r="O58" s="194"/>
      <c r="P58" s="194"/>
      <c r="Q58" s="197"/>
      <c r="R58" s="197"/>
      <c r="S58" s="194"/>
      <c r="T58" s="194"/>
      <c r="U58" s="194"/>
      <c r="V58" s="194"/>
      <c r="W58" s="194"/>
      <c r="X58" s="194"/>
      <c r="Y58" s="194"/>
      <c r="Z58" s="194"/>
      <c r="AA58" s="194"/>
      <c r="AB58" s="194"/>
      <c r="AC58" s="194"/>
      <c r="AD58" s="194"/>
      <c r="AE58" s="194"/>
      <c r="AF58" s="194"/>
      <c r="AG58" s="194"/>
      <c r="AH58" s="194"/>
      <c r="AI58" s="194"/>
      <c r="AJ58" s="194"/>
      <c r="AK58" s="194"/>
      <c r="AL58" s="194"/>
      <c r="AM58" s="195"/>
      <c r="AN58" s="195"/>
    </row>
    <row r="59" spans="1:40" s="142" customFormat="1" ht="10.050000000000001" customHeight="1">
      <c r="A59" s="139"/>
      <c r="B59" s="140"/>
      <c r="C59" s="141"/>
      <c r="D59" s="141"/>
      <c r="E59" s="141"/>
      <c r="L59" s="143"/>
      <c r="M59" s="193"/>
      <c r="N59" s="194"/>
      <c r="O59" s="194"/>
      <c r="P59" s="194"/>
      <c r="Q59" s="197"/>
      <c r="R59" s="197"/>
      <c r="S59" s="194"/>
      <c r="T59" s="194"/>
      <c r="U59" s="194"/>
      <c r="V59" s="194"/>
      <c r="W59" s="194"/>
      <c r="X59" s="194"/>
      <c r="Y59" s="194"/>
      <c r="Z59" s="194"/>
      <c r="AA59" s="194"/>
      <c r="AB59" s="194"/>
      <c r="AC59" s="194"/>
      <c r="AD59" s="194"/>
      <c r="AE59" s="194"/>
      <c r="AF59" s="194"/>
      <c r="AG59" s="194"/>
      <c r="AH59" s="194"/>
      <c r="AI59" s="194"/>
      <c r="AJ59" s="194"/>
      <c r="AK59" s="194"/>
      <c r="AL59" s="194"/>
      <c r="AM59" s="195"/>
      <c r="AN59" s="195"/>
    </row>
    <row r="60" spans="1:40" s="142" customFormat="1" ht="10.050000000000001" customHeight="1">
      <c r="A60" s="139"/>
      <c r="B60" s="140"/>
      <c r="C60" s="196"/>
      <c r="D60" s="196"/>
      <c r="E60" s="196"/>
      <c r="F60" s="166"/>
      <c r="G60" s="166"/>
      <c r="H60" s="166"/>
      <c r="I60" s="166"/>
      <c r="L60" s="143"/>
      <c r="M60" s="193"/>
      <c r="N60" s="194"/>
      <c r="O60" s="194"/>
      <c r="P60" s="194"/>
      <c r="Q60" s="197"/>
      <c r="R60" s="197"/>
      <c r="S60" s="194"/>
      <c r="T60" s="194"/>
      <c r="U60" s="194"/>
      <c r="V60" s="194"/>
      <c r="W60" s="194"/>
      <c r="X60" s="194"/>
      <c r="Y60" s="194"/>
      <c r="Z60" s="194"/>
      <c r="AA60" s="194"/>
      <c r="AB60" s="194"/>
      <c r="AC60" s="194"/>
      <c r="AD60" s="194"/>
      <c r="AE60" s="194"/>
      <c r="AF60" s="194"/>
      <c r="AG60" s="194"/>
      <c r="AH60" s="194"/>
      <c r="AI60" s="194"/>
      <c r="AJ60" s="194"/>
      <c r="AK60" s="194"/>
      <c r="AL60" s="194"/>
      <c r="AM60" s="195"/>
      <c r="AN60" s="195"/>
    </row>
    <row r="61" spans="1:40" s="142" customFormat="1" ht="10.050000000000001" customHeight="1">
      <c r="A61" s="139"/>
      <c r="B61" s="140"/>
      <c r="C61" s="196"/>
      <c r="D61" s="196"/>
      <c r="E61" s="196"/>
      <c r="F61" s="166"/>
      <c r="G61" s="166"/>
      <c r="H61" s="166"/>
      <c r="I61" s="166"/>
      <c r="L61" s="143"/>
      <c r="M61" s="193"/>
      <c r="N61" s="194"/>
      <c r="O61" s="194"/>
      <c r="P61" s="194"/>
      <c r="Q61" s="197"/>
      <c r="R61" s="197"/>
      <c r="S61" s="194"/>
      <c r="T61" s="194"/>
      <c r="U61" s="194"/>
      <c r="V61" s="194"/>
      <c r="W61" s="194"/>
      <c r="X61" s="194"/>
      <c r="Y61" s="194"/>
      <c r="Z61" s="194"/>
      <c r="AA61" s="194"/>
      <c r="AB61" s="194"/>
      <c r="AC61" s="194"/>
      <c r="AD61" s="194"/>
      <c r="AE61" s="194"/>
      <c r="AF61" s="194"/>
      <c r="AG61" s="194"/>
      <c r="AH61" s="194"/>
      <c r="AI61" s="194"/>
      <c r="AJ61" s="194"/>
      <c r="AK61" s="194"/>
      <c r="AL61" s="194"/>
      <c r="AM61" s="195"/>
      <c r="AN61" s="195"/>
    </row>
    <row r="62" spans="1:40" s="142" customFormat="1" ht="10.050000000000001" customHeight="1">
      <c r="A62" s="139"/>
      <c r="B62" s="167"/>
      <c r="C62" s="166"/>
      <c r="D62" s="166"/>
      <c r="E62" s="166"/>
      <c r="F62" s="166"/>
      <c r="G62" s="166"/>
      <c r="H62" s="166"/>
      <c r="I62" s="166"/>
      <c r="L62" s="143"/>
      <c r="M62" s="193"/>
      <c r="N62" s="194"/>
      <c r="O62" s="194"/>
      <c r="P62" s="194"/>
      <c r="Q62" s="197"/>
      <c r="R62" s="197"/>
      <c r="S62" s="194"/>
      <c r="T62" s="194"/>
      <c r="U62" s="194"/>
      <c r="V62" s="194"/>
      <c r="W62" s="194"/>
      <c r="X62" s="194"/>
      <c r="Y62" s="194"/>
      <c r="Z62" s="194"/>
      <c r="AA62" s="194"/>
      <c r="AB62" s="194"/>
      <c r="AC62" s="194"/>
      <c r="AD62" s="194"/>
      <c r="AE62" s="194"/>
      <c r="AF62" s="194"/>
      <c r="AG62" s="194"/>
      <c r="AH62" s="194"/>
      <c r="AI62" s="194"/>
      <c r="AJ62" s="194"/>
      <c r="AK62" s="194"/>
      <c r="AL62" s="194"/>
      <c r="AM62" s="195"/>
      <c r="AN62" s="195"/>
    </row>
    <row r="63" spans="1:40" s="142" customFormat="1" ht="10.050000000000001" customHeight="1">
      <c r="A63" s="139"/>
      <c r="B63" s="167"/>
      <c r="C63" s="166"/>
      <c r="D63" s="297"/>
      <c r="E63" s="297"/>
      <c r="F63" s="166"/>
      <c r="G63" s="166"/>
      <c r="H63" s="166"/>
      <c r="I63" s="166"/>
      <c r="L63" s="143"/>
      <c r="M63" s="193"/>
      <c r="N63" s="194"/>
      <c r="O63" s="194"/>
      <c r="P63" s="194"/>
      <c r="Q63" s="197"/>
      <c r="R63" s="197"/>
      <c r="S63" s="194"/>
      <c r="T63" s="194"/>
      <c r="U63" s="194"/>
      <c r="V63" s="194"/>
      <c r="W63" s="194"/>
      <c r="X63" s="194"/>
      <c r="Y63" s="194"/>
      <c r="Z63" s="194"/>
      <c r="AA63" s="194"/>
      <c r="AB63" s="194"/>
      <c r="AC63" s="194"/>
      <c r="AD63" s="194"/>
      <c r="AE63" s="194"/>
      <c r="AF63" s="194"/>
      <c r="AG63" s="194"/>
      <c r="AH63" s="194"/>
      <c r="AI63" s="194"/>
      <c r="AJ63" s="194"/>
      <c r="AK63" s="194"/>
      <c r="AL63" s="194"/>
      <c r="AM63" s="195"/>
      <c r="AN63" s="195"/>
    </row>
    <row r="64" spans="1:40" s="142" customFormat="1" ht="10.050000000000001" customHeight="1">
      <c r="A64" s="139"/>
      <c r="B64" s="167"/>
      <c r="C64" s="166"/>
      <c r="D64" s="166"/>
      <c r="E64" s="166"/>
      <c r="F64" s="166"/>
      <c r="G64" s="166"/>
      <c r="H64" s="166"/>
      <c r="I64" s="166"/>
      <c r="L64" s="143"/>
      <c r="M64" s="193"/>
      <c r="N64" s="194"/>
      <c r="O64" s="194"/>
      <c r="P64" s="194"/>
      <c r="Q64" s="197"/>
      <c r="R64" s="197"/>
      <c r="S64" s="194"/>
      <c r="T64" s="194"/>
      <c r="U64" s="194"/>
      <c r="V64" s="194"/>
      <c r="W64" s="194"/>
      <c r="X64" s="194"/>
      <c r="Y64" s="194"/>
      <c r="Z64" s="194"/>
      <c r="AA64" s="194"/>
      <c r="AB64" s="194"/>
      <c r="AC64" s="194"/>
      <c r="AD64" s="194"/>
      <c r="AE64" s="194"/>
      <c r="AF64" s="194"/>
      <c r="AG64" s="194"/>
      <c r="AH64" s="194"/>
      <c r="AI64" s="194"/>
      <c r="AJ64" s="194"/>
      <c r="AK64" s="194"/>
      <c r="AL64" s="194"/>
      <c r="AM64" s="195"/>
      <c r="AN64" s="195"/>
    </row>
    <row r="65" spans="1:40" s="142" customFormat="1" ht="10.050000000000001" customHeight="1">
      <c r="A65" s="139"/>
      <c r="B65" s="167"/>
      <c r="C65" s="166"/>
      <c r="D65" s="211">
        <f>G86</f>
        <v>22.937984624516105</v>
      </c>
      <c r="E65" s="166"/>
      <c r="F65" s="166"/>
      <c r="G65" s="166"/>
      <c r="H65" s="166"/>
      <c r="I65" s="166"/>
      <c r="L65" s="143"/>
      <c r="M65" s="193"/>
      <c r="N65" s="194"/>
      <c r="O65" s="194"/>
      <c r="P65" s="194"/>
      <c r="Q65" s="197"/>
      <c r="R65" s="197"/>
      <c r="S65" s="194"/>
      <c r="T65" s="194"/>
      <c r="U65" s="194"/>
      <c r="V65" s="194"/>
      <c r="W65" s="194"/>
      <c r="X65" s="194"/>
      <c r="Y65" s="194"/>
      <c r="Z65" s="194"/>
      <c r="AA65" s="194"/>
      <c r="AB65" s="194"/>
      <c r="AC65" s="194"/>
      <c r="AD65" s="194"/>
      <c r="AE65" s="194"/>
      <c r="AF65" s="194"/>
      <c r="AG65" s="194"/>
      <c r="AH65" s="194"/>
      <c r="AI65" s="194"/>
      <c r="AJ65" s="194"/>
      <c r="AK65" s="194"/>
      <c r="AL65" s="194"/>
      <c r="AM65" s="195"/>
      <c r="AN65" s="195"/>
    </row>
    <row r="66" spans="1:40" s="142" customFormat="1" ht="10.050000000000001" customHeight="1">
      <c r="A66" s="139"/>
      <c r="B66" s="167"/>
      <c r="C66" s="166"/>
      <c r="D66" s="166"/>
      <c r="E66" s="198"/>
      <c r="F66" s="166"/>
      <c r="G66" s="166"/>
      <c r="H66" s="166"/>
      <c r="I66" s="166"/>
      <c r="L66" s="143"/>
      <c r="M66" s="193"/>
      <c r="N66" s="194"/>
      <c r="O66" s="194"/>
      <c r="P66" s="194"/>
      <c r="Q66" s="197"/>
      <c r="R66" s="197"/>
      <c r="S66" s="194"/>
      <c r="T66" s="194"/>
      <c r="U66" s="194"/>
      <c r="V66" s="194"/>
      <c r="W66" s="194"/>
      <c r="X66" s="194"/>
      <c r="Y66" s="194"/>
      <c r="Z66" s="194"/>
      <c r="AA66" s="194"/>
      <c r="AB66" s="194"/>
      <c r="AC66" s="194"/>
      <c r="AD66" s="194"/>
      <c r="AE66" s="194"/>
      <c r="AF66" s="194"/>
      <c r="AG66" s="194"/>
      <c r="AH66" s="194"/>
      <c r="AI66" s="194"/>
      <c r="AJ66" s="194"/>
      <c r="AK66" s="194"/>
      <c r="AL66" s="194"/>
      <c r="AM66" s="195"/>
      <c r="AN66" s="195"/>
    </row>
    <row r="67" spans="1:40" s="142" customFormat="1" ht="10.050000000000001" customHeight="1">
      <c r="A67" s="139"/>
      <c r="B67" s="167"/>
      <c r="C67" s="166"/>
      <c r="D67" s="166"/>
      <c r="E67" s="166"/>
      <c r="F67" s="199"/>
      <c r="G67" s="166"/>
      <c r="H67" s="298"/>
      <c r="I67" s="298"/>
      <c r="L67" s="143"/>
      <c r="M67" s="193"/>
      <c r="N67" s="194"/>
      <c r="O67" s="194"/>
      <c r="P67" s="194"/>
      <c r="Q67" s="197"/>
      <c r="R67" s="197"/>
      <c r="S67" s="194"/>
      <c r="T67" s="194"/>
      <c r="U67" s="194"/>
      <c r="V67" s="194"/>
      <c r="W67" s="194"/>
      <c r="X67" s="194"/>
      <c r="Y67" s="194"/>
      <c r="Z67" s="194"/>
      <c r="AA67" s="194"/>
      <c r="AB67" s="194"/>
      <c r="AC67" s="194"/>
      <c r="AD67" s="194"/>
      <c r="AE67" s="194"/>
      <c r="AF67" s="194"/>
      <c r="AG67" s="194"/>
      <c r="AH67" s="194"/>
      <c r="AI67" s="194"/>
      <c r="AJ67" s="194"/>
      <c r="AK67" s="194"/>
      <c r="AL67" s="194"/>
      <c r="AM67" s="195"/>
      <c r="AN67" s="195"/>
    </row>
    <row r="68" spans="1:40" s="142" customFormat="1" ht="10.050000000000001" customHeight="1">
      <c r="A68" s="139"/>
      <c r="B68" s="167"/>
      <c r="C68" s="166"/>
      <c r="D68" s="166"/>
      <c r="E68" s="212">
        <f>G87</f>
        <v>0.50808932731532863</v>
      </c>
      <c r="G68" s="166"/>
      <c r="I68" s="213"/>
      <c r="L68" s="143"/>
      <c r="M68" s="193"/>
      <c r="N68" s="194"/>
      <c r="O68" s="194"/>
      <c r="P68" s="194"/>
      <c r="Q68" s="197"/>
      <c r="R68" s="197"/>
      <c r="S68" s="194"/>
      <c r="T68" s="194"/>
      <c r="U68" s="194"/>
      <c r="V68" s="194"/>
      <c r="W68" s="194"/>
      <c r="X68" s="194"/>
      <c r="Y68" s="194"/>
      <c r="Z68" s="194"/>
      <c r="AA68" s="194"/>
      <c r="AB68" s="194"/>
      <c r="AC68" s="194"/>
      <c r="AD68" s="194"/>
      <c r="AE68" s="194"/>
      <c r="AF68" s="194"/>
      <c r="AG68" s="194"/>
      <c r="AH68" s="194"/>
      <c r="AI68" s="194"/>
      <c r="AJ68" s="194"/>
      <c r="AK68" s="194"/>
      <c r="AL68" s="194"/>
      <c r="AM68" s="195"/>
      <c r="AN68" s="195"/>
    </row>
    <row r="69" spans="1:40" s="142" customFormat="1" ht="10.050000000000001" customHeight="1">
      <c r="A69" s="139"/>
      <c r="B69" s="167"/>
      <c r="C69" s="166"/>
      <c r="D69" s="166"/>
      <c r="E69" s="166"/>
      <c r="F69" s="214"/>
      <c r="G69" s="166"/>
      <c r="H69" s="213"/>
      <c r="I69" s="213"/>
      <c r="L69" s="143"/>
      <c r="M69" s="193"/>
      <c r="N69" s="194"/>
      <c r="O69" s="194"/>
      <c r="P69" s="194"/>
      <c r="Q69" s="197"/>
      <c r="R69" s="197"/>
      <c r="S69" s="194"/>
      <c r="T69" s="194"/>
      <c r="U69" s="194"/>
      <c r="V69" s="194"/>
      <c r="W69" s="194"/>
      <c r="X69" s="194"/>
      <c r="Y69" s="194"/>
      <c r="Z69" s="194"/>
      <c r="AA69" s="194"/>
      <c r="AB69" s="194"/>
      <c r="AC69" s="194"/>
      <c r="AD69" s="194"/>
      <c r="AE69" s="194"/>
      <c r="AF69" s="194"/>
      <c r="AG69" s="194"/>
      <c r="AH69" s="194"/>
      <c r="AI69" s="194"/>
      <c r="AJ69" s="194"/>
      <c r="AK69" s="194"/>
      <c r="AL69" s="194"/>
      <c r="AM69" s="195"/>
      <c r="AN69" s="195"/>
    </row>
    <row r="70" spans="1:40" s="142" customFormat="1" ht="10.050000000000001" customHeight="1">
      <c r="A70" s="139"/>
      <c r="B70" s="167"/>
      <c r="C70" s="166"/>
      <c r="D70" s="166"/>
      <c r="E70" s="166"/>
      <c r="F70" s="166"/>
      <c r="G70" s="166"/>
      <c r="H70" s="166"/>
      <c r="I70" s="166"/>
      <c r="L70" s="143"/>
      <c r="M70" s="193"/>
      <c r="N70" s="194"/>
      <c r="O70" s="194"/>
      <c r="P70" s="194"/>
      <c r="Q70" s="197"/>
      <c r="R70" s="197"/>
      <c r="S70" s="194"/>
      <c r="T70" s="194"/>
      <c r="U70" s="194"/>
      <c r="V70" s="194"/>
      <c r="W70" s="194"/>
      <c r="X70" s="194"/>
      <c r="Y70" s="194"/>
      <c r="Z70" s="194"/>
      <c r="AA70" s="194"/>
      <c r="AB70" s="194"/>
      <c r="AC70" s="194"/>
      <c r="AD70" s="194"/>
      <c r="AE70" s="194"/>
      <c r="AF70" s="194"/>
      <c r="AG70" s="194"/>
      <c r="AH70" s="194"/>
      <c r="AI70" s="194"/>
      <c r="AJ70" s="194"/>
      <c r="AK70" s="194"/>
      <c r="AL70" s="194"/>
      <c r="AM70" s="195"/>
      <c r="AN70" s="195"/>
    </row>
    <row r="71" spans="1:40" s="142" customFormat="1" ht="10.050000000000001" customHeight="1">
      <c r="A71" s="139"/>
      <c r="B71" s="167"/>
      <c r="C71" s="166"/>
      <c r="D71" s="166"/>
      <c r="F71" s="302">
        <f>G88</f>
        <v>5.2889558077893188E-2</v>
      </c>
      <c r="G71" s="300">
        <f>G42</f>
        <v>22.429895297200776</v>
      </c>
      <c r="H71" s="300"/>
      <c r="I71" s="166"/>
      <c r="L71" s="143"/>
      <c r="M71" s="193"/>
      <c r="N71" s="194"/>
      <c r="O71" s="194"/>
      <c r="P71" s="194"/>
      <c r="Q71" s="197"/>
      <c r="R71" s="197"/>
      <c r="S71" s="194"/>
      <c r="T71" s="194"/>
      <c r="U71" s="194"/>
      <c r="V71" s="194"/>
      <c r="W71" s="194"/>
      <c r="X71" s="194"/>
      <c r="Y71" s="194"/>
      <c r="Z71" s="194"/>
      <c r="AA71" s="194"/>
      <c r="AB71" s="194"/>
      <c r="AC71" s="194"/>
      <c r="AD71" s="194"/>
      <c r="AE71" s="194"/>
      <c r="AF71" s="194"/>
      <c r="AG71" s="194"/>
      <c r="AH71" s="194"/>
      <c r="AI71" s="194"/>
      <c r="AJ71" s="194"/>
      <c r="AK71" s="194"/>
      <c r="AL71" s="194"/>
      <c r="AM71" s="195"/>
      <c r="AN71" s="195"/>
    </row>
    <row r="72" spans="1:40" s="142" customFormat="1" ht="10.050000000000001" customHeight="1">
      <c r="A72" s="139"/>
      <c r="B72" s="167"/>
      <c r="C72" s="166"/>
      <c r="D72" s="166"/>
      <c r="E72" s="200"/>
      <c r="F72" s="302"/>
      <c r="G72" s="166"/>
      <c r="H72" s="166"/>
      <c r="I72" s="166"/>
      <c r="L72" s="143"/>
      <c r="M72" s="193"/>
      <c r="N72" s="194"/>
      <c r="O72" s="194"/>
      <c r="P72" s="194"/>
      <c r="Q72" s="197"/>
      <c r="R72" s="197"/>
      <c r="S72" s="194"/>
      <c r="T72" s="194"/>
      <c r="U72" s="194"/>
      <c r="V72" s="194"/>
      <c r="W72" s="194"/>
      <c r="X72" s="194"/>
      <c r="Y72" s="194"/>
      <c r="Z72" s="194"/>
      <c r="AA72" s="194"/>
      <c r="AB72" s="194"/>
      <c r="AC72" s="194"/>
      <c r="AD72" s="194"/>
      <c r="AE72" s="194"/>
      <c r="AF72" s="194"/>
      <c r="AG72" s="194"/>
      <c r="AH72" s="194"/>
      <c r="AI72" s="194"/>
      <c r="AJ72" s="194"/>
      <c r="AK72" s="194"/>
      <c r="AL72" s="194"/>
      <c r="AM72" s="195"/>
      <c r="AN72" s="195"/>
    </row>
    <row r="73" spans="1:40" s="142" customFormat="1" ht="10.050000000000001" customHeight="1">
      <c r="A73" s="139"/>
      <c r="B73" s="167"/>
      <c r="C73" s="166"/>
      <c r="D73" s="166"/>
      <c r="E73" s="166"/>
      <c r="G73" s="299"/>
      <c r="H73" s="299"/>
      <c r="I73" s="166"/>
      <c r="L73" s="143"/>
      <c r="M73" s="193"/>
      <c r="N73" s="194"/>
      <c r="O73" s="194"/>
      <c r="P73" s="194"/>
      <c r="Q73" s="197"/>
      <c r="R73" s="197"/>
      <c r="S73" s="194"/>
      <c r="T73" s="194"/>
      <c r="U73" s="194"/>
      <c r="V73" s="194"/>
      <c r="W73" s="194"/>
      <c r="X73" s="194"/>
      <c r="Y73" s="194"/>
      <c r="Z73" s="194"/>
      <c r="AA73" s="194"/>
      <c r="AB73" s="194"/>
      <c r="AC73" s="194"/>
      <c r="AD73" s="194"/>
      <c r="AE73" s="194"/>
      <c r="AF73" s="194"/>
      <c r="AG73" s="194"/>
      <c r="AH73" s="194"/>
      <c r="AI73" s="194"/>
      <c r="AJ73" s="194"/>
      <c r="AK73" s="194"/>
      <c r="AL73" s="194"/>
      <c r="AM73" s="195"/>
      <c r="AN73" s="195"/>
    </row>
    <row r="74" spans="1:40" s="142" customFormat="1" ht="10.050000000000001" customHeight="1">
      <c r="A74" s="139"/>
      <c r="B74" s="167"/>
      <c r="C74" s="166"/>
      <c r="D74" s="166"/>
      <c r="E74" s="200">
        <f>G45</f>
        <v>6.9424078088804464E-2</v>
      </c>
      <c r="G74" s="215"/>
      <c r="H74" s="166"/>
      <c r="I74" s="166"/>
      <c r="L74" s="143"/>
      <c r="M74" s="193"/>
      <c r="N74" s="194"/>
      <c r="O74" s="194"/>
      <c r="P74" s="194"/>
      <c r="Q74" s="197"/>
      <c r="R74" s="197"/>
      <c r="S74" s="194"/>
      <c r="T74" s="194"/>
      <c r="U74" s="194"/>
      <c r="V74" s="194"/>
      <c r="W74" s="194"/>
      <c r="X74" s="194"/>
      <c r="Y74" s="194"/>
      <c r="Z74" s="194"/>
      <c r="AA74" s="194"/>
      <c r="AB74" s="194"/>
      <c r="AC74" s="194"/>
      <c r="AD74" s="194"/>
      <c r="AE74" s="194"/>
      <c r="AF74" s="194"/>
      <c r="AG74" s="194"/>
      <c r="AH74" s="194"/>
      <c r="AI74" s="194"/>
      <c r="AJ74" s="194"/>
      <c r="AK74" s="194"/>
      <c r="AL74" s="194"/>
      <c r="AM74" s="195"/>
      <c r="AN74" s="195"/>
    </row>
    <row r="75" spans="1:40" s="142" customFormat="1" ht="10.050000000000001" customHeight="1">
      <c r="A75" s="139"/>
      <c r="B75" s="167"/>
      <c r="C75" s="301">
        <f>G31</f>
        <v>22.360471219111972</v>
      </c>
      <c r="D75" s="301"/>
      <c r="E75" s="166"/>
      <c r="F75" s="215"/>
      <c r="G75" s="215"/>
      <c r="H75" s="166"/>
      <c r="I75" s="166"/>
      <c r="L75" s="143"/>
      <c r="M75" s="193"/>
      <c r="N75" s="194"/>
      <c r="O75" s="194"/>
      <c r="P75" s="194"/>
      <c r="Q75" s="197"/>
      <c r="R75" s="197"/>
      <c r="S75" s="194"/>
      <c r="T75" s="194"/>
      <c r="U75" s="194"/>
      <c r="V75" s="194"/>
      <c r="W75" s="194"/>
      <c r="X75" s="194"/>
      <c r="Y75" s="194"/>
      <c r="Z75" s="194"/>
      <c r="AA75" s="194"/>
      <c r="AB75" s="194"/>
      <c r="AC75" s="194"/>
      <c r="AD75" s="194"/>
      <c r="AE75" s="194"/>
      <c r="AF75" s="194"/>
      <c r="AG75" s="194"/>
      <c r="AH75" s="194"/>
      <c r="AI75" s="194"/>
      <c r="AJ75" s="194"/>
      <c r="AK75" s="194"/>
      <c r="AL75" s="194"/>
      <c r="AM75" s="195"/>
      <c r="AN75" s="195"/>
    </row>
    <row r="76" spans="1:40" s="142" customFormat="1" ht="10.050000000000001" customHeight="1">
      <c r="A76" s="139"/>
      <c r="B76" s="167"/>
      <c r="C76" s="166"/>
      <c r="D76" s="166"/>
      <c r="E76" s="166"/>
      <c r="F76" s="166"/>
      <c r="G76" s="166"/>
      <c r="H76" s="166"/>
      <c r="I76" s="166"/>
      <c r="L76" s="143"/>
      <c r="M76" s="193"/>
      <c r="N76" s="194"/>
      <c r="O76" s="194"/>
      <c r="P76" s="194"/>
      <c r="Q76" s="203"/>
      <c r="R76" s="203"/>
      <c r="S76" s="194"/>
      <c r="T76" s="194"/>
      <c r="U76" s="194"/>
      <c r="V76" s="194"/>
      <c r="W76" s="194"/>
      <c r="X76" s="194"/>
      <c r="Y76" s="194"/>
      <c r="Z76" s="194"/>
      <c r="AA76" s="194"/>
      <c r="AB76" s="194"/>
      <c r="AC76" s="194"/>
      <c r="AD76" s="194"/>
      <c r="AE76" s="194"/>
      <c r="AF76" s="194"/>
      <c r="AG76" s="194"/>
      <c r="AH76" s="194"/>
      <c r="AI76" s="194"/>
      <c r="AJ76" s="194"/>
      <c r="AK76" s="194"/>
      <c r="AL76" s="194"/>
      <c r="AM76" s="195"/>
      <c r="AN76" s="195"/>
    </row>
    <row r="77" spans="1:40" s="142" customFormat="1" ht="10.050000000000001" customHeight="1">
      <c r="A77" s="139"/>
      <c r="B77" s="167"/>
      <c r="C77" s="166"/>
      <c r="D77" s="166"/>
      <c r="E77" s="166"/>
      <c r="F77" s="166"/>
      <c r="G77" s="166"/>
      <c r="H77" s="166"/>
      <c r="I77" s="166"/>
      <c r="L77" s="143"/>
      <c r="M77" s="193"/>
      <c r="N77" s="194"/>
      <c r="O77" s="194"/>
      <c r="P77" s="194"/>
      <c r="Q77" s="203"/>
      <c r="R77" s="203"/>
      <c r="S77" s="194"/>
      <c r="T77" s="194"/>
      <c r="U77" s="194"/>
      <c r="V77" s="194"/>
      <c r="W77" s="194"/>
      <c r="X77" s="194"/>
      <c r="Y77" s="194"/>
      <c r="Z77" s="194"/>
      <c r="AA77" s="194"/>
      <c r="AB77" s="194"/>
      <c r="AC77" s="194"/>
      <c r="AD77" s="194"/>
      <c r="AE77" s="194"/>
      <c r="AF77" s="194"/>
      <c r="AG77" s="194"/>
      <c r="AH77" s="194"/>
      <c r="AI77" s="194"/>
      <c r="AJ77" s="194"/>
      <c r="AK77" s="194"/>
      <c r="AL77" s="194"/>
      <c r="AM77" s="195"/>
      <c r="AN77" s="195"/>
    </row>
    <row r="78" spans="1:40" s="142" customFormat="1" ht="10.050000000000001" customHeight="1">
      <c r="A78" s="139"/>
      <c r="B78" s="140"/>
      <c r="C78" s="196"/>
      <c r="D78" s="196"/>
      <c r="H78" s="216"/>
      <c r="L78" s="143"/>
      <c r="M78" s="193"/>
      <c r="N78" s="186">
        <v>0.7</v>
      </c>
      <c r="O78" s="186">
        <v>1</v>
      </c>
      <c r="P78" s="194"/>
      <c r="Q78" s="203"/>
      <c r="R78" s="203"/>
      <c r="S78" s="194"/>
      <c r="T78" s="194"/>
      <c r="U78" s="194"/>
      <c r="V78" s="194"/>
      <c r="W78" s="194"/>
      <c r="X78" s="194"/>
      <c r="Y78" s="194"/>
      <c r="Z78" s="194"/>
      <c r="AA78" s="194"/>
      <c r="AB78" s="194"/>
      <c r="AC78" s="194"/>
      <c r="AD78" s="194"/>
      <c r="AE78" s="194"/>
      <c r="AF78" s="194"/>
      <c r="AG78" s="194"/>
      <c r="AH78" s="194"/>
      <c r="AI78" s="194"/>
      <c r="AJ78" s="194"/>
      <c r="AK78" s="194"/>
      <c r="AL78" s="194"/>
      <c r="AM78" s="195"/>
      <c r="AN78" s="195"/>
    </row>
    <row r="79" spans="1:40" s="142" customFormat="1" ht="18" customHeight="1">
      <c r="A79" s="139"/>
      <c r="B79" s="202" t="s">
        <v>329</v>
      </c>
      <c r="L79" s="143"/>
      <c r="M79" s="193"/>
      <c r="N79" s="186">
        <v>0.5</v>
      </c>
      <c r="O79" s="186">
        <v>0.7</v>
      </c>
      <c r="P79" s="194"/>
      <c r="Q79" s="203"/>
      <c r="R79" s="203"/>
      <c r="S79" s="194"/>
      <c r="T79" s="194"/>
      <c r="U79" s="194"/>
      <c r="V79" s="194"/>
      <c r="W79" s="194"/>
      <c r="X79" s="194"/>
      <c r="Y79" s="194"/>
      <c r="Z79" s="194"/>
      <c r="AA79" s="194"/>
      <c r="AB79" s="194"/>
      <c r="AC79" s="194"/>
      <c r="AD79" s="194"/>
      <c r="AE79" s="194"/>
      <c r="AF79" s="194"/>
      <c r="AG79" s="194"/>
      <c r="AH79" s="194"/>
      <c r="AI79" s="194"/>
      <c r="AJ79" s="194"/>
      <c r="AK79" s="194"/>
      <c r="AL79" s="194"/>
      <c r="AM79" s="195"/>
      <c r="AN79" s="195"/>
    </row>
    <row r="80" spans="1:40" s="142" customFormat="1" ht="18" customHeight="1">
      <c r="A80" s="139"/>
      <c r="B80" s="142" t="s">
        <v>133</v>
      </c>
      <c r="C80" s="196"/>
      <c r="D80" s="196"/>
      <c r="F80" s="166"/>
      <c r="G80" s="179">
        <v>0.7</v>
      </c>
      <c r="H80" s="166"/>
      <c r="L80" s="143"/>
      <c r="M80" s="194"/>
      <c r="N80" s="186">
        <f>1/3</f>
        <v>0.33333333333333331</v>
      </c>
      <c r="O80" s="186">
        <v>0.5</v>
      </c>
      <c r="P80" s="194"/>
      <c r="Q80" s="203"/>
      <c r="R80" s="203"/>
      <c r="S80" s="194"/>
      <c r="T80" s="194"/>
      <c r="U80" s="194"/>
      <c r="V80" s="194"/>
      <c r="W80" s="194"/>
      <c r="X80" s="194"/>
      <c r="Y80" s="194"/>
      <c r="Z80" s="194"/>
      <c r="AA80" s="194"/>
      <c r="AB80" s="194"/>
      <c r="AC80" s="194"/>
      <c r="AD80" s="194"/>
      <c r="AE80" s="194"/>
      <c r="AF80" s="194"/>
      <c r="AG80" s="194"/>
      <c r="AH80" s="194"/>
      <c r="AI80" s="194"/>
      <c r="AJ80" s="194"/>
      <c r="AK80" s="194"/>
      <c r="AL80" s="194"/>
      <c r="AM80" s="195"/>
      <c r="AN80" s="195"/>
    </row>
    <row r="81" spans="1:40" s="142" customFormat="1" ht="18" customHeight="1">
      <c r="A81" s="139"/>
      <c r="B81" s="142" t="s">
        <v>198</v>
      </c>
      <c r="F81" s="166"/>
      <c r="G81" s="179">
        <v>0.33333333333333331</v>
      </c>
      <c r="H81" s="166"/>
      <c r="L81" s="143"/>
      <c r="M81" s="194"/>
      <c r="N81" s="189"/>
      <c r="O81" s="186">
        <f>1/3</f>
        <v>0.33333333333333331</v>
      </c>
      <c r="P81" s="194"/>
      <c r="Q81" s="203"/>
      <c r="R81" s="203"/>
      <c r="S81" s="194"/>
      <c r="T81" s="194"/>
      <c r="U81" s="194"/>
      <c r="V81" s="194"/>
      <c r="W81" s="194"/>
      <c r="X81" s="194"/>
      <c r="Y81" s="194"/>
      <c r="Z81" s="194"/>
      <c r="AA81" s="194"/>
      <c r="AB81" s="194"/>
      <c r="AC81" s="194"/>
      <c r="AD81" s="194"/>
      <c r="AE81" s="194"/>
      <c r="AF81" s="194"/>
      <c r="AG81" s="194"/>
      <c r="AH81" s="194"/>
      <c r="AI81" s="194"/>
      <c r="AJ81" s="194"/>
      <c r="AK81" s="194"/>
      <c r="AL81" s="194"/>
      <c r="AM81" s="195"/>
      <c r="AN81" s="195"/>
    </row>
    <row r="82" spans="1:40" s="142" customFormat="1" ht="18" customHeight="1">
      <c r="A82" s="139"/>
      <c r="B82" s="167" t="s">
        <v>121</v>
      </c>
      <c r="C82" s="196"/>
      <c r="D82" s="196"/>
      <c r="F82" s="176">
        <f>G80</f>
        <v>0.7</v>
      </c>
      <c r="G82" s="178">
        <f>G28*G80</f>
        <v>0.74087999999999976</v>
      </c>
      <c r="H82" s="183" t="s">
        <v>322</v>
      </c>
      <c r="L82" s="143"/>
      <c r="M82" s="194"/>
      <c r="N82" s="194"/>
      <c r="O82" s="194"/>
      <c r="P82" s="194"/>
      <c r="Q82" s="203"/>
      <c r="R82" s="203"/>
      <c r="S82" s="194"/>
      <c r="T82" s="194"/>
      <c r="U82" s="194"/>
      <c r="V82" s="194"/>
      <c r="W82" s="194"/>
      <c r="X82" s="194"/>
      <c r="Y82" s="194"/>
      <c r="Z82" s="194"/>
      <c r="AA82" s="194"/>
      <c r="AB82" s="194"/>
      <c r="AC82" s="194"/>
      <c r="AD82" s="194"/>
      <c r="AE82" s="194"/>
      <c r="AF82" s="194"/>
      <c r="AG82" s="194"/>
      <c r="AH82" s="194"/>
      <c r="AI82" s="194"/>
      <c r="AJ82" s="194"/>
      <c r="AK82" s="194"/>
      <c r="AL82" s="194"/>
      <c r="AM82" s="195"/>
      <c r="AN82" s="195"/>
    </row>
    <row r="83" spans="1:40" s="142" customFormat="1" ht="18" customHeight="1">
      <c r="A83" s="139"/>
      <c r="B83" s="167" t="s">
        <v>128</v>
      </c>
      <c r="C83" s="196"/>
      <c r="D83" s="196"/>
      <c r="F83" s="176">
        <f>G81</f>
        <v>0.33333333333333331</v>
      </c>
      <c r="G83" s="178">
        <f>Input!H22*G81</f>
        <v>4.0800000000000003E-2</v>
      </c>
      <c r="H83" s="183" t="s">
        <v>322</v>
      </c>
      <c r="L83" s="143"/>
      <c r="M83" s="194"/>
      <c r="N83" s="180"/>
      <c r="O83" s="194"/>
      <c r="P83" s="194"/>
      <c r="Q83" s="203"/>
      <c r="R83" s="203"/>
      <c r="S83" s="194"/>
      <c r="T83" s="194"/>
      <c r="U83" s="194"/>
      <c r="V83" s="194"/>
      <c r="W83" s="194"/>
      <c r="X83" s="194"/>
      <c r="Y83" s="194"/>
      <c r="Z83" s="194"/>
      <c r="AA83" s="194"/>
      <c r="AB83" s="194"/>
      <c r="AC83" s="194"/>
      <c r="AD83" s="194"/>
      <c r="AE83" s="194"/>
      <c r="AF83" s="194"/>
      <c r="AG83" s="194"/>
      <c r="AH83" s="194"/>
      <c r="AI83" s="194"/>
      <c r="AJ83" s="194"/>
      <c r="AK83" s="194"/>
      <c r="AL83" s="194"/>
      <c r="AM83" s="195"/>
      <c r="AN83" s="195"/>
    </row>
    <row r="84" spans="1:40" s="142" customFormat="1" ht="18" customHeight="1">
      <c r="A84" s="139"/>
      <c r="B84" s="142" t="s">
        <v>132</v>
      </c>
      <c r="F84" s="204" t="s">
        <v>100</v>
      </c>
      <c r="G84" s="178">
        <f>Input!E24</f>
        <v>0.69424078088804586</v>
      </c>
      <c r="H84" s="183" t="s">
        <v>9</v>
      </c>
      <c r="L84" s="143"/>
      <c r="M84" s="194"/>
      <c r="N84" s="180"/>
      <c r="O84" s="180"/>
      <c r="P84" s="194"/>
      <c r="Q84" s="203"/>
      <c r="R84" s="203"/>
      <c r="S84" s="194"/>
      <c r="T84" s="194"/>
      <c r="U84" s="194"/>
      <c r="V84" s="194"/>
      <c r="W84" s="194"/>
      <c r="X84" s="194"/>
      <c r="Y84" s="194"/>
      <c r="Z84" s="194"/>
      <c r="AA84" s="194"/>
      <c r="AB84" s="194"/>
      <c r="AC84" s="194"/>
      <c r="AD84" s="194"/>
      <c r="AE84" s="194"/>
      <c r="AF84" s="194"/>
      <c r="AG84" s="194"/>
      <c r="AH84" s="194"/>
      <c r="AI84" s="194"/>
      <c r="AJ84" s="194"/>
      <c r="AK84" s="194"/>
      <c r="AL84" s="194"/>
      <c r="AM84" s="195"/>
      <c r="AN84" s="195"/>
    </row>
    <row r="85" spans="1:40" s="142" customFormat="1" ht="18" customHeight="1">
      <c r="A85" s="139"/>
      <c r="B85" s="167" t="str">
        <f>"Water Depth in Parent Canal for Q = " &amp;ROUND(G80,2)*100&amp;" %"</f>
        <v>Water Depth in Parent Canal for Q = 70 %</v>
      </c>
      <c r="C85" s="196"/>
      <c r="D85" s="196"/>
      <c r="F85" s="175" t="str">
        <f>"y (Q" &amp;ROUND(G80,2)*100&amp;"%)"</f>
        <v>y (Q70%)</v>
      </c>
      <c r="G85" s="178">
        <f>FORECAST(G82,INDEX(S2:S12,MATCH(G82,Q2:Q12,1)):INDEX(S2:S12,MATCH(G82,Q2:Q12,1)+1),INDEX(Q2:Q12,MATCH(G82,Q2:Q12,1)):INDEX(Q2:Q12,MATCH(G82,Q2:Q12,1)+1))</f>
        <v>0.57751340540413021</v>
      </c>
      <c r="H85" s="183" t="s">
        <v>9</v>
      </c>
      <c r="L85" s="143"/>
      <c r="M85" s="194"/>
      <c r="N85" s="194"/>
      <c r="O85" s="194"/>
      <c r="P85" s="194"/>
      <c r="Q85" s="203"/>
      <c r="R85" s="203"/>
      <c r="S85" s="194"/>
      <c r="T85" s="194"/>
      <c r="U85" s="194"/>
      <c r="V85" s="194"/>
      <c r="W85" s="194"/>
      <c r="X85" s="194"/>
      <c r="Y85" s="194"/>
      <c r="Z85" s="194"/>
      <c r="AA85" s="194"/>
      <c r="AB85" s="194"/>
      <c r="AC85" s="194"/>
      <c r="AD85" s="194"/>
      <c r="AE85" s="194"/>
      <c r="AF85" s="194"/>
      <c r="AG85" s="194"/>
      <c r="AH85" s="194"/>
      <c r="AI85" s="194"/>
      <c r="AJ85" s="194"/>
      <c r="AK85" s="194"/>
      <c r="AL85" s="194"/>
      <c r="AM85" s="195"/>
      <c r="AN85" s="195"/>
    </row>
    <row r="86" spans="1:40" s="142" customFormat="1" ht="18" customHeight="1">
      <c r="A86" s="139"/>
      <c r="B86" s="167" t="s">
        <v>129</v>
      </c>
      <c r="C86" s="196"/>
      <c r="D86" s="196"/>
      <c r="F86" s="176" t="s">
        <v>130</v>
      </c>
      <c r="G86" s="178">
        <f>FORECAST(G82,INDEX(R2:R12,MATCH(G82,Q2:Q12,1)):INDEX(R2:R12,MATCH(G82,Q2:Q12,1)+1),INDEX(Q2:Q12,MATCH(G82,Q2:Q12,1)):INDEX(Q2:Q12,MATCH(G82,Q2:Q12,1)+1))</f>
        <v>22.937984624516105</v>
      </c>
      <c r="H86" s="183" t="s">
        <v>92</v>
      </c>
      <c r="L86" s="143"/>
      <c r="M86" s="194"/>
      <c r="N86" s="209"/>
      <c r="O86" s="194"/>
      <c r="P86" s="194"/>
      <c r="Q86" s="203"/>
      <c r="R86" s="203"/>
      <c r="S86" s="194"/>
      <c r="T86" s="194"/>
      <c r="U86" s="194"/>
      <c r="V86" s="194"/>
      <c r="W86" s="194"/>
      <c r="X86" s="194"/>
      <c r="Y86" s="194"/>
      <c r="Z86" s="194"/>
      <c r="AA86" s="194"/>
      <c r="AB86" s="194"/>
      <c r="AC86" s="194"/>
      <c r="AD86" s="194"/>
      <c r="AE86" s="194"/>
      <c r="AF86" s="194"/>
      <c r="AG86" s="194"/>
      <c r="AH86" s="194"/>
      <c r="AI86" s="194"/>
      <c r="AJ86" s="194"/>
      <c r="AK86" s="194"/>
      <c r="AL86" s="194"/>
      <c r="AM86" s="195"/>
      <c r="AN86" s="195"/>
    </row>
    <row r="87" spans="1:40" s="142" customFormat="1" ht="18" customHeight="1">
      <c r="A87" s="139"/>
      <c r="B87" s="142" t="s">
        <v>91</v>
      </c>
      <c r="C87" s="196"/>
      <c r="D87" s="196"/>
      <c r="F87" s="204" t="s">
        <v>38</v>
      </c>
      <c r="G87" s="178">
        <f>G86-G42</f>
        <v>0.50808932731532863</v>
      </c>
      <c r="H87" s="183" t="s">
        <v>9</v>
      </c>
      <c r="L87" s="143"/>
      <c r="M87" s="209"/>
      <c r="N87" s="209"/>
      <c r="O87" s="194"/>
      <c r="P87" s="194"/>
      <c r="Q87" s="203"/>
      <c r="R87" s="203"/>
      <c r="S87" s="194"/>
      <c r="T87" s="194"/>
      <c r="U87" s="194"/>
      <c r="V87" s="194"/>
      <c r="W87" s="194"/>
      <c r="X87" s="194"/>
      <c r="Y87" s="194"/>
      <c r="Z87" s="194"/>
      <c r="AA87" s="194"/>
      <c r="AB87" s="194"/>
      <c r="AC87" s="194"/>
      <c r="AD87" s="194"/>
      <c r="AE87" s="194"/>
      <c r="AF87" s="194"/>
      <c r="AG87" s="194"/>
      <c r="AH87" s="194"/>
      <c r="AI87" s="194"/>
      <c r="AJ87" s="194"/>
      <c r="AK87" s="194"/>
      <c r="AL87" s="194"/>
      <c r="AM87" s="195"/>
      <c r="AN87" s="195"/>
    </row>
    <row r="88" spans="1:40" ht="18" customHeight="1">
      <c r="A88" s="154"/>
      <c r="B88" s="207" t="s">
        <v>89</v>
      </c>
      <c r="C88" s="150"/>
      <c r="D88" s="150"/>
      <c r="E88" s="142"/>
      <c r="F88" s="204" t="s">
        <v>36</v>
      </c>
      <c r="G88" s="117">
        <v>5.2889558077893188E-2</v>
      </c>
      <c r="H88" s="183" t="s">
        <v>9</v>
      </c>
      <c r="I88" s="208" t="str">
        <f>IF(AND(G88&lt;G85*0.63,G88&gt;=0.02),"OK","Check")</f>
        <v>OK</v>
      </c>
      <c r="J88" s="142"/>
      <c r="K88" s="142"/>
      <c r="L88" s="155"/>
      <c r="M88" s="209">
        <f>G96-G83</f>
        <v>1.8630351831831808E-2</v>
      </c>
      <c r="N88" s="209"/>
    </row>
    <row r="89" spans="1:40" ht="18" customHeight="1">
      <c r="A89" s="154"/>
      <c r="B89" s="142" t="s">
        <v>199</v>
      </c>
      <c r="C89" s="150"/>
      <c r="D89" s="150"/>
      <c r="E89" s="142"/>
      <c r="F89" s="204" t="s">
        <v>114</v>
      </c>
      <c r="G89" s="178">
        <f>G88/G87</f>
        <v>0.1040949991163051</v>
      </c>
      <c r="H89" s="183" t="s">
        <v>20</v>
      </c>
      <c r="I89" s="142"/>
      <c r="J89" s="142"/>
      <c r="K89" s="142"/>
      <c r="L89" s="155"/>
      <c r="M89" s="209"/>
      <c r="N89" s="209"/>
    </row>
    <row r="90" spans="1:40" ht="18" customHeight="1">
      <c r="A90" s="154"/>
      <c r="B90" s="142" t="s">
        <v>94</v>
      </c>
      <c r="F90" s="204" t="s">
        <v>115</v>
      </c>
      <c r="G90" s="177">
        <f>184.75*G89^6-406.68*G89^5+355.39*G89^4-158.65*G89^3+40.292*G89^2-6.8832*G89+1</f>
        <v>0.57813118544331132</v>
      </c>
      <c r="H90" s="183" t="s">
        <v>20</v>
      </c>
      <c r="I90" s="142"/>
      <c r="J90" s="142"/>
      <c r="K90" s="142"/>
      <c r="L90" s="155"/>
      <c r="M90" s="209"/>
      <c r="N90" s="181">
        <f>G89</f>
        <v>0.1040949991163051</v>
      </c>
      <c r="O90" s="181">
        <v>0</v>
      </c>
    </row>
    <row r="91" spans="1:40" ht="18" customHeight="1">
      <c r="A91" s="154"/>
      <c r="B91" s="167" t="s">
        <v>102</v>
      </c>
      <c r="F91" s="204" t="s">
        <v>101</v>
      </c>
      <c r="G91" s="177">
        <f>G90*G87</f>
        <v>0.29374228511190559</v>
      </c>
      <c r="H91" s="183" t="s">
        <v>9</v>
      </c>
      <c r="I91" s="142"/>
      <c r="J91" s="142"/>
      <c r="K91" s="142"/>
      <c r="L91" s="155"/>
      <c r="M91" s="209"/>
      <c r="N91" s="181">
        <f>N90</f>
        <v>0.1040949991163051</v>
      </c>
      <c r="O91" s="181">
        <f>G90</f>
        <v>0.57813118544331132</v>
      </c>
    </row>
    <row r="92" spans="1:40" ht="18" customHeight="1">
      <c r="A92" s="154"/>
      <c r="B92" s="167" t="s">
        <v>135</v>
      </c>
      <c r="F92" s="204" t="s">
        <v>116</v>
      </c>
      <c r="G92" s="177">
        <f>G86-G91</f>
        <v>22.644242339404201</v>
      </c>
      <c r="H92" s="183" t="s">
        <v>330</v>
      </c>
      <c r="I92" s="142"/>
      <c r="J92" s="142"/>
      <c r="K92" s="142"/>
      <c r="L92" s="155"/>
      <c r="M92" s="209"/>
      <c r="N92" s="181"/>
      <c r="O92" s="181"/>
    </row>
    <row r="93" spans="1:40" ht="18" customHeight="1">
      <c r="A93" s="154"/>
      <c r="B93" s="167" t="s">
        <v>134</v>
      </c>
      <c r="F93" s="165"/>
      <c r="G93" s="177">
        <f>G51</f>
        <v>21.76783337909378</v>
      </c>
      <c r="H93" s="183" t="s">
        <v>330</v>
      </c>
      <c r="I93" s="174"/>
      <c r="J93" s="142"/>
      <c r="K93" s="142"/>
      <c r="L93" s="143"/>
      <c r="M93" s="209"/>
      <c r="N93" s="181">
        <f>N91</f>
        <v>0.1040949991163051</v>
      </c>
      <c r="O93" s="181">
        <f>O91</f>
        <v>0.57813118544331132</v>
      </c>
    </row>
    <row r="94" spans="1:40" ht="18" customHeight="1">
      <c r="A94" s="154"/>
      <c r="B94" s="167" t="s">
        <v>123</v>
      </c>
      <c r="F94" s="204"/>
      <c r="G94" s="177" t="str">
        <f>IF(G92&gt;G93,"OK","Not OK")</f>
        <v>OK</v>
      </c>
      <c r="H94" s="183"/>
      <c r="I94" s="142"/>
      <c r="J94" s="142"/>
      <c r="K94" s="142"/>
      <c r="L94" s="143"/>
      <c r="N94" s="181">
        <v>0</v>
      </c>
      <c r="O94" s="181">
        <f>O93</f>
        <v>0.57813118544331132</v>
      </c>
    </row>
    <row r="95" spans="1:40" ht="18" customHeight="1">
      <c r="A95" s="154"/>
      <c r="B95" s="167" t="s">
        <v>105</v>
      </c>
      <c r="F95" s="204" t="s">
        <v>117</v>
      </c>
      <c r="G95" s="177">
        <v>0.94</v>
      </c>
      <c r="H95" s="183"/>
      <c r="I95" s="142"/>
      <c r="J95" s="142"/>
      <c r="K95" s="142"/>
      <c r="L95" s="143"/>
    </row>
    <row r="96" spans="1:40" ht="18" customHeight="1">
      <c r="A96" s="154"/>
      <c r="B96" s="167" t="s">
        <v>103</v>
      </c>
      <c r="F96" s="204" t="s">
        <v>104</v>
      </c>
      <c r="G96" s="177">
        <f>G95*G39*G88*((2*9.81*(G87-G88))^0.5)</f>
        <v>5.9430351831831811E-2</v>
      </c>
      <c r="H96" s="183" t="s">
        <v>322</v>
      </c>
      <c r="I96" s="142"/>
      <c r="J96" s="142"/>
      <c r="K96" s="142"/>
      <c r="L96" s="143"/>
    </row>
    <row r="97" spans="1:12" ht="18" customHeight="1">
      <c r="A97" s="154"/>
      <c r="B97" s="167"/>
      <c r="F97" s="204"/>
      <c r="G97" s="217"/>
      <c r="H97" s="218"/>
      <c r="I97" s="142"/>
      <c r="J97" s="142"/>
      <c r="K97" s="142"/>
      <c r="L97" s="143"/>
    </row>
    <row r="98" spans="1:12" ht="18" customHeight="1">
      <c r="A98" s="154"/>
      <c r="B98" s="167"/>
      <c r="F98" s="204"/>
      <c r="G98" s="217"/>
      <c r="H98" s="218"/>
      <c r="I98" s="142"/>
      <c r="J98" s="142"/>
      <c r="K98" s="142"/>
      <c r="L98" s="143"/>
    </row>
    <row r="99" spans="1:12" ht="18" customHeight="1">
      <c r="A99" s="154"/>
      <c r="B99" s="167"/>
      <c r="F99" s="204"/>
      <c r="G99" s="217"/>
      <c r="H99" s="218"/>
      <c r="I99" s="142"/>
      <c r="J99" s="142"/>
      <c r="K99" s="142"/>
      <c r="L99" s="143"/>
    </row>
    <row r="100" spans="1:12" ht="18" customHeight="1">
      <c r="A100" s="154"/>
      <c r="B100" s="167"/>
      <c r="F100" s="204"/>
      <c r="G100" s="217"/>
      <c r="H100" s="218"/>
      <c r="I100" s="142"/>
      <c r="J100" s="142"/>
      <c r="K100" s="142"/>
      <c r="L100" s="143"/>
    </row>
    <row r="101" spans="1:12" ht="18" customHeight="1">
      <c r="A101" s="154"/>
      <c r="B101" s="167"/>
      <c r="F101" s="204"/>
      <c r="G101" s="217"/>
      <c r="H101" s="218"/>
      <c r="I101" s="142"/>
      <c r="J101" s="142"/>
      <c r="K101" s="142"/>
      <c r="L101" s="143"/>
    </row>
    <row r="102" spans="1:12" ht="18" customHeight="1">
      <c r="A102" s="154"/>
      <c r="B102" s="167"/>
      <c r="F102" s="204"/>
      <c r="G102" s="217"/>
      <c r="H102" s="218"/>
      <c r="I102" s="142"/>
      <c r="J102" s="142"/>
      <c r="K102" s="142"/>
      <c r="L102" s="143"/>
    </row>
    <row r="103" spans="1:12" ht="18" customHeight="1">
      <c r="A103" s="154"/>
      <c r="B103" s="167"/>
      <c r="F103" s="204"/>
      <c r="G103" s="217"/>
      <c r="H103" s="218"/>
      <c r="I103" s="142"/>
      <c r="J103" s="142"/>
      <c r="K103" s="142"/>
      <c r="L103" s="143"/>
    </row>
    <row r="104" spans="1:12" ht="18" customHeight="1">
      <c r="A104" s="154"/>
      <c r="B104" s="167"/>
      <c r="F104" s="204"/>
      <c r="G104" s="217"/>
      <c r="H104" s="218"/>
      <c r="I104" s="142"/>
      <c r="J104" s="142"/>
      <c r="K104" s="142"/>
      <c r="L104" s="143"/>
    </row>
    <row r="105" spans="1:12" ht="18" customHeight="1">
      <c r="A105" s="154"/>
      <c r="B105" s="167"/>
      <c r="F105" s="204"/>
      <c r="G105" s="217"/>
      <c r="H105" s="218"/>
      <c r="I105" s="142"/>
      <c r="J105" s="142"/>
      <c r="K105" s="142"/>
      <c r="L105" s="143"/>
    </row>
    <row r="106" spans="1:12" ht="18" customHeight="1">
      <c r="A106" s="154"/>
      <c r="B106" s="167"/>
      <c r="F106" s="204"/>
      <c r="G106" s="142"/>
      <c r="H106" s="218"/>
      <c r="I106" s="142"/>
      <c r="J106" s="142"/>
      <c r="K106" s="142"/>
      <c r="L106" s="143"/>
    </row>
    <row r="107" spans="1:12" ht="18" customHeight="1">
      <c r="A107" s="151"/>
      <c r="B107" s="210"/>
      <c r="C107" s="172"/>
      <c r="D107" s="172"/>
      <c r="E107" s="172"/>
      <c r="F107" s="152"/>
      <c r="G107" s="152"/>
      <c r="H107" s="152"/>
      <c r="I107" s="152"/>
      <c r="J107" s="152"/>
      <c r="K107" s="152"/>
      <c r="L107" s="153"/>
    </row>
    <row r="108" spans="1:12" ht="18" customHeight="1">
      <c r="A108" s="154"/>
      <c r="B108" s="140" t="s">
        <v>327</v>
      </c>
      <c r="F108" s="142"/>
      <c r="G108" s="142"/>
      <c r="H108" s="142"/>
      <c r="I108" s="142"/>
      <c r="J108" s="142"/>
      <c r="K108" s="142"/>
      <c r="L108" s="143"/>
    </row>
    <row r="109" spans="1:12" ht="18" customHeight="1">
      <c r="A109" s="154"/>
      <c r="B109" s="140" t="s">
        <v>162</v>
      </c>
      <c r="F109" s="142"/>
      <c r="G109" s="142"/>
      <c r="H109" s="142"/>
      <c r="I109" s="142"/>
      <c r="J109" s="142"/>
      <c r="K109" s="142"/>
      <c r="L109" s="143"/>
    </row>
    <row r="110" spans="1:12" ht="18" customHeight="1">
      <c r="A110" s="154"/>
      <c r="B110" s="167" t="s">
        <v>26</v>
      </c>
      <c r="F110" s="204" t="s">
        <v>111</v>
      </c>
      <c r="G110" s="177">
        <f>G30</f>
        <v>23.054712000000016</v>
      </c>
      <c r="H110" s="183" t="s">
        <v>92</v>
      </c>
      <c r="I110" s="142"/>
      <c r="J110" s="142"/>
      <c r="K110" s="142"/>
      <c r="L110" s="143"/>
    </row>
    <row r="111" spans="1:12" ht="18" customHeight="1">
      <c r="A111" s="154"/>
      <c r="B111" s="167" t="s">
        <v>163</v>
      </c>
      <c r="F111" s="204" t="s">
        <v>170</v>
      </c>
      <c r="G111" s="177">
        <f>0.7</f>
        <v>0.7</v>
      </c>
      <c r="H111" s="183" t="s">
        <v>202</v>
      </c>
      <c r="I111" s="142"/>
      <c r="J111" s="142"/>
      <c r="K111" s="142"/>
      <c r="L111" s="143"/>
    </row>
    <row r="112" spans="1:12" ht="18" customHeight="1">
      <c r="A112" s="154"/>
      <c r="B112" s="167"/>
      <c r="F112" s="204"/>
      <c r="G112" s="142"/>
      <c r="H112" s="218"/>
      <c r="I112" s="142"/>
      <c r="J112" s="142"/>
      <c r="K112" s="142"/>
      <c r="L112" s="143"/>
    </row>
    <row r="113" spans="1:14" ht="18" customHeight="1">
      <c r="A113" s="154"/>
      <c r="B113" s="140" t="s">
        <v>167</v>
      </c>
      <c r="H113" s="218"/>
      <c r="I113" s="142"/>
      <c r="J113" s="142"/>
      <c r="K113" s="142"/>
      <c r="L113" s="143"/>
    </row>
    <row r="114" spans="1:14" ht="18" customHeight="1">
      <c r="A114" s="154"/>
      <c r="B114" s="167" t="s">
        <v>165</v>
      </c>
      <c r="F114" s="204" t="s">
        <v>169</v>
      </c>
      <c r="G114" s="177">
        <f>G29</f>
        <v>0.12240000000000001</v>
      </c>
      <c r="H114" s="218"/>
      <c r="I114" s="142"/>
      <c r="J114" s="142"/>
      <c r="K114" s="142"/>
      <c r="L114" s="143"/>
    </row>
    <row r="115" spans="1:14" ht="18" customHeight="1">
      <c r="A115" s="154"/>
      <c r="B115" s="167" t="s">
        <v>90</v>
      </c>
      <c r="F115" s="204" t="s">
        <v>35</v>
      </c>
      <c r="G115" s="177">
        <f>G39</f>
        <v>0.4</v>
      </c>
      <c r="H115" s="183" t="s">
        <v>9</v>
      </c>
      <c r="I115" s="142"/>
      <c r="J115" s="142"/>
      <c r="K115" s="142"/>
      <c r="L115" s="143"/>
    </row>
    <row r="116" spans="1:14" ht="18" customHeight="1">
      <c r="A116" s="154"/>
      <c r="B116" s="167" t="s">
        <v>175</v>
      </c>
      <c r="F116" s="204" t="s">
        <v>36</v>
      </c>
      <c r="G116" s="177">
        <f>G46</f>
        <v>0.10091162469022241</v>
      </c>
      <c r="H116" s="183" t="s">
        <v>9</v>
      </c>
      <c r="I116" s="142"/>
      <c r="J116" s="142"/>
      <c r="K116" s="142"/>
      <c r="L116" s="143"/>
    </row>
    <row r="117" spans="1:14" ht="18" customHeight="1">
      <c r="A117" s="154"/>
      <c r="B117" s="167" t="s">
        <v>181</v>
      </c>
      <c r="F117" s="204" t="s">
        <v>183</v>
      </c>
      <c r="G117" s="177">
        <f>G116</f>
        <v>0.10091162469022241</v>
      </c>
      <c r="H117" s="183" t="s">
        <v>9</v>
      </c>
      <c r="I117" s="142" t="s">
        <v>178</v>
      </c>
      <c r="J117" s="142"/>
      <c r="K117" s="142"/>
      <c r="L117" s="143"/>
    </row>
    <row r="118" spans="1:14" ht="18" customHeight="1">
      <c r="A118" s="154"/>
      <c r="B118" s="167" t="s">
        <v>163</v>
      </c>
      <c r="F118" s="204" t="s">
        <v>182</v>
      </c>
      <c r="G118" s="177">
        <f>G114/(G115*G117)</f>
        <v>3.0323562913525177</v>
      </c>
      <c r="H118" s="183" t="s">
        <v>96</v>
      </c>
      <c r="I118" s="142"/>
      <c r="J118" s="142"/>
      <c r="K118" s="142"/>
      <c r="L118" s="143"/>
    </row>
    <row r="119" spans="1:14" ht="18" customHeight="1">
      <c r="A119" s="154"/>
      <c r="B119" s="167"/>
      <c r="F119" s="204"/>
      <c r="G119" s="217"/>
      <c r="H119" s="218"/>
      <c r="I119" s="142"/>
      <c r="J119" s="142"/>
      <c r="K119" s="142"/>
      <c r="L119" s="143"/>
    </row>
    <row r="120" spans="1:14" ht="18" customHeight="1">
      <c r="A120" s="154"/>
      <c r="B120" s="140" t="s">
        <v>177</v>
      </c>
      <c r="F120" s="204"/>
      <c r="G120" s="142"/>
      <c r="H120" s="218"/>
      <c r="I120" s="142"/>
      <c r="J120" s="142"/>
      <c r="K120" s="142"/>
      <c r="L120" s="143"/>
    </row>
    <row r="121" spans="1:14" ht="18" customHeight="1">
      <c r="A121" s="154"/>
      <c r="B121" s="167" t="s">
        <v>176</v>
      </c>
      <c r="F121" s="204" t="s">
        <v>179</v>
      </c>
      <c r="G121" s="177">
        <f>G118/(9.81*G116)^0.5</f>
        <v>3.0477204219992671</v>
      </c>
      <c r="H121" s="183" t="s">
        <v>20</v>
      </c>
      <c r="J121" s="142"/>
      <c r="K121" s="142"/>
      <c r="L121" s="143"/>
    </row>
    <row r="122" spans="1:14" ht="18" customHeight="1">
      <c r="A122" s="154"/>
      <c r="B122" s="167" t="s">
        <v>180</v>
      </c>
      <c r="F122" s="204" t="s">
        <v>184</v>
      </c>
      <c r="G122" s="177">
        <f>G117*(0.5*(-1+(1+8*G121^2)^0.5))</f>
        <v>0.38740296617579389</v>
      </c>
      <c r="H122" s="183" t="s">
        <v>9</v>
      </c>
      <c r="I122" s="142"/>
      <c r="J122" s="142"/>
      <c r="K122" s="142"/>
      <c r="L122" s="143"/>
    </row>
    <row r="123" spans="1:14" ht="18" customHeight="1">
      <c r="A123" s="154"/>
      <c r="B123" s="167" t="s">
        <v>168</v>
      </c>
      <c r="F123" s="204" t="s">
        <v>171</v>
      </c>
      <c r="G123" s="177">
        <f>G114/G122/G115</f>
        <v>0.78987521190311383</v>
      </c>
      <c r="H123" s="183" t="s">
        <v>202</v>
      </c>
      <c r="I123" s="142"/>
      <c r="J123" s="142"/>
      <c r="K123" s="142"/>
      <c r="L123" s="143"/>
    </row>
    <row r="124" spans="1:14" ht="18" customHeight="1">
      <c r="A124" s="154"/>
      <c r="B124" s="167" t="s">
        <v>187</v>
      </c>
      <c r="F124" s="204"/>
      <c r="G124" s="177">
        <f>G123^2/2/9.81</f>
        <v>3.1799329784861823E-2</v>
      </c>
      <c r="H124" s="183" t="s">
        <v>9</v>
      </c>
      <c r="I124" s="142"/>
      <c r="J124" s="142"/>
      <c r="K124" s="142"/>
      <c r="L124" s="143"/>
    </row>
    <row r="125" spans="1:14" ht="18" customHeight="1">
      <c r="A125" s="154"/>
      <c r="B125" s="167" t="s">
        <v>185</v>
      </c>
      <c r="F125" s="204" t="s">
        <v>186</v>
      </c>
      <c r="G125" s="177">
        <f>6.17*G122</f>
        <v>2.3902763013046484</v>
      </c>
      <c r="H125" s="183" t="s">
        <v>9</v>
      </c>
      <c r="I125" s="142"/>
      <c r="J125" s="142"/>
      <c r="K125" s="142"/>
      <c r="L125" s="143"/>
    </row>
    <row r="126" spans="1:14" ht="18" customHeight="1">
      <c r="A126" s="154"/>
      <c r="B126" s="167" t="s">
        <v>201</v>
      </c>
      <c r="F126" s="204"/>
      <c r="G126" s="118">
        <v>29.972312887341023</v>
      </c>
      <c r="H126" s="183" t="s">
        <v>92</v>
      </c>
      <c r="I126" s="219"/>
      <c r="J126" s="142"/>
      <c r="K126" s="142"/>
      <c r="L126" s="143"/>
      <c r="N126" s="192">
        <f>G131-G129</f>
        <v>7.6063329395227441</v>
      </c>
    </row>
    <row r="127" spans="1:14" ht="18" customHeight="1">
      <c r="A127" s="154"/>
      <c r="B127" s="167" t="s">
        <v>200</v>
      </c>
      <c r="F127" s="204"/>
      <c r="G127" s="178">
        <f>ROUNDUP(MIN(G42-6.17*G122/2/G132,G126),2)</f>
        <v>22.14</v>
      </c>
      <c r="H127" s="183" t="s">
        <v>92</v>
      </c>
      <c r="I127" s="219"/>
      <c r="J127" s="142"/>
      <c r="K127" s="142"/>
      <c r="L127" s="143"/>
    </row>
    <row r="128" spans="1:14" ht="18" customHeight="1">
      <c r="A128" s="154"/>
      <c r="B128" s="167" t="s">
        <v>191</v>
      </c>
      <c r="F128" s="204"/>
      <c r="G128" s="177">
        <f>G110-G126</f>
        <v>-6.9176008873410062</v>
      </c>
      <c r="H128" s="183" t="s">
        <v>9</v>
      </c>
      <c r="I128" s="142"/>
      <c r="J128" s="142"/>
      <c r="K128" s="142"/>
      <c r="L128" s="143"/>
    </row>
    <row r="129" spans="1:12" ht="18" customHeight="1">
      <c r="A129" s="154"/>
      <c r="B129" s="167" t="s">
        <v>164</v>
      </c>
      <c r="F129" s="204" t="s">
        <v>173</v>
      </c>
      <c r="G129" s="177">
        <f>G126+G128+G111^2/2/9.81</f>
        <v>23.079686515800219</v>
      </c>
      <c r="H129" s="183" t="s">
        <v>92</v>
      </c>
      <c r="I129" s="142"/>
      <c r="J129" s="142"/>
      <c r="K129" s="142"/>
      <c r="L129" s="143"/>
    </row>
    <row r="130" spans="1:12" ht="18" customHeight="1">
      <c r="A130" s="154"/>
      <c r="B130" s="167" t="s">
        <v>166</v>
      </c>
      <c r="F130" s="204" t="s">
        <v>101</v>
      </c>
      <c r="G130" s="177">
        <f>G49</f>
        <v>0.29450427202128426</v>
      </c>
      <c r="H130" s="183" t="s">
        <v>9</v>
      </c>
      <c r="I130" s="142"/>
      <c r="J130" s="142"/>
      <c r="K130" s="142"/>
      <c r="L130" s="143"/>
    </row>
    <row r="131" spans="1:12" ht="18" customHeight="1">
      <c r="A131" s="154"/>
      <c r="B131" s="167" t="s">
        <v>192</v>
      </c>
      <c r="F131" s="204"/>
      <c r="G131" s="177">
        <f>G126+G122+G124+G130</f>
        <v>30.686019455322963</v>
      </c>
      <c r="H131" s="183" t="s">
        <v>92</v>
      </c>
      <c r="I131" s="142"/>
      <c r="J131" s="142"/>
      <c r="K131" s="142"/>
      <c r="L131" s="143"/>
    </row>
    <row r="132" spans="1:12" ht="18" customHeight="1">
      <c r="A132" s="154"/>
      <c r="B132" s="167" t="s">
        <v>188</v>
      </c>
      <c r="F132" s="204" t="s">
        <v>189</v>
      </c>
      <c r="G132" s="118">
        <v>4</v>
      </c>
      <c r="H132" s="183"/>
      <c r="I132" s="142"/>
      <c r="J132" s="142"/>
      <c r="K132" s="142"/>
      <c r="L132" s="143"/>
    </row>
    <row r="133" spans="1:12" ht="18" customHeight="1">
      <c r="A133" s="154"/>
      <c r="B133" s="167" t="s">
        <v>190</v>
      </c>
      <c r="F133" s="204"/>
      <c r="G133" s="177">
        <f>MAX(0.5,ROUND(G132*(G42-G127),2))</f>
        <v>1.1599999999999999</v>
      </c>
      <c r="H133" s="183" t="s">
        <v>9</v>
      </c>
      <c r="I133" s="142"/>
      <c r="J133" s="142"/>
      <c r="K133" s="142"/>
      <c r="L133" s="143"/>
    </row>
    <row r="134" spans="1:12" ht="18" customHeight="1">
      <c r="A134" s="154"/>
      <c r="B134" s="167"/>
      <c r="F134" s="204"/>
      <c r="G134" s="142"/>
      <c r="H134" s="218"/>
      <c r="I134" s="142"/>
      <c r="J134" s="142"/>
      <c r="K134" s="142"/>
      <c r="L134" s="143"/>
    </row>
    <row r="135" spans="1:12" ht="18" customHeight="1">
      <c r="A135" s="154"/>
      <c r="B135" s="167"/>
      <c r="F135" s="204"/>
      <c r="G135" s="142"/>
      <c r="H135" s="218"/>
      <c r="I135" s="142"/>
      <c r="J135" s="142"/>
      <c r="K135" s="142"/>
      <c r="L135" s="143"/>
    </row>
    <row r="136" spans="1:12" ht="18" customHeight="1">
      <c r="A136" s="154"/>
      <c r="B136" s="167"/>
      <c r="F136" s="204"/>
      <c r="G136" s="142"/>
      <c r="H136" s="218"/>
      <c r="I136" s="142"/>
      <c r="J136" s="142"/>
      <c r="K136" s="142"/>
      <c r="L136" s="143"/>
    </row>
    <row r="137" spans="1:12" ht="18" customHeight="1">
      <c r="A137" s="154"/>
      <c r="B137" s="167"/>
      <c r="F137" s="204"/>
      <c r="G137" s="142"/>
      <c r="H137" s="218"/>
      <c r="I137" s="142"/>
      <c r="J137" s="142"/>
      <c r="K137" s="142"/>
      <c r="L137" s="143"/>
    </row>
    <row r="138" spans="1:12" ht="18" customHeight="1">
      <c r="A138" s="154"/>
      <c r="B138" s="167"/>
      <c r="F138" s="204"/>
      <c r="G138" s="142"/>
      <c r="H138" s="218"/>
      <c r="I138" s="142"/>
      <c r="J138" s="142"/>
      <c r="K138" s="142"/>
      <c r="L138" s="143"/>
    </row>
    <row r="139" spans="1:12" ht="18" customHeight="1">
      <c r="A139" s="154"/>
      <c r="B139" s="167"/>
      <c r="F139" s="204"/>
      <c r="G139" s="142"/>
      <c r="H139" s="218"/>
      <c r="I139" s="142"/>
      <c r="J139" s="142"/>
      <c r="K139" s="142"/>
      <c r="L139" s="143"/>
    </row>
    <row r="140" spans="1:12" ht="18" customHeight="1">
      <c r="A140" s="154"/>
      <c r="B140" s="167"/>
      <c r="F140" s="204"/>
      <c r="G140" s="142"/>
      <c r="H140" s="218"/>
      <c r="I140" s="142"/>
      <c r="J140" s="142"/>
      <c r="K140" s="142"/>
      <c r="L140" s="143"/>
    </row>
    <row r="141" spans="1:12" ht="18" customHeight="1">
      <c r="A141" s="154"/>
      <c r="B141" s="167"/>
      <c r="F141" s="204"/>
      <c r="G141" s="142"/>
      <c r="H141" s="218"/>
      <c r="I141" s="142"/>
      <c r="J141" s="142"/>
      <c r="K141" s="142"/>
      <c r="L141" s="143"/>
    </row>
    <row r="142" spans="1:12" ht="18" customHeight="1">
      <c r="A142" s="154"/>
      <c r="B142" s="167"/>
      <c r="F142" s="204"/>
      <c r="G142" s="142"/>
      <c r="H142" s="218"/>
      <c r="I142" s="142"/>
      <c r="J142" s="142"/>
      <c r="K142" s="142"/>
      <c r="L142" s="143"/>
    </row>
    <row r="143" spans="1:12" ht="18" customHeight="1">
      <c r="A143" s="154"/>
      <c r="B143" s="167"/>
      <c r="F143" s="204"/>
      <c r="G143" s="142"/>
      <c r="H143" s="218"/>
      <c r="I143" s="142"/>
      <c r="J143" s="142"/>
      <c r="K143" s="142"/>
      <c r="L143" s="143"/>
    </row>
    <row r="144" spans="1:12" ht="18" customHeight="1">
      <c r="A144" s="154"/>
      <c r="B144" s="167"/>
      <c r="F144" s="204"/>
      <c r="G144" s="142"/>
      <c r="H144" s="218"/>
      <c r="I144" s="142"/>
      <c r="J144" s="142"/>
      <c r="K144" s="142"/>
      <c r="L144" s="143"/>
    </row>
    <row r="145" spans="1:12" ht="18" customHeight="1">
      <c r="A145" s="154"/>
      <c r="B145" s="167"/>
      <c r="F145" s="204"/>
      <c r="G145" s="142"/>
      <c r="H145" s="218"/>
      <c r="I145" s="142"/>
      <c r="J145" s="142"/>
      <c r="K145" s="142"/>
      <c r="L145" s="143"/>
    </row>
    <row r="146" spans="1:12" ht="18" customHeight="1">
      <c r="A146" s="154"/>
      <c r="B146" s="167"/>
      <c r="F146" s="204"/>
      <c r="G146" s="142"/>
      <c r="H146" s="218"/>
      <c r="I146" s="142"/>
      <c r="J146" s="142"/>
      <c r="K146" s="142"/>
      <c r="L146" s="143"/>
    </row>
    <row r="147" spans="1:12" ht="18" customHeight="1">
      <c r="A147" s="154"/>
      <c r="B147" s="167"/>
      <c r="F147" s="204"/>
      <c r="G147" s="142"/>
      <c r="H147" s="218"/>
      <c r="I147" s="142"/>
      <c r="J147" s="142"/>
      <c r="K147" s="142"/>
      <c r="L147" s="143"/>
    </row>
    <row r="148" spans="1:12" ht="18" customHeight="1">
      <c r="A148" s="154"/>
      <c r="B148" s="167"/>
      <c r="F148" s="204"/>
      <c r="G148" s="142"/>
      <c r="H148" s="218"/>
      <c r="I148" s="142"/>
      <c r="J148" s="142"/>
      <c r="K148" s="142"/>
      <c r="L148" s="143"/>
    </row>
    <row r="149" spans="1:12" ht="18" customHeight="1">
      <c r="A149" s="151"/>
      <c r="B149" s="210"/>
      <c r="C149" s="172"/>
      <c r="D149" s="172"/>
      <c r="E149" s="172"/>
      <c r="F149" s="152"/>
      <c r="G149" s="152"/>
      <c r="H149" s="152"/>
      <c r="I149" s="152"/>
      <c r="J149" s="152"/>
      <c r="K149" s="152"/>
      <c r="L149" s="153"/>
    </row>
    <row r="150" spans="1:12" ht="18" customHeight="1">
      <c r="B150" s="135"/>
      <c r="I150" s="142"/>
      <c r="J150" s="142"/>
      <c r="K150" s="142"/>
      <c r="L150" s="142"/>
    </row>
    <row r="151" spans="1:12" ht="18" customHeight="1">
      <c r="B151" s="135"/>
      <c r="I151" s="142"/>
      <c r="J151" s="142"/>
      <c r="K151" s="142"/>
      <c r="L151" s="142"/>
    </row>
    <row r="152" spans="1:12" ht="18" customHeight="1">
      <c r="B152" s="135"/>
      <c r="I152" s="142"/>
      <c r="J152" s="142"/>
      <c r="K152" s="142"/>
      <c r="L152" s="142"/>
    </row>
    <row r="153" spans="1:12" ht="18" customHeight="1">
      <c r="B153" s="135"/>
      <c r="I153" s="142"/>
      <c r="J153" s="142"/>
      <c r="K153" s="142"/>
      <c r="L153" s="142"/>
    </row>
    <row r="154" spans="1:12" ht="18" customHeight="1">
      <c r="B154" s="135"/>
      <c r="I154" s="142"/>
      <c r="J154" s="142"/>
      <c r="K154" s="142"/>
      <c r="L154" s="142"/>
    </row>
  </sheetData>
  <mergeCells count="21">
    <mergeCell ref="H25:I25"/>
    <mergeCell ref="D13:E13"/>
    <mergeCell ref="G19:H19"/>
    <mergeCell ref="E21:E22"/>
    <mergeCell ref="C22:D23"/>
    <mergeCell ref="F24:G24"/>
    <mergeCell ref="J4:L4"/>
    <mergeCell ref="J1:L3"/>
    <mergeCell ref="A2:F2"/>
    <mergeCell ref="H2:I2"/>
    <mergeCell ref="A3:F3"/>
    <mergeCell ref="H3:I3"/>
    <mergeCell ref="A4:F5"/>
    <mergeCell ref="A1:F1"/>
    <mergeCell ref="H1:I1"/>
    <mergeCell ref="D63:E63"/>
    <mergeCell ref="H67:I67"/>
    <mergeCell ref="G73:H73"/>
    <mergeCell ref="G71:H71"/>
    <mergeCell ref="C75:D75"/>
    <mergeCell ref="F71:F72"/>
  </mergeCells>
  <conditionalFormatting sqref="G45">
    <cfRule type="cellIs" dxfId="0" priority="1" operator="lessThan">
      <formula>0</formula>
    </cfRule>
  </conditionalFormatting>
  <dataValidations disablePrompts="1" count="2">
    <dataValidation type="list" allowBlank="1" showInputMessage="1" showErrorMessage="1" sqref="G81" xr:uid="{B66E312E-9941-45F5-8CF5-946DB05B9D6D}">
      <formula1>$O$78:$O$81</formula1>
    </dataValidation>
    <dataValidation type="list" allowBlank="1" showInputMessage="1" showErrorMessage="1" sqref="G80" xr:uid="{18FD460F-7DAC-48BB-895B-E64CF4FFF641}">
      <formula1>$N$78:$N$80</formula1>
    </dataValidation>
  </dataValidations>
  <pageMargins left="0.51181102362204722" right="0.31496062992125984" top="0.59055118110236227" bottom="0.35433070866141736" header="0" footer="0"/>
  <pageSetup paperSize="9" scale="90" fitToHeight="0" orientation="portrait" r:id="rId1"/>
  <headerFooter alignWithMargins="0"/>
  <rowBreaks count="2" manualBreakCount="2">
    <brk id="56" max="12" man="1"/>
    <brk id="107" max="12" man="1"/>
  </rowBreaks>
  <ignoredErrors>
    <ignoredError sqref="Q3:Q12 Q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103" r:id="rId4" name="Button 31">
              <controlPr defaultSize="0" print="0" autoFill="0" autoPict="0" macro="[0]!CrestDesign">
                <anchor moveWithCells="1" sizeWithCells="1">
                  <from>
                    <xdr:col>12</xdr:col>
                    <xdr:colOff>53340</xdr:colOff>
                    <xdr:row>42</xdr:row>
                    <xdr:rowOff>220980</xdr:rowOff>
                  </from>
                  <to>
                    <xdr:col>12</xdr:col>
                    <xdr:colOff>1097280</xdr:colOff>
                    <xdr:row>44</xdr:row>
                    <xdr:rowOff>167640</xdr:rowOff>
                  </to>
                </anchor>
              </controlPr>
            </control>
          </mc:Choice>
        </mc:AlternateContent>
        <mc:AlternateContent xmlns:mc="http://schemas.openxmlformats.org/markup-compatibility/2006">
          <mc:Choice Requires="x14">
            <control shapeId="3104" r:id="rId5" name="Button 32">
              <controlPr defaultSize="0" print="0" autoFill="0" autoPict="0" macro="[0]!DS_Floor">
                <anchor moveWithCells="1" sizeWithCells="1">
                  <from>
                    <xdr:col>9</xdr:col>
                    <xdr:colOff>38100</xdr:colOff>
                    <xdr:row>125</xdr:row>
                    <xdr:rowOff>15240</xdr:rowOff>
                  </from>
                  <to>
                    <xdr:col>11</xdr:col>
                    <xdr:colOff>381000</xdr:colOff>
                    <xdr:row>125</xdr:row>
                    <xdr:rowOff>198120</xdr:rowOff>
                  </to>
                </anchor>
              </controlPr>
            </control>
          </mc:Choice>
        </mc:AlternateContent>
        <mc:AlternateContent xmlns:mc="http://schemas.openxmlformats.org/markup-compatibility/2006">
          <mc:Choice Requires="x14">
            <control shapeId="3141" r:id="rId6" name="Button 69">
              <controlPr defaultSize="0" print="0" autoFill="0" autoPict="0" macro="[0]!CrestCheck">
                <anchor moveWithCells="1" sizeWithCells="1">
                  <from>
                    <xdr:col>8</xdr:col>
                    <xdr:colOff>548640</xdr:colOff>
                    <xdr:row>86</xdr:row>
                    <xdr:rowOff>213360</xdr:rowOff>
                  </from>
                  <to>
                    <xdr:col>11</xdr:col>
                    <xdr:colOff>259080</xdr:colOff>
                    <xdr:row>87</xdr:row>
                    <xdr:rowOff>182880</xdr:rowOff>
                  </to>
                </anchor>
              </controlPr>
            </control>
          </mc:Choice>
        </mc:AlternateContent>
        <mc:AlternateContent xmlns:mc="http://schemas.openxmlformats.org/markup-compatibility/2006">
          <mc:Choice Requires="x14">
            <control shapeId="3142" r:id="rId7" name="Button 70">
              <controlPr defaultSize="0" print="0" autoFill="0" autoPict="0" macro="[0]!Button70_Click">
                <anchor moveWithCells="1" sizeWithCells="1">
                  <from>
                    <xdr:col>12</xdr:col>
                    <xdr:colOff>1219200</xdr:colOff>
                    <xdr:row>43</xdr:row>
                    <xdr:rowOff>0</xdr:rowOff>
                  </from>
                  <to>
                    <xdr:col>14</xdr:col>
                    <xdr:colOff>525780</xdr:colOff>
                    <xdr:row>44</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41039-9338-4A21-AC11-C8B14383080A}">
  <sheetPr codeName="Sheet8"/>
  <dimension ref="A1:U156"/>
  <sheetViews>
    <sheetView showGridLines="0" view="pageBreakPreview" zoomScaleNormal="100" zoomScaleSheetLayoutView="100" workbookViewId="0">
      <selection activeCell="S14" sqref="S14"/>
    </sheetView>
  </sheetViews>
  <sheetFormatPr defaultRowHeight="13.2"/>
  <cols>
    <col min="1" max="1" width="3.44140625" style="9" customWidth="1"/>
    <col min="2" max="2" width="6.5546875" style="9" customWidth="1"/>
    <col min="3" max="3" width="5.21875" style="9" customWidth="1"/>
    <col min="4" max="11" width="10.5546875" style="9" customWidth="1"/>
    <col min="12" max="14" width="5.5546875" style="9" customWidth="1"/>
    <col min="15" max="16384" width="8.88671875" style="9"/>
  </cols>
  <sheetData>
    <row r="1" spans="1:14" ht="20.100000000000001" customHeight="1">
      <c r="A1" s="318" t="str">
        <f>Input!A1</f>
        <v>Project</v>
      </c>
      <c r="B1" s="319"/>
      <c r="C1" s="319"/>
      <c r="D1" s="319"/>
      <c r="E1" s="319"/>
      <c r="F1" s="319"/>
      <c r="G1" s="319"/>
      <c r="H1" s="320"/>
      <c r="I1" s="257" t="s">
        <v>317</v>
      </c>
      <c r="J1" s="303">
        <f>Input!O1</f>
        <v>0</v>
      </c>
      <c r="K1" s="304"/>
      <c r="L1" s="264"/>
      <c r="M1" s="264"/>
      <c r="N1" s="264"/>
    </row>
    <row r="2" spans="1:14" ht="20.100000000000001" customHeight="1">
      <c r="A2" s="316">
        <f>Input!A2</f>
        <v>0</v>
      </c>
      <c r="B2" s="316"/>
      <c r="C2" s="316"/>
      <c r="D2" s="316"/>
      <c r="E2" s="316"/>
      <c r="F2" s="316"/>
      <c r="G2" s="316"/>
      <c r="H2" s="316"/>
      <c r="I2" s="257" t="s">
        <v>7</v>
      </c>
      <c r="J2" s="303">
        <f>Input!O2</f>
        <v>0</v>
      </c>
      <c r="K2" s="304"/>
      <c r="L2" s="264"/>
      <c r="M2" s="264"/>
      <c r="N2" s="264"/>
    </row>
    <row r="3" spans="1:14" ht="20.100000000000001" customHeight="1">
      <c r="A3" s="317" t="s">
        <v>6</v>
      </c>
      <c r="B3" s="317"/>
      <c r="C3" s="317"/>
      <c r="D3" s="317"/>
      <c r="E3" s="317"/>
      <c r="F3" s="317"/>
      <c r="G3" s="317"/>
      <c r="H3" s="317"/>
      <c r="I3" s="257" t="s">
        <v>345</v>
      </c>
      <c r="J3" s="303">
        <f>Input!O3</f>
        <v>0</v>
      </c>
      <c r="K3" s="304"/>
      <c r="L3" s="264"/>
      <c r="M3" s="264"/>
      <c r="N3" s="264"/>
    </row>
    <row r="4" spans="1:14" ht="20.100000000000001" customHeight="1">
      <c r="A4" s="315">
        <f>Input!A4:M5</f>
        <v>0</v>
      </c>
      <c r="B4" s="315"/>
      <c r="C4" s="315"/>
      <c r="D4" s="315"/>
      <c r="E4" s="315"/>
      <c r="F4" s="315"/>
      <c r="G4" s="315"/>
      <c r="H4" s="315"/>
      <c r="I4" s="257" t="s">
        <v>2</v>
      </c>
      <c r="J4" s="258">
        <f>Input!O4</f>
        <v>0</v>
      </c>
      <c r="K4" s="259">
        <f>Input!P4</f>
        <v>0</v>
      </c>
      <c r="L4" s="309" t="s">
        <v>3</v>
      </c>
      <c r="M4" s="310"/>
      <c r="N4" s="311"/>
    </row>
    <row r="5" spans="1:14" ht="20.100000000000001" customHeight="1">
      <c r="A5" s="315"/>
      <c r="B5" s="315"/>
      <c r="C5" s="315"/>
      <c r="D5" s="315"/>
      <c r="E5" s="315"/>
      <c r="F5" s="315"/>
      <c r="G5" s="315"/>
      <c r="H5" s="315"/>
      <c r="I5" s="257" t="s">
        <v>4</v>
      </c>
      <c r="J5" s="258">
        <f>Input!O5</f>
        <v>0</v>
      </c>
      <c r="K5" s="259">
        <f>Input!P5</f>
        <v>0</v>
      </c>
      <c r="L5" s="3">
        <v>1</v>
      </c>
      <c r="M5" s="220" t="s">
        <v>5</v>
      </c>
      <c r="N5" s="3">
        <v>3</v>
      </c>
    </row>
    <row r="6" spans="1:14" ht="8.25" customHeight="1">
      <c r="A6" s="107"/>
      <c r="B6" s="23"/>
      <c r="C6" s="23"/>
      <c r="D6" s="23"/>
      <c r="E6" s="23"/>
      <c r="F6" s="23"/>
      <c r="G6" s="23"/>
      <c r="H6" s="24"/>
      <c r="I6" s="24"/>
      <c r="J6" s="24"/>
      <c r="K6" s="24"/>
      <c r="L6" s="25"/>
      <c r="M6" s="26"/>
      <c r="N6" s="28"/>
    </row>
    <row r="7" spans="1:14" s="30" customFormat="1" ht="20.100000000000001" customHeight="1">
      <c r="A7" s="108"/>
      <c r="B7" s="221" t="s">
        <v>266</v>
      </c>
      <c r="C7" s="31"/>
      <c r="D7" s="31"/>
      <c r="N7" s="32"/>
    </row>
    <row r="8" spans="1:14" s="30" customFormat="1" ht="20.100000000000001" customHeight="1">
      <c r="A8" s="108"/>
      <c r="B8" s="222" t="s">
        <v>267</v>
      </c>
      <c r="C8" s="31"/>
      <c r="D8" s="31"/>
      <c r="N8" s="32"/>
    </row>
    <row r="9" spans="1:14" s="30" customFormat="1" ht="20.100000000000001" customHeight="1">
      <c r="A9" s="108"/>
      <c r="B9" s="223" t="s">
        <v>268</v>
      </c>
      <c r="C9" s="31"/>
      <c r="D9" s="31"/>
      <c r="N9" s="32"/>
    </row>
    <row r="10" spans="1:14" s="30" customFormat="1" ht="20.100000000000001" customHeight="1">
      <c r="A10" s="108"/>
      <c r="B10" s="31"/>
      <c r="C10" s="31"/>
      <c r="D10" s="31"/>
      <c r="N10" s="32"/>
    </row>
    <row r="11" spans="1:14" s="30" customFormat="1" ht="20.100000000000001" customHeight="1">
      <c r="A11" s="108"/>
      <c r="B11" s="35" t="s">
        <v>76</v>
      </c>
      <c r="C11" s="35"/>
      <c r="N11" s="32"/>
    </row>
    <row r="12" spans="1:14" s="30" customFormat="1" ht="20.100000000000001" customHeight="1">
      <c r="A12" s="108"/>
      <c r="B12" s="224" t="s">
        <v>333</v>
      </c>
      <c r="C12" s="225"/>
      <c r="D12" s="225"/>
      <c r="E12" s="225"/>
      <c r="F12" s="39"/>
      <c r="G12" s="41"/>
      <c r="H12" s="42"/>
      <c r="I12" s="42"/>
      <c r="N12" s="32"/>
    </row>
    <row r="13" spans="1:14" s="30" customFormat="1" ht="20.100000000000001" customHeight="1">
      <c r="A13" s="108"/>
      <c r="B13" s="308" t="s">
        <v>17</v>
      </c>
      <c r="C13" s="308"/>
      <c r="D13" s="308"/>
      <c r="E13" s="308"/>
      <c r="F13" s="39"/>
      <c r="G13" s="226" t="s">
        <v>18</v>
      </c>
      <c r="H13" s="227">
        <f>Input!H22</f>
        <v>0.12240000000000001</v>
      </c>
      <c r="I13" s="84" t="s">
        <v>322</v>
      </c>
      <c r="N13" s="32"/>
    </row>
    <row r="14" spans="1:14" s="30" customFormat="1" ht="20.100000000000001" customHeight="1">
      <c r="A14" s="108"/>
      <c r="B14" s="308" t="s">
        <v>281</v>
      </c>
      <c r="C14" s="308"/>
      <c r="D14" s="308"/>
      <c r="E14" s="308"/>
      <c r="F14" s="39"/>
      <c r="G14" s="226" t="s">
        <v>35</v>
      </c>
      <c r="H14" s="227">
        <f>'Design of Crump'!G39</f>
        <v>0.4</v>
      </c>
      <c r="I14" s="84" t="s">
        <v>9</v>
      </c>
      <c r="N14" s="32"/>
    </row>
    <row r="15" spans="1:14" s="30" customFormat="1" ht="20.100000000000001" customHeight="1">
      <c r="A15" s="108"/>
      <c r="B15" s="308" t="s">
        <v>174</v>
      </c>
      <c r="C15" s="308"/>
      <c r="D15" s="308"/>
      <c r="E15" s="308"/>
      <c r="F15" s="39"/>
      <c r="G15" s="226" t="s">
        <v>323</v>
      </c>
      <c r="H15" s="227">
        <f>H13/H14</f>
        <v>0.30599999999999999</v>
      </c>
      <c r="I15" s="84" t="s">
        <v>324</v>
      </c>
      <c r="N15" s="32"/>
    </row>
    <row r="16" spans="1:14" s="30" customFormat="1" ht="20.100000000000001" customHeight="1">
      <c r="A16" s="108"/>
      <c r="B16" s="308" t="s">
        <v>280</v>
      </c>
      <c r="C16" s="308"/>
      <c r="D16" s="308"/>
      <c r="E16" s="308"/>
      <c r="F16" s="33"/>
      <c r="G16" s="226" t="s">
        <v>10</v>
      </c>
      <c r="H16" s="227">
        <f>'Design of Crump'!G127</f>
        <v>22.14</v>
      </c>
      <c r="I16" s="84" t="s">
        <v>9</v>
      </c>
      <c r="N16" s="32"/>
    </row>
    <row r="17" spans="1:14" s="30" customFormat="1" ht="20.100000000000001" customHeight="1">
      <c r="A17" s="108"/>
      <c r="B17" s="308" t="s">
        <v>282</v>
      </c>
      <c r="C17" s="308"/>
      <c r="D17" s="308"/>
      <c r="E17" s="308"/>
      <c r="F17" s="33"/>
      <c r="G17" s="226" t="s">
        <v>100</v>
      </c>
      <c r="H17" s="227">
        <f>(H15/9.81)^(1/3)</f>
        <v>0.3147874960470684</v>
      </c>
      <c r="I17" s="84" t="s">
        <v>9</v>
      </c>
      <c r="N17" s="32"/>
    </row>
    <row r="18" spans="1:14" s="30" customFormat="1" ht="20.100000000000001" customHeight="1">
      <c r="A18" s="108"/>
      <c r="B18" s="308" t="s">
        <v>217</v>
      </c>
      <c r="C18" s="308"/>
      <c r="D18" s="308"/>
      <c r="E18" s="308"/>
      <c r="F18" s="33"/>
      <c r="G18" s="226" t="s">
        <v>269</v>
      </c>
      <c r="H18" s="227">
        <f>H15/H17</f>
        <v>0.97208435481899047</v>
      </c>
      <c r="I18" s="84" t="s">
        <v>96</v>
      </c>
      <c r="N18" s="32"/>
    </row>
    <row r="19" spans="1:14" s="30" customFormat="1" ht="20.100000000000001" customHeight="1">
      <c r="A19" s="108"/>
      <c r="B19" s="308" t="s">
        <v>283</v>
      </c>
      <c r="C19" s="308"/>
      <c r="D19" s="308"/>
      <c r="E19" s="308"/>
      <c r="F19" s="33"/>
      <c r="G19" s="226" t="s">
        <v>270</v>
      </c>
      <c r="H19" s="54">
        <f>H18^2/2/9.81</f>
        <v>4.8162486895201473E-2</v>
      </c>
      <c r="I19" s="84" t="s">
        <v>9</v>
      </c>
      <c r="N19" s="32"/>
    </row>
    <row r="20" spans="1:14" s="30" customFormat="1" ht="20.100000000000001" customHeight="1">
      <c r="A20" s="109"/>
      <c r="B20" s="308" t="s">
        <v>284</v>
      </c>
      <c r="C20" s="308"/>
      <c r="D20" s="308"/>
      <c r="E20" s="308"/>
      <c r="F20" s="33"/>
      <c r="G20" s="226" t="s">
        <v>272</v>
      </c>
      <c r="H20" s="48">
        <f>H17+H19</f>
        <v>0.36294998294226988</v>
      </c>
      <c r="I20" s="84" t="s">
        <v>9</v>
      </c>
      <c r="J20" s="49"/>
      <c r="K20" s="47"/>
      <c r="L20" s="56"/>
      <c r="M20" s="33"/>
      <c r="N20" s="32"/>
    </row>
    <row r="21" spans="1:14" s="39" customFormat="1" ht="20.100000000000001" customHeight="1">
      <c r="A21" s="110"/>
      <c r="B21" s="308" t="s">
        <v>285</v>
      </c>
      <c r="C21" s="308"/>
      <c r="D21" s="308"/>
      <c r="E21" s="308"/>
      <c r="F21" s="33"/>
      <c r="G21" s="226" t="s">
        <v>274</v>
      </c>
      <c r="H21" s="54">
        <f>H16+H20</f>
        <v>22.502949982942269</v>
      </c>
      <c r="I21" s="84" t="s">
        <v>9</v>
      </c>
      <c r="J21" s="49"/>
      <c r="K21" s="47"/>
      <c r="L21" s="56"/>
      <c r="M21" s="33"/>
      <c r="N21" s="44"/>
    </row>
    <row r="22" spans="1:14" s="33" customFormat="1" ht="20.100000000000001" customHeight="1">
      <c r="A22" s="109"/>
      <c r="J22" s="49"/>
      <c r="K22" s="47"/>
      <c r="L22" s="56"/>
      <c r="N22" s="50"/>
    </row>
    <row r="23" spans="1:14" s="33" customFormat="1" ht="20.100000000000001" customHeight="1">
      <c r="A23" s="109"/>
      <c r="B23" s="224" t="s">
        <v>275</v>
      </c>
      <c r="C23" s="225"/>
      <c r="D23" s="225"/>
      <c r="E23" s="225"/>
      <c r="J23" s="49"/>
      <c r="K23" s="47"/>
      <c r="L23" s="56"/>
      <c r="N23" s="50"/>
    </row>
    <row r="24" spans="1:14" s="33" customFormat="1" ht="20.100000000000001" customHeight="1">
      <c r="A24" s="109"/>
      <c r="B24" s="308" t="s">
        <v>13</v>
      </c>
      <c r="C24" s="308"/>
      <c r="D24" s="308"/>
      <c r="E24" s="308"/>
      <c r="G24" s="83" t="s">
        <v>10</v>
      </c>
      <c r="H24" s="228">
        <f>Input!H23</f>
        <v>21.402055885629448</v>
      </c>
      <c r="I24" s="47" t="s">
        <v>9</v>
      </c>
      <c r="J24" s="49"/>
      <c r="K24" s="47"/>
      <c r="L24" s="56"/>
      <c r="N24" s="50"/>
    </row>
    <row r="25" spans="1:14" s="33" customFormat="1" ht="20.100000000000001" customHeight="1">
      <c r="A25" s="109"/>
      <c r="B25" s="308" t="s">
        <v>11</v>
      </c>
      <c r="C25" s="308"/>
      <c r="D25" s="308"/>
      <c r="E25" s="308"/>
      <c r="G25" s="83" t="s">
        <v>203</v>
      </c>
      <c r="H25" s="228">
        <f>Input!H25</f>
        <v>21.76783337909378</v>
      </c>
      <c r="I25" s="47" t="s">
        <v>9</v>
      </c>
      <c r="J25" s="49"/>
      <c r="K25" s="47"/>
      <c r="L25" s="56"/>
      <c r="N25" s="50"/>
    </row>
    <row r="26" spans="1:14" s="33" customFormat="1" ht="20.100000000000001" customHeight="1">
      <c r="A26" s="109"/>
      <c r="B26" s="308" t="s">
        <v>12</v>
      </c>
      <c r="C26" s="308"/>
      <c r="D26" s="308"/>
      <c r="E26" s="308"/>
      <c r="G26" s="83" t="s">
        <v>276</v>
      </c>
      <c r="H26" s="228">
        <f>H25-H24</f>
        <v>0.36577749346433208</v>
      </c>
      <c r="I26" s="47" t="s">
        <v>9</v>
      </c>
      <c r="J26" s="49"/>
      <c r="K26" s="47"/>
      <c r="L26" s="56"/>
      <c r="N26" s="50"/>
    </row>
    <row r="27" spans="1:14" s="33" customFormat="1" ht="20.100000000000001" customHeight="1">
      <c r="A27" s="109"/>
      <c r="B27" s="308" t="s">
        <v>163</v>
      </c>
      <c r="C27" s="308"/>
      <c r="D27" s="308"/>
      <c r="E27" s="308"/>
      <c r="G27" s="83" t="s">
        <v>172</v>
      </c>
      <c r="H27" s="227">
        <f>Input!H30</f>
        <v>0.38650769885658454</v>
      </c>
      <c r="I27" s="47" t="s">
        <v>96</v>
      </c>
      <c r="J27" s="49"/>
      <c r="K27" s="47"/>
      <c r="L27" s="56"/>
      <c r="N27" s="50"/>
    </row>
    <row r="28" spans="1:14" s="33" customFormat="1" ht="20.100000000000001" customHeight="1">
      <c r="A28" s="109"/>
      <c r="B28" s="308" t="s">
        <v>187</v>
      </c>
      <c r="C28" s="308"/>
      <c r="D28" s="308"/>
      <c r="E28" s="308"/>
      <c r="G28" s="83" t="s">
        <v>277</v>
      </c>
      <c r="H28" s="54">
        <f>H27^2/2/9.81</f>
        <v>7.6140775369731009E-3</v>
      </c>
      <c r="I28" s="47" t="s">
        <v>9</v>
      </c>
      <c r="J28" s="49"/>
      <c r="K28" s="47"/>
      <c r="L28" s="56"/>
      <c r="N28" s="50"/>
    </row>
    <row r="29" spans="1:14" s="33" customFormat="1" ht="20.100000000000001" customHeight="1">
      <c r="A29" s="109"/>
      <c r="B29" s="308" t="s">
        <v>271</v>
      </c>
      <c r="C29" s="308"/>
      <c r="D29" s="308"/>
      <c r="E29" s="308"/>
      <c r="G29" s="83" t="s">
        <v>278</v>
      </c>
      <c r="H29" s="48">
        <f>H26+H28</f>
        <v>0.37339157100130516</v>
      </c>
      <c r="I29" s="47" t="s">
        <v>9</v>
      </c>
      <c r="K29" s="47"/>
      <c r="L29" s="56"/>
      <c r="N29" s="50"/>
    </row>
    <row r="30" spans="1:14" s="33" customFormat="1" ht="20.100000000000001" customHeight="1">
      <c r="A30" s="109"/>
      <c r="B30" s="308" t="s">
        <v>273</v>
      </c>
      <c r="C30" s="308"/>
      <c r="D30" s="308"/>
      <c r="E30" s="308"/>
      <c r="G30" s="83" t="s">
        <v>279</v>
      </c>
      <c r="H30" s="54">
        <f>H24+H29</f>
        <v>21.775447456630754</v>
      </c>
      <c r="I30" s="47" t="s">
        <v>9</v>
      </c>
      <c r="J30" s="49"/>
      <c r="K30" s="47"/>
      <c r="L30" s="56"/>
      <c r="N30" s="50"/>
    </row>
    <row r="31" spans="1:14" s="33" customFormat="1" ht="20.100000000000001" customHeight="1">
      <c r="A31" s="109"/>
      <c r="B31" s="46"/>
      <c r="C31" s="46"/>
      <c r="D31" s="46"/>
      <c r="E31" s="46"/>
      <c r="G31" s="83"/>
      <c r="H31" s="229"/>
      <c r="I31" s="47"/>
      <c r="J31" s="49"/>
      <c r="K31" s="47"/>
      <c r="L31" s="56"/>
      <c r="N31" s="50"/>
    </row>
    <row r="32" spans="1:14" s="33" customFormat="1" ht="20.100000000000001" customHeight="1">
      <c r="A32" s="109"/>
      <c r="B32" s="230" t="s">
        <v>332</v>
      </c>
      <c r="C32" s="224"/>
      <c r="D32" s="224"/>
      <c r="E32" s="224"/>
      <c r="G32" s="47"/>
      <c r="H32" s="47"/>
      <c r="I32" s="47"/>
      <c r="K32" s="47"/>
      <c r="L32" s="56"/>
      <c r="N32" s="50"/>
    </row>
    <row r="33" spans="1:14" s="33" customFormat="1" ht="20.100000000000001" customHeight="1">
      <c r="A33" s="109"/>
      <c r="B33" s="39" t="s">
        <v>219</v>
      </c>
      <c r="C33" s="46"/>
      <c r="D33" s="46"/>
      <c r="E33" s="46"/>
      <c r="G33" s="231" t="s">
        <v>325</v>
      </c>
      <c r="H33" s="54">
        <f>H21-H30</f>
        <v>0.72750252631151469</v>
      </c>
      <c r="I33" s="47" t="s">
        <v>9</v>
      </c>
      <c r="K33" s="47"/>
      <c r="L33" s="56"/>
      <c r="N33" s="50"/>
    </row>
    <row r="34" spans="1:14" s="33" customFormat="1" ht="20.100000000000001" customHeight="1">
      <c r="A34" s="109"/>
      <c r="B34" s="39" t="s">
        <v>326</v>
      </c>
      <c r="C34" s="46"/>
      <c r="D34" s="46"/>
      <c r="E34" s="46"/>
      <c r="G34" s="83" t="s">
        <v>220</v>
      </c>
      <c r="H34" s="54">
        <f>H17+H19</f>
        <v>0.36294998294226988</v>
      </c>
      <c r="I34" s="47" t="s">
        <v>9</v>
      </c>
      <c r="K34" s="47"/>
      <c r="L34" s="56"/>
      <c r="N34" s="50"/>
    </row>
    <row r="35" spans="1:14" s="33" customFormat="1" ht="20.100000000000001" customHeight="1">
      <c r="A35" s="109"/>
      <c r="B35" s="39" t="s">
        <v>221</v>
      </c>
      <c r="C35" s="46"/>
      <c r="D35" s="46"/>
      <c r="E35" s="46"/>
      <c r="G35" s="231" t="s">
        <v>222</v>
      </c>
      <c r="H35" s="48">
        <f>MAX(0.25,H33/H34)</f>
        <v>2.004415375402373</v>
      </c>
      <c r="I35" s="47" t="s">
        <v>9</v>
      </c>
      <c r="K35" s="47"/>
      <c r="L35" s="56"/>
      <c r="N35" s="50"/>
    </row>
    <row r="36" spans="1:14" s="33" customFormat="1" ht="20.100000000000001" customHeight="1">
      <c r="A36" s="109"/>
      <c r="B36" s="46"/>
      <c r="C36" s="46"/>
      <c r="D36" s="46"/>
      <c r="E36" s="46"/>
      <c r="G36" s="83"/>
      <c r="H36" s="229"/>
      <c r="I36" s="47"/>
      <c r="J36" s="49"/>
      <c r="K36" s="47"/>
      <c r="L36" s="56"/>
      <c r="N36" s="50"/>
    </row>
    <row r="37" spans="1:14" s="33" customFormat="1" ht="20.100000000000001" customHeight="1">
      <c r="A37" s="109"/>
      <c r="B37" s="46"/>
      <c r="C37" s="46"/>
      <c r="D37" s="46"/>
      <c r="E37" s="46"/>
      <c r="G37" s="83"/>
      <c r="H37" s="229"/>
      <c r="I37" s="47"/>
      <c r="J37" s="49"/>
      <c r="K37" s="47"/>
      <c r="L37" s="56"/>
      <c r="N37" s="50"/>
    </row>
    <row r="38" spans="1:14" s="33" customFormat="1" ht="20.100000000000001" customHeight="1">
      <c r="A38" s="109"/>
      <c r="B38" s="46"/>
      <c r="C38" s="46"/>
      <c r="D38" s="46"/>
      <c r="E38" s="46"/>
      <c r="G38" s="83"/>
      <c r="H38" s="229"/>
      <c r="I38" s="47"/>
      <c r="J38" s="49"/>
      <c r="K38" s="47"/>
      <c r="L38" s="56"/>
      <c r="N38" s="50"/>
    </row>
    <row r="39" spans="1:14" s="33" customFormat="1" ht="20.100000000000001" customHeight="1">
      <c r="A39" s="109"/>
      <c r="B39" s="46"/>
      <c r="C39" s="46"/>
      <c r="D39" s="46"/>
      <c r="E39" s="46"/>
      <c r="G39" s="83"/>
      <c r="H39" s="229"/>
      <c r="I39" s="47"/>
      <c r="J39" s="49"/>
      <c r="K39" s="47"/>
      <c r="L39" s="56"/>
      <c r="N39" s="50"/>
    </row>
    <row r="40" spans="1:14" s="33" customFormat="1" ht="20.100000000000001" customHeight="1">
      <c r="A40" s="109"/>
      <c r="B40" s="46"/>
      <c r="C40" s="46"/>
      <c r="D40" s="46"/>
      <c r="E40" s="46"/>
      <c r="G40" s="83"/>
      <c r="H40" s="229"/>
      <c r="I40" s="47"/>
      <c r="J40" s="49"/>
      <c r="K40" s="47"/>
      <c r="L40" s="56"/>
      <c r="N40" s="50"/>
    </row>
    <row r="41" spans="1:14" s="33" customFormat="1" ht="20.100000000000001" customHeight="1">
      <c r="A41" s="109"/>
      <c r="B41" s="46"/>
      <c r="C41" s="46"/>
      <c r="D41" s="46"/>
      <c r="E41" s="46"/>
      <c r="G41" s="83"/>
      <c r="H41" s="229"/>
      <c r="I41" s="47"/>
      <c r="J41" s="49"/>
      <c r="K41" s="47"/>
      <c r="L41" s="56"/>
      <c r="N41" s="50"/>
    </row>
    <row r="42" spans="1:14" s="33" customFormat="1" ht="20.100000000000001" customHeight="1">
      <c r="A42" s="109"/>
      <c r="B42" s="46"/>
      <c r="C42" s="46"/>
      <c r="D42" s="46"/>
      <c r="E42" s="46"/>
      <c r="G42" s="83"/>
      <c r="H42" s="229"/>
      <c r="I42" s="47"/>
      <c r="J42" s="49"/>
      <c r="K42" s="47"/>
      <c r="L42" s="56"/>
      <c r="N42" s="50"/>
    </row>
    <row r="43" spans="1:14" s="33" customFormat="1" ht="20.100000000000001" customHeight="1">
      <c r="A43" s="109"/>
      <c r="B43" s="46"/>
      <c r="C43" s="46"/>
      <c r="D43" s="46"/>
      <c r="E43" s="46"/>
      <c r="G43" s="83"/>
      <c r="H43" s="229"/>
      <c r="I43" s="47"/>
      <c r="J43" s="49"/>
      <c r="K43" s="47"/>
      <c r="L43" s="56"/>
      <c r="N43" s="50"/>
    </row>
    <row r="44" spans="1:14" s="33" customFormat="1" ht="20.100000000000001" customHeight="1">
      <c r="A44" s="109"/>
      <c r="B44" s="46"/>
      <c r="C44" s="46"/>
      <c r="D44" s="46"/>
      <c r="E44" s="46"/>
      <c r="G44" s="83"/>
      <c r="H44" s="229"/>
      <c r="I44" s="47"/>
      <c r="J44" s="49"/>
      <c r="K44" s="47"/>
      <c r="L44" s="56"/>
      <c r="N44" s="50"/>
    </row>
    <row r="45" spans="1:14" s="33" customFormat="1" ht="20.100000000000001" customHeight="1">
      <c r="A45" s="109"/>
      <c r="B45" s="46"/>
      <c r="C45" s="46"/>
      <c r="D45" s="46"/>
      <c r="E45" s="46"/>
      <c r="G45" s="83"/>
      <c r="H45" s="229"/>
      <c r="I45" s="47"/>
      <c r="J45" s="49"/>
      <c r="K45" s="47"/>
      <c r="L45" s="56"/>
      <c r="N45" s="50"/>
    </row>
    <row r="46" spans="1:14" s="33" customFormat="1" ht="20.100000000000001" customHeight="1">
      <c r="A46" s="109"/>
      <c r="B46" s="46"/>
      <c r="C46" s="46"/>
      <c r="D46" s="46"/>
      <c r="E46" s="46"/>
      <c r="G46" s="83"/>
      <c r="H46" s="229"/>
      <c r="I46" s="47"/>
      <c r="J46" s="49"/>
      <c r="K46" s="47"/>
      <c r="L46" s="56"/>
      <c r="N46" s="50"/>
    </row>
    <row r="47" spans="1:14" s="33" customFormat="1" ht="20.100000000000001" customHeight="1">
      <c r="A47" s="109"/>
      <c r="B47" s="46"/>
      <c r="C47" s="46"/>
      <c r="D47" s="46"/>
      <c r="E47" s="46"/>
      <c r="G47" s="83"/>
      <c r="H47" s="229"/>
      <c r="I47" s="47"/>
      <c r="J47" s="49"/>
      <c r="K47" s="47"/>
      <c r="L47" s="56"/>
      <c r="N47" s="50"/>
    </row>
    <row r="48" spans="1:14" s="33" customFormat="1" ht="20.100000000000001" customHeight="1">
      <c r="A48" s="232"/>
      <c r="B48" s="233"/>
      <c r="C48" s="233"/>
      <c r="D48" s="233"/>
      <c r="E48" s="233"/>
      <c r="F48" s="234"/>
      <c r="G48" s="235"/>
      <c r="H48" s="236"/>
      <c r="I48" s="237"/>
      <c r="J48" s="238"/>
      <c r="K48" s="237"/>
      <c r="L48" s="35"/>
      <c r="M48" s="234"/>
      <c r="N48" s="239"/>
    </row>
    <row r="49" spans="1:14" s="33" customFormat="1" ht="20.100000000000001" customHeight="1">
      <c r="A49" s="109"/>
      <c r="B49" s="240" t="s">
        <v>223</v>
      </c>
      <c r="C49" s="46"/>
      <c r="D49" s="46"/>
      <c r="E49" s="46"/>
      <c r="F49" s="55"/>
      <c r="G49" s="47"/>
      <c r="H49" s="47"/>
      <c r="I49" s="47"/>
      <c r="L49" s="49"/>
      <c r="N49" s="50"/>
    </row>
    <row r="50" spans="1:14" s="39" customFormat="1" ht="20.100000000000001" customHeight="1">
      <c r="A50" s="110"/>
      <c r="B50" s="47" t="s">
        <v>224</v>
      </c>
      <c r="C50" s="46"/>
      <c r="D50" s="46"/>
      <c r="E50" s="46"/>
      <c r="G50" s="83" t="s">
        <v>225</v>
      </c>
      <c r="H50" s="54">
        <f ca="1">FORECAST($H$35,OFFSET($E$94:$E$154,MATCH($H$35,$D$94:$D$154,1)-1,0,2),OFFSET($D$94:$D$154,MATCH($H$35,$D$94:$D$154,1)-1,0,2))</f>
        <v>7.6679567618498368</v>
      </c>
      <c r="I50" s="47"/>
      <c r="L50" s="49"/>
      <c r="N50" s="44"/>
    </row>
    <row r="51" spans="1:14" s="33" customFormat="1" ht="20.100000000000001" customHeight="1">
      <c r="A51" s="109"/>
      <c r="B51" s="47" t="s">
        <v>226</v>
      </c>
      <c r="C51" s="46"/>
      <c r="D51" s="46"/>
      <c r="E51" s="46"/>
      <c r="G51" s="83" t="s">
        <v>227</v>
      </c>
      <c r="H51" s="54">
        <f ca="1">FORECAST($H$35,OFFSET($F$94:$F$154,MATCH($H$35,$D$94:$D$154,1)-1,0,2),OFFSET($D$94:$D$154,MATCH($H$35,$D$94:$D$154,1)-1,0,2))</f>
        <v>0.20734473504855272</v>
      </c>
      <c r="I51" s="47"/>
      <c r="L51" s="49"/>
      <c r="N51" s="50"/>
    </row>
    <row r="52" spans="1:14" s="33" customFormat="1" ht="20.100000000000001" customHeight="1">
      <c r="A52" s="109"/>
      <c r="B52" s="47" t="s">
        <v>228</v>
      </c>
      <c r="C52" s="46"/>
      <c r="D52" s="46"/>
      <c r="E52" s="46"/>
      <c r="G52" s="83" t="s">
        <v>229</v>
      </c>
      <c r="H52" s="54">
        <f ca="1">FORECAST($H$35,OFFSET($G$94:$G$154,MATCH($H$35,$D$94:$D$154,1)-1,0,2),OFFSET($D$94:$D$154,MATCH($H$35,$D$94:$D$154,1)-1,0,2))</f>
        <v>3.4293199259821225</v>
      </c>
      <c r="I52" s="47"/>
      <c r="L52" s="49"/>
      <c r="N52" s="50"/>
    </row>
    <row r="53" spans="1:14" s="33" customFormat="1" ht="20.100000000000001" customHeight="1">
      <c r="A53" s="109"/>
      <c r="B53" s="47" t="s">
        <v>230</v>
      </c>
      <c r="C53" s="46"/>
      <c r="D53" s="46"/>
      <c r="E53" s="46"/>
      <c r="G53" s="83" t="s">
        <v>231</v>
      </c>
      <c r="H53" s="54">
        <f ca="1">FORECAST($H$35,OFFSET($H$94:$H$154,MATCH($H$35,$D$94:$D$154,1)-1,0,2),OFFSET($D$94:$D$154,MATCH($H$35,$D$94:$D$154,1)-1,0,2))</f>
        <v>3.6563721219671281</v>
      </c>
      <c r="I53" s="47"/>
      <c r="L53" s="49"/>
      <c r="N53" s="50"/>
    </row>
    <row r="54" spans="1:14" s="33" customFormat="1" ht="20.100000000000001" customHeight="1">
      <c r="A54" s="109"/>
      <c r="B54" s="47" t="s">
        <v>232</v>
      </c>
      <c r="C54" s="46"/>
      <c r="D54" s="46"/>
      <c r="E54" s="46"/>
      <c r="G54" s="83" t="s">
        <v>233</v>
      </c>
      <c r="H54" s="54">
        <f ca="1">FORECAST($H$35,OFFSET($I$94:$I$154,MATCH($H$35,$D$94:$D$154,1)-1,0,2),OFFSET($D$94:$D$154,MATCH($H$35,$D$94:$D$154,1)-1,0,2))</f>
        <v>1.5899326706624375</v>
      </c>
      <c r="I54" s="47"/>
      <c r="L54" s="49"/>
      <c r="N54" s="50"/>
    </row>
    <row r="55" spans="1:14" s="33" customFormat="1" ht="20.100000000000001" customHeight="1">
      <c r="A55" s="109"/>
      <c r="B55" s="47" t="s">
        <v>234</v>
      </c>
      <c r="C55" s="46"/>
      <c r="D55" s="46"/>
      <c r="E55" s="46"/>
      <c r="G55" s="83" t="s">
        <v>235</v>
      </c>
      <c r="H55" s="54">
        <f ca="1">FORECAST($H$35,OFFSET($J$94:$J$154,MATCH($H$35,$D$94:$D$154,1)-1,0,2),OFFSET($D$94:$D$154,MATCH($H$35,$D$94:$D$154,1)-1,0,2))</f>
        <v>5.8626237809825892E-2</v>
      </c>
      <c r="I55" s="47"/>
      <c r="L55" s="49"/>
      <c r="N55" s="50"/>
    </row>
    <row r="56" spans="1:14" s="33" customFormat="1" ht="20.100000000000001" customHeight="1">
      <c r="A56" s="109"/>
      <c r="B56" s="47" t="s">
        <v>236</v>
      </c>
      <c r="C56" s="46"/>
      <c r="D56" s="46"/>
      <c r="E56" s="46"/>
      <c r="F56" s="55"/>
      <c r="G56" s="83" t="s">
        <v>237</v>
      </c>
      <c r="H56" s="54">
        <f ca="1">FORECAST($H$35,OFFSET($K$94:$K$154,MATCH($H$35,$D$94:$D$154,1)-1,0,2),OFFSET($D$94:$D$154,MATCH($H$35,$D$94:$D$154,1)-1,0,2))</f>
        <v>1.6485589084722634</v>
      </c>
      <c r="I56" s="47"/>
      <c r="L56" s="49"/>
      <c r="N56" s="50"/>
    </row>
    <row r="57" spans="1:14" s="33" customFormat="1" ht="20.100000000000001" customHeight="1">
      <c r="A57" s="109"/>
      <c r="B57" s="46"/>
      <c r="C57" s="46"/>
      <c r="D57" s="46"/>
      <c r="E57" s="46"/>
      <c r="F57" s="55"/>
      <c r="G57" s="47"/>
      <c r="H57" s="47"/>
      <c r="I57" s="47"/>
      <c r="L57" s="49"/>
      <c r="N57" s="50"/>
    </row>
    <row r="58" spans="1:14" s="33" customFormat="1" ht="20.100000000000001" customHeight="1">
      <c r="A58" s="109"/>
      <c r="B58" s="241" t="s">
        <v>238</v>
      </c>
      <c r="C58" s="9"/>
      <c r="D58" s="9"/>
      <c r="E58" s="9"/>
      <c r="F58" s="9"/>
      <c r="G58" s="9"/>
      <c r="H58" s="9"/>
      <c r="I58" s="9"/>
      <c r="L58" s="49"/>
      <c r="N58" s="50"/>
    </row>
    <row r="59" spans="1:14" s="33" customFormat="1" ht="20.100000000000001" customHeight="1">
      <c r="A59" s="109"/>
      <c r="B59" s="39" t="s">
        <v>239</v>
      </c>
      <c r="C59" s="46"/>
      <c r="D59" s="46"/>
      <c r="E59" s="46"/>
      <c r="F59" s="55"/>
      <c r="G59" s="83" t="s">
        <v>240</v>
      </c>
      <c r="H59" s="54">
        <f ca="1">H54*H34</f>
        <v>0.57706603569628923</v>
      </c>
      <c r="I59" s="47" t="s">
        <v>9</v>
      </c>
      <c r="L59" s="49"/>
      <c r="N59" s="50"/>
    </row>
    <row r="60" spans="1:14" s="33" customFormat="1" ht="20.100000000000001" customHeight="1">
      <c r="A60" s="109"/>
      <c r="B60" s="39" t="s">
        <v>241</v>
      </c>
      <c r="C60" s="46"/>
      <c r="D60" s="46"/>
      <c r="E60" s="46"/>
      <c r="F60" s="55"/>
      <c r="G60" s="83" t="s">
        <v>242</v>
      </c>
      <c r="H60" s="54">
        <f ca="1">H51*H34</f>
        <v>7.5255768049041674E-2</v>
      </c>
      <c r="I60" s="47" t="s">
        <v>9</v>
      </c>
      <c r="L60" s="49"/>
      <c r="N60" s="50"/>
    </row>
    <row r="61" spans="1:14" s="33" customFormat="1" ht="20.100000000000001" customHeight="1">
      <c r="A61" s="109"/>
      <c r="B61" s="39" t="s">
        <v>218</v>
      </c>
      <c r="C61" s="46"/>
      <c r="D61" s="46"/>
      <c r="E61" s="46"/>
      <c r="F61" s="55"/>
      <c r="G61" s="83" t="s">
        <v>243</v>
      </c>
      <c r="H61" s="54">
        <f ca="1">H52*H34</f>
        <v>1.2446716086387977</v>
      </c>
      <c r="I61" s="47" t="s">
        <v>9</v>
      </c>
      <c r="L61" s="49"/>
      <c r="N61" s="50"/>
    </row>
    <row r="62" spans="1:14" s="33" customFormat="1" ht="20.100000000000001" customHeight="1">
      <c r="A62" s="109"/>
      <c r="B62" s="39" t="s">
        <v>244</v>
      </c>
      <c r="C62" s="46"/>
      <c r="D62" s="46"/>
      <c r="E62" s="46"/>
      <c r="F62" s="55"/>
      <c r="G62" s="83" t="s">
        <v>245</v>
      </c>
      <c r="H62" s="54">
        <f ca="1">(H61*2*9.81)^0.5</f>
        <v>4.9417058756560177</v>
      </c>
      <c r="I62" s="47" t="s">
        <v>96</v>
      </c>
      <c r="L62" s="49"/>
      <c r="N62" s="50"/>
    </row>
    <row r="63" spans="1:14" s="33" customFormat="1" ht="20.100000000000001" customHeight="1">
      <c r="A63" s="109"/>
      <c r="B63" s="39" t="s">
        <v>246</v>
      </c>
      <c r="C63" s="46"/>
      <c r="D63" s="46"/>
      <c r="E63" s="46"/>
      <c r="F63" s="55"/>
      <c r="G63" s="83" t="s">
        <v>247</v>
      </c>
      <c r="H63" s="54">
        <f ca="1">H53*H34</f>
        <v>1.3270801992985604</v>
      </c>
      <c r="I63" s="47" t="s">
        <v>9</v>
      </c>
      <c r="L63" s="49"/>
      <c r="N63" s="50"/>
    </row>
    <row r="64" spans="1:14" s="33" customFormat="1" ht="20.100000000000001" customHeight="1">
      <c r="A64" s="109"/>
      <c r="B64" s="39" t="s">
        <v>248</v>
      </c>
      <c r="C64" s="46"/>
      <c r="D64" s="46"/>
      <c r="E64" s="46"/>
      <c r="F64" s="55"/>
      <c r="G64" s="83" t="s">
        <v>240</v>
      </c>
      <c r="H64" s="54">
        <f ca="1">H54*H34</f>
        <v>0.57706603569628923</v>
      </c>
      <c r="I64" s="47" t="s">
        <v>9</v>
      </c>
      <c r="L64" s="49"/>
      <c r="N64" s="50"/>
    </row>
    <row r="65" spans="1:16" s="33" customFormat="1" ht="20.100000000000001" customHeight="1">
      <c r="A65" s="109"/>
      <c r="B65" s="39" t="s">
        <v>249</v>
      </c>
      <c r="C65" s="46"/>
      <c r="D65" s="46"/>
      <c r="E65" s="46"/>
      <c r="F65" s="55"/>
      <c r="G65" s="83" t="s">
        <v>250</v>
      </c>
      <c r="H65" s="54">
        <f ca="1">H55*H34</f>
        <v>2.1278392013045766E-2</v>
      </c>
      <c r="I65" s="47" t="s">
        <v>9</v>
      </c>
      <c r="L65" s="49"/>
      <c r="N65" s="50"/>
    </row>
    <row r="66" spans="1:16" s="33" customFormat="1" ht="20.100000000000001" customHeight="1">
      <c r="A66" s="109"/>
      <c r="B66" s="39" t="s">
        <v>251</v>
      </c>
      <c r="C66" s="46"/>
      <c r="D66" s="46"/>
      <c r="E66" s="46"/>
      <c r="F66" s="55"/>
      <c r="G66" s="83" t="s">
        <v>252</v>
      </c>
      <c r="H66" s="54">
        <f ca="1">(H65*2*9.81)^0.5</f>
        <v>0.64612850989254289</v>
      </c>
      <c r="I66" s="47" t="s">
        <v>96</v>
      </c>
      <c r="L66" s="49"/>
      <c r="N66" s="50"/>
    </row>
    <row r="67" spans="1:16" s="33" customFormat="1" ht="20.100000000000001" customHeight="1">
      <c r="A67" s="109"/>
      <c r="B67" s="39" t="s">
        <v>253</v>
      </c>
      <c r="C67" s="46"/>
      <c r="D67" s="46"/>
      <c r="E67" s="46"/>
      <c r="F67" s="55"/>
      <c r="G67" s="83" t="s">
        <v>254</v>
      </c>
      <c r="H67" s="54">
        <f ca="1">H56*H34</f>
        <v>0.59834442770933505</v>
      </c>
      <c r="I67" s="47" t="s">
        <v>9</v>
      </c>
      <c r="J67" s="242"/>
      <c r="L67" s="49"/>
      <c r="N67" s="50"/>
    </row>
    <row r="68" spans="1:16" s="33" customFormat="1" ht="20.100000000000001" customHeight="1">
      <c r="A68" s="109"/>
      <c r="B68" s="39" t="s">
        <v>255</v>
      </c>
      <c r="C68" s="46"/>
      <c r="D68" s="46"/>
      <c r="E68" s="46"/>
      <c r="F68" s="55"/>
      <c r="G68" s="83" t="s">
        <v>308</v>
      </c>
      <c r="H68" s="243">
        <f ca="1">H30-H67</f>
        <v>21.177103028921419</v>
      </c>
      <c r="I68" s="47" t="s">
        <v>9</v>
      </c>
      <c r="J68" s="242"/>
      <c r="K68" s="242"/>
      <c r="L68" s="49"/>
      <c r="N68" s="50"/>
    </row>
    <row r="69" spans="1:16" s="33" customFormat="1" ht="20.100000000000001" customHeight="1">
      <c r="A69" s="109"/>
      <c r="B69" s="39" t="s">
        <v>331</v>
      </c>
      <c r="C69" s="46"/>
      <c r="D69" s="46"/>
      <c r="E69" s="46"/>
      <c r="F69" s="55"/>
      <c r="G69" s="83" t="s">
        <v>308</v>
      </c>
      <c r="H69" s="119">
        <v>20.65</v>
      </c>
      <c r="I69" s="47"/>
      <c r="J69" s="242"/>
      <c r="K69" s="242"/>
      <c r="L69" s="49"/>
      <c r="N69" s="50"/>
    </row>
    <row r="70" spans="1:16" s="33" customFormat="1" ht="20.100000000000001" customHeight="1">
      <c r="A70" s="109"/>
      <c r="B70" s="39" t="s">
        <v>256</v>
      </c>
      <c r="C70" s="46"/>
      <c r="D70" s="46"/>
      <c r="E70" s="46"/>
      <c r="F70" s="55"/>
      <c r="G70" s="83" t="s">
        <v>62</v>
      </c>
      <c r="H70" s="244">
        <f ca="1">H24-H68</f>
        <v>0.224952856708029</v>
      </c>
      <c r="I70" s="47" t="s">
        <v>9</v>
      </c>
      <c r="J70" s="242"/>
      <c r="L70" s="49"/>
      <c r="N70" s="50"/>
    </row>
    <row r="71" spans="1:16" s="33" customFormat="1" ht="20.100000000000001" customHeight="1">
      <c r="A71" s="109"/>
      <c r="B71" s="39" t="s">
        <v>258</v>
      </c>
      <c r="C71" s="46"/>
      <c r="D71" s="46"/>
      <c r="E71" s="46"/>
      <c r="F71" s="55"/>
      <c r="G71" s="83" t="s">
        <v>64</v>
      </c>
      <c r="H71" s="48">
        <f ca="1">H62/(9.81*H60)^0.5</f>
        <v>5.7513856995358026</v>
      </c>
      <c r="I71" s="47"/>
      <c r="K71" s="242"/>
      <c r="L71" s="49"/>
      <c r="N71" s="50"/>
    </row>
    <row r="72" spans="1:16" s="33" customFormat="1" ht="20.100000000000001" customHeight="1">
      <c r="A72" s="109"/>
      <c r="B72" s="39" t="s">
        <v>259</v>
      </c>
      <c r="C72" s="39"/>
      <c r="D72" s="46"/>
      <c r="E72" s="46"/>
      <c r="F72" s="55"/>
      <c r="G72" s="47"/>
      <c r="H72" s="312" t="str">
        <f ca="1">LOOKUP(H71,Misc!A3:A7,Misc!C3:C7)</f>
        <v>Best Performance</v>
      </c>
      <c r="I72" s="313"/>
      <c r="J72" s="313"/>
      <c r="K72" s="314"/>
      <c r="L72" s="49"/>
      <c r="N72" s="50"/>
    </row>
    <row r="73" spans="1:16" s="33" customFormat="1" ht="20.100000000000001" customHeight="1">
      <c r="A73" s="109"/>
      <c r="B73" s="39" t="s">
        <v>260</v>
      </c>
      <c r="C73" s="46"/>
      <c r="D73" s="46"/>
      <c r="E73" s="46"/>
      <c r="F73" s="55"/>
      <c r="G73" s="47"/>
      <c r="H73" s="51" t="str">
        <f ca="1">LOOKUP(H71,Misc!E3:E7,Misc!F3:F7)</f>
        <v>Type III</v>
      </c>
      <c r="I73" s="47"/>
      <c r="L73" s="49"/>
      <c r="N73" s="50"/>
    </row>
    <row r="74" spans="1:16" s="33" customFormat="1" ht="20.100000000000001" customHeight="1">
      <c r="A74" s="109"/>
      <c r="B74" s="39" t="s">
        <v>261</v>
      </c>
      <c r="C74" s="46"/>
      <c r="D74" s="46"/>
      <c r="E74" s="46"/>
      <c r="F74" s="55"/>
      <c r="G74" s="83" t="s">
        <v>262</v>
      </c>
      <c r="H74" s="54">
        <f ca="1">FORECAST($H$71,OFFSET(Misc!$I$3:$I$23,MATCH($H$71,Misc!$H$3:$H$23,1)-1,0,2),OFFSET(Misc!$H$3:$H$23,MATCH($H$71,Misc!$H$3:$H$23,1)-1,0,2))</f>
        <v>6.0551517103459274</v>
      </c>
      <c r="I74" s="47"/>
      <c r="L74" s="49"/>
      <c r="N74" s="50"/>
      <c r="O74" s="90"/>
    </row>
    <row r="75" spans="1:16" s="33" customFormat="1" ht="20.100000000000001" customHeight="1">
      <c r="A75" s="109"/>
      <c r="B75" s="39" t="s">
        <v>257</v>
      </c>
      <c r="C75" s="46"/>
      <c r="D75" s="46"/>
      <c r="E75" s="46"/>
      <c r="F75" s="55"/>
      <c r="G75" s="83" t="s">
        <v>263</v>
      </c>
      <c r="H75" s="245">
        <f ca="1">H74*H67</f>
        <v>3.6230662848201352</v>
      </c>
      <c r="I75" s="47" t="s">
        <v>9</v>
      </c>
      <c r="L75" s="49"/>
      <c r="N75" s="50"/>
      <c r="O75" s="90"/>
    </row>
    <row r="76" spans="1:16" s="33" customFormat="1" ht="20.100000000000001" customHeight="1">
      <c r="A76" s="109"/>
      <c r="B76" s="39" t="s">
        <v>343</v>
      </c>
      <c r="C76" s="46"/>
      <c r="D76" s="46"/>
      <c r="E76" s="46"/>
      <c r="F76" s="55"/>
      <c r="G76" s="83" t="s">
        <v>309</v>
      </c>
      <c r="H76" s="119">
        <v>4.5</v>
      </c>
      <c r="I76" s="47"/>
      <c r="L76" s="49"/>
      <c r="N76" s="50"/>
      <c r="P76" s="246"/>
    </row>
    <row r="77" spans="1:16" s="33" customFormat="1" ht="20.100000000000001" customHeight="1">
      <c r="A77" s="109"/>
      <c r="B77" s="39" t="s">
        <v>256</v>
      </c>
      <c r="C77" s="46"/>
      <c r="D77" s="46"/>
      <c r="E77" s="46"/>
      <c r="F77" s="55"/>
      <c r="G77" s="83" t="s">
        <v>62</v>
      </c>
      <c r="H77" s="245">
        <f>H24-H69</f>
        <v>0.75205588562944925</v>
      </c>
      <c r="I77" s="47"/>
      <c r="L77" s="49"/>
      <c r="N77" s="50"/>
    </row>
    <row r="78" spans="1:16">
      <c r="A78" s="10"/>
      <c r="N78" s="247"/>
    </row>
    <row r="79" spans="1:16" s="33" customFormat="1" ht="20.100000000000001" customHeight="1">
      <c r="A79" s="109"/>
      <c r="L79" s="49"/>
      <c r="N79" s="50"/>
    </row>
    <row r="80" spans="1:16">
      <c r="A80" s="10"/>
      <c r="N80" s="247"/>
    </row>
    <row r="81" spans="1:14" s="33" customFormat="1" ht="20.100000000000001" customHeight="1">
      <c r="A81" s="109"/>
      <c r="B81" s="39"/>
      <c r="C81" s="46"/>
      <c r="D81" s="46"/>
      <c r="E81" s="46"/>
      <c r="F81" s="55"/>
      <c r="G81" s="83"/>
      <c r="H81" s="248"/>
      <c r="I81" s="47"/>
      <c r="L81" s="49"/>
      <c r="N81" s="50"/>
    </row>
    <row r="82" spans="1:14" s="33" customFormat="1" ht="20.100000000000001" customHeight="1">
      <c r="A82" s="109"/>
      <c r="B82" s="39"/>
      <c r="C82" s="46"/>
      <c r="D82" s="46"/>
      <c r="E82" s="46"/>
      <c r="F82" s="55"/>
      <c r="G82" s="83"/>
      <c r="H82" s="248"/>
      <c r="I82" s="47"/>
      <c r="L82" s="49"/>
      <c r="N82" s="50"/>
    </row>
    <row r="83" spans="1:14" s="33" customFormat="1" ht="20.100000000000001" customHeight="1">
      <c r="A83" s="109"/>
      <c r="B83" s="39"/>
      <c r="C83" s="46"/>
      <c r="D83" s="46"/>
      <c r="E83" s="46"/>
      <c r="F83" s="55"/>
      <c r="G83" s="83"/>
      <c r="H83" s="248"/>
      <c r="I83" s="47"/>
      <c r="L83" s="49"/>
      <c r="N83" s="50"/>
    </row>
    <row r="84" spans="1:14" s="33" customFormat="1" ht="20.100000000000001" customHeight="1">
      <c r="A84" s="109"/>
      <c r="B84" s="39"/>
      <c r="C84" s="46"/>
      <c r="D84" s="46"/>
      <c r="E84" s="46"/>
      <c r="F84" s="55"/>
      <c r="G84" s="83"/>
      <c r="H84" s="248"/>
      <c r="I84" s="47"/>
      <c r="L84" s="49"/>
      <c r="N84" s="50"/>
    </row>
    <row r="85" spans="1:14" s="33" customFormat="1" ht="20.100000000000001" customHeight="1">
      <c r="A85" s="109"/>
      <c r="B85" s="39"/>
      <c r="C85" s="46"/>
      <c r="D85" s="46"/>
      <c r="E85" s="46"/>
      <c r="F85" s="55"/>
      <c r="G85" s="83"/>
      <c r="H85" s="248"/>
      <c r="I85" s="47"/>
      <c r="L85" s="49"/>
      <c r="N85" s="50"/>
    </row>
    <row r="86" spans="1:14" s="33" customFormat="1" ht="20.100000000000001" customHeight="1">
      <c r="A86" s="109"/>
      <c r="B86" s="39"/>
      <c r="C86" s="46"/>
      <c r="D86" s="46"/>
      <c r="E86" s="46"/>
      <c r="F86" s="55"/>
      <c r="G86" s="83"/>
      <c r="H86" s="248"/>
      <c r="I86" s="47"/>
      <c r="L86" s="49"/>
      <c r="N86" s="50"/>
    </row>
    <row r="87" spans="1:14" s="33" customFormat="1" ht="20.100000000000001" customHeight="1">
      <c r="A87" s="109"/>
      <c r="B87" s="39"/>
      <c r="C87" s="46"/>
      <c r="D87" s="46"/>
      <c r="E87" s="46"/>
      <c r="F87" s="55"/>
      <c r="G87" s="83"/>
      <c r="H87" s="248"/>
      <c r="I87" s="47"/>
      <c r="L87" s="49"/>
      <c r="N87" s="50"/>
    </row>
    <row r="88" spans="1:14" s="33" customFormat="1" ht="20.100000000000001" customHeight="1">
      <c r="A88" s="109"/>
      <c r="B88" s="39"/>
      <c r="C88" s="46"/>
      <c r="D88" s="46"/>
      <c r="E88" s="46"/>
      <c r="F88" s="55"/>
      <c r="G88" s="83"/>
      <c r="H88" s="248"/>
      <c r="I88" s="47"/>
      <c r="L88" s="49"/>
      <c r="N88" s="50"/>
    </row>
    <row r="89" spans="1:14" s="33" customFormat="1" ht="20.100000000000001" customHeight="1">
      <c r="A89" s="109"/>
      <c r="B89" s="39"/>
      <c r="C89" s="46"/>
      <c r="D89" s="46"/>
      <c r="E89" s="46"/>
      <c r="F89" s="55"/>
      <c r="G89" s="83"/>
      <c r="H89" s="248"/>
      <c r="I89" s="47"/>
      <c r="L89" s="49"/>
      <c r="N89" s="50"/>
    </row>
    <row r="90" spans="1:14" s="33" customFormat="1" ht="20.100000000000001" customHeight="1">
      <c r="A90" s="109"/>
      <c r="B90" s="46"/>
      <c r="C90" s="46"/>
      <c r="D90" s="46"/>
      <c r="E90" s="46"/>
      <c r="F90" s="55"/>
      <c r="G90" s="47"/>
      <c r="H90" s="47"/>
      <c r="I90" s="47"/>
      <c r="L90" s="49"/>
      <c r="N90" s="50"/>
    </row>
    <row r="91" spans="1:14" s="33" customFormat="1" ht="20.100000000000001" customHeight="1">
      <c r="A91" s="232"/>
      <c r="B91" s="233"/>
      <c r="C91" s="233"/>
      <c r="D91" s="233"/>
      <c r="E91" s="233"/>
      <c r="F91" s="249"/>
      <c r="G91" s="234"/>
      <c r="H91" s="234"/>
      <c r="I91" s="234"/>
      <c r="J91" s="234"/>
      <c r="K91" s="234"/>
      <c r="L91" s="238"/>
      <c r="M91" s="234"/>
      <c r="N91" s="239"/>
    </row>
    <row r="92" spans="1:14" s="33" customFormat="1" ht="20.100000000000001" customHeight="1">
      <c r="A92" s="109"/>
      <c r="D92" s="56" t="s">
        <v>264</v>
      </c>
      <c r="E92" s="46"/>
      <c r="F92" s="46"/>
      <c r="G92" s="46"/>
      <c r="H92" s="55"/>
      <c r="I92" s="47"/>
      <c r="J92" s="47"/>
      <c r="K92" s="47"/>
      <c r="L92" s="49"/>
      <c r="N92" s="50"/>
    </row>
    <row r="93" spans="1:14" s="39" customFormat="1" ht="20.100000000000001" customHeight="1">
      <c r="A93" s="109"/>
      <c r="D93" s="250" t="s">
        <v>310</v>
      </c>
      <c r="E93" s="250" t="s">
        <v>311</v>
      </c>
      <c r="F93" s="250" t="s">
        <v>312</v>
      </c>
      <c r="G93" s="250" t="s">
        <v>313</v>
      </c>
      <c r="H93" s="250" t="s">
        <v>314</v>
      </c>
      <c r="I93" s="250" t="s">
        <v>265</v>
      </c>
      <c r="J93" s="250" t="s">
        <v>315</v>
      </c>
      <c r="K93" s="250" t="s">
        <v>316</v>
      </c>
      <c r="L93" s="49"/>
      <c r="M93" s="33"/>
      <c r="N93" s="50"/>
    </row>
    <row r="94" spans="1:14" s="59" customFormat="1" ht="13.05" customHeight="1">
      <c r="A94" s="109"/>
      <c r="D94" s="251">
        <v>0.24460000000000001</v>
      </c>
      <c r="E94" s="251">
        <v>3</v>
      </c>
      <c r="F94" s="251">
        <v>0.3669</v>
      </c>
      <c r="G94" s="251">
        <v>1.1006</v>
      </c>
      <c r="H94" s="251">
        <v>1.4675</v>
      </c>
      <c r="I94" s="251">
        <v>1.1006</v>
      </c>
      <c r="J94" s="251">
        <v>0.12230000000000001</v>
      </c>
      <c r="K94" s="251">
        <v>1.2229000000000001</v>
      </c>
      <c r="L94" s="49"/>
      <c r="M94" s="33"/>
      <c r="N94" s="50"/>
    </row>
    <row r="95" spans="1:14" s="59" customFormat="1" ht="13.05" customHeight="1">
      <c r="A95" s="109"/>
      <c r="D95" s="251">
        <v>0.26879999999999998</v>
      </c>
      <c r="E95" s="251">
        <v>3.1</v>
      </c>
      <c r="F95" s="251">
        <v>0.3599</v>
      </c>
      <c r="G95" s="251">
        <v>1.1435999999999999</v>
      </c>
      <c r="H95" s="251">
        <v>1.5035000000000001</v>
      </c>
      <c r="I95" s="251">
        <v>1.1156999999999999</v>
      </c>
      <c r="J95" s="251">
        <v>0.11899999999999999</v>
      </c>
      <c r="K95" s="251">
        <v>1.2346999999999999</v>
      </c>
      <c r="L95" s="49"/>
      <c r="M95" s="33"/>
      <c r="N95" s="50"/>
    </row>
    <row r="96" spans="1:14" s="59" customFormat="1" ht="13.05" customHeight="1">
      <c r="A96" s="109"/>
      <c r="D96" s="251">
        <v>0.29389999999999999</v>
      </c>
      <c r="E96" s="251">
        <v>3.2</v>
      </c>
      <c r="F96" s="251">
        <v>0.3533</v>
      </c>
      <c r="G96" s="251">
        <v>1.1870000000000001</v>
      </c>
      <c r="H96" s="251">
        <v>1.5403</v>
      </c>
      <c r="I96" s="251">
        <v>1.1305000000000001</v>
      </c>
      <c r="J96" s="251">
        <v>0.1159</v>
      </c>
      <c r="K96" s="251">
        <v>1.2464</v>
      </c>
      <c r="L96" s="49"/>
      <c r="M96" s="33"/>
      <c r="N96" s="50"/>
    </row>
    <row r="97" spans="1:21" s="252" customFormat="1" ht="13.05" customHeight="1">
      <c r="A97" s="109"/>
      <c r="D97" s="251">
        <v>0.31979999999999997</v>
      </c>
      <c r="E97" s="251">
        <v>3.3</v>
      </c>
      <c r="F97" s="251">
        <v>0.34689999999999999</v>
      </c>
      <c r="G97" s="251">
        <v>1.2307999999999999</v>
      </c>
      <c r="H97" s="251">
        <v>1.5777000000000001</v>
      </c>
      <c r="I97" s="251">
        <v>1.1449</v>
      </c>
      <c r="J97" s="251">
        <v>0.113</v>
      </c>
      <c r="K97" s="251">
        <v>1.2579</v>
      </c>
      <c r="L97" s="49"/>
      <c r="M97" s="33"/>
      <c r="N97" s="50"/>
    </row>
    <row r="98" spans="1:21" s="39" customFormat="1" ht="13.05" customHeight="1">
      <c r="A98" s="109"/>
      <c r="D98" s="251">
        <v>0.34649999999999997</v>
      </c>
      <c r="E98" s="251">
        <v>3.4</v>
      </c>
      <c r="F98" s="251">
        <v>0.34089999999999998</v>
      </c>
      <c r="G98" s="251">
        <v>1.2748999999999999</v>
      </c>
      <c r="H98" s="251">
        <v>1.6157999999999999</v>
      </c>
      <c r="I98" s="251">
        <v>1.159</v>
      </c>
      <c r="J98" s="251">
        <v>0.1103</v>
      </c>
      <c r="K98" s="251">
        <v>1.2693000000000001</v>
      </c>
      <c r="L98" s="49"/>
      <c r="M98" s="33"/>
      <c r="N98" s="50"/>
    </row>
    <row r="99" spans="1:21" s="39" customFormat="1" ht="13.05" customHeight="1">
      <c r="A99" s="109"/>
      <c r="D99" s="251">
        <v>0.374</v>
      </c>
      <c r="E99" s="251">
        <v>3.5</v>
      </c>
      <c r="F99" s="251">
        <v>0.33510000000000001</v>
      </c>
      <c r="G99" s="251">
        <v>1.3193999999999999</v>
      </c>
      <c r="H99" s="251">
        <v>1.6545000000000001</v>
      </c>
      <c r="I99" s="251">
        <v>1.1728000000000001</v>
      </c>
      <c r="J99" s="251">
        <v>0.1077</v>
      </c>
      <c r="K99" s="251">
        <v>1.2805</v>
      </c>
      <c r="L99" s="49"/>
      <c r="M99" s="33"/>
      <c r="N99" s="50"/>
    </row>
    <row r="100" spans="1:21" s="39" customFormat="1" ht="13.05" customHeight="1">
      <c r="A100" s="109"/>
      <c r="D100" s="251">
        <v>0.4022</v>
      </c>
      <c r="E100" s="251">
        <v>3.6</v>
      </c>
      <c r="F100" s="251">
        <v>0.32950000000000002</v>
      </c>
      <c r="G100" s="251">
        <v>1.3643000000000001</v>
      </c>
      <c r="H100" s="251">
        <v>1.6938</v>
      </c>
      <c r="I100" s="251">
        <v>1.1862999999999999</v>
      </c>
      <c r="J100" s="251">
        <v>0.1053</v>
      </c>
      <c r="K100" s="251">
        <v>1.2916000000000001</v>
      </c>
      <c r="L100" s="49"/>
      <c r="M100" s="33"/>
      <c r="N100" s="50"/>
    </row>
    <row r="101" spans="1:21" s="39" customFormat="1" ht="13.05" customHeight="1">
      <c r="A101" s="109"/>
      <c r="D101" s="251">
        <v>0.43120000000000003</v>
      </c>
      <c r="E101" s="251">
        <v>3.7</v>
      </c>
      <c r="F101" s="251">
        <v>0.32419999999999999</v>
      </c>
      <c r="G101" s="251">
        <v>1.4095</v>
      </c>
      <c r="H101" s="251">
        <v>1.7337</v>
      </c>
      <c r="I101" s="251">
        <v>1.1995</v>
      </c>
      <c r="J101" s="251">
        <v>0.10299999999999999</v>
      </c>
      <c r="K101" s="251">
        <v>1.3025</v>
      </c>
      <c r="L101" s="49"/>
      <c r="M101" s="33"/>
      <c r="N101" s="50"/>
    </row>
    <row r="102" spans="1:21" s="39" customFormat="1" ht="13.05" customHeight="1">
      <c r="A102" s="109"/>
      <c r="D102" s="251">
        <v>0.46089999999999998</v>
      </c>
      <c r="E102" s="251">
        <v>3.8</v>
      </c>
      <c r="F102" s="251">
        <v>0.31909999999999999</v>
      </c>
      <c r="G102" s="251">
        <v>1.4551000000000001</v>
      </c>
      <c r="H102" s="251">
        <v>1.7742</v>
      </c>
      <c r="I102" s="251">
        <v>1.2124999999999999</v>
      </c>
      <c r="J102" s="251">
        <v>0.1008</v>
      </c>
      <c r="K102" s="251">
        <v>1.3132999999999999</v>
      </c>
      <c r="L102" s="49"/>
      <c r="M102" s="33"/>
      <c r="N102" s="50"/>
    </row>
    <row r="103" spans="1:21" s="39" customFormat="1" ht="13.05" customHeight="1">
      <c r="A103" s="109"/>
      <c r="D103" s="251">
        <v>0.49120000000000003</v>
      </c>
      <c r="E103" s="251">
        <v>3.9</v>
      </c>
      <c r="F103" s="251">
        <v>0.31419999999999998</v>
      </c>
      <c r="G103" s="251">
        <v>1.5008999999999999</v>
      </c>
      <c r="H103" s="251">
        <v>1.8150999999999999</v>
      </c>
      <c r="I103" s="251">
        <v>1.2253000000000001</v>
      </c>
      <c r="J103" s="251">
        <v>9.8699999999999996E-2</v>
      </c>
      <c r="K103" s="251">
        <v>1.3239000000000001</v>
      </c>
      <c r="L103" s="49"/>
      <c r="M103" s="33"/>
      <c r="N103" s="50"/>
    </row>
    <row r="104" spans="1:21" s="39" customFormat="1" ht="13.05" customHeight="1">
      <c r="A104" s="109"/>
      <c r="D104" s="251">
        <v>0.5222</v>
      </c>
      <c r="E104" s="251">
        <v>4</v>
      </c>
      <c r="F104" s="251">
        <v>0.30940000000000001</v>
      </c>
      <c r="G104" s="251">
        <v>1.5471999999999999</v>
      </c>
      <c r="H104" s="251">
        <v>1.8566</v>
      </c>
      <c r="I104" s="251">
        <v>1.2378</v>
      </c>
      <c r="J104" s="251">
        <v>9.6699999999999994E-2</v>
      </c>
      <c r="K104" s="251">
        <v>1.3345</v>
      </c>
      <c r="L104" s="49"/>
      <c r="M104" s="33"/>
      <c r="N104" s="50"/>
      <c r="Q104" s="253"/>
      <c r="R104" s="9"/>
      <c r="T104" s="9"/>
      <c r="U104" s="9"/>
    </row>
    <row r="105" spans="1:21" s="39" customFormat="1" ht="13.05" customHeight="1">
      <c r="A105" s="109"/>
      <c r="D105" s="251">
        <v>0.58609999999999995</v>
      </c>
      <c r="E105" s="251">
        <v>4.2</v>
      </c>
      <c r="F105" s="251">
        <v>0.30049999999999999</v>
      </c>
      <c r="G105" s="251">
        <v>1.6407</v>
      </c>
      <c r="H105" s="251">
        <v>1.9412</v>
      </c>
      <c r="I105" s="251">
        <v>1.2621</v>
      </c>
      <c r="J105" s="251">
        <v>9.2999999999999999E-2</v>
      </c>
      <c r="K105" s="251">
        <v>1.3551</v>
      </c>
      <c r="L105" s="49"/>
      <c r="M105" s="33"/>
      <c r="N105" s="50"/>
      <c r="R105" s="9"/>
      <c r="T105" s="9"/>
      <c r="U105" s="9"/>
    </row>
    <row r="106" spans="1:21" s="39" customFormat="1" ht="13.05" customHeight="1">
      <c r="A106" s="109"/>
      <c r="D106" s="251">
        <v>0.65249999999999997</v>
      </c>
      <c r="E106" s="251">
        <v>4.4000000000000004</v>
      </c>
      <c r="F106" s="251">
        <v>0.29220000000000002</v>
      </c>
      <c r="G106" s="251">
        <v>1.7355</v>
      </c>
      <c r="H106" s="251">
        <v>2.0276000000000001</v>
      </c>
      <c r="I106" s="251">
        <v>1.2855000000000001</v>
      </c>
      <c r="J106" s="251">
        <v>8.9599999999999999E-2</v>
      </c>
      <c r="K106" s="251">
        <v>1.3752</v>
      </c>
      <c r="L106" s="49"/>
      <c r="M106" s="33"/>
      <c r="N106" s="50"/>
      <c r="R106" s="9"/>
      <c r="T106" s="9"/>
      <c r="U106" s="9"/>
    </row>
    <row r="107" spans="1:21" s="39" customFormat="1" ht="13.05" customHeight="1">
      <c r="A107" s="109"/>
      <c r="D107" s="251">
        <v>0.72109999999999996</v>
      </c>
      <c r="E107" s="251">
        <v>4.5999999999999996</v>
      </c>
      <c r="F107" s="251">
        <v>0.28439999999999999</v>
      </c>
      <c r="G107" s="251">
        <v>1.8314999999999999</v>
      </c>
      <c r="H107" s="251">
        <v>2.1158999999999999</v>
      </c>
      <c r="I107" s="251">
        <v>1.3083</v>
      </c>
      <c r="J107" s="251">
        <v>8.6599999999999996E-2</v>
      </c>
      <c r="K107" s="251">
        <v>1.3948</v>
      </c>
      <c r="L107" s="49"/>
      <c r="M107" s="33"/>
      <c r="N107" s="50"/>
      <c r="R107" s="9"/>
      <c r="T107" s="9"/>
      <c r="U107" s="9"/>
    </row>
    <row r="108" spans="1:21" s="39" customFormat="1" ht="13.05" customHeight="1">
      <c r="A108" s="109"/>
      <c r="D108" s="251">
        <v>0.79200000000000004</v>
      </c>
      <c r="E108" s="251">
        <v>4.8</v>
      </c>
      <c r="F108" s="251">
        <v>0.27710000000000001</v>
      </c>
      <c r="G108" s="251">
        <v>1.9289000000000001</v>
      </c>
      <c r="H108" s="251">
        <v>2.206</v>
      </c>
      <c r="I108" s="251">
        <v>1.3303</v>
      </c>
      <c r="J108" s="251">
        <v>8.3699999999999997E-2</v>
      </c>
      <c r="K108" s="251">
        <v>1.4139999999999999</v>
      </c>
      <c r="L108" s="49"/>
      <c r="M108" s="33"/>
      <c r="N108" s="50"/>
      <c r="O108" s="73"/>
      <c r="R108" s="9"/>
      <c r="T108" s="9"/>
      <c r="U108" s="9"/>
    </row>
    <row r="109" spans="1:21" s="39" customFormat="1" ht="13.05" customHeight="1">
      <c r="A109" s="109"/>
      <c r="D109" s="251">
        <v>0.86509999999999998</v>
      </c>
      <c r="E109" s="251">
        <v>5</v>
      </c>
      <c r="F109" s="251">
        <v>0.27029999999999998</v>
      </c>
      <c r="G109" s="251">
        <v>2.0274000000000001</v>
      </c>
      <c r="H109" s="251">
        <v>2.2976999999999999</v>
      </c>
      <c r="I109" s="251">
        <v>1.3515999999999999</v>
      </c>
      <c r="J109" s="251">
        <v>8.1100000000000005E-2</v>
      </c>
      <c r="K109" s="251">
        <v>1.4327000000000001</v>
      </c>
      <c r="L109" s="49"/>
      <c r="M109" s="33"/>
      <c r="N109" s="50"/>
      <c r="O109" s="73"/>
      <c r="R109" s="9"/>
      <c r="T109" s="9"/>
      <c r="U109" s="9"/>
    </row>
    <row r="110" spans="1:21" s="39" customFormat="1" ht="13.05" customHeight="1">
      <c r="A110" s="109"/>
      <c r="D110" s="251">
        <v>0.94</v>
      </c>
      <c r="E110" s="251">
        <v>5.2</v>
      </c>
      <c r="F110" s="251">
        <v>0.26390000000000002</v>
      </c>
      <c r="G110" s="251">
        <v>2.1271</v>
      </c>
      <c r="H110" s="251">
        <v>2.391</v>
      </c>
      <c r="I110" s="251">
        <v>1.3723000000000001</v>
      </c>
      <c r="J110" s="251">
        <v>7.8700000000000006E-2</v>
      </c>
      <c r="K110" s="251">
        <v>1.4510000000000001</v>
      </c>
      <c r="L110" s="49"/>
      <c r="M110" s="33"/>
      <c r="N110" s="50"/>
      <c r="O110" s="73"/>
      <c r="R110" s="9"/>
      <c r="T110" s="9"/>
      <c r="U110" s="9"/>
    </row>
    <row r="111" spans="1:21" s="39" customFormat="1" ht="13.05" customHeight="1">
      <c r="A111" s="109"/>
      <c r="D111" s="251">
        <v>1.0168999999999999</v>
      </c>
      <c r="E111" s="251">
        <v>5.4</v>
      </c>
      <c r="F111" s="251">
        <v>0.25790000000000002</v>
      </c>
      <c r="G111" s="251">
        <v>2.2279</v>
      </c>
      <c r="H111" s="251">
        <v>2.4857999999999998</v>
      </c>
      <c r="I111" s="251">
        <v>1.3925000000000001</v>
      </c>
      <c r="J111" s="251">
        <v>7.6399999999999996E-2</v>
      </c>
      <c r="K111" s="251">
        <v>1.4689000000000001</v>
      </c>
      <c r="L111" s="49"/>
      <c r="M111" s="33"/>
      <c r="N111" s="50"/>
      <c r="O111" s="73"/>
      <c r="R111" s="9"/>
      <c r="T111" s="9"/>
      <c r="U111" s="9"/>
    </row>
    <row r="112" spans="1:21" s="39" customFormat="1" ht="13.05" customHeight="1">
      <c r="A112" s="109"/>
      <c r="D112" s="251">
        <v>1.0956999999999999</v>
      </c>
      <c r="E112" s="251">
        <v>5.6</v>
      </c>
      <c r="F112" s="251">
        <v>0.25209999999999999</v>
      </c>
      <c r="G112" s="251">
        <v>2.3298999999999999</v>
      </c>
      <c r="H112" s="251">
        <v>2.5821000000000001</v>
      </c>
      <c r="I112" s="251">
        <v>1.4120999999999999</v>
      </c>
      <c r="J112" s="251">
        <v>7.4300000000000005E-2</v>
      </c>
      <c r="K112" s="251">
        <v>1.4863999999999999</v>
      </c>
      <c r="L112" s="49"/>
      <c r="M112" s="33"/>
      <c r="N112" s="50"/>
      <c r="O112" s="73"/>
      <c r="R112" s="9"/>
      <c r="T112" s="9"/>
      <c r="U112" s="9"/>
    </row>
    <row r="113" spans="1:21" s="39" customFormat="1" ht="13.05" customHeight="1">
      <c r="A113" s="109"/>
      <c r="D113" s="251">
        <v>1.1762999999999999</v>
      </c>
      <c r="E113" s="251">
        <v>5.8</v>
      </c>
      <c r="F113" s="251">
        <v>0.2467</v>
      </c>
      <c r="G113" s="251">
        <v>2.4331</v>
      </c>
      <c r="H113" s="251">
        <v>2.6798000000000002</v>
      </c>
      <c r="I113" s="251">
        <v>1.4312</v>
      </c>
      <c r="J113" s="251">
        <v>7.2300000000000003E-2</v>
      </c>
      <c r="K113" s="251">
        <v>1.5035000000000001</v>
      </c>
      <c r="L113" s="49"/>
      <c r="M113" s="33"/>
      <c r="N113" s="50"/>
      <c r="O113" s="73"/>
      <c r="R113" s="9"/>
      <c r="T113" s="9"/>
      <c r="U113" s="9"/>
    </row>
    <row r="114" spans="1:21" s="39" customFormat="1" ht="13.05" customHeight="1">
      <c r="A114" s="109"/>
      <c r="D114" s="254">
        <v>1.2585</v>
      </c>
      <c r="E114" s="254">
        <v>6</v>
      </c>
      <c r="F114" s="254">
        <v>0.2417</v>
      </c>
      <c r="G114" s="254">
        <v>2.5371999999999999</v>
      </c>
      <c r="H114" s="254">
        <v>2.7789000000000001</v>
      </c>
      <c r="I114" s="254">
        <v>1.4499</v>
      </c>
      <c r="J114" s="254">
        <v>7.0499999999999993E-2</v>
      </c>
      <c r="K114" s="254">
        <v>1.5203</v>
      </c>
      <c r="L114" s="49"/>
      <c r="M114" s="33"/>
      <c r="N114" s="50"/>
      <c r="O114" s="73"/>
      <c r="R114" s="9"/>
      <c r="T114" s="9"/>
      <c r="U114" s="9"/>
    </row>
    <row r="115" spans="1:21" s="39" customFormat="1" ht="13.05" customHeight="1">
      <c r="A115" s="109"/>
      <c r="D115" s="254">
        <v>1.3429</v>
      </c>
      <c r="E115" s="254">
        <v>6.2</v>
      </c>
      <c r="F115" s="254">
        <v>0.23669999999999999</v>
      </c>
      <c r="G115" s="254">
        <v>2.6429</v>
      </c>
      <c r="H115" s="254">
        <v>2.8795999999999999</v>
      </c>
      <c r="I115" s="254">
        <v>1.4679</v>
      </c>
      <c r="J115" s="254">
        <v>6.8699999999999997E-2</v>
      </c>
      <c r="K115" s="254">
        <v>1.5367</v>
      </c>
      <c r="L115" s="49"/>
      <c r="M115" s="33"/>
      <c r="N115" s="50"/>
      <c r="O115" s="73"/>
      <c r="R115" s="9"/>
      <c r="T115" s="9"/>
      <c r="U115" s="9"/>
    </row>
    <row r="116" spans="1:21" s="39" customFormat="1" ht="13.05" customHeight="1">
      <c r="A116" s="109"/>
      <c r="D116" s="254">
        <v>1.4279999999999999</v>
      </c>
      <c r="E116" s="254">
        <v>6.4</v>
      </c>
      <c r="F116" s="254">
        <v>0.2321</v>
      </c>
      <c r="G116" s="254">
        <v>2.7488000000000001</v>
      </c>
      <c r="H116" s="254">
        <v>2.9809000000000001</v>
      </c>
      <c r="I116" s="254">
        <v>1.4858</v>
      </c>
      <c r="J116" s="254">
        <v>6.7100000000000007E-2</v>
      </c>
      <c r="K116" s="254">
        <v>1.5528999999999999</v>
      </c>
      <c r="L116" s="49"/>
      <c r="M116" s="33"/>
      <c r="N116" s="50"/>
      <c r="O116" s="94"/>
      <c r="R116" s="9"/>
      <c r="T116" s="9"/>
      <c r="U116" s="9"/>
    </row>
    <row r="117" spans="1:21" s="39" customFormat="1" ht="13.05" customHeight="1">
      <c r="A117" s="109"/>
      <c r="D117" s="254">
        <v>1.5149999999999999</v>
      </c>
      <c r="E117" s="254">
        <v>6.6</v>
      </c>
      <c r="F117" s="254">
        <v>0.22770000000000001</v>
      </c>
      <c r="G117" s="254">
        <v>2.8559999999999999</v>
      </c>
      <c r="H117" s="254">
        <v>3.0836999999999999</v>
      </c>
      <c r="I117" s="254">
        <v>1.5032000000000001</v>
      </c>
      <c r="J117" s="254">
        <v>6.5500000000000003E-2</v>
      </c>
      <c r="K117" s="254">
        <v>1.5687</v>
      </c>
      <c r="L117" s="49"/>
      <c r="M117" s="33"/>
      <c r="N117" s="50"/>
      <c r="O117" s="94"/>
      <c r="R117" s="9"/>
      <c r="T117" s="9"/>
      <c r="U117" s="9"/>
    </row>
    <row r="118" spans="1:21" s="39" customFormat="1" ht="13.05" customHeight="1">
      <c r="A118" s="109"/>
      <c r="D118" s="254">
        <v>1.6034999999999999</v>
      </c>
      <c r="E118" s="254">
        <v>6.8</v>
      </c>
      <c r="F118" s="254">
        <v>0.2235</v>
      </c>
      <c r="G118" s="254">
        <v>2.9643000000000002</v>
      </c>
      <c r="H118" s="254">
        <v>3.1878000000000002</v>
      </c>
      <c r="I118" s="254">
        <v>1.5202</v>
      </c>
      <c r="J118" s="254">
        <v>6.4100000000000004E-2</v>
      </c>
      <c r="K118" s="254">
        <v>1.5843</v>
      </c>
      <c r="L118" s="49"/>
      <c r="M118" s="33"/>
      <c r="N118" s="50"/>
      <c r="O118" s="94"/>
      <c r="R118" s="9"/>
      <c r="T118" s="9"/>
      <c r="U118" s="9"/>
    </row>
    <row r="119" spans="1:21" s="39" customFormat="1" ht="13.05" customHeight="1">
      <c r="A119" s="109"/>
      <c r="D119" s="254">
        <v>1.6937</v>
      </c>
      <c r="E119" s="254">
        <v>7</v>
      </c>
      <c r="F119" s="254">
        <v>0.2195</v>
      </c>
      <c r="G119" s="254">
        <v>3.0737000000000001</v>
      </c>
      <c r="H119" s="254">
        <v>3.2932000000000001</v>
      </c>
      <c r="I119" s="254">
        <v>1.5267999999999999</v>
      </c>
      <c r="J119" s="254">
        <v>6.2700000000000006E-2</v>
      </c>
      <c r="K119" s="254">
        <v>1.5994999999999999</v>
      </c>
      <c r="L119" s="49"/>
      <c r="M119" s="33"/>
      <c r="N119" s="50"/>
      <c r="O119" s="94"/>
      <c r="R119" s="9"/>
      <c r="T119" s="9"/>
      <c r="U119" s="9"/>
    </row>
    <row r="120" spans="1:21" s="39" customFormat="1" ht="13.05" customHeight="1">
      <c r="A120" s="109"/>
      <c r="D120" s="254">
        <v>1.7850999999999999</v>
      </c>
      <c r="E120" s="254">
        <v>7.2</v>
      </c>
      <c r="F120" s="254">
        <v>0.2157</v>
      </c>
      <c r="G120" s="254">
        <v>3.1839</v>
      </c>
      <c r="H120" s="254">
        <v>3.3996</v>
      </c>
      <c r="I120" s="254">
        <v>1.5530999999999999</v>
      </c>
      <c r="J120" s="254">
        <v>6.1400000000000003E-2</v>
      </c>
      <c r="K120" s="254">
        <v>1.6145</v>
      </c>
      <c r="L120" s="49"/>
      <c r="M120" s="33"/>
      <c r="N120" s="50"/>
      <c r="O120" s="94"/>
      <c r="R120" s="9"/>
      <c r="T120" s="9"/>
      <c r="U120" s="9"/>
    </row>
    <row r="121" spans="1:21" s="39" customFormat="1" ht="13.05" customHeight="1">
      <c r="A121" s="109"/>
      <c r="D121" s="254">
        <v>1.8777999999999999</v>
      </c>
      <c r="E121" s="254">
        <v>7.4</v>
      </c>
      <c r="F121" s="254">
        <v>0.21210000000000001</v>
      </c>
      <c r="G121" s="254">
        <v>3.2949999999999999</v>
      </c>
      <c r="H121" s="254">
        <v>3.5070999999999999</v>
      </c>
      <c r="I121" s="254">
        <v>1.5690999999999999</v>
      </c>
      <c r="J121" s="254">
        <v>6.0199999999999997E-2</v>
      </c>
      <c r="K121" s="254">
        <v>1.6293</v>
      </c>
      <c r="L121" s="49"/>
      <c r="M121" s="33"/>
      <c r="N121" s="50"/>
      <c r="O121" s="94"/>
      <c r="R121" s="9"/>
      <c r="T121" s="9"/>
      <c r="U121" s="9"/>
    </row>
    <row r="122" spans="1:21" s="39" customFormat="1" ht="13.05" customHeight="1">
      <c r="A122" s="109"/>
      <c r="D122" s="254">
        <v>1.972</v>
      </c>
      <c r="E122" s="254">
        <v>7.6</v>
      </c>
      <c r="F122" s="254">
        <v>0.20849999999999999</v>
      </c>
      <c r="G122" s="254">
        <v>3.4072</v>
      </c>
      <c r="H122" s="254">
        <v>3.6156999999999999</v>
      </c>
      <c r="I122" s="254">
        <v>1.5847</v>
      </c>
      <c r="J122" s="254">
        <v>5.8999999999999997E-2</v>
      </c>
      <c r="K122" s="254">
        <v>1.6436999999999999</v>
      </c>
      <c r="L122" s="49"/>
      <c r="M122" s="33"/>
      <c r="N122" s="50"/>
      <c r="O122" s="94"/>
      <c r="R122" s="9"/>
      <c r="T122" s="9"/>
      <c r="U122" s="9"/>
    </row>
    <row r="123" spans="1:21" s="39" customFormat="1" ht="13.05" customHeight="1">
      <c r="A123" s="109"/>
      <c r="D123" s="254">
        <v>2.0674000000000001</v>
      </c>
      <c r="E123" s="254">
        <v>7.8</v>
      </c>
      <c r="F123" s="254">
        <v>0.2051</v>
      </c>
      <c r="G123" s="254">
        <v>3.4723000000000002</v>
      </c>
      <c r="H123" s="254">
        <v>3.7353999999999998</v>
      </c>
      <c r="I123" s="254">
        <v>1.6001000000000001</v>
      </c>
      <c r="J123" s="254">
        <v>5.79E-2</v>
      </c>
      <c r="K123" s="254">
        <v>1.6579999999999999</v>
      </c>
      <c r="L123" s="49"/>
      <c r="M123" s="33"/>
      <c r="N123" s="50"/>
      <c r="O123" s="94"/>
      <c r="R123" s="9"/>
      <c r="T123" s="9"/>
      <c r="U123" s="9"/>
    </row>
    <row r="124" spans="1:21" s="39" customFormat="1" ht="13.05" customHeight="1">
      <c r="A124" s="109"/>
      <c r="D124" s="254">
        <v>2.1640999999999999</v>
      </c>
      <c r="E124" s="254">
        <v>8</v>
      </c>
      <c r="F124" s="254">
        <v>0.2019</v>
      </c>
      <c r="G124" s="254">
        <v>3.6343000000000001</v>
      </c>
      <c r="H124" s="254">
        <v>3.8361000000000001</v>
      </c>
      <c r="I124" s="254">
        <v>1.6152</v>
      </c>
      <c r="J124" s="254">
        <v>5.6800000000000003E-2</v>
      </c>
      <c r="K124" s="254">
        <v>1.6719999999999999</v>
      </c>
      <c r="L124" s="49"/>
      <c r="M124" s="33"/>
      <c r="N124" s="50"/>
      <c r="O124" s="94"/>
      <c r="R124" s="9"/>
      <c r="T124" s="9"/>
      <c r="U124" s="9"/>
    </row>
    <row r="125" spans="1:21" s="39" customFormat="1" ht="13.05" customHeight="1">
      <c r="A125" s="109"/>
      <c r="D125" s="254">
        <v>2.262</v>
      </c>
      <c r="E125" s="254">
        <v>8.1999999999999993</v>
      </c>
      <c r="F125" s="254">
        <v>0.1988</v>
      </c>
      <c r="G125" s="254">
        <v>3.7490000000000001</v>
      </c>
      <c r="H125" s="254">
        <v>3.9478</v>
      </c>
      <c r="I125" s="254">
        <v>1.6301000000000001</v>
      </c>
      <c r="J125" s="254">
        <v>5.57E-2</v>
      </c>
      <c r="K125" s="254">
        <v>1.6858</v>
      </c>
      <c r="L125" s="49"/>
      <c r="M125" s="33"/>
      <c r="N125" s="50"/>
      <c r="O125" s="94"/>
      <c r="R125" s="9"/>
      <c r="T125" s="9"/>
      <c r="U125" s="9"/>
    </row>
    <row r="126" spans="1:21" s="39" customFormat="1" ht="13.05" customHeight="1">
      <c r="A126" s="109"/>
      <c r="D126" s="254">
        <v>2.3613</v>
      </c>
      <c r="E126" s="254">
        <v>8.4</v>
      </c>
      <c r="F126" s="254">
        <v>0.1958</v>
      </c>
      <c r="G126" s="254">
        <v>3.8649</v>
      </c>
      <c r="H126" s="254">
        <v>4.0606999999999998</v>
      </c>
      <c r="I126" s="254">
        <v>1.6446000000000001</v>
      </c>
      <c r="J126" s="254">
        <v>5.4800000000000001E-2</v>
      </c>
      <c r="K126" s="254">
        <v>1.6994</v>
      </c>
      <c r="L126" s="49"/>
      <c r="M126" s="33"/>
      <c r="N126" s="50"/>
      <c r="O126" s="94"/>
      <c r="R126" s="9"/>
      <c r="T126" s="9"/>
      <c r="U126" s="9"/>
    </row>
    <row r="127" spans="1:21" s="39" customFormat="1" ht="13.05" customHeight="1">
      <c r="A127" s="109"/>
      <c r="D127" s="254">
        <v>2.4615</v>
      </c>
      <c r="E127" s="254">
        <v>8.6</v>
      </c>
      <c r="F127" s="254">
        <v>0.19289999999999999</v>
      </c>
      <c r="G127" s="254">
        <v>3.9813999999999998</v>
      </c>
      <c r="H127" s="254">
        <v>4.1742999999999997</v>
      </c>
      <c r="I127" s="254">
        <v>1.6589</v>
      </c>
      <c r="J127" s="254">
        <v>5.3800000000000001E-2</v>
      </c>
      <c r="K127" s="254">
        <v>1.7126999999999999</v>
      </c>
      <c r="L127" s="49"/>
      <c r="M127" s="33"/>
      <c r="N127" s="50"/>
      <c r="O127" s="73"/>
      <c r="R127" s="9"/>
      <c r="T127" s="9"/>
      <c r="U127" s="9"/>
    </row>
    <row r="128" spans="1:21" s="39" customFormat="1" ht="13.05" customHeight="1">
      <c r="A128" s="109"/>
      <c r="D128" s="254">
        <v>2.5630000000000002</v>
      </c>
      <c r="E128" s="254">
        <v>8.8000000000000007</v>
      </c>
      <c r="F128" s="254">
        <v>0.19009999999999999</v>
      </c>
      <c r="G128" s="254">
        <v>4.0987999999999998</v>
      </c>
      <c r="H128" s="254">
        <v>4.2888999999999999</v>
      </c>
      <c r="I128" s="254">
        <v>1.673</v>
      </c>
      <c r="J128" s="254">
        <v>5.2900000000000003E-2</v>
      </c>
      <c r="K128" s="254">
        <v>1.7259</v>
      </c>
      <c r="L128" s="49"/>
      <c r="M128" s="33"/>
      <c r="N128" s="50"/>
      <c r="O128" s="73"/>
      <c r="R128" s="9"/>
      <c r="T128" s="9"/>
      <c r="U128" s="9"/>
    </row>
    <row r="129" spans="1:21" s="39" customFormat="1" ht="13.05" customHeight="1">
      <c r="A129" s="109"/>
      <c r="D129" s="254">
        <v>2.6656</v>
      </c>
      <c r="E129" s="254">
        <v>9</v>
      </c>
      <c r="F129" s="254">
        <v>0.18740000000000001</v>
      </c>
      <c r="G129" s="254">
        <v>4.2171000000000003</v>
      </c>
      <c r="H129" s="254">
        <v>4.4044999999999996</v>
      </c>
      <c r="I129" s="254">
        <v>1.6869000000000001</v>
      </c>
      <c r="J129" s="254">
        <v>5.21E-2</v>
      </c>
      <c r="K129" s="254">
        <v>1.7388999999999999</v>
      </c>
      <c r="L129" s="49"/>
      <c r="M129" s="33"/>
      <c r="N129" s="50"/>
      <c r="O129" s="73"/>
      <c r="R129" s="9"/>
      <c r="T129" s="9"/>
      <c r="U129" s="9"/>
    </row>
    <row r="130" spans="1:21" s="39" customFormat="1" ht="13.05" customHeight="1">
      <c r="A130" s="109"/>
      <c r="D130" s="254">
        <v>2.7694000000000001</v>
      </c>
      <c r="E130" s="254">
        <v>9.1999999999999993</v>
      </c>
      <c r="F130" s="254">
        <v>0.18490000000000001</v>
      </c>
      <c r="G130" s="254">
        <v>4.3362999999999996</v>
      </c>
      <c r="H130" s="254">
        <v>4.5210999999999997</v>
      </c>
      <c r="I130" s="254">
        <v>1.7004999999999999</v>
      </c>
      <c r="J130" s="254">
        <v>5.1200000000000002E-2</v>
      </c>
      <c r="K130" s="254">
        <v>1.7517</v>
      </c>
      <c r="L130" s="49"/>
      <c r="M130" s="33"/>
      <c r="N130" s="50"/>
      <c r="O130" s="73"/>
      <c r="R130" s="9"/>
      <c r="T130" s="9"/>
      <c r="U130" s="9"/>
    </row>
    <row r="131" spans="1:21" s="39" customFormat="1" ht="13.05" customHeight="1">
      <c r="A131" s="109"/>
      <c r="D131" s="254">
        <v>2.8740999999999999</v>
      </c>
      <c r="E131" s="254">
        <v>9.4</v>
      </c>
      <c r="F131" s="254">
        <v>0.18229999999999999</v>
      </c>
      <c r="G131" s="254">
        <v>4.4561000000000002</v>
      </c>
      <c r="H131" s="254">
        <v>4.6384999999999996</v>
      </c>
      <c r="I131" s="254">
        <v>1.7139</v>
      </c>
      <c r="J131" s="254">
        <v>5.04E-2</v>
      </c>
      <c r="K131" s="254">
        <v>1.7643</v>
      </c>
      <c r="L131" s="49"/>
      <c r="M131" s="33"/>
      <c r="N131" s="50"/>
      <c r="O131" s="73"/>
      <c r="R131" s="9"/>
      <c r="T131" s="9"/>
      <c r="U131" s="9"/>
    </row>
    <row r="132" spans="1:21" s="39" customFormat="1" ht="13.05" customHeight="1">
      <c r="A132" s="109"/>
      <c r="D132" s="254">
        <v>2.9801000000000002</v>
      </c>
      <c r="E132" s="254">
        <v>9.6</v>
      </c>
      <c r="F132" s="254">
        <v>0.1799</v>
      </c>
      <c r="G132" s="254">
        <v>4.577</v>
      </c>
      <c r="H132" s="254">
        <v>4.7568999999999999</v>
      </c>
      <c r="I132" s="254">
        <v>1.7271000000000001</v>
      </c>
      <c r="J132" s="254">
        <v>4.9700000000000001E-2</v>
      </c>
      <c r="K132" s="254">
        <v>1.7767999999999999</v>
      </c>
      <c r="L132" s="49"/>
      <c r="M132" s="33"/>
      <c r="N132" s="50"/>
      <c r="O132" s="73"/>
      <c r="R132" s="9"/>
      <c r="T132" s="9"/>
      <c r="U132" s="9"/>
    </row>
    <row r="133" spans="1:21" s="39" customFormat="1" ht="13.05" customHeight="1">
      <c r="A133" s="109"/>
      <c r="D133" s="254">
        <v>3.0869</v>
      </c>
      <c r="E133" s="254">
        <v>9.8000000000000007</v>
      </c>
      <c r="F133" s="254">
        <v>0.17749999999999999</v>
      </c>
      <c r="G133" s="254">
        <v>4.6985000000000001</v>
      </c>
      <c r="H133" s="254">
        <v>4.8760000000000003</v>
      </c>
      <c r="I133" s="254">
        <v>1.7402</v>
      </c>
      <c r="J133" s="254">
        <v>4.8899999999999999E-2</v>
      </c>
      <c r="K133" s="254">
        <v>1.7890999999999999</v>
      </c>
      <c r="L133" s="49"/>
      <c r="M133" s="33"/>
      <c r="N133" s="50"/>
      <c r="O133" s="73"/>
      <c r="R133" s="9"/>
      <c r="T133" s="9"/>
      <c r="U133" s="9"/>
    </row>
    <row r="134" spans="1:21" s="39" customFormat="1" ht="13.05" customHeight="1">
      <c r="A134" s="109"/>
      <c r="D134" s="254">
        <v>3.1949000000000001</v>
      </c>
      <c r="E134" s="254">
        <v>10</v>
      </c>
      <c r="F134" s="254">
        <v>0.17530000000000001</v>
      </c>
      <c r="G134" s="254">
        <v>4.8208000000000002</v>
      </c>
      <c r="H134" s="254">
        <v>4.9961000000000002</v>
      </c>
      <c r="I134" s="254">
        <v>1.7529999999999999</v>
      </c>
      <c r="J134" s="254">
        <v>4.82E-2</v>
      </c>
      <c r="K134" s="254">
        <v>1.8011999999999999</v>
      </c>
      <c r="L134" s="49"/>
      <c r="M134" s="33"/>
      <c r="N134" s="50"/>
      <c r="O134" s="73"/>
      <c r="R134" s="9"/>
      <c r="T134" s="9"/>
      <c r="U134" s="9"/>
    </row>
    <row r="135" spans="1:21" s="39" customFormat="1" ht="13.05" customHeight="1">
      <c r="A135" s="109"/>
      <c r="D135" s="254">
        <v>3.4691000000000001</v>
      </c>
      <c r="E135" s="254">
        <v>10.5</v>
      </c>
      <c r="F135" s="254">
        <v>0.1699</v>
      </c>
      <c r="G135" s="254">
        <v>5.13</v>
      </c>
      <c r="H135" s="254">
        <v>5.2999000000000001</v>
      </c>
      <c r="I135" s="254">
        <v>1.7843</v>
      </c>
      <c r="J135" s="254">
        <v>4.65E-2</v>
      </c>
      <c r="K135" s="254">
        <v>1.8309</v>
      </c>
      <c r="L135" s="49"/>
      <c r="M135" s="33"/>
      <c r="N135" s="50"/>
      <c r="R135" s="9"/>
      <c r="T135" s="9"/>
      <c r="U135" s="9"/>
    </row>
    <row r="136" spans="1:21" s="39" customFormat="1" ht="13.05" customHeight="1">
      <c r="A136" s="109"/>
      <c r="D136" s="254">
        <v>3.7490999999999999</v>
      </c>
      <c r="E136" s="254">
        <v>11</v>
      </c>
      <c r="F136" s="254">
        <v>0.16489999999999999</v>
      </c>
      <c r="G136" s="254">
        <v>5.4436999999999998</v>
      </c>
      <c r="H136" s="254">
        <v>5.6086999999999998</v>
      </c>
      <c r="I136" s="254">
        <v>1.8146</v>
      </c>
      <c r="J136" s="254">
        <v>4.4999999999999998E-2</v>
      </c>
      <c r="K136" s="254">
        <v>1.8593999999999999</v>
      </c>
      <c r="L136" s="49"/>
      <c r="M136" s="33"/>
      <c r="N136" s="50"/>
      <c r="O136" s="255"/>
      <c r="R136" s="9"/>
      <c r="T136" s="9"/>
      <c r="U136" s="9"/>
    </row>
    <row r="137" spans="1:21" s="39" customFormat="1" ht="13.05" customHeight="1">
      <c r="A137" s="109"/>
      <c r="D137" s="254">
        <v>4.0350999999999999</v>
      </c>
      <c r="E137" s="254">
        <v>11.5</v>
      </c>
      <c r="F137" s="254">
        <v>0.1603</v>
      </c>
      <c r="G137" s="254">
        <v>5.7622999999999998</v>
      </c>
      <c r="H137" s="254">
        <v>5.9226999999999999</v>
      </c>
      <c r="I137" s="254">
        <v>1.8439000000000001</v>
      </c>
      <c r="J137" s="254">
        <v>4.36E-2</v>
      </c>
      <c r="K137" s="254">
        <v>1.8875</v>
      </c>
      <c r="L137" s="49"/>
      <c r="M137" s="33"/>
      <c r="N137" s="50"/>
      <c r="O137" s="255"/>
      <c r="R137" s="9"/>
      <c r="T137" s="9"/>
      <c r="U137" s="9"/>
    </row>
    <row r="138" spans="1:21" s="39" customFormat="1" ht="13.05" customHeight="1">
      <c r="A138" s="109"/>
      <c r="D138" s="254">
        <v>4.3266999999999998</v>
      </c>
      <c r="E138" s="254">
        <v>12</v>
      </c>
      <c r="F138" s="254">
        <v>0.156</v>
      </c>
      <c r="G138" s="254">
        <v>6.0853000000000002</v>
      </c>
      <c r="H138" s="254">
        <v>6.2412999999999998</v>
      </c>
      <c r="I138" s="254">
        <v>1.8723000000000001</v>
      </c>
      <c r="J138" s="254">
        <v>4.2299999999999997E-2</v>
      </c>
      <c r="K138" s="254">
        <v>1.9146000000000001</v>
      </c>
      <c r="L138" s="49"/>
      <c r="M138" s="33"/>
      <c r="N138" s="50"/>
      <c r="O138" s="255"/>
      <c r="R138" s="9"/>
      <c r="T138" s="9"/>
      <c r="U138" s="9"/>
    </row>
    <row r="139" spans="1:21" s="39" customFormat="1" ht="13.05" customHeight="1">
      <c r="A139" s="109"/>
      <c r="D139" s="254">
        <v>4.6233000000000004</v>
      </c>
      <c r="E139" s="254">
        <v>12.5</v>
      </c>
      <c r="F139" s="254">
        <v>0.152</v>
      </c>
      <c r="G139" s="254">
        <v>6.4123999999999999</v>
      </c>
      <c r="H139" s="254">
        <v>6.5644</v>
      </c>
      <c r="I139" s="254">
        <v>1.9</v>
      </c>
      <c r="J139" s="254">
        <v>4.1099999999999998E-2</v>
      </c>
      <c r="K139" s="254">
        <v>1.9411</v>
      </c>
      <c r="L139" s="49"/>
      <c r="M139" s="33"/>
      <c r="N139" s="50"/>
      <c r="O139" s="255"/>
      <c r="R139" s="9"/>
      <c r="T139" s="9"/>
      <c r="U139" s="9"/>
    </row>
    <row r="140" spans="1:21" s="39" customFormat="1" ht="13.05" customHeight="1">
      <c r="A140" s="109"/>
      <c r="D140" s="254">
        <v>4.9252000000000002</v>
      </c>
      <c r="E140" s="254">
        <v>13</v>
      </c>
      <c r="F140" s="254">
        <v>0.1482</v>
      </c>
      <c r="G140" s="254">
        <v>6.7436999999999996</v>
      </c>
      <c r="H140" s="254">
        <v>6.8918999999999997</v>
      </c>
      <c r="I140" s="254">
        <v>1.9268000000000001</v>
      </c>
      <c r="J140" s="254">
        <v>3.9899999999999998E-2</v>
      </c>
      <c r="K140" s="254">
        <v>1.9666999999999999</v>
      </c>
      <c r="L140" s="49"/>
      <c r="M140" s="33"/>
      <c r="N140" s="50"/>
      <c r="O140" s="255"/>
      <c r="R140" s="9"/>
      <c r="T140" s="9"/>
      <c r="U140" s="9"/>
    </row>
    <row r="141" spans="1:21" s="39" customFormat="1" ht="13.05" customHeight="1">
      <c r="A141" s="109"/>
      <c r="D141" s="254">
        <v>5.2323000000000004</v>
      </c>
      <c r="E141" s="254">
        <v>13.5</v>
      </c>
      <c r="F141" s="254">
        <v>0.1447</v>
      </c>
      <c r="G141" s="254">
        <v>7.0793999999999997</v>
      </c>
      <c r="H141" s="254">
        <v>7.2241</v>
      </c>
      <c r="I141" s="254">
        <v>1.9529000000000001</v>
      </c>
      <c r="J141" s="254">
        <v>3.8899999999999997E-2</v>
      </c>
      <c r="K141" s="254">
        <v>1.9917</v>
      </c>
      <c r="L141" s="49"/>
      <c r="M141" s="33"/>
      <c r="N141" s="50"/>
      <c r="O141" s="255"/>
      <c r="R141" s="9"/>
      <c r="T141" s="9"/>
      <c r="U141" s="9"/>
    </row>
    <row r="142" spans="1:21" s="39" customFormat="1" ht="13.05" customHeight="1">
      <c r="A142" s="109"/>
      <c r="D142" s="254">
        <v>5.5423999999999998</v>
      </c>
      <c r="E142" s="254">
        <v>14</v>
      </c>
      <c r="F142" s="254">
        <v>0.14130000000000001</v>
      </c>
      <c r="G142" s="254">
        <v>7.4188999999999998</v>
      </c>
      <c r="H142" s="254">
        <v>7.5602</v>
      </c>
      <c r="I142" s="254">
        <v>1.9799</v>
      </c>
      <c r="J142" s="254">
        <v>3.7900000000000003E-2</v>
      </c>
      <c r="K142" s="254">
        <v>2.0177999999999998</v>
      </c>
      <c r="L142" s="49"/>
      <c r="M142" s="33"/>
      <c r="N142" s="50"/>
      <c r="O142" s="255"/>
      <c r="R142" s="9"/>
      <c r="T142" s="9"/>
      <c r="U142" s="9"/>
    </row>
    <row r="143" spans="1:21" s="39" customFormat="1" ht="13.05" customHeight="1">
      <c r="A143" s="109"/>
      <c r="D143" s="254">
        <v>5.8605</v>
      </c>
      <c r="E143" s="254">
        <v>14.5</v>
      </c>
      <c r="F143" s="254">
        <v>0.1381</v>
      </c>
      <c r="G143" s="254">
        <v>7.7625000000000002</v>
      </c>
      <c r="H143" s="254">
        <v>7.9005999999999998</v>
      </c>
      <c r="I143" s="254">
        <v>2.0032000000000001</v>
      </c>
      <c r="J143" s="254">
        <v>3.6900000000000002E-2</v>
      </c>
      <c r="K143" s="254">
        <v>2.0400999999999998</v>
      </c>
      <c r="L143" s="49"/>
      <c r="M143" s="33"/>
      <c r="N143" s="50"/>
      <c r="O143" s="255"/>
      <c r="R143" s="9"/>
      <c r="T143" s="9"/>
      <c r="U143" s="9"/>
    </row>
    <row r="144" spans="1:21" s="39" customFormat="1" ht="13.05" customHeight="1">
      <c r="A144" s="109"/>
      <c r="D144" s="254">
        <v>6.1813000000000002</v>
      </c>
      <c r="E144" s="254">
        <v>15</v>
      </c>
      <c r="F144" s="254">
        <v>0.1351</v>
      </c>
      <c r="G144" s="254">
        <v>8.1096000000000004</v>
      </c>
      <c r="H144" s="254">
        <v>8.2446999999999999</v>
      </c>
      <c r="I144" s="254">
        <v>2.0274000000000001</v>
      </c>
      <c r="J144" s="254">
        <v>3.61E-2</v>
      </c>
      <c r="K144" s="254">
        <v>2.0634999999999999</v>
      </c>
      <c r="L144" s="49"/>
      <c r="M144" s="33"/>
      <c r="N144" s="50"/>
      <c r="O144" s="255"/>
      <c r="R144" s="9"/>
      <c r="T144" s="9"/>
      <c r="U144" s="9"/>
    </row>
    <row r="145" spans="1:21" s="39" customFormat="1" ht="13.05" customHeight="1">
      <c r="A145" s="109"/>
      <c r="D145" s="254">
        <v>6.6505999999999998</v>
      </c>
      <c r="E145" s="254">
        <v>15.5</v>
      </c>
      <c r="F145" s="254">
        <v>0.1323</v>
      </c>
      <c r="G145" s="254">
        <v>8.4604999999999997</v>
      </c>
      <c r="H145" s="254">
        <v>8.5929000000000002</v>
      </c>
      <c r="I145" s="254">
        <v>2.0510999999999999</v>
      </c>
      <c r="J145" s="254">
        <v>3.5200000000000002E-2</v>
      </c>
      <c r="K145" s="254">
        <v>2.0863</v>
      </c>
      <c r="L145" s="49"/>
      <c r="M145" s="33"/>
      <c r="N145" s="50"/>
      <c r="O145" s="255"/>
      <c r="R145" s="9"/>
      <c r="T145" s="9"/>
      <c r="U145" s="9"/>
    </row>
    <row r="146" spans="1:21" s="39" customFormat="1" ht="13.05" customHeight="1">
      <c r="A146" s="109"/>
      <c r="D146" s="254">
        <v>6.8362999999999996</v>
      </c>
      <c r="E146" s="254">
        <v>16</v>
      </c>
      <c r="F146" s="254">
        <v>0.12970000000000001</v>
      </c>
      <c r="G146" s="254">
        <v>8.8153000000000006</v>
      </c>
      <c r="H146" s="254">
        <v>8.9450000000000003</v>
      </c>
      <c r="I146" s="254">
        <v>2.0741999999999998</v>
      </c>
      <c r="J146" s="254">
        <v>3.4500000000000003E-2</v>
      </c>
      <c r="K146" s="254">
        <v>2.1086999999999998</v>
      </c>
      <c r="L146" s="49"/>
      <c r="M146" s="33"/>
      <c r="N146" s="50"/>
      <c r="O146" s="73"/>
      <c r="R146" s="9"/>
      <c r="T146" s="9"/>
      <c r="U146" s="9"/>
    </row>
    <row r="147" spans="1:21" s="39" customFormat="1" ht="13.05" customHeight="1">
      <c r="A147" s="109"/>
      <c r="D147" s="254">
        <v>7.1702000000000004</v>
      </c>
      <c r="E147" s="254">
        <v>16.5</v>
      </c>
      <c r="F147" s="254">
        <v>0.12709999999999999</v>
      </c>
      <c r="G147" s="254">
        <v>9.1736000000000004</v>
      </c>
      <c r="H147" s="254">
        <v>9.3007000000000009</v>
      </c>
      <c r="I147" s="254">
        <v>2.0968</v>
      </c>
      <c r="J147" s="254">
        <v>3.3700000000000001E-2</v>
      </c>
      <c r="K147" s="254">
        <v>2.1305000000000001</v>
      </c>
      <c r="L147" s="49"/>
      <c r="M147" s="33"/>
      <c r="N147" s="50"/>
      <c r="O147" s="73"/>
      <c r="R147" s="9"/>
      <c r="T147" s="9"/>
      <c r="U147" s="9"/>
    </row>
    <row r="148" spans="1:21" s="39" customFormat="1" ht="13.05" customHeight="1">
      <c r="A148" s="109"/>
      <c r="D148" s="254">
        <v>7.5080999999999998</v>
      </c>
      <c r="E148" s="254">
        <v>17</v>
      </c>
      <c r="F148" s="254">
        <v>0.12470000000000001</v>
      </c>
      <c r="G148" s="254">
        <v>9.5353999999999992</v>
      </c>
      <c r="H148" s="254">
        <v>9.6600999999999999</v>
      </c>
      <c r="I148" s="254">
        <v>2.1190000000000002</v>
      </c>
      <c r="J148" s="254">
        <v>3.3000000000000002E-2</v>
      </c>
      <c r="K148" s="254">
        <v>2.1520000000000001</v>
      </c>
      <c r="L148" s="49"/>
      <c r="M148" s="33"/>
      <c r="N148" s="50"/>
      <c r="O148" s="73"/>
      <c r="R148" s="9"/>
      <c r="T148" s="9"/>
      <c r="U148" s="9"/>
    </row>
    <row r="149" spans="1:21" s="39" customFormat="1" ht="13.05" customHeight="1">
      <c r="A149" s="109"/>
      <c r="D149" s="254">
        <v>7.8498000000000001</v>
      </c>
      <c r="E149" s="254">
        <v>17.5</v>
      </c>
      <c r="F149" s="254">
        <v>0.12230000000000001</v>
      </c>
      <c r="G149" s="254">
        <v>9.9004999999999992</v>
      </c>
      <c r="H149" s="254">
        <v>10.0229</v>
      </c>
      <c r="I149" s="254">
        <v>2.1406999999999998</v>
      </c>
      <c r="J149" s="254">
        <v>3.2300000000000002E-2</v>
      </c>
      <c r="K149" s="254">
        <v>2.1730999999999998</v>
      </c>
      <c r="L149" s="49"/>
      <c r="M149" s="33"/>
      <c r="N149" s="50"/>
      <c r="O149" s="73"/>
      <c r="P149" s="94"/>
      <c r="Q149" s="94"/>
      <c r="R149" s="9"/>
      <c r="T149" s="9"/>
      <c r="U149" s="9"/>
    </row>
    <row r="150" spans="1:21" s="39" customFormat="1" ht="13.05" customHeight="1">
      <c r="A150" s="109"/>
      <c r="D150" s="254">
        <v>8.1958000000000002</v>
      </c>
      <c r="E150" s="254">
        <v>18</v>
      </c>
      <c r="F150" s="254">
        <v>0.1201</v>
      </c>
      <c r="G150" s="254">
        <v>10.269299999999999</v>
      </c>
      <c r="H150" s="254">
        <v>10.3894</v>
      </c>
      <c r="I150" s="254">
        <v>2.1619000000000002</v>
      </c>
      <c r="J150" s="254">
        <v>3.1699999999999999E-2</v>
      </c>
      <c r="K150" s="254">
        <v>2.1936</v>
      </c>
      <c r="L150" s="49"/>
      <c r="M150" s="33"/>
      <c r="N150" s="50"/>
      <c r="O150" s="73"/>
      <c r="P150" s="94"/>
      <c r="Q150" s="94"/>
      <c r="R150" s="9"/>
      <c r="T150" s="9"/>
      <c r="U150" s="9"/>
    </row>
    <row r="151" spans="1:21" s="39" customFormat="1" ht="13.05" customHeight="1">
      <c r="A151" s="109"/>
      <c r="D151" s="254">
        <v>8.5437999999999992</v>
      </c>
      <c r="E151" s="254">
        <v>18.5</v>
      </c>
      <c r="F151" s="254">
        <v>0.11799999999999999</v>
      </c>
      <c r="G151" s="254">
        <v>10.6395</v>
      </c>
      <c r="H151" s="254">
        <v>10.7575</v>
      </c>
      <c r="I151" s="254">
        <v>2.1829999999999998</v>
      </c>
      <c r="J151" s="254">
        <v>3.1099999999999999E-2</v>
      </c>
      <c r="K151" s="254">
        <v>2.2141000000000002</v>
      </c>
      <c r="L151" s="49"/>
      <c r="M151" s="33"/>
      <c r="N151" s="50"/>
      <c r="O151" s="73"/>
      <c r="R151" s="9"/>
      <c r="T151" s="9"/>
      <c r="U151" s="9"/>
    </row>
    <row r="152" spans="1:21" s="39" customFormat="1" ht="13.05" customHeight="1">
      <c r="A152" s="109"/>
      <c r="D152" s="254">
        <v>8.8085000000000004</v>
      </c>
      <c r="E152" s="254">
        <v>19</v>
      </c>
      <c r="F152" s="254">
        <v>0.1159</v>
      </c>
      <c r="G152" s="254">
        <v>11.016400000000001</v>
      </c>
      <c r="H152" s="254">
        <v>11.129</v>
      </c>
      <c r="I152" s="254">
        <v>2.2033</v>
      </c>
      <c r="J152" s="254">
        <v>3.0499999999999999E-2</v>
      </c>
      <c r="K152" s="254">
        <v>2.2339000000000002</v>
      </c>
      <c r="L152" s="49"/>
      <c r="M152" s="33"/>
      <c r="N152" s="50"/>
      <c r="O152" s="73"/>
      <c r="R152" s="9"/>
      <c r="T152" s="9"/>
      <c r="U152" s="9"/>
    </row>
    <row r="153" spans="1:21" s="39" customFormat="1" ht="13.05" customHeight="1">
      <c r="A153" s="109"/>
      <c r="D153" s="254">
        <v>9.2556999999999992</v>
      </c>
      <c r="E153" s="254">
        <v>19.5</v>
      </c>
      <c r="F153" s="254">
        <v>0.114</v>
      </c>
      <c r="G153" s="254">
        <v>11.395099999999999</v>
      </c>
      <c r="H153" s="254">
        <v>11.5091</v>
      </c>
      <c r="I153" s="254">
        <v>2.2233999999999998</v>
      </c>
      <c r="J153" s="254">
        <v>0.03</v>
      </c>
      <c r="K153" s="254">
        <v>2.2534000000000001</v>
      </c>
      <c r="L153" s="49"/>
      <c r="M153" s="33"/>
      <c r="N153" s="50"/>
      <c r="O153" s="73"/>
      <c r="R153" s="9"/>
      <c r="T153" s="9"/>
      <c r="U153" s="9"/>
    </row>
    <row r="154" spans="1:21" s="39" customFormat="1" ht="13.05" customHeight="1">
      <c r="A154" s="109"/>
      <c r="D154" s="254">
        <v>9.6159999999999997</v>
      </c>
      <c r="E154" s="254">
        <v>20</v>
      </c>
      <c r="F154" s="254">
        <v>0.11219999999999999</v>
      </c>
      <c r="G154" s="254">
        <v>11.765000000000001</v>
      </c>
      <c r="H154" s="254">
        <v>11.8887</v>
      </c>
      <c r="I154" s="254">
        <v>2.2431999999999999</v>
      </c>
      <c r="J154" s="254">
        <v>2.9499999999999998E-2</v>
      </c>
      <c r="K154" s="254">
        <v>2.2726999999999999</v>
      </c>
      <c r="L154" s="49"/>
      <c r="M154" s="33"/>
      <c r="N154" s="50"/>
      <c r="O154" s="73"/>
      <c r="R154" s="9"/>
      <c r="T154" s="9"/>
      <c r="U154" s="9"/>
    </row>
    <row r="155" spans="1:21">
      <c r="A155" s="10"/>
      <c r="N155" s="247"/>
    </row>
    <row r="156" spans="1:21">
      <c r="A156" s="232"/>
      <c r="B156" s="234"/>
      <c r="C156" s="234"/>
      <c r="D156" s="256"/>
      <c r="E156" s="256"/>
      <c r="F156" s="256"/>
      <c r="G156" s="256"/>
      <c r="H156" s="256"/>
      <c r="I156" s="256"/>
      <c r="J156" s="256"/>
      <c r="K156" s="256"/>
      <c r="L156" s="238"/>
      <c r="M156" s="234"/>
      <c r="N156" s="239"/>
    </row>
  </sheetData>
  <mergeCells count="26">
    <mergeCell ref="L1:N3"/>
    <mergeCell ref="A2:H2"/>
    <mergeCell ref="A3:H3"/>
    <mergeCell ref="A1:H1"/>
    <mergeCell ref="J1:K1"/>
    <mergeCell ref="B18:E18"/>
    <mergeCell ref="B19:E19"/>
    <mergeCell ref="A4:H5"/>
    <mergeCell ref="J2:K2"/>
    <mergeCell ref="J3:K3"/>
    <mergeCell ref="B20:E20"/>
    <mergeCell ref="L4:N4"/>
    <mergeCell ref="H72:K72"/>
    <mergeCell ref="B13:E13"/>
    <mergeCell ref="B14:E14"/>
    <mergeCell ref="B15:E15"/>
    <mergeCell ref="B29:E29"/>
    <mergeCell ref="B30:E30"/>
    <mergeCell ref="B21:E21"/>
    <mergeCell ref="B24:E24"/>
    <mergeCell ref="B25:E25"/>
    <mergeCell ref="B26:E26"/>
    <mergeCell ref="B27:E27"/>
    <mergeCell ref="B28:E28"/>
    <mergeCell ref="B16:E16"/>
    <mergeCell ref="B17:E17"/>
  </mergeCells>
  <dataValidations disablePrompts="1" count="1">
    <dataValidation type="textLength" allowBlank="1" showInputMessage="1" showErrorMessage="1" sqref="N94:N109 M97:M109 M115:M130 N112:N151 M146:M151" xr:uid="{DEDCD87E-5AF7-45A2-9DED-ED60B1643481}">
      <formula1>0</formula1>
      <formula2>31</formula2>
    </dataValidation>
  </dataValidations>
  <pageMargins left="0.51181102362204722" right="0.31496062992125984" top="0.59055118110236227" bottom="0.35433070866141736" header="0" footer="0"/>
  <pageSetup paperSize="9" scale="80" fitToHeight="0" orientation="portrait" r:id="rId1"/>
  <headerFooter alignWithMargins="0"/>
  <rowBreaks count="2" manualBreakCount="2">
    <brk id="48" max="13" man="1"/>
    <brk id="91" max="1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0BD57-B76D-44E1-B651-8A6B43F422F9}">
  <sheetPr codeName="Sheet3"/>
  <dimension ref="A1:AB47"/>
  <sheetViews>
    <sheetView showGridLines="0" view="pageBreakPreview" topLeftCell="A11" zoomScale="85" zoomScaleNormal="100" zoomScaleSheetLayoutView="100" workbookViewId="0">
      <selection activeCell="B5" sqref="B5:G6"/>
    </sheetView>
  </sheetViews>
  <sheetFormatPr defaultRowHeight="13.2"/>
  <cols>
    <col min="1" max="1" width="7.6640625" style="9" customWidth="1"/>
    <col min="2" max="2" width="3.44140625" style="9" customWidth="1"/>
    <col min="3" max="3" width="6.5546875" style="9" customWidth="1"/>
    <col min="4" max="4" width="5.21875" style="9" customWidth="1"/>
    <col min="5" max="6" width="10.6640625" style="9" customWidth="1"/>
    <col min="7" max="7" width="11.21875" style="9" customWidth="1"/>
    <col min="8" max="8" width="12.21875" style="9" customWidth="1"/>
    <col min="9" max="11" width="10.5546875" style="9" customWidth="1"/>
    <col min="12" max="12" width="10" style="9" customWidth="1"/>
    <col min="13" max="13" width="6.21875" style="9" customWidth="1"/>
    <col min="14" max="14" width="4.44140625" style="9" customWidth="1"/>
    <col min="15" max="15" width="4.77734375" style="9" customWidth="1"/>
    <col min="16" max="16" width="10.44140625" style="9" customWidth="1"/>
    <col min="17" max="17" width="8.88671875" style="9"/>
    <col min="18" max="19" width="8.88671875" style="90"/>
    <col min="20" max="255" width="8.88671875" style="9"/>
    <col min="256" max="256" width="7.6640625" style="9" customWidth="1"/>
    <col min="257" max="257" width="3.44140625" style="9" customWidth="1"/>
    <col min="258" max="258" width="6.5546875" style="9" customWidth="1"/>
    <col min="259" max="259" width="5.21875" style="9" customWidth="1"/>
    <col min="260" max="261" width="10.6640625" style="9" customWidth="1"/>
    <col min="262" max="262" width="11.21875" style="9" customWidth="1"/>
    <col min="263" max="263" width="12.21875" style="9" customWidth="1"/>
    <col min="264" max="265" width="5.44140625" style="9" customWidth="1"/>
    <col min="266" max="266" width="8" style="9" customWidth="1"/>
    <col min="267" max="267" width="9.5546875" style="9" customWidth="1"/>
    <col min="268" max="268" width="10" style="9" customWidth="1"/>
    <col min="269" max="269" width="6.21875" style="9" customWidth="1"/>
    <col min="270" max="270" width="4.44140625" style="9" customWidth="1"/>
    <col min="271" max="271" width="4.77734375" style="9" customWidth="1"/>
    <col min="272" max="272" width="10.44140625" style="9" customWidth="1"/>
    <col min="273" max="511" width="8.88671875" style="9"/>
    <col min="512" max="512" width="7.6640625" style="9" customWidth="1"/>
    <col min="513" max="513" width="3.44140625" style="9" customWidth="1"/>
    <col min="514" max="514" width="6.5546875" style="9" customWidth="1"/>
    <col min="515" max="515" width="5.21875" style="9" customWidth="1"/>
    <col min="516" max="517" width="10.6640625" style="9" customWidth="1"/>
    <col min="518" max="518" width="11.21875" style="9" customWidth="1"/>
    <col min="519" max="519" width="12.21875" style="9" customWidth="1"/>
    <col min="520" max="521" width="5.44140625" style="9" customWidth="1"/>
    <col min="522" max="522" width="8" style="9" customWidth="1"/>
    <col min="523" max="523" width="9.5546875" style="9" customWidth="1"/>
    <col min="524" max="524" width="10" style="9" customWidth="1"/>
    <col min="525" max="525" width="6.21875" style="9" customWidth="1"/>
    <col min="526" max="526" width="4.44140625" style="9" customWidth="1"/>
    <col min="527" max="527" width="4.77734375" style="9" customWidth="1"/>
    <col min="528" max="528" width="10.44140625" style="9" customWidth="1"/>
    <col min="529" max="767" width="8.88671875" style="9"/>
    <col min="768" max="768" width="7.6640625" style="9" customWidth="1"/>
    <col min="769" max="769" width="3.44140625" style="9" customWidth="1"/>
    <col min="770" max="770" width="6.5546875" style="9" customWidth="1"/>
    <col min="771" max="771" width="5.21875" style="9" customWidth="1"/>
    <col min="772" max="773" width="10.6640625" style="9" customWidth="1"/>
    <col min="774" max="774" width="11.21875" style="9" customWidth="1"/>
    <col min="775" max="775" width="12.21875" style="9" customWidth="1"/>
    <col min="776" max="777" width="5.44140625" style="9" customWidth="1"/>
    <col min="778" max="778" width="8" style="9" customWidth="1"/>
    <col min="779" max="779" width="9.5546875" style="9" customWidth="1"/>
    <col min="780" max="780" width="10" style="9" customWidth="1"/>
    <col min="781" max="781" width="6.21875" style="9" customWidth="1"/>
    <col min="782" max="782" width="4.44140625" style="9" customWidth="1"/>
    <col min="783" max="783" width="4.77734375" style="9" customWidth="1"/>
    <col min="784" max="784" width="10.44140625" style="9" customWidth="1"/>
    <col min="785" max="1023" width="8.88671875" style="9"/>
    <col min="1024" max="1024" width="7.6640625" style="9" customWidth="1"/>
    <col min="1025" max="1025" width="3.44140625" style="9" customWidth="1"/>
    <col min="1026" max="1026" width="6.5546875" style="9" customWidth="1"/>
    <col min="1027" max="1027" width="5.21875" style="9" customWidth="1"/>
    <col min="1028" max="1029" width="10.6640625" style="9" customWidth="1"/>
    <col min="1030" max="1030" width="11.21875" style="9" customWidth="1"/>
    <col min="1031" max="1031" width="12.21875" style="9" customWidth="1"/>
    <col min="1032" max="1033" width="5.44140625" style="9" customWidth="1"/>
    <col min="1034" max="1034" width="8" style="9" customWidth="1"/>
    <col min="1035" max="1035" width="9.5546875" style="9" customWidth="1"/>
    <col min="1036" max="1036" width="10" style="9" customWidth="1"/>
    <col min="1037" max="1037" width="6.21875" style="9" customWidth="1"/>
    <col min="1038" max="1038" width="4.44140625" style="9" customWidth="1"/>
    <col min="1039" max="1039" width="4.77734375" style="9" customWidth="1"/>
    <col min="1040" max="1040" width="10.44140625" style="9" customWidth="1"/>
    <col min="1041" max="1279" width="8.88671875" style="9"/>
    <col min="1280" max="1280" width="7.6640625" style="9" customWidth="1"/>
    <col min="1281" max="1281" width="3.44140625" style="9" customWidth="1"/>
    <col min="1282" max="1282" width="6.5546875" style="9" customWidth="1"/>
    <col min="1283" max="1283" width="5.21875" style="9" customWidth="1"/>
    <col min="1284" max="1285" width="10.6640625" style="9" customWidth="1"/>
    <col min="1286" max="1286" width="11.21875" style="9" customWidth="1"/>
    <col min="1287" max="1287" width="12.21875" style="9" customWidth="1"/>
    <col min="1288" max="1289" width="5.44140625" style="9" customWidth="1"/>
    <col min="1290" max="1290" width="8" style="9" customWidth="1"/>
    <col min="1291" max="1291" width="9.5546875" style="9" customWidth="1"/>
    <col min="1292" max="1292" width="10" style="9" customWidth="1"/>
    <col min="1293" max="1293" width="6.21875" style="9" customWidth="1"/>
    <col min="1294" max="1294" width="4.44140625" style="9" customWidth="1"/>
    <col min="1295" max="1295" width="4.77734375" style="9" customWidth="1"/>
    <col min="1296" max="1296" width="10.44140625" style="9" customWidth="1"/>
    <col min="1297" max="1535" width="8.88671875" style="9"/>
    <col min="1536" max="1536" width="7.6640625" style="9" customWidth="1"/>
    <col min="1537" max="1537" width="3.44140625" style="9" customWidth="1"/>
    <col min="1538" max="1538" width="6.5546875" style="9" customWidth="1"/>
    <col min="1539" max="1539" width="5.21875" style="9" customWidth="1"/>
    <col min="1540" max="1541" width="10.6640625" style="9" customWidth="1"/>
    <col min="1542" max="1542" width="11.21875" style="9" customWidth="1"/>
    <col min="1543" max="1543" width="12.21875" style="9" customWidth="1"/>
    <col min="1544" max="1545" width="5.44140625" style="9" customWidth="1"/>
    <col min="1546" max="1546" width="8" style="9" customWidth="1"/>
    <col min="1547" max="1547" width="9.5546875" style="9" customWidth="1"/>
    <col min="1548" max="1548" width="10" style="9" customWidth="1"/>
    <col min="1549" max="1549" width="6.21875" style="9" customWidth="1"/>
    <col min="1550" max="1550" width="4.44140625" style="9" customWidth="1"/>
    <col min="1551" max="1551" width="4.77734375" style="9" customWidth="1"/>
    <col min="1552" max="1552" width="10.44140625" style="9" customWidth="1"/>
    <col min="1553" max="1791" width="8.88671875" style="9"/>
    <col min="1792" max="1792" width="7.6640625" style="9" customWidth="1"/>
    <col min="1793" max="1793" width="3.44140625" style="9" customWidth="1"/>
    <col min="1794" max="1794" width="6.5546875" style="9" customWidth="1"/>
    <col min="1795" max="1795" width="5.21875" style="9" customWidth="1"/>
    <col min="1796" max="1797" width="10.6640625" style="9" customWidth="1"/>
    <col min="1798" max="1798" width="11.21875" style="9" customWidth="1"/>
    <col min="1799" max="1799" width="12.21875" style="9" customWidth="1"/>
    <col min="1800" max="1801" width="5.44140625" style="9" customWidth="1"/>
    <col min="1802" max="1802" width="8" style="9" customWidth="1"/>
    <col min="1803" max="1803" width="9.5546875" style="9" customWidth="1"/>
    <col min="1804" max="1804" width="10" style="9" customWidth="1"/>
    <col min="1805" max="1805" width="6.21875" style="9" customWidth="1"/>
    <col min="1806" max="1806" width="4.44140625" style="9" customWidth="1"/>
    <col min="1807" max="1807" width="4.77734375" style="9" customWidth="1"/>
    <col min="1808" max="1808" width="10.44140625" style="9" customWidth="1"/>
    <col min="1809" max="2047" width="8.88671875" style="9"/>
    <col min="2048" max="2048" width="7.6640625" style="9" customWidth="1"/>
    <col min="2049" max="2049" width="3.44140625" style="9" customWidth="1"/>
    <col min="2050" max="2050" width="6.5546875" style="9" customWidth="1"/>
    <col min="2051" max="2051" width="5.21875" style="9" customWidth="1"/>
    <col min="2052" max="2053" width="10.6640625" style="9" customWidth="1"/>
    <col min="2054" max="2054" width="11.21875" style="9" customWidth="1"/>
    <col min="2055" max="2055" width="12.21875" style="9" customWidth="1"/>
    <col min="2056" max="2057" width="5.44140625" style="9" customWidth="1"/>
    <col min="2058" max="2058" width="8" style="9" customWidth="1"/>
    <col min="2059" max="2059" width="9.5546875" style="9" customWidth="1"/>
    <col min="2060" max="2060" width="10" style="9" customWidth="1"/>
    <col min="2061" max="2061" width="6.21875" style="9" customWidth="1"/>
    <col min="2062" max="2062" width="4.44140625" style="9" customWidth="1"/>
    <col min="2063" max="2063" width="4.77734375" style="9" customWidth="1"/>
    <col min="2064" max="2064" width="10.44140625" style="9" customWidth="1"/>
    <col min="2065" max="2303" width="8.88671875" style="9"/>
    <col min="2304" max="2304" width="7.6640625" style="9" customWidth="1"/>
    <col min="2305" max="2305" width="3.44140625" style="9" customWidth="1"/>
    <col min="2306" max="2306" width="6.5546875" style="9" customWidth="1"/>
    <col min="2307" max="2307" width="5.21875" style="9" customWidth="1"/>
    <col min="2308" max="2309" width="10.6640625" style="9" customWidth="1"/>
    <col min="2310" max="2310" width="11.21875" style="9" customWidth="1"/>
    <col min="2311" max="2311" width="12.21875" style="9" customWidth="1"/>
    <col min="2312" max="2313" width="5.44140625" style="9" customWidth="1"/>
    <col min="2314" max="2314" width="8" style="9" customWidth="1"/>
    <col min="2315" max="2315" width="9.5546875" style="9" customWidth="1"/>
    <col min="2316" max="2316" width="10" style="9" customWidth="1"/>
    <col min="2317" max="2317" width="6.21875" style="9" customWidth="1"/>
    <col min="2318" max="2318" width="4.44140625" style="9" customWidth="1"/>
    <col min="2319" max="2319" width="4.77734375" style="9" customWidth="1"/>
    <col min="2320" max="2320" width="10.44140625" style="9" customWidth="1"/>
    <col min="2321" max="2559" width="8.88671875" style="9"/>
    <col min="2560" max="2560" width="7.6640625" style="9" customWidth="1"/>
    <col min="2561" max="2561" width="3.44140625" style="9" customWidth="1"/>
    <col min="2562" max="2562" width="6.5546875" style="9" customWidth="1"/>
    <col min="2563" max="2563" width="5.21875" style="9" customWidth="1"/>
    <col min="2564" max="2565" width="10.6640625" style="9" customWidth="1"/>
    <col min="2566" max="2566" width="11.21875" style="9" customWidth="1"/>
    <col min="2567" max="2567" width="12.21875" style="9" customWidth="1"/>
    <col min="2568" max="2569" width="5.44140625" style="9" customWidth="1"/>
    <col min="2570" max="2570" width="8" style="9" customWidth="1"/>
    <col min="2571" max="2571" width="9.5546875" style="9" customWidth="1"/>
    <col min="2572" max="2572" width="10" style="9" customWidth="1"/>
    <col min="2573" max="2573" width="6.21875" style="9" customWidth="1"/>
    <col min="2574" max="2574" width="4.44140625" style="9" customWidth="1"/>
    <col min="2575" max="2575" width="4.77734375" style="9" customWidth="1"/>
    <col min="2576" max="2576" width="10.44140625" style="9" customWidth="1"/>
    <col min="2577" max="2815" width="8.88671875" style="9"/>
    <col min="2816" max="2816" width="7.6640625" style="9" customWidth="1"/>
    <col min="2817" max="2817" width="3.44140625" style="9" customWidth="1"/>
    <col min="2818" max="2818" width="6.5546875" style="9" customWidth="1"/>
    <col min="2819" max="2819" width="5.21875" style="9" customWidth="1"/>
    <col min="2820" max="2821" width="10.6640625" style="9" customWidth="1"/>
    <col min="2822" max="2822" width="11.21875" style="9" customWidth="1"/>
    <col min="2823" max="2823" width="12.21875" style="9" customWidth="1"/>
    <col min="2824" max="2825" width="5.44140625" style="9" customWidth="1"/>
    <col min="2826" max="2826" width="8" style="9" customWidth="1"/>
    <col min="2827" max="2827" width="9.5546875" style="9" customWidth="1"/>
    <col min="2828" max="2828" width="10" style="9" customWidth="1"/>
    <col min="2829" max="2829" width="6.21875" style="9" customWidth="1"/>
    <col min="2830" max="2830" width="4.44140625" style="9" customWidth="1"/>
    <col min="2831" max="2831" width="4.77734375" style="9" customWidth="1"/>
    <col min="2832" max="2832" width="10.44140625" style="9" customWidth="1"/>
    <col min="2833" max="3071" width="8.88671875" style="9"/>
    <col min="3072" max="3072" width="7.6640625" style="9" customWidth="1"/>
    <col min="3073" max="3073" width="3.44140625" style="9" customWidth="1"/>
    <col min="3074" max="3074" width="6.5546875" style="9" customWidth="1"/>
    <col min="3075" max="3075" width="5.21875" style="9" customWidth="1"/>
    <col min="3076" max="3077" width="10.6640625" style="9" customWidth="1"/>
    <col min="3078" max="3078" width="11.21875" style="9" customWidth="1"/>
    <col min="3079" max="3079" width="12.21875" style="9" customWidth="1"/>
    <col min="3080" max="3081" width="5.44140625" style="9" customWidth="1"/>
    <col min="3082" max="3082" width="8" style="9" customWidth="1"/>
    <col min="3083" max="3083" width="9.5546875" style="9" customWidth="1"/>
    <col min="3084" max="3084" width="10" style="9" customWidth="1"/>
    <col min="3085" max="3085" width="6.21875" style="9" customWidth="1"/>
    <col min="3086" max="3086" width="4.44140625" style="9" customWidth="1"/>
    <col min="3087" max="3087" width="4.77734375" style="9" customWidth="1"/>
    <col min="3088" max="3088" width="10.44140625" style="9" customWidth="1"/>
    <col min="3089" max="3327" width="8.88671875" style="9"/>
    <col min="3328" max="3328" width="7.6640625" style="9" customWidth="1"/>
    <col min="3329" max="3329" width="3.44140625" style="9" customWidth="1"/>
    <col min="3330" max="3330" width="6.5546875" style="9" customWidth="1"/>
    <col min="3331" max="3331" width="5.21875" style="9" customWidth="1"/>
    <col min="3332" max="3333" width="10.6640625" style="9" customWidth="1"/>
    <col min="3334" max="3334" width="11.21875" style="9" customWidth="1"/>
    <col min="3335" max="3335" width="12.21875" style="9" customWidth="1"/>
    <col min="3336" max="3337" width="5.44140625" style="9" customWidth="1"/>
    <col min="3338" max="3338" width="8" style="9" customWidth="1"/>
    <col min="3339" max="3339" width="9.5546875" style="9" customWidth="1"/>
    <col min="3340" max="3340" width="10" style="9" customWidth="1"/>
    <col min="3341" max="3341" width="6.21875" style="9" customWidth="1"/>
    <col min="3342" max="3342" width="4.44140625" style="9" customWidth="1"/>
    <col min="3343" max="3343" width="4.77734375" style="9" customWidth="1"/>
    <col min="3344" max="3344" width="10.44140625" style="9" customWidth="1"/>
    <col min="3345" max="3583" width="8.88671875" style="9"/>
    <col min="3584" max="3584" width="7.6640625" style="9" customWidth="1"/>
    <col min="3585" max="3585" width="3.44140625" style="9" customWidth="1"/>
    <col min="3586" max="3586" width="6.5546875" style="9" customWidth="1"/>
    <col min="3587" max="3587" width="5.21875" style="9" customWidth="1"/>
    <col min="3588" max="3589" width="10.6640625" style="9" customWidth="1"/>
    <col min="3590" max="3590" width="11.21875" style="9" customWidth="1"/>
    <col min="3591" max="3591" width="12.21875" style="9" customWidth="1"/>
    <col min="3592" max="3593" width="5.44140625" style="9" customWidth="1"/>
    <col min="3594" max="3594" width="8" style="9" customWidth="1"/>
    <col min="3595" max="3595" width="9.5546875" style="9" customWidth="1"/>
    <col min="3596" max="3596" width="10" style="9" customWidth="1"/>
    <col min="3597" max="3597" width="6.21875" style="9" customWidth="1"/>
    <col min="3598" max="3598" width="4.44140625" style="9" customWidth="1"/>
    <col min="3599" max="3599" width="4.77734375" style="9" customWidth="1"/>
    <col min="3600" max="3600" width="10.44140625" style="9" customWidth="1"/>
    <col min="3601" max="3839" width="8.88671875" style="9"/>
    <col min="3840" max="3840" width="7.6640625" style="9" customWidth="1"/>
    <col min="3841" max="3841" width="3.44140625" style="9" customWidth="1"/>
    <col min="3842" max="3842" width="6.5546875" style="9" customWidth="1"/>
    <col min="3843" max="3843" width="5.21875" style="9" customWidth="1"/>
    <col min="3844" max="3845" width="10.6640625" style="9" customWidth="1"/>
    <col min="3846" max="3846" width="11.21875" style="9" customWidth="1"/>
    <col min="3847" max="3847" width="12.21875" style="9" customWidth="1"/>
    <col min="3848" max="3849" width="5.44140625" style="9" customWidth="1"/>
    <col min="3850" max="3850" width="8" style="9" customWidth="1"/>
    <col min="3851" max="3851" width="9.5546875" style="9" customWidth="1"/>
    <col min="3852" max="3852" width="10" style="9" customWidth="1"/>
    <col min="3853" max="3853" width="6.21875" style="9" customWidth="1"/>
    <col min="3854" max="3854" width="4.44140625" style="9" customWidth="1"/>
    <col min="3855" max="3855" width="4.77734375" style="9" customWidth="1"/>
    <col min="3856" max="3856" width="10.44140625" style="9" customWidth="1"/>
    <col min="3857" max="4095" width="8.88671875" style="9"/>
    <col min="4096" max="4096" width="7.6640625" style="9" customWidth="1"/>
    <col min="4097" max="4097" width="3.44140625" style="9" customWidth="1"/>
    <col min="4098" max="4098" width="6.5546875" style="9" customWidth="1"/>
    <col min="4099" max="4099" width="5.21875" style="9" customWidth="1"/>
    <col min="4100" max="4101" width="10.6640625" style="9" customWidth="1"/>
    <col min="4102" max="4102" width="11.21875" style="9" customWidth="1"/>
    <col min="4103" max="4103" width="12.21875" style="9" customWidth="1"/>
    <col min="4104" max="4105" width="5.44140625" style="9" customWidth="1"/>
    <col min="4106" max="4106" width="8" style="9" customWidth="1"/>
    <col min="4107" max="4107" width="9.5546875" style="9" customWidth="1"/>
    <col min="4108" max="4108" width="10" style="9" customWidth="1"/>
    <col min="4109" max="4109" width="6.21875" style="9" customWidth="1"/>
    <col min="4110" max="4110" width="4.44140625" style="9" customWidth="1"/>
    <col min="4111" max="4111" width="4.77734375" style="9" customWidth="1"/>
    <col min="4112" max="4112" width="10.44140625" style="9" customWidth="1"/>
    <col min="4113" max="4351" width="8.88671875" style="9"/>
    <col min="4352" max="4352" width="7.6640625" style="9" customWidth="1"/>
    <col min="4353" max="4353" width="3.44140625" style="9" customWidth="1"/>
    <col min="4354" max="4354" width="6.5546875" style="9" customWidth="1"/>
    <col min="4355" max="4355" width="5.21875" style="9" customWidth="1"/>
    <col min="4356" max="4357" width="10.6640625" style="9" customWidth="1"/>
    <col min="4358" max="4358" width="11.21875" style="9" customWidth="1"/>
    <col min="4359" max="4359" width="12.21875" style="9" customWidth="1"/>
    <col min="4360" max="4361" width="5.44140625" style="9" customWidth="1"/>
    <col min="4362" max="4362" width="8" style="9" customWidth="1"/>
    <col min="4363" max="4363" width="9.5546875" style="9" customWidth="1"/>
    <col min="4364" max="4364" width="10" style="9" customWidth="1"/>
    <col min="4365" max="4365" width="6.21875" style="9" customWidth="1"/>
    <col min="4366" max="4366" width="4.44140625" style="9" customWidth="1"/>
    <col min="4367" max="4367" width="4.77734375" style="9" customWidth="1"/>
    <col min="4368" max="4368" width="10.44140625" style="9" customWidth="1"/>
    <col min="4369" max="4607" width="8.88671875" style="9"/>
    <col min="4608" max="4608" width="7.6640625" style="9" customWidth="1"/>
    <col min="4609" max="4609" width="3.44140625" style="9" customWidth="1"/>
    <col min="4610" max="4610" width="6.5546875" style="9" customWidth="1"/>
    <col min="4611" max="4611" width="5.21875" style="9" customWidth="1"/>
    <col min="4612" max="4613" width="10.6640625" style="9" customWidth="1"/>
    <col min="4614" max="4614" width="11.21875" style="9" customWidth="1"/>
    <col min="4615" max="4615" width="12.21875" style="9" customWidth="1"/>
    <col min="4616" max="4617" width="5.44140625" style="9" customWidth="1"/>
    <col min="4618" max="4618" width="8" style="9" customWidth="1"/>
    <col min="4619" max="4619" width="9.5546875" style="9" customWidth="1"/>
    <col min="4620" max="4620" width="10" style="9" customWidth="1"/>
    <col min="4621" max="4621" width="6.21875" style="9" customWidth="1"/>
    <col min="4622" max="4622" width="4.44140625" style="9" customWidth="1"/>
    <col min="4623" max="4623" width="4.77734375" style="9" customWidth="1"/>
    <col min="4624" max="4624" width="10.44140625" style="9" customWidth="1"/>
    <col min="4625" max="4863" width="8.88671875" style="9"/>
    <col min="4864" max="4864" width="7.6640625" style="9" customWidth="1"/>
    <col min="4865" max="4865" width="3.44140625" style="9" customWidth="1"/>
    <col min="4866" max="4866" width="6.5546875" style="9" customWidth="1"/>
    <col min="4867" max="4867" width="5.21875" style="9" customWidth="1"/>
    <col min="4868" max="4869" width="10.6640625" style="9" customWidth="1"/>
    <col min="4870" max="4870" width="11.21875" style="9" customWidth="1"/>
    <col min="4871" max="4871" width="12.21875" style="9" customWidth="1"/>
    <col min="4872" max="4873" width="5.44140625" style="9" customWidth="1"/>
    <col min="4874" max="4874" width="8" style="9" customWidth="1"/>
    <col min="4875" max="4875" width="9.5546875" style="9" customWidth="1"/>
    <col min="4876" max="4876" width="10" style="9" customWidth="1"/>
    <col min="4877" max="4877" width="6.21875" style="9" customWidth="1"/>
    <col min="4878" max="4878" width="4.44140625" style="9" customWidth="1"/>
    <col min="4879" max="4879" width="4.77734375" style="9" customWidth="1"/>
    <col min="4880" max="4880" width="10.44140625" style="9" customWidth="1"/>
    <col min="4881" max="5119" width="8.88671875" style="9"/>
    <col min="5120" max="5120" width="7.6640625" style="9" customWidth="1"/>
    <col min="5121" max="5121" width="3.44140625" style="9" customWidth="1"/>
    <col min="5122" max="5122" width="6.5546875" style="9" customWidth="1"/>
    <col min="5123" max="5123" width="5.21875" style="9" customWidth="1"/>
    <col min="5124" max="5125" width="10.6640625" style="9" customWidth="1"/>
    <col min="5126" max="5126" width="11.21875" style="9" customWidth="1"/>
    <col min="5127" max="5127" width="12.21875" style="9" customWidth="1"/>
    <col min="5128" max="5129" width="5.44140625" style="9" customWidth="1"/>
    <col min="5130" max="5130" width="8" style="9" customWidth="1"/>
    <col min="5131" max="5131" width="9.5546875" style="9" customWidth="1"/>
    <col min="5132" max="5132" width="10" style="9" customWidth="1"/>
    <col min="5133" max="5133" width="6.21875" style="9" customWidth="1"/>
    <col min="5134" max="5134" width="4.44140625" style="9" customWidth="1"/>
    <col min="5135" max="5135" width="4.77734375" style="9" customWidth="1"/>
    <col min="5136" max="5136" width="10.44140625" style="9" customWidth="1"/>
    <col min="5137" max="5375" width="8.88671875" style="9"/>
    <col min="5376" max="5376" width="7.6640625" style="9" customWidth="1"/>
    <col min="5377" max="5377" width="3.44140625" style="9" customWidth="1"/>
    <col min="5378" max="5378" width="6.5546875" style="9" customWidth="1"/>
    <col min="5379" max="5379" width="5.21875" style="9" customWidth="1"/>
    <col min="5380" max="5381" width="10.6640625" style="9" customWidth="1"/>
    <col min="5382" max="5382" width="11.21875" style="9" customWidth="1"/>
    <col min="5383" max="5383" width="12.21875" style="9" customWidth="1"/>
    <col min="5384" max="5385" width="5.44140625" style="9" customWidth="1"/>
    <col min="5386" max="5386" width="8" style="9" customWidth="1"/>
    <col min="5387" max="5387" width="9.5546875" style="9" customWidth="1"/>
    <col min="5388" max="5388" width="10" style="9" customWidth="1"/>
    <col min="5389" max="5389" width="6.21875" style="9" customWidth="1"/>
    <col min="5390" max="5390" width="4.44140625" style="9" customWidth="1"/>
    <col min="5391" max="5391" width="4.77734375" style="9" customWidth="1"/>
    <col min="5392" max="5392" width="10.44140625" style="9" customWidth="1"/>
    <col min="5393" max="5631" width="8.88671875" style="9"/>
    <col min="5632" max="5632" width="7.6640625" style="9" customWidth="1"/>
    <col min="5633" max="5633" width="3.44140625" style="9" customWidth="1"/>
    <col min="5634" max="5634" width="6.5546875" style="9" customWidth="1"/>
    <col min="5635" max="5635" width="5.21875" style="9" customWidth="1"/>
    <col min="5636" max="5637" width="10.6640625" style="9" customWidth="1"/>
    <col min="5638" max="5638" width="11.21875" style="9" customWidth="1"/>
    <col min="5639" max="5639" width="12.21875" style="9" customWidth="1"/>
    <col min="5640" max="5641" width="5.44140625" style="9" customWidth="1"/>
    <col min="5642" max="5642" width="8" style="9" customWidth="1"/>
    <col min="5643" max="5643" width="9.5546875" style="9" customWidth="1"/>
    <col min="5644" max="5644" width="10" style="9" customWidth="1"/>
    <col min="5645" max="5645" width="6.21875" style="9" customWidth="1"/>
    <col min="5646" max="5646" width="4.44140625" style="9" customWidth="1"/>
    <col min="5647" max="5647" width="4.77734375" style="9" customWidth="1"/>
    <col min="5648" max="5648" width="10.44140625" style="9" customWidth="1"/>
    <col min="5649" max="5887" width="8.88671875" style="9"/>
    <col min="5888" max="5888" width="7.6640625" style="9" customWidth="1"/>
    <col min="5889" max="5889" width="3.44140625" style="9" customWidth="1"/>
    <col min="5890" max="5890" width="6.5546875" style="9" customWidth="1"/>
    <col min="5891" max="5891" width="5.21875" style="9" customWidth="1"/>
    <col min="5892" max="5893" width="10.6640625" style="9" customWidth="1"/>
    <col min="5894" max="5894" width="11.21875" style="9" customWidth="1"/>
    <col min="5895" max="5895" width="12.21875" style="9" customWidth="1"/>
    <col min="5896" max="5897" width="5.44140625" style="9" customWidth="1"/>
    <col min="5898" max="5898" width="8" style="9" customWidth="1"/>
    <col min="5899" max="5899" width="9.5546875" style="9" customWidth="1"/>
    <col min="5900" max="5900" width="10" style="9" customWidth="1"/>
    <col min="5901" max="5901" width="6.21875" style="9" customWidth="1"/>
    <col min="5902" max="5902" width="4.44140625" style="9" customWidth="1"/>
    <col min="5903" max="5903" width="4.77734375" style="9" customWidth="1"/>
    <col min="5904" max="5904" width="10.44140625" style="9" customWidth="1"/>
    <col min="5905" max="6143" width="8.88671875" style="9"/>
    <col min="6144" max="6144" width="7.6640625" style="9" customWidth="1"/>
    <col min="6145" max="6145" width="3.44140625" style="9" customWidth="1"/>
    <col min="6146" max="6146" width="6.5546875" style="9" customWidth="1"/>
    <col min="6147" max="6147" width="5.21875" style="9" customWidth="1"/>
    <col min="6148" max="6149" width="10.6640625" style="9" customWidth="1"/>
    <col min="6150" max="6150" width="11.21875" style="9" customWidth="1"/>
    <col min="6151" max="6151" width="12.21875" style="9" customWidth="1"/>
    <col min="6152" max="6153" width="5.44140625" style="9" customWidth="1"/>
    <col min="6154" max="6154" width="8" style="9" customWidth="1"/>
    <col min="6155" max="6155" width="9.5546875" style="9" customWidth="1"/>
    <col min="6156" max="6156" width="10" style="9" customWidth="1"/>
    <col min="6157" max="6157" width="6.21875" style="9" customWidth="1"/>
    <col min="6158" max="6158" width="4.44140625" style="9" customWidth="1"/>
    <col min="6159" max="6159" width="4.77734375" style="9" customWidth="1"/>
    <col min="6160" max="6160" width="10.44140625" style="9" customWidth="1"/>
    <col min="6161" max="6399" width="8.88671875" style="9"/>
    <col min="6400" max="6400" width="7.6640625" style="9" customWidth="1"/>
    <col min="6401" max="6401" width="3.44140625" style="9" customWidth="1"/>
    <col min="6402" max="6402" width="6.5546875" style="9" customWidth="1"/>
    <col min="6403" max="6403" width="5.21875" style="9" customWidth="1"/>
    <col min="6404" max="6405" width="10.6640625" style="9" customWidth="1"/>
    <col min="6406" max="6406" width="11.21875" style="9" customWidth="1"/>
    <col min="6407" max="6407" width="12.21875" style="9" customWidth="1"/>
    <col min="6408" max="6409" width="5.44140625" style="9" customWidth="1"/>
    <col min="6410" max="6410" width="8" style="9" customWidth="1"/>
    <col min="6411" max="6411" width="9.5546875" style="9" customWidth="1"/>
    <col min="6412" max="6412" width="10" style="9" customWidth="1"/>
    <col min="6413" max="6413" width="6.21875" style="9" customWidth="1"/>
    <col min="6414" max="6414" width="4.44140625" style="9" customWidth="1"/>
    <col min="6415" max="6415" width="4.77734375" style="9" customWidth="1"/>
    <col min="6416" max="6416" width="10.44140625" style="9" customWidth="1"/>
    <col min="6417" max="6655" width="8.88671875" style="9"/>
    <col min="6656" max="6656" width="7.6640625" style="9" customWidth="1"/>
    <col min="6657" max="6657" width="3.44140625" style="9" customWidth="1"/>
    <col min="6658" max="6658" width="6.5546875" style="9" customWidth="1"/>
    <col min="6659" max="6659" width="5.21875" style="9" customWidth="1"/>
    <col min="6660" max="6661" width="10.6640625" style="9" customWidth="1"/>
    <col min="6662" max="6662" width="11.21875" style="9" customWidth="1"/>
    <col min="6663" max="6663" width="12.21875" style="9" customWidth="1"/>
    <col min="6664" max="6665" width="5.44140625" style="9" customWidth="1"/>
    <col min="6666" max="6666" width="8" style="9" customWidth="1"/>
    <col min="6667" max="6667" width="9.5546875" style="9" customWidth="1"/>
    <col min="6668" max="6668" width="10" style="9" customWidth="1"/>
    <col min="6669" max="6669" width="6.21875" style="9" customWidth="1"/>
    <col min="6670" max="6670" width="4.44140625" style="9" customWidth="1"/>
    <col min="6671" max="6671" width="4.77734375" style="9" customWidth="1"/>
    <col min="6672" max="6672" width="10.44140625" style="9" customWidth="1"/>
    <col min="6673" max="6911" width="8.88671875" style="9"/>
    <col min="6912" max="6912" width="7.6640625" style="9" customWidth="1"/>
    <col min="6913" max="6913" width="3.44140625" style="9" customWidth="1"/>
    <col min="6914" max="6914" width="6.5546875" style="9" customWidth="1"/>
    <col min="6915" max="6915" width="5.21875" style="9" customWidth="1"/>
    <col min="6916" max="6917" width="10.6640625" style="9" customWidth="1"/>
    <col min="6918" max="6918" width="11.21875" style="9" customWidth="1"/>
    <col min="6919" max="6919" width="12.21875" style="9" customWidth="1"/>
    <col min="6920" max="6921" width="5.44140625" style="9" customWidth="1"/>
    <col min="6922" max="6922" width="8" style="9" customWidth="1"/>
    <col min="6923" max="6923" width="9.5546875" style="9" customWidth="1"/>
    <col min="6924" max="6924" width="10" style="9" customWidth="1"/>
    <col min="6925" max="6925" width="6.21875" style="9" customWidth="1"/>
    <col min="6926" max="6926" width="4.44140625" style="9" customWidth="1"/>
    <col min="6927" max="6927" width="4.77734375" style="9" customWidth="1"/>
    <col min="6928" max="6928" width="10.44140625" style="9" customWidth="1"/>
    <col min="6929" max="7167" width="8.88671875" style="9"/>
    <col min="7168" max="7168" width="7.6640625" style="9" customWidth="1"/>
    <col min="7169" max="7169" width="3.44140625" style="9" customWidth="1"/>
    <col min="7170" max="7170" width="6.5546875" style="9" customWidth="1"/>
    <col min="7171" max="7171" width="5.21875" style="9" customWidth="1"/>
    <col min="7172" max="7173" width="10.6640625" style="9" customWidth="1"/>
    <col min="7174" max="7174" width="11.21875" style="9" customWidth="1"/>
    <col min="7175" max="7175" width="12.21875" style="9" customWidth="1"/>
    <col min="7176" max="7177" width="5.44140625" style="9" customWidth="1"/>
    <col min="7178" max="7178" width="8" style="9" customWidth="1"/>
    <col min="7179" max="7179" width="9.5546875" style="9" customWidth="1"/>
    <col min="7180" max="7180" width="10" style="9" customWidth="1"/>
    <col min="7181" max="7181" width="6.21875" style="9" customWidth="1"/>
    <col min="7182" max="7182" width="4.44140625" style="9" customWidth="1"/>
    <col min="7183" max="7183" width="4.77734375" style="9" customWidth="1"/>
    <col min="7184" max="7184" width="10.44140625" style="9" customWidth="1"/>
    <col min="7185" max="7423" width="8.88671875" style="9"/>
    <col min="7424" max="7424" width="7.6640625" style="9" customWidth="1"/>
    <col min="7425" max="7425" width="3.44140625" style="9" customWidth="1"/>
    <col min="7426" max="7426" width="6.5546875" style="9" customWidth="1"/>
    <col min="7427" max="7427" width="5.21875" style="9" customWidth="1"/>
    <col min="7428" max="7429" width="10.6640625" style="9" customWidth="1"/>
    <col min="7430" max="7430" width="11.21875" style="9" customWidth="1"/>
    <col min="7431" max="7431" width="12.21875" style="9" customWidth="1"/>
    <col min="7432" max="7433" width="5.44140625" style="9" customWidth="1"/>
    <col min="7434" max="7434" width="8" style="9" customWidth="1"/>
    <col min="7435" max="7435" width="9.5546875" style="9" customWidth="1"/>
    <col min="7436" max="7436" width="10" style="9" customWidth="1"/>
    <col min="7437" max="7437" width="6.21875" style="9" customWidth="1"/>
    <col min="7438" max="7438" width="4.44140625" style="9" customWidth="1"/>
    <col min="7439" max="7439" width="4.77734375" style="9" customWidth="1"/>
    <col min="7440" max="7440" width="10.44140625" style="9" customWidth="1"/>
    <col min="7441" max="7679" width="8.88671875" style="9"/>
    <col min="7680" max="7680" width="7.6640625" style="9" customWidth="1"/>
    <col min="7681" max="7681" width="3.44140625" style="9" customWidth="1"/>
    <col min="7682" max="7682" width="6.5546875" style="9" customWidth="1"/>
    <col min="7683" max="7683" width="5.21875" style="9" customWidth="1"/>
    <col min="7684" max="7685" width="10.6640625" style="9" customWidth="1"/>
    <col min="7686" max="7686" width="11.21875" style="9" customWidth="1"/>
    <col min="7687" max="7687" width="12.21875" style="9" customWidth="1"/>
    <col min="7688" max="7689" width="5.44140625" style="9" customWidth="1"/>
    <col min="7690" max="7690" width="8" style="9" customWidth="1"/>
    <col min="7691" max="7691" width="9.5546875" style="9" customWidth="1"/>
    <col min="7692" max="7692" width="10" style="9" customWidth="1"/>
    <col min="7693" max="7693" width="6.21875" style="9" customWidth="1"/>
    <col min="7694" max="7694" width="4.44140625" style="9" customWidth="1"/>
    <col min="7695" max="7695" width="4.77734375" style="9" customWidth="1"/>
    <col min="7696" max="7696" width="10.44140625" style="9" customWidth="1"/>
    <col min="7697" max="7935" width="8.88671875" style="9"/>
    <col min="7936" max="7936" width="7.6640625" style="9" customWidth="1"/>
    <col min="7937" max="7937" width="3.44140625" style="9" customWidth="1"/>
    <col min="7938" max="7938" width="6.5546875" style="9" customWidth="1"/>
    <col min="7939" max="7939" width="5.21875" style="9" customWidth="1"/>
    <col min="7940" max="7941" width="10.6640625" style="9" customWidth="1"/>
    <col min="7942" max="7942" width="11.21875" style="9" customWidth="1"/>
    <col min="7943" max="7943" width="12.21875" style="9" customWidth="1"/>
    <col min="7944" max="7945" width="5.44140625" style="9" customWidth="1"/>
    <col min="7946" max="7946" width="8" style="9" customWidth="1"/>
    <col min="7947" max="7947" width="9.5546875" style="9" customWidth="1"/>
    <col min="7948" max="7948" width="10" style="9" customWidth="1"/>
    <col min="7949" max="7949" width="6.21875" style="9" customWidth="1"/>
    <col min="7950" max="7950" width="4.44140625" style="9" customWidth="1"/>
    <col min="7951" max="7951" width="4.77734375" style="9" customWidth="1"/>
    <col min="7952" max="7952" width="10.44140625" style="9" customWidth="1"/>
    <col min="7953" max="8191" width="8.88671875" style="9"/>
    <col min="8192" max="8192" width="7.6640625" style="9" customWidth="1"/>
    <col min="8193" max="8193" width="3.44140625" style="9" customWidth="1"/>
    <col min="8194" max="8194" width="6.5546875" style="9" customWidth="1"/>
    <col min="8195" max="8195" width="5.21875" style="9" customWidth="1"/>
    <col min="8196" max="8197" width="10.6640625" style="9" customWidth="1"/>
    <col min="8198" max="8198" width="11.21875" style="9" customWidth="1"/>
    <col min="8199" max="8199" width="12.21875" style="9" customWidth="1"/>
    <col min="8200" max="8201" width="5.44140625" style="9" customWidth="1"/>
    <col min="8202" max="8202" width="8" style="9" customWidth="1"/>
    <col min="8203" max="8203" width="9.5546875" style="9" customWidth="1"/>
    <col min="8204" max="8204" width="10" style="9" customWidth="1"/>
    <col min="8205" max="8205" width="6.21875" style="9" customWidth="1"/>
    <col min="8206" max="8206" width="4.44140625" style="9" customWidth="1"/>
    <col min="8207" max="8207" width="4.77734375" style="9" customWidth="1"/>
    <col min="8208" max="8208" width="10.44140625" style="9" customWidth="1"/>
    <col min="8209" max="8447" width="8.88671875" style="9"/>
    <col min="8448" max="8448" width="7.6640625" style="9" customWidth="1"/>
    <col min="8449" max="8449" width="3.44140625" style="9" customWidth="1"/>
    <col min="8450" max="8450" width="6.5546875" style="9" customWidth="1"/>
    <col min="8451" max="8451" width="5.21875" style="9" customWidth="1"/>
    <col min="8452" max="8453" width="10.6640625" style="9" customWidth="1"/>
    <col min="8454" max="8454" width="11.21875" style="9" customWidth="1"/>
    <col min="8455" max="8455" width="12.21875" style="9" customWidth="1"/>
    <col min="8456" max="8457" width="5.44140625" style="9" customWidth="1"/>
    <col min="8458" max="8458" width="8" style="9" customWidth="1"/>
    <col min="8459" max="8459" width="9.5546875" style="9" customWidth="1"/>
    <col min="8460" max="8460" width="10" style="9" customWidth="1"/>
    <col min="8461" max="8461" width="6.21875" style="9" customWidth="1"/>
    <col min="8462" max="8462" width="4.44140625" style="9" customWidth="1"/>
    <col min="8463" max="8463" width="4.77734375" style="9" customWidth="1"/>
    <col min="8464" max="8464" width="10.44140625" style="9" customWidth="1"/>
    <col min="8465" max="8703" width="8.88671875" style="9"/>
    <col min="8704" max="8704" width="7.6640625" style="9" customWidth="1"/>
    <col min="8705" max="8705" width="3.44140625" style="9" customWidth="1"/>
    <col min="8706" max="8706" width="6.5546875" style="9" customWidth="1"/>
    <col min="8707" max="8707" width="5.21875" style="9" customWidth="1"/>
    <col min="8708" max="8709" width="10.6640625" style="9" customWidth="1"/>
    <col min="8710" max="8710" width="11.21875" style="9" customWidth="1"/>
    <col min="8711" max="8711" width="12.21875" style="9" customWidth="1"/>
    <col min="8712" max="8713" width="5.44140625" style="9" customWidth="1"/>
    <col min="8714" max="8714" width="8" style="9" customWidth="1"/>
    <col min="8715" max="8715" width="9.5546875" style="9" customWidth="1"/>
    <col min="8716" max="8716" width="10" style="9" customWidth="1"/>
    <col min="8717" max="8717" width="6.21875" style="9" customWidth="1"/>
    <col min="8718" max="8718" width="4.44140625" style="9" customWidth="1"/>
    <col min="8719" max="8719" width="4.77734375" style="9" customWidth="1"/>
    <col min="8720" max="8720" width="10.44140625" style="9" customWidth="1"/>
    <col min="8721" max="8959" width="8.88671875" style="9"/>
    <col min="8960" max="8960" width="7.6640625" style="9" customWidth="1"/>
    <col min="8961" max="8961" width="3.44140625" style="9" customWidth="1"/>
    <col min="8962" max="8962" width="6.5546875" style="9" customWidth="1"/>
    <col min="8963" max="8963" width="5.21875" style="9" customWidth="1"/>
    <col min="8964" max="8965" width="10.6640625" style="9" customWidth="1"/>
    <col min="8966" max="8966" width="11.21875" style="9" customWidth="1"/>
    <col min="8967" max="8967" width="12.21875" style="9" customWidth="1"/>
    <col min="8968" max="8969" width="5.44140625" style="9" customWidth="1"/>
    <col min="8970" max="8970" width="8" style="9" customWidth="1"/>
    <col min="8971" max="8971" width="9.5546875" style="9" customWidth="1"/>
    <col min="8972" max="8972" width="10" style="9" customWidth="1"/>
    <col min="8973" max="8973" width="6.21875" style="9" customWidth="1"/>
    <col min="8974" max="8974" width="4.44140625" style="9" customWidth="1"/>
    <col min="8975" max="8975" width="4.77734375" style="9" customWidth="1"/>
    <col min="8976" max="8976" width="10.44140625" style="9" customWidth="1"/>
    <col min="8977" max="9215" width="8.88671875" style="9"/>
    <col min="9216" max="9216" width="7.6640625" style="9" customWidth="1"/>
    <col min="9217" max="9217" width="3.44140625" style="9" customWidth="1"/>
    <col min="9218" max="9218" width="6.5546875" style="9" customWidth="1"/>
    <col min="9219" max="9219" width="5.21875" style="9" customWidth="1"/>
    <col min="9220" max="9221" width="10.6640625" style="9" customWidth="1"/>
    <col min="9222" max="9222" width="11.21875" style="9" customWidth="1"/>
    <col min="9223" max="9223" width="12.21875" style="9" customWidth="1"/>
    <col min="9224" max="9225" width="5.44140625" style="9" customWidth="1"/>
    <col min="9226" max="9226" width="8" style="9" customWidth="1"/>
    <col min="9227" max="9227" width="9.5546875" style="9" customWidth="1"/>
    <col min="9228" max="9228" width="10" style="9" customWidth="1"/>
    <col min="9229" max="9229" width="6.21875" style="9" customWidth="1"/>
    <col min="9230" max="9230" width="4.44140625" style="9" customWidth="1"/>
    <col min="9231" max="9231" width="4.77734375" style="9" customWidth="1"/>
    <col min="9232" max="9232" width="10.44140625" style="9" customWidth="1"/>
    <col min="9233" max="9471" width="8.88671875" style="9"/>
    <col min="9472" max="9472" width="7.6640625" style="9" customWidth="1"/>
    <col min="9473" max="9473" width="3.44140625" style="9" customWidth="1"/>
    <col min="9474" max="9474" width="6.5546875" style="9" customWidth="1"/>
    <col min="9475" max="9475" width="5.21875" style="9" customWidth="1"/>
    <col min="9476" max="9477" width="10.6640625" style="9" customWidth="1"/>
    <col min="9478" max="9478" width="11.21875" style="9" customWidth="1"/>
    <col min="9479" max="9479" width="12.21875" style="9" customWidth="1"/>
    <col min="9480" max="9481" width="5.44140625" style="9" customWidth="1"/>
    <col min="9482" max="9482" width="8" style="9" customWidth="1"/>
    <col min="9483" max="9483" width="9.5546875" style="9" customWidth="1"/>
    <col min="9484" max="9484" width="10" style="9" customWidth="1"/>
    <col min="9485" max="9485" width="6.21875" style="9" customWidth="1"/>
    <col min="9486" max="9486" width="4.44140625" style="9" customWidth="1"/>
    <col min="9487" max="9487" width="4.77734375" style="9" customWidth="1"/>
    <col min="9488" max="9488" width="10.44140625" style="9" customWidth="1"/>
    <col min="9489" max="9727" width="8.88671875" style="9"/>
    <col min="9728" max="9728" width="7.6640625" style="9" customWidth="1"/>
    <col min="9729" max="9729" width="3.44140625" style="9" customWidth="1"/>
    <col min="9730" max="9730" width="6.5546875" style="9" customWidth="1"/>
    <col min="9731" max="9731" width="5.21875" style="9" customWidth="1"/>
    <col min="9732" max="9733" width="10.6640625" style="9" customWidth="1"/>
    <col min="9734" max="9734" width="11.21875" style="9" customWidth="1"/>
    <col min="9735" max="9735" width="12.21875" style="9" customWidth="1"/>
    <col min="9736" max="9737" width="5.44140625" style="9" customWidth="1"/>
    <col min="9738" max="9738" width="8" style="9" customWidth="1"/>
    <col min="9739" max="9739" width="9.5546875" style="9" customWidth="1"/>
    <col min="9740" max="9740" width="10" style="9" customWidth="1"/>
    <col min="9741" max="9741" width="6.21875" style="9" customWidth="1"/>
    <col min="9742" max="9742" width="4.44140625" style="9" customWidth="1"/>
    <col min="9743" max="9743" width="4.77734375" style="9" customWidth="1"/>
    <col min="9744" max="9744" width="10.44140625" style="9" customWidth="1"/>
    <col min="9745" max="9983" width="8.88671875" style="9"/>
    <col min="9984" max="9984" width="7.6640625" style="9" customWidth="1"/>
    <col min="9985" max="9985" width="3.44140625" style="9" customWidth="1"/>
    <col min="9986" max="9986" width="6.5546875" style="9" customWidth="1"/>
    <col min="9987" max="9987" width="5.21875" style="9" customWidth="1"/>
    <col min="9988" max="9989" width="10.6640625" style="9" customWidth="1"/>
    <col min="9990" max="9990" width="11.21875" style="9" customWidth="1"/>
    <col min="9991" max="9991" width="12.21875" style="9" customWidth="1"/>
    <col min="9992" max="9993" width="5.44140625" style="9" customWidth="1"/>
    <col min="9994" max="9994" width="8" style="9" customWidth="1"/>
    <col min="9995" max="9995" width="9.5546875" style="9" customWidth="1"/>
    <col min="9996" max="9996" width="10" style="9" customWidth="1"/>
    <col min="9997" max="9997" width="6.21875" style="9" customWidth="1"/>
    <col min="9998" max="9998" width="4.44140625" style="9" customWidth="1"/>
    <col min="9999" max="9999" width="4.77734375" style="9" customWidth="1"/>
    <col min="10000" max="10000" width="10.44140625" style="9" customWidth="1"/>
    <col min="10001" max="10239" width="8.88671875" style="9"/>
    <col min="10240" max="10240" width="7.6640625" style="9" customWidth="1"/>
    <col min="10241" max="10241" width="3.44140625" style="9" customWidth="1"/>
    <col min="10242" max="10242" width="6.5546875" style="9" customWidth="1"/>
    <col min="10243" max="10243" width="5.21875" style="9" customWidth="1"/>
    <col min="10244" max="10245" width="10.6640625" style="9" customWidth="1"/>
    <col min="10246" max="10246" width="11.21875" style="9" customWidth="1"/>
    <col min="10247" max="10247" width="12.21875" style="9" customWidth="1"/>
    <col min="10248" max="10249" width="5.44140625" style="9" customWidth="1"/>
    <col min="10250" max="10250" width="8" style="9" customWidth="1"/>
    <col min="10251" max="10251" width="9.5546875" style="9" customWidth="1"/>
    <col min="10252" max="10252" width="10" style="9" customWidth="1"/>
    <col min="10253" max="10253" width="6.21875" style="9" customWidth="1"/>
    <col min="10254" max="10254" width="4.44140625" style="9" customWidth="1"/>
    <col min="10255" max="10255" width="4.77734375" style="9" customWidth="1"/>
    <col min="10256" max="10256" width="10.44140625" style="9" customWidth="1"/>
    <col min="10257" max="10495" width="8.88671875" style="9"/>
    <col min="10496" max="10496" width="7.6640625" style="9" customWidth="1"/>
    <col min="10497" max="10497" width="3.44140625" style="9" customWidth="1"/>
    <col min="10498" max="10498" width="6.5546875" style="9" customWidth="1"/>
    <col min="10499" max="10499" width="5.21875" style="9" customWidth="1"/>
    <col min="10500" max="10501" width="10.6640625" style="9" customWidth="1"/>
    <col min="10502" max="10502" width="11.21875" style="9" customWidth="1"/>
    <col min="10503" max="10503" width="12.21875" style="9" customWidth="1"/>
    <col min="10504" max="10505" width="5.44140625" style="9" customWidth="1"/>
    <col min="10506" max="10506" width="8" style="9" customWidth="1"/>
    <col min="10507" max="10507" width="9.5546875" style="9" customWidth="1"/>
    <col min="10508" max="10508" width="10" style="9" customWidth="1"/>
    <col min="10509" max="10509" width="6.21875" style="9" customWidth="1"/>
    <col min="10510" max="10510" width="4.44140625" style="9" customWidth="1"/>
    <col min="10511" max="10511" width="4.77734375" style="9" customWidth="1"/>
    <col min="10512" max="10512" width="10.44140625" style="9" customWidth="1"/>
    <col min="10513" max="10751" width="8.88671875" style="9"/>
    <col min="10752" max="10752" width="7.6640625" style="9" customWidth="1"/>
    <col min="10753" max="10753" width="3.44140625" style="9" customWidth="1"/>
    <col min="10754" max="10754" width="6.5546875" style="9" customWidth="1"/>
    <col min="10755" max="10755" width="5.21875" style="9" customWidth="1"/>
    <col min="10756" max="10757" width="10.6640625" style="9" customWidth="1"/>
    <col min="10758" max="10758" width="11.21875" style="9" customWidth="1"/>
    <col min="10759" max="10759" width="12.21875" style="9" customWidth="1"/>
    <col min="10760" max="10761" width="5.44140625" style="9" customWidth="1"/>
    <col min="10762" max="10762" width="8" style="9" customWidth="1"/>
    <col min="10763" max="10763" width="9.5546875" style="9" customWidth="1"/>
    <col min="10764" max="10764" width="10" style="9" customWidth="1"/>
    <col min="10765" max="10765" width="6.21875" style="9" customWidth="1"/>
    <col min="10766" max="10766" width="4.44140625" style="9" customWidth="1"/>
    <col min="10767" max="10767" width="4.77734375" style="9" customWidth="1"/>
    <col min="10768" max="10768" width="10.44140625" style="9" customWidth="1"/>
    <col min="10769" max="11007" width="8.88671875" style="9"/>
    <col min="11008" max="11008" width="7.6640625" style="9" customWidth="1"/>
    <col min="11009" max="11009" width="3.44140625" style="9" customWidth="1"/>
    <col min="11010" max="11010" width="6.5546875" style="9" customWidth="1"/>
    <col min="11011" max="11011" width="5.21875" style="9" customWidth="1"/>
    <col min="11012" max="11013" width="10.6640625" style="9" customWidth="1"/>
    <col min="11014" max="11014" width="11.21875" style="9" customWidth="1"/>
    <col min="11015" max="11015" width="12.21875" style="9" customWidth="1"/>
    <col min="11016" max="11017" width="5.44140625" style="9" customWidth="1"/>
    <col min="11018" max="11018" width="8" style="9" customWidth="1"/>
    <col min="11019" max="11019" width="9.5546875" style="9" customWidth="1"/>
    <col min="11020" max="11020" width="10" style="9" customWidth="1"/>
    <col min="11021" max="11021" width="6.21875" style="9" customWidth="1"/>
    <col min="11022" max="11022" width="4.44140625" style="9" customWidth="1"/>
    <col min="11023" max="11023" width="4.77734375" style="9" customWidth="1"/>
    <col min="11024" max="11024" width="10.44140625" style="9" customWidth="1"/>
    <col min="11025" max="11263" width="8.88671875" style="9"/>
    <col min="11264" max="11264" width="7.6640625" style="9" customWidth="1"/>
    <col min="11265" max="11265" width="3.44140625" style="9" customWidth="1"/>
    <col min="11266" max="11266" width="6.5546875" style="9" customWidth="1"/>
    <col min="11267" max="11267" width="5.21875" style="9" customWidth="1"/>
    <col min="11268" max="11269" width="10.6640625" style="9" customWidth="1"/>
    <col min="11270" max="11270" width="11.21875" style="9" customWidth="1"/>
    <col min="11271" max="11271" width="12.21875" style="9" customWidth="1"/>
    <col min="11272" max="11273" width="5.44140625" style="9" customWidth="1"/>
    <col min="11274" max="11274" width="8" style="9" customWidth="1"/>
    <col min="11275" max="11275" width="9.5546875" style="9" customWidth="1"/>
    <col min="11276" max="11276" width="10" style="9" customWidth="1"/>
    <col min="11277" max="11277" width="6.21875" style="9" customWidth="1"/>
    <col min="11278" max="11278" width="4.44140625" style="9" customWidth="1"/>
    <col min="11279" max="11279" width="4.77734375" style="9" customWidth="1"/>
    <col min="11280" max="11280" width="10.44140625" style="9" customWidth="1"/>
    <col min="11281" max="11519" width="8.88671875" style="9"/>
    <col min="11520" max="11520" width="7.6640625" style="9" customWidth="1"/>
    <col min="11521" max="11521" width="3.44140625" style="9" customWidth="1"/>
    <col min="11522" max="11522" width="6.5546875" style="9" customWidth="1"/>
    <col min="11523" max="11523" width="5.21875" style="9" customWidth="1"/>
    <col min="11524" max="11525" width="10.6640625" style="9" customWidth="1"/>
    <col min="11526" max="11526" width="11.21875" style="9" customWidth="1"/>
    <col min="11527" max="11527" width="12.21875" style="9" customWidth="1"/>
    <col min="11528" max="11529" width="5.44140625" style="9" customWidth="1"/>
    <col min="11530" max="11530" width="8" style="9" customWidth="1"/>
    <col min="11531" max="11531" width="9.5546875" style="9" customWidth="1"/>
    <col min="11532" max="11532" width="10" style="9" customWidth="1"/>
    <col min="11533" max="11533" width="6.21875" style="9" customWidth="1"/>
    <col min="11534" max="11534" width="4.44140625" style="9" customWidth="1"/>
    <col min="11535" max="11535" width="4.77734375" style="9" customWidth="1"/>
    <col min="11536" max="11536" width="10.44140625" style="9" customWidth="1"/>
    <col min="11537" max="11775" width="8.88671875" style="9"/>
    <col min="11776" max="11776" width="7.6640625" style="9" customWidth="1"/>
    <col min="11777" max="11777" width="3.44140625" style="9" customWidth="1"/>
    <col min="11778" max="11778" width="6.5546875" style="9" customWidth="1"/>
    <col min="11779" max="11779" width="5.21875" style="9" customWidth="1"/>
    <col min="11780" max="11781" width="10.6640625" style="9" customWidth="1"/>
    <col min="11782" max="11782" width="11.21875" style="9" customWidth="1"/>
    <col min="11783" max="11783" width="12.21875" style="9" customWidth="1"/>
    <col min="11784" max="11785" width="5.44140625" style="9" customWidth="1"/>
    <col min="11786" max="11786" width="8" style="9" customWidth="1"/>
    <col min="11787" max="11787" width="9.5546875" style="9" customWidth="1"/>
    <col min="11788" max="11788" width="10" style="9" customWidth="1"/>
    <col min="11789" max="11789" width="6.21875" style="9" customWidth="1"/>
    <col min="11790" max="11790" width="4.44140625" style="9" customWidth="1"/>
    <col min="11791" max="11791" width="4.77734375" style="9" customWidth="1"/>
    <col min="11792" max="11792" width="10.44140625" style="9" customWidth="1"/>
    <col min="11793" max="12031" width="8.88671875" style="9"/>
    <col min="12032" max="12032" width="7.6640625" style="9" customWidth="1"/>
    <col min="12033" max="12033" width="3.44140625" style="9" customWidth="1"/>
    <col min="12034" max="12034" width="6.5546875" style="9" customWidth="1"/>
    <col min="12035" max="12035" width="5.21875" style="9" customWidth="1"/>
    <col min="12036" max="12037" width="10.6640625" style="9" customWidth="1"/>
    <col min="12038" max="12038" width="11.21875" style="9" customWidth="1"/>
    <col min="12039" max="12039" width="12.21875" style="9" customWidth="1"/>
    <col min="12040" max="12041" width="5.44140625" style="9" customWidth="1"/>
    <col min="12042" max="12042" width="8" style="9" customWidth="1"/>
    <col min="12043" max="12043" width="9.5546875" style="9" customWidth="1"/>
    <col min="12044" max="12044" width="10" style="9" customWidth="1"/>
    <col min="12045" max="12045" width="6.21875" style="9" customWidth="1"/>
    <col min="12046" max="12046" width="4.44140625" style="9" customWidth="1"/>
    <col min="12047" max="12047" width="4.77734375" style="9" customWidth="1"/>
    <col min="12048" max="12048" width="10.44140625" style="9" customWidth="1"/>
    <col min="12049" max="12287" width="8.88671875" style="9"/>
    <col min="12288" max="12288" width="7.6640625" style="9" customWidth="1"/>
    <col min="12289" max="12289" width="3.44140625" style="9" customWidth="1"/>
    <col min="12290" max="12290" width="6.5546875" style="9" customWidth="1"/>
    <col min="12291" max="12291" width="5.21875" style="9" customWidth="1"/>
    <col min="12292" max="12293" width="10.6640625" style="9" customWidth="1"/>
    <col min="12294" max="12294" width="11.21875" style="9" customWidth="1"/>
    <col min="12295" max="12295" width="12.21875" style="9" customWidth="1"/>
    <col min="12296" max="12297" width="5.44140625" style="9" customWidth="1"/>
    <col min="12298" max="12298" width="8" style="9" customWidth="1"/>
    <col min="12299" max="12299" width="9.5546875" style="9" customWidth="1"/>
    <col min="12300" max="12300" width="10" style="9" customWidth="1"/>
    <col min="12301" max="12301" width="6.21875" style="9" customWidth="1"/>
    <col min="12302" max="12302" width="4.44140625" style="9" customWidth="1"/>
    <col min="12303" max="12303" width="4.77734375" style="9" customWidth="1"/>
    <col min="12304" max="12304" width="10.44140625" style="9" customWidth="1"/>
    <col min="12305" max="12543" width="8.88671875" style="9"/>
    <col min="12544" max="12544" width="7.6640625" style="9" customWidth="1"/>
    <col min="12545" max="12545" width="3.44140625" style="9" customWidth="1"/>
    <col min="12546" max="12546" width="6.5546875" style="9" customWidth="1"/>
    <col min="12547" max="12547" width="5.21875" style="9" customWidth="1"/>
    <col min="12548" max="12549" width="10.6640625" style="9" customWidth="1"/>
    <col min="12550" max="12550" width="11.21875" style="9" customWidth="1"/>
    <col min="12551" max="12551" width="12.21875" style="9" customWidth="1"/>
    <col min="12552" max="12553" width="5.44140625" style="9" customWidth="1"/>
    <col min="12554" max="12554" width="8" style="9" customWidth="1"/>
    <col min="12555" max="12555" width="9.5546875" style="9" customWidth="1"/>
    <col min="12556" max="12556" width="10" style="9" customWidth="1"/>
    <col min="12557" max="12557" width="6.21875" style="9" customWidth="1"/>
    <col min="12558" max="12558" width="4.44140625" style="9" customWidth="1"/>
    <col min="12559" max="12559" width="4.77734375" style="9" customWidth="1"/>
    <col min="12560" max="12560" width="10.44140625" style="9" customWidth="1"/>
    <col min="12561" max="12799" width="8.88671875" style="9"/>
    <col min="12800" max="12800" width="7.6640625" style="9" customWidth="1"/>
    <col min="12801" max="12801" width="3.44140625" style="9" customWidth="1"/>
    <col min="12802" max="12802" width="6.5546875" style="9" customWidth="1"/>
    <col min="12803" max="12803" width="5.21875" style="9" customWidth="1"/>
    <col min="12804" max="12805" width="10.6640625" style="9" customWidth="1"/>
    <col min="12806" max="12806" width="11.21875" style="9" customWidth="1"/>
    <col min="12807" max="12807" width="12.21875" style="9" customWidth="1"/>
    <col min="12808" max="12809" width="5.44140625" style="9" customWidth="1"/>
    <col min="12810" max="12810" width="8" style="9" customWidth="1"/>
    <col min="12811" max="12811" width="9.5546875" style="9" customWidth="1"/>
    <col min="12812" max="12812" width="10" style="9" customWidth="1"/>
    <col min="12813" max="12813" width="6.21875" style="9" customWidth="1"/>
    <col min="12814" max="12814" width="4.44140625" style="9" customWidth="1"/>
    <col min="12815" max="12815" width="4.77734375" style="9" customWidth="1"/>
    <col min="12816" max="12816" width="10.44140625" style="9" customWidth="1"/>
    <col min="12817" max="13055" width="8.88671875" style="9"/>
    <col min="13056" max="13056" width="7.6640625" style="9" customWidth="1"/>
    <col min="13057" max="13057" width="3.44140625" style="9" customWidth="1"/>
    <col min="13058" max="13058" width="6.5546875" style="9" customWidth="1"/>
    <col min="13059" max="13059" width="5.21875" style="9" customWidth="1"/>
    <col min="13060" max="13061" width="10.6640625" style="9" customWidth="1"/>
    <col min="13062" max="13062" width="11.21875" style="9" customWidth="1"/>
    <col min="13063" max="13063" width="12.21875" style="9" customWidth="1"/>
    <col min="13064" max="13065" width="5.44140625" style="9" customWidth="1"/>
    <col min="13066" max="13066" width="8" style="9" customWidth="1"/>
    <col min="13067" max="13067" width="9.5546875" style="9" customWidth="1"/>
    <col min="13068" max="13068" width="10" style="9" customWidth="1"/>
    <col min="13069" max="13069" width="6.21875" style="9" customWidth="1"/>
    <col min="13070" max="13070" width="4.44140625" style="9" customWidth="1"/>
    <col min="13071" max="13071" width="4.77734375" style="9" customWidth="1"/>
    <col min="13072" max="13072" width="10.44140625" style="9" customWidth="1"/>
    <col min="13073" max="13311" width="8.88671875" style="9"/>
    <col min="13312" max="13312" width="7.6640625" style="9" customWidth="1"/>
    <col min="13313" max="13313" width="3.44140625" style="9" customWidth="1"/>
    <col min="13314" max="13314" width="6.5546875" style="9" customWidth="1"/>
    <col min="13315" max="13315" width="5.21875" style="9" customWidth="1"/>
    <col min="13316" max="13317" width="10.6640625" style="9" customWidth="1"/>
    <col min="13318" max="13318" width="11.21875" style="9" customWidth="1"/>
    <col min="13319" max="13319" width="12.21875" style="9" customWidth="1"/>
    <col min="13320" max="13321" width="5.44140625" style="9" customWidth="1"/>
    <col min="13322" max="13322" width="8" style="9" customWidth="1"/>
    <col min="13323" max="13323" width="9.5546875" style="9" customWidth="1"/>
    <col min="13324" max="13324" width="10" style="9" customWidth="1"/>
    <col min="13325" max="13325" width="6.21875" style="9" customWidth="1"/>
    <col min="13326" max="13326" width="4.44140625" style="9" customWidth="1"/>
    <col min="13327" max="13327" width="4.77734375" style="9" customWidth="1"/>
    <col min="13328" max="13328" width="10.44140625" style="9" customWidth="1"/>
    <col min="13329" max="13567" width="8.88671875" style="9"/>
    <col min="13568" max="13568" width="7.6640625" style="9" customWidth="1"/>
    <col min="13569" max="13569" width="3.44140625" style="9" customWidth="1"/>
    <col min="13570" max="13570" width="6.5546875" style="9" customWidth="1"/>
    <col min="13571" max="13571" width="5.21875" style="9" customWidth="1"/>
    <col min="13572" max="13573" width="10.6640625" style="9" customWidth="1"/>
    <col min="13574" max="13574" width="11.21875" style="9" customWidth="1"/>
    <col min="13575" max="13575" width="12.21875" style="9" customWidth="1"/>
    <col min="13576" max="13577" width="5.44140625" style="9" customWidth="1"/>
    <col min="13578" max="13578" width="8" style="9" customWidth="1"/>
    <col min="13579" max="13579" width="9.5546875" style="9" customWidth="1"/>
    <col min="13580" max="13580" width="10" style="9" customWidth="1"/>
    <col min="13581" max="13581" width="6.21875" style="9" customWidth="1"/>
    <col min="13582" max="13582" width="4.44140625" style="9" customWidth="1"/>
    <col min="13583" max="13583" width="4.77734375" style="9" customWidth="1"/>
    <col min="13584" max="13584" width="10.44140625" style="9" customWidth="1"/>
    <col min="13585" max="13823" width="8.88671875" style="9"/>
    <col min="13824" max="13824" width="7.6640625" style="9" customWidth="1"/>
    <col min="13825" max="13825" width="3.44140625" style="9" customWidth="1"/>
    <col min="13826" max="13826" width="6.5546875" style="9" customWidth="1"/>
    <col min="13827" max="13827" width="5.21875" style="9" customWidth="1"/>
    <col min="13828" max="13829" width="10.6640625" style="9" customWidth="1"/>
    <col min="13830" max="13830" width="11.21875" style="9" customWidth="1"/>
    <col min="13831" max="13831" width="12.21875" style="9" customWidth="1"/>
    <col min="13832" max="13833" width="5.44140625" style="9" customWidth="1"/>
    <col min="13834" max="13834" width="8" style="9" customWidth="1"/>
    <col min="13835" max="13835" width="9.5546875" style="9" customWidth="1"/>
    <col min="13836" max="13836" width="10" style="9" customWidth="1"/>
    <col min="13837" max="13837" width="6.21875" style="9" customWidth="1"/>
    <col min="13838" max="13838" width="4.44140625" style="9" customWidth="1"/>
    <col min="13839" max="13839" width="4.77734375" style="9" customWidth="1"/>
    <col min="13840" max="13840" width="10.44140625" style="9" customWidth="1"/>
    <col min="13841" max="14079" width="8.88671875" style="9"/>
    <col min="14080" max="14080" width="7.6640625" style="9" customWidth="1"/>
    <col min="14081" max="14081" width="3.44140625" style="9" customWidth="1"/>
    <col min="14082" max="14082" width="6.5546875" style="9" customWidth="1"/>
    <col min="14083" max="14083" width="5.21875" style="9" customWidth="1"/>
    <col min="14084" max="14085" width="10.6640625" style="9" customWidth="1"/>
    <col min="14086" max="14086" width="11.21875" style="9" customWidth="1"/>
    <col min="14087" max="14087" width="12.21875" style="9" customWidth="1"/>
    <col min="14088" max="14089" width="5.44140625" style="9" customWidth="1"/>
    <col min="14090" max="14090" width="8" style="9" customWidth="1"/>
    <col min="14091" max="14091" width="9.5546875" style="9" customWidth="1"/>
    <col min="14092" max="14092" width="10" style="9" customWidth="1"/>
    <col min="14093" max="14093" width="6.21875" style="9" customWidth="1"/>
    <col min="14094" max="14094" width="4.44140625" style="9" customWidth="1"/>
    <col min="14095" max="14095" width="4.77734375" style="9" customWidth="1"/>
    <col min="14096" max="14096" width="10.44140625" style="9" customWidth="1"/>
    <col min="14097" max="14335" width="8.88671875" style="9"/>
    <col min="14336" max="14336" width="7.6640625" style="9" customWidth="1"/>
    <col min="14337" max="14337" width="3.44140625" style="9" customWidth="1"/>
    <col min="14338" max="14338" width="6.5546875" style="9" customWidth="1"/>
    <col min="14339" max="14339" width="5.21875" style="9" customWidth="1"/>
    <col min="14340" max="14341" width="10.6640625" style="9" customWidth="1"/>
    <col min="14342" max="14342" width="11.21875" style="9" customWidth="1"/>
    <col min="14343" max="14343" width="12.21875" style="9" customWidth="1"/>
    <col min="14344" max="14345" width="5.44140625" style="9" customWidth="1"/>
    <col min="14346" max="14346" width="8" style="9" customWidth="1"/>
    <col min="14347" max="14347" width="9.5546875" style="9" customWidth="1"/>
    <col min="14348" max="14348" width="10" style="9" customWidth="1"/>
    <col min="14349" max="14349" width="6.21875" style="9" customWidth="1"/>
    <col min="14350" max="14350" width="4.44140625" style="9" customWidth="1"/>
    <col min="14351" max="14351" width="4.77734375" style="9" customWidth="1"/>
    <col min="14352" max="14352" width="10.44140625" style="9" customWidth="1"/>
    <col min="14353" max="14591" width="8.88671875" style="9"/>
    <col min="14592" max="14592" width="7.6640625" style="9" customWidth="1"/>
    <col min="14593" max="14593" width="3.44140625" style="9" customWidth="1"/>
    <col min="14594" max="14594" width="6.5546875" style="9" customWidth="1"/>
    <col min="14595" max="14595" width="5.21875" style="9" customWidth="1"/>
    <col min="14596" max="14597" width="10.6640625" style="9" customWidth="1"/>
    <col min="14598" max="14598" width="11.21875" style="9" customWidth="1"/>
    <col min="14599" max="14599" width="12.21875" style="9" customWidth="1"/>
    <col min="14600" max="14601" width="5.44140625" style="9" customWidth="1"/>
    <col min="14602" max="14602" width="8" style="9" customWidth="1"/>
    <col min="14603" max="14603" width="9.5546875" style="9" customWidth="1"/>
    <col min="14604" max="14604" width="10" style="9" customWidth="1"/>
    <col min="14605" max="14605" width="6.21875" style="9" customWidth="1"/>
    <col min="14606" max="14606" width="4.44140625" style="9" customWidth="1"/>
    <col min="14607" max="14607" width="4.77734375" style="9" customWidth="1"/>
    <col min="14608" max="14608" width="10.44140625" style="9" customWidth="1"/>
    <col min="14609" max="14847" width="8.88671875" style="9"/>
    <col min="14848" max="14848" width="7.6640625" style="9" customWidth="1"/>
    <col min="14849" max="14849" width="3.44140625" style="9" customWidth="1"/>
    <col min="14850" max="14850" width="6.5546875" style="9" customWidth="1"/>
    <col min="14851" max="14851" width="5.21875" style="9" customWidth="1"/>
    <col min="14852" max="14853" width="10.6640625" style="9" customWidth="1"/>
    <col min="14854" max="14854" width="11.21875" style="9" customWidth="1"/>
    <col min="14855" max="14855" width="12.21875" style="9" customWidth="1"/>
    <col min="14856" max="14857" width="5.44140625" style="9" customWidth="1"/>
    <col min="14858" max="14858" width="8" style="9" customWidth="1"/>
    <col min="14859" max="14859" width="9.5546875" style="9" customWidth="1"/>
    <col min="14860" max="14860" width="10" style="9" customWidth="1"/>
    <col min="14861" max="14861" width="6.21875" style="9" customWidth="1"/>
    <col min="14862" max="14862" width="4.44140625" style="9" customWidth="1"/>
    <col min="14863" max="14863" width="4.77734375" style="9" customWidth="1"/>
    <col min="14864" max="14864" width="10.44140625" style="9" customWidth="1"/>
    <col min="14865" max="15103" width="8.88671875" style="9"/>
    <col min="15104" max="15104" width="7.6640625" style="9" customWidth="1"/>
    <col min="15105" max="15105" width="3.44140625" style="9" customWidth="1"/>
    <col min="15106" max="15106" width="6.5546875" style="9" customWidth="1"/>
    <col min="15107" max="15107" width="5.21875" style="9" customWidth="1"/>
    <col min="15108" max="15109" width="10.6640625" style="9" customWidth="1"/>
    <col min="15110" max="15110" width="11.21875" style="9" customWidth="1"/>
    <col min="15111" max="15111" width="12.21875" style="9" customWidth="1"/>
    <col min="15112" max="15113" width="5.44140625" style="9" customWidth="1"/>
    <col min="15114" max="15114" width="8" style="9" customWidth="1"/>
    <col min="15115" max="15115" width="9.5546875" style="9" customWidth="1"/>
    <col min="15116" max="15116" width="10" style="9" customWidth="1"/>
    <col min="15117" max="15117" width="6.21875" style="9" customWidth="1"/>
    <col min="15118" max="15118" width="4.44140625" style="9" customWidth="1"/>
    <col min="15119" max="15119" width="4.77734375" style="9" customWidth="1"/>
    <col min="15120" max="15120" width="10.44140625" style="9" customWidth="1"/>
    <col min="15121" max="15359" width="8.88671875" style="9"/>
    <col min="15360" max="15360" width="7.6640625" style="9" customWidth="1"/>
    <col min="15361" max="15361" width="3.44140625" style="9" customWidth="1"/>
    <col min="15362" max="15362" width="6.5546875" style="9" customWidth="1"/>
    <col min="15363" max="15363" width="5.21875" style="9" customWidth="1"/>
    <col min="15364" max="15365" width="10.6640625" style="9" customWidth="1"/>
    <col min="15366" max="15366" width="11.21875" style="9" customWidth="1"/>
    <col min="15367" max="15367" width="12.21875" style="9" customWidth="1"/>
    <col min="15368" max="15369" width="5.44140625" style="9" customWidth="1"/>
    <col min="15370" max="15370" width="8" style="9" customWidth="1"/>
    <col min="15371" max="15371" width="9.5546875" style="9" customWidth="1"/>
    <col min="15372" max="15372" width="10" style="9" customWidth="1"/>
    <col min="15373" max="15373" width="6.21875" style="9" customWidth="1"/>
    <col min="15374" max="15374" width="4.44140625" style="9" customWidth="1"/>
    <col min="15375" max="15375" width="4.77734375" style="9" customWidth="1"/>
    <col min="15376" max="15376" width="10.44140625" style="9" customWidth="1"/>
    <col min="15377" max="15615" width="8.88671875" style="9"/>
    <col min="15616" max="15616" width="7.6640625" style="9" customWidth="1"/>
    <col min="15617" max="15617" width="3.44140625" style="9" customWidth="1"/>
    <col min="15618" max="15618" width="6.5546875" style="9" customWidth="1"/>
    <col min="15619" max="15619" width="5.21875" style="9" customWidth="1"/>
    <col min="15620" max="15621" width="10.6640625" style="9" customWidth="1"/>
    <col min="15622" max="15622" width="11.21875" style="9" customWidth="1"/>
    <col min="15623" max="15623" width="12.21875" style="9" customWidth="1"/>
    <col min="15624" max="15625" width="5.44140625" style="9" customWidth="1"/>
    <col min="15626" max="15626" width="8" style="9" customWidth="1"/>
    <col min="15627" max="15627" width="9.5546875" style="9" customWidth="1"/>
    <col min="15628" max="15628" width="10" style="9" customWidth="1"/>
    <col min="15629" max="15629" width="6.21875" style="9" customWidth="1"/>
    <col min="15630" max="15630" width="4.44140625" style="9" customWidth="1"/>
    <col min="15631" max="15631" width="4.77734375" style="9" customWidth="1"/>
    <col min="15632" max="15632" width="10.44140625" style="9" customWidth="1"/>
    <col min="15633" max="15871" width="8.88671875" style="9"/>
    <col min="15872" max="15872" width="7.6640625" style="9" customWidth="1"/>
    <col min="15873" max="15873" width="3.44140625" style="9" customWidth="1"/>
    <col min="15874" max="15874" width="6.5546875" style="9" customWidth="1"/>
    <col min="15875" max="15875" width="5.21875" style="9" customWidth="1"/>
    <col min="15876" max="15877" width="10.6640625" style="9" customWidth="1"/>
    <col min="15878" max="15878" width="11.21875" style="9" customWidth="1"/>
    <col min="15879" max="15879" width="12.21875" style="9" customWidth="1"/>
    <col min="15880" max="15881" width="5.44140625" style="9" customWidth="1"/>
    <col min="15882" max="15882" width="8" style="9" customWidth="1"/>
    <col min="15883" max="15883" width="9.5546875" style="9" customWidth="1"/>
    <col min="15884" max="15884" width="10" style="9" customWidth="1"/>
    <col min="15885" max="15885" width="6.21875" style="9" customWidth="1"/>
    <col min="15886" max="15886" width="4.44140625" style="9" customWidth="1"/>
    <col min="15887" max="15887" width="4.77734375" style="9" customWidth="1"/>
    <col min="15888" max="15888" width="10.44140625" style="9" customWidth="1"/>
    <col min="15889" max="16127" width="8.88671875" style="9"/>
    <col min="16128" max="16128" width="7.6640625" style="9" customWidth="1"/>
    <col min="16129" max="16129" width="3.44140625" style="9" customWidth="1"/>
    <col min="16130" max="16130" width="6.5546875" style="9" customWidth="1"/>
    <col min="16131" max="16131" width="5.21875" style="9" customWidth="1"/>
    <col min="16132" max="16133" width="10.6640625" style="9" customWidth="1"/>
    <col min="16134" max="16134" width="11.21875" style="9" customWidth="1"/>
    <col min="16135" max="16135" width="12.21875" style="9" customWidth="1"/>
    <col min="16136" max="16137" width="5.44140625" style="9" customWidth="1"/>
    <col min="16138" max="16138" width="8" style="9" customWidth="1"/>
    <col min="16139" max="16139" width="9.5546875" style="9" customWidth="1"/>
    <col min="16140" max="16140" width="10" style="9" customWidth="1"/>
    <col min="16141" max="16141" width="6.21875" style="9" customWidth="1"/>
    <col min="16142" max="16142" width="4.44140625" style="9" customWidth="1"/>
    <col min="16143" max="16143" width="4.77734375" style="9" customWidth="1"/>
    <col min="16144" max="16144" width="10.44140625" style="9" customWidth="1"/>
    <col min="16145" max="16384" width="8.88671875" style="9"/>
  </cols>
  <sheetData>
    <row r="1" spans="1:28" ht="27.75" customHeight="1">
      <c r="A1" s="6"/>
      <c r="B1" s="324" t="s">
        <v>0</v>
      </c>
      <c r="C1" s="325"/>
      <c r="D1" s="325"/>
      <c r="E1" s="325"/>
      <c r="F1" s="325"/>
      <c r="G1" s="325"/>
      <c r="H1" s="325"/>
      <c r="I1" s="325"/>
      <c r="J1" s="325"/>
      <c r="K1" s="326"/>
      <c r="L1" s="7"/>
      <c r="M1" s="7"/>
      <c r="N1" s="7"/>
      <c r="O1" s="8"/>
    </row>
    <row r="2" spans="1:28" ht="27.75" customHeight="1">
      <c r="A2" s="10"/>
      <c r="B2" s="327" t="s">
        <v>16</v>
      </c>
      <c r="C2" s="328"/>
      <c r="D2" s="328"/>
      <c r="E2" s="328"/>
      <c r="F2" s="328"/>
      <c r="G2" s="328"/>
      <c r="H2" s="328"/>
      <c r="I2" s="328"/>
      <c r="J2" s="328"/>
      <c r="K2" s="329"/>
      <c r="L2" s="12"/>
      <c r="M2" s="12"/>
      <c r="N2" s="12"/>
      <c r="O2" s="13"/>
    </row>
    <row r="3" spans="1:28" ht="27.75" customHeight="1">
      <c r="A3" s="10"/>
      <c r="B3" s="330"/>
      <c r="C3" s="331"/>
      <c r="D3" s="331"/>
      <c r="E3" s="331"/>
      <c r="F3" s="331"/>
      <c r="G3" s="331"/>
      <c r="H3" s="331"/>
      <c r="I3" s="331"/>
      <c r="J3" s="331"/>
      <c r="K3" s="332"/>
      <c r="L3" s="15"/>
      <c r="M3" s="15"/>
      <c r="N3" s="15"/>
      <c r="O3" s="16"/>
    </row>
    <row r="4" spans="1:28" ht="27.75" customHeight="1">
      <c r="A4" s="10"/>
      <c r="B4" s="341" t="s">
        <v>6</v>
      </c>
      <c r="C4" s="341"/>
      <c r="D4" s="341"/>
      <c r="E4" s="341"/>
      <c r="F4" s="341"/>
      <c r="G4" s="341"/>
      <c r="H4" s="81" t="s">
        <v>1</v>
      </c>
      <c r="I4" s="80" t="s">
        <v>8</v>
      </c>
      <c r="J4" s="82" t="s">
        <v>7</v>
      </c>
      <c r="K4" s="333" t="s">
        <v>15</v>
      </c>
      <c r="L4" s="334"/>
      <c r="M4" s="334"/>
      <c r="N4" s="334"/>
      <c r="O4" s="335"/>
    </row>
    <row r="5" spans="1:28" ht="27.75" customHeight="1">
      <c r="A5" s="10"/>
      <c r="B5" s="342" t="s">
        <v>98</v>
      </c>
      <c r="C5" s="342"/>
      <c r="D5" s="342"/>
      <c r="E5" s="342"/>
      <c r="F5" s="342"/>
      <c r="G5" s="342"/>
      <c r="H5" s="81" t="s">
        <v>2</v>
      </c>
      <c r="I5" s="80" t="s">
        <v>14</v>
      </c>
      <c r="J5" s="82" t="s">
        <v>73</v>
      </c>
      <c r="K5" s="17">
        <v>45134</v>
      </c>
      <c r="L5" s="336" t="s">
        <v>3</v>
      </c>
      <c r="M5" s="337"/>
      <c r="N5" s="337"/>
      <c r="O5" s="338"/>
      <c r="P5" s="2"/>
    </row>
    <row r="6" spans="1:28" ht="27.75" customHeight="1">
      <c r="A6" s="10"/>
      <c r="B6" s="342"/>
      <c r="C6" s="342"/>
      <c r="D6" s="342"/>
      <c r="E6" s="342"/>
      <c r="F6" s="342"/>
      <c r="G6" s="342"/>
      <c r="H6" s="81" t="s">
        <v>4</v>
      </c>
      <c r="I6" s="80" t="s">
        <v>87</v>
      </c>
      <c r="J6" s="82" t="s">
        <v>73</v>
      </c>
      <c r="K6" s="17">
        <v>45135</v>
      </c>
      <c r="L6" s="18"/>
      <c r="M6" s="19" t="s">
        <v>5</v>
      </c>
      <c r="N6" s="20"/>
      <c r="O6" s="21"/>
      <c r="P6" s="1"/>
    </row>
    <row r="7" spans="1:28" ht="8.1" customHeight="1">
      <c r="A7" s="22"/>
      <c r="B7" s="23"/>
      <c r="C7" s="23"/>
      <c r="D7" s="23"/>
      <c r="E7" s="23"/>
      <c r="F7" s="23"/>
      <c r="G7" s="23"/>
      <c r="H7" s="23"/>
      <c r="I7" s="24"/>
      <c r="J7" s="24"/>
      <c r="K7" s="24"/>
      <c r="L7" s="25"/>
      <c r="M7" s="26"/>
      <c r="N7" s="27"/>
      <c r="O7" s="28"/>
      <c r="P7" s="1"/>
    </row>
    <row r="8" spans="1:28" s="30" customFormat="1" ht="31.5" customHeight="1">
      <c r="A8" s="29"/>
      <c r="C8" s="31" t="s">
        <v>74</v>
      </c>
      <c r="D8" s="31"/>
      <c r="E8" s="31"/>
      <c r="O8" s="32"/>
      <c r="R8" s="11"/>
      <c r="S8" s="11"/>
    </row>
    <row r="9" spans="1:28" s="30" customFormat="1" ht="24.75" customHeight="1">
      <c r="A9" s="29"/>
      <c r="B9" s="33"/>
      <c r="C9" s="34" t="s">
        <v>75</v>
      </c>
      <c r="D9" s="34"/>
      <c r="E9" s="34"/>
      <c r="O9" s="32"/>
      <c r="R9" s="11"/>
      <c r="S9" s="11"/>
    </row>
    <row r="10" spans="1:28" s="30" customFormat="1" ht="23.25" customHeight="1">
      <c r="A10" s="29"/>
      <c r="B10" s="33"/>
      <c r="C10" s="35" t="s">
        <v>76</v>
      </c>
      <c r="D10" s="35"/>
      <c r="E10" s="35"/>
      <c r="F10" s="36"/>
      <c r="G10" s="36"/>
      <c r="H10" s="36"/>
      <c r="I10" s="36"/>
      <c r="J10" s="37"/>
      <c r="K10" s="37"/>
      <c r="L10" s="37"/>
      <c r="M10" s="36"/>
      <c r="N10" s="36"/>
      <c r="O10" s="32"/>
      <c r="R10" s="11"/>
      <c r="S10" s="11"/>
      <c r="AB10" s="30" t="s">
        <v>77</v>
      </c>
    </row>
    <row r="11" spans="1:28" s="39" customFormat="1" ht="21.75" customHeight="1">
      <c r="A11" s="38"/>
      <c r="C11" s="40"/>
      <c r="D11" s="40"/>
      <c r="E11" s="40"/>
      <c r="H11" s="41"/>
      <c r="I11" s="42"/>
      <c r="L11" s="43"/>
      <c r="O11" s="44"/>
      <c r="R11" s="47"/>
      <c r="S11" s="47"/>
    </row>
    <row r="12" spans="1:28" s="33" customFormat="1" ht="21.75" customHeight="1">
      <c r="A12" s="45"/>
      <c r="C12" s="308" t="s">
        <v>78</v>
      </c>
      <c r="D12" s="308"/>
      <c r="E12" s="308"/>
      <c r="F12" s="308"/>
      <c r="G12" s="83" t="s">
        <v>49</v>
      </c>
      <c r="H12" s="48">
        <f>Input!E26</f>
        <v>1.2</v>
      </c>
      <c r="I12" s="84" t="s">
        <v>9</v>
      </c>
      <c r="J12" s="49"/>
      <c r="K12" s="49"/>
      <c r="L12" s="321"/>
      <c r="M12" s="322"/>
      <c r="N12" s="322"/>
      <c r="O12" s="323"/>
      <c r="R12" s="91"/>
      <c r="S12" s="91"/>
    </row>
    <row r="13" spans="1:28" s="33" customFormat="1" ht="21.75" customHeight="1">
      <c r="A13" s="45"/>
      <c r="C13" s="308" t="s">
        <v>22</v>
      </c>
      <c r="D13" s="308"/>
      <c r="E13" s="308"/>
      <c r="F13" s="308"/>
      <c r="G13" s="83" t="s">
        <v>9</v>
      </c>
      <c r="H13" s="48">
        <f>Input!E27</f>
        <v>1.5</v>
      </c>
      <c r="I13" s="84" t="s">
        <v>79</v>
      </c>
      <c r="J13" s="49"/>
      <c r="K13" s="49"/>
      <c r="L13" s="321"/>
      <c r="M13" s="322"/>
      <c r="N13" s="322"/>
      <c r="O13" s="323"/>
      <c r="R13" s="91"/>
      <c r="S13" s="91"/>
    </row>
    <row r="14" spans="1:28" s="33" customFormat="1" ht="21.75" customHeight="1">
      <c r="A14" s="45"/>
      <c r="C14" s="308" t="s">
        <v>80</v>
      </c>
      <c r="D14" s="308"/>
      <c r="E14" s="308"/>
      <c r="F14" s="308"/>
      <c r="G14" s="83" t="s">
        <v>50</v>
      </c>
      <c r="H14" s="52">
        <f>Input!E28</f>
        <v>2.9999999999999997E-4</v>
      </c>
      <c r="I14" s="84" t="s">
        <v>81</v>
      </c>
      <c r="J14" s="49"/>
      <c r="K14" s="49"/>
      <c r="L14" s="321"/>
      <c r="M14" s="322"/>
      <c r="N14" s="322"/>
      <c r="O14" s="323"/>
      <c r="R14" s="91"/>
      <c r="S14" s="91"/>
    </row>
    <row r="15" spans="1:28" s="33" customFormat="1" ht="21.75" customHeight="1">
      <c r="A15" s="45"/>
      <c r="C15" s="308" t="s">
        <v>82</v>
      </c>
      <c r="D15" s="308"/>
      <c r="E15" s="308"/>
      <c r="F15" s="308"/>
      <c r="G15" s="83" t="s">
        <v>62</v>
      </c>
      <c r="H15" s="53">
        <f>Input!E29</f>
        <v>1.4285714285714285E-2</v>
      </c>
      <c r="I15" s="84" t="s">
        <v>20</v>
      </c>
      <c r="J15" s="49"/>
      <c r="K15" s="49"/>
      <c r="L15" s="321"/>
      <c r="M15" s="322"/>
      <c r="N15" s="322"/>
      <c r="O15" s="323"/>
      <c r="R15" s="91"/>
      <c r="S15" s="91"/>
    </row>
    <row r="16" spans="1:28" s="33" customFormat="1" ht="21.75" customHeight="1">
      <c r="A16" s="45"/>
      <c r="C16" s="308" t="s">
        <v>83</v>
      </c>
      <c r="D16" s="308"/>
      <c r="E16" s="308"/>
      <c r="F16" s="308"/>
      <c r="G16" s="83" t="s">
        <v>10</v>
      </c>
      <c r="H16" s="48">
        <f>Input!E23</f>
        <v>22.360471219111972</v>
      </c>
      <c r="I16" s="84" t="s">
        <v>92</v>
      </c>
      <c r="J16" s="49"/>
      <c r="K16" s="49"/>
      <c r="L16" s="321"/>
      <c r="M16" s="322"/>
      <c r="N16" s="322"/>
      <c r="O16" s="323"/>
      <c r="R16" s="91"/>
      <c r="S16" s="91"/>
    </row>
    <row r="17" spans="1:23" s="33" customFormat="1" ht="21.75" customHeight="1">
      <c r="A17" s="45"/>
      <c r="C17" s="308" t="s">
        <v>84</v>
      </c>
      <c r="D17" s="308"/>
      <c r="E17" s="308"/>
      <c r="F17" s="308"/>
      <c r="G17" s="83" t="s">
        <v>85</v>
      </c>
      <c r="H17" s="54">
        <f>Input!E25-Input!E23</f>
        <v>0.69424078088804464</v>
      </c>
      <c r="I17" s="84" t="s">
        <v>9</v>
      </c>
      <c r="J17" s="49"/>
      <c r="K17" s="49"/>
      <c r="L17" s="321"/>
      <c r="M17" s="322"/>
      <c r="N17" s="322"/>
      <c r="O17" s="323"/>
      <c r="R17" s="91"/>
      <c r="S17" s="91"/>
    </row>
    <row r="18" spans="1:23" s="33" customFormat="1" ht="15.75" customHeight="1">
      <c r="A18" s="45"/>
      <c r="C18" s="39"/>
      <c r="D18" s="39"/>
      <c r="E18" s="39"/>
      <c r="G18" s="55"/>
      <c r="H18" s="47"/>
      <c r="I18" s="47"/>
      <c r="L18" s="49"/>
      <c r="O18" s="50"/>
      <c r="R18" s="91"/>
      <c r="S18" s="91"/>
    </row>
    <row r="19" spans="1:23" s="30" customFormat="1" ht="23.25" customHeight="1">
      <c r="A19" s="29"/>
      <c r="B19" s="33"/>
      <c r="C19" s="35" t="s">
        <v>86</v>
      </c>
      <c r="D19" s="35"/>
      <c r="E19" s="35"/>
      <c r="F19" s="36"/>
      <c r="G19" s="36"/>
      <c r="H19" s="36"/>
      <c r="I19" s="36"/>
      <c r="J19" s="37"/>
      <c r="K19" s="37"/>
      <c r="L19" s="37"/>
      <c r="M19" s="36"/>
      <c r="N19" s="36"/>
      <c r="O19" s="21"/>
      <c r="R19" s="11"/>
      <c r="S19" s="11"/>
    </row>
    <row r="20" spans="1:23" s="39" customFormat="1" ht="21.75" customHeight="1">
      <c r="A20" s="38"/>
      <c r="C20" s="56"/>
      <c r="D20" s="343" t="s">
        <v>53</v>
      </c>
      <c r="E20" s="343"/>
      <c r="F20" s="343"/>
      <c r="G20" s="57">
        <v>8</v>
      </c>
      <c r="J20" s="46"/>
      <c r="K20" s="46"/>
      <c r="L20" s="46"/>
      <c r="O20" s="44"/>
      <c r="R20" s="47"/>
      <c r="S20" s="47"/>
    </row>
    <row r="21" spans="1:23" s="59" customFormat="1" ht="21.75" customHeight="1">
      <c r="A21" s="58"/>
      <c r="C21" s="60"/>
      <c r="D21" s="61" t="s">
        <v>54</v>
      </c>
      <c r="E21" s="61" t="s">
        <v>55</v>
      </c>
      <c r="F21" s="61" t="s">
        <v>56</v>
      </c>
      <c r="G21" s="61" t="s">
        <v>57</v>
      </c>
      <c r="H21" s="61" t="s">
        <v>47</v>
      </c>
      <c r="I21" s="51" t="s">
        <v>58</v>
      </c>
      <c r="J21" s="77" t="s">
        <v>59</v>
      </c>
      <c r="K21" s="61" t="s">
        <v>60</v>
      </c>
      <c r="L21" s="344" t="s">
        <v>61</v>
      </c>
      <c r="O21" s="60"/>
      <c r="R21" s="69"/>
      <c r="S21" s="69"/>
    </row>
    <row r="22" spans="1:23" s="59" customFormat="1" ht="21.75" customHeight="1">
      <c r="A22" s="58"/>
      <c r="C22" s="60"/>
      <c r="D22" s="344" t="s">
        <v>62</v>
      </c>
      <c r="E22" s="61" t="s">
        <v>48</v>
      </c>
      <c r="F22" s="61" t="s">
        <v>51</v>
      </c>
      <c r="G22" s="61" t="s">
        <v>21</v>
      </c>
      <c r="H22" s="61" t="s">
        <v>18</v>
      </c>
      <c r="I22" s="51" t="s">
        <v>63</v>
      </c>
      <c r="J22" s="51" t="s">
        <v>52</v>
      </c>
      <c r="K22" s="61" t="s">
        <v>64</v>
      </c>
      <c r="L22" s="345"/>
      <c r="O22" s="60"/>
      <c r="R22" s="69"/>
      <c r="S22" s="69"/>
    </row>
    <row r="23" spans="1:23" s="59" customFormat="1" ht="21.75" customHeight="1">
      <c r="A23" s="58"/>
      <c r="C23" s="60"/>
      <c r="D23" s="346"/>
      <c r="E23" s="61" t="s">
        <v>9</v>
      </c>
      <c r="F23" s="61" t="s">
        <v>65</v>
      </c>
      <c r="G23" s="61" t="s">
        <v>9</v>
      </c>
      <c r="H23" s="61" t="s">
        <v>97</v>
      </c>
      <c r="I23" s="51" t="s">
        <v>92</v>
      </c>
      <c r="J23" s="51" t="s">
        <v>96</v>
      </c>
      <c r="K23" s="63" t="s">
        <v>20</v>
      </c>
      <c r="L23" s="346"/>
      <c r="O23" s="60"/>
      <c r="R23" s="69"/>
      <c r="S23" s="69"/>
    </row>
    <row r="24" spans="1:23" s="59" customFormat="1" ht="21.75" customHeight="1">
      <c r="A24" s="58"/>
      <c r="C24" s="60"/>
      <c r="D24" s="61" t="s">
        <v>20</v>
      </c>
      <c r="E24" s="61" t="s">
        <v>20</v>
      </c>
      <c r="F24" s="61" t="s">
        <v>66</v>
      </c>
      <c r="G24" s="61" t="s">
        <v>67</v>
      </c>
      <c r="H24" s="61" t="s">
        <v>68</v>
      </c>
      <c r="I24" s="51" t="s">
        <v>69</v>
      </c>
      <c r="J24" s="51" t="s">
        <v>70</v>
      </c>
      <c r="K24" s="61" t="s">
        <v>71</v>
      </c>
      <c r="L24" s="61" t="s">
        <v>72</v>
      </c>
      <c r="O24" s="60"/>
      <c r="R24" s="69" t="s">
        <v>18</v>
      </c>
      <c r="S24" s="69" t="s">
        <v>124</v>
      </c>
      <c r="T24" s="59" t="s">
        <v>130</v>
      </c>
    </row>
    <row r="25" spans="1:23" s="39" customFormat="1" ht="21.75" customHeight="1">
      <c r="A25" s="38"/>
      <c r="C25" s="64"/>
      <c r="D25" s="58">
        <v>1</v>
      </c>
      <c r="E25" s="65">
        <v>0</v>
      </c>
      <c r="F25" s="65">
        <f>E25*H$12+E25^2*H$13</f>
        <v>0</v>
      </c>
      <c r="G25" s="66">
        <f>H$12+2*E25*SQRT(1+H$13^2)</f>
        <v>1.2</v>
      </c>
      <c r="H25" s="78">
        <f>F25*(F25/G25)^(2/3)*H$14^0.5/H$15</f>
        <v>0</v>
      </c>
      <c r="I25" s="78">
        <f>E25+H$16</f>
        <v>22.360471219111972</v>
      </c>
      <c r="J25" s="67">
        <v>0</v>
      </c>
      <c r="K25" s="67">
        <v>0</v>
      </c>
      <c r="L25" s="68">
        <f>H12</f>
        <v>1.2</v>
      </c>
      <c r="N25" s="69"/>
      <c r="O25" s="70"/>
      <c r="R25" s="92">
        <f>H25</f>
        <v>0</v>
      </c>
      <c r="S25" s="93">
        <f>E25</f>
        <v>0</v>
      </c>
      <c r="T25" s="94">
        <f>I25</f>
        <v>22.360471219111972</v>
      </c>
    </row>
    <row r="26" spans="1:23" s="39" customFormat="1" ht="21.75" customHeight="1">
      <c r="A26" s="38"/>
      <c r="C26" s="64"/>
      <c r="D26" s="58">
        <f>D25+1</f>
        <v>2</v>
      </c>
      <c r="E26" s="65">
        <f>E25+H$17/$G$20</f>
        <v>8.678009761100558E-2</v>
      </c>
      <c r="F26" s="65">
        <f t="shared" ref="F26:F35" si="0">E26*H$12+E26^2*H$13</f>
        <v>0.11543229514527018</v>
      </c>
      <c r="G26" s="66">
        <f t="shared" ref="G26:G35" si="1">H$12+2*E26*SQRT(1+H$13^2)</f>
        <v>1.5128900916262507</v>
      </c>
      <c r="H26" s="78">
        <f t="shared" ref="H26:H35" si="2">F26*(F26/G26)^(2/3)*H$14^0.5/H$15</f>
        <v>2.5176728681992076E-2</v>
      </c>
      <c r="I26" s="78">
        <f t="shared" ref="I26:I34" si="3">E26+H$16</f>
        <v>22.447251316722976</v>
      </c>
      <c r="J26" s="66">
        <f t="shared" ref="J26:J35" si="4">H26/F26</f>
        <v>0.21810818757703346</v>
      </c>
      <c r="K26" s="66">
        <f t="shared" ref="K26:K35" si="5">J26/SQRT(9.81*E26)</f>
        <v>0.23638907326679665</v>
      </c>
      <c r="L26" s="66">
        <f t="shared" ref="L26:L35" si="6">H$12+2*E26*H$13</f>
        <v>1.4603402928330167</v>
      </c>
      <c r="N26" s="69"/>
      <c r="O26" s="70"/>
      <c r="R26" s="92">
        <f t="shared" ref="R26:R35" si="7">H26</f>
        <v>2.5176728681992076E-2</v>
      </c>
      <c r="S26" s="93">
        <f t="shared" ref="S26:S35" si="8">E26</f>
        <v>8.678009761100558E-2</v>
      </c>
      <c r="T26" s="94">
        <f t="shared" ref="T26:T35" si="9">I26</f>
        <v>22.447251316722976</v>
      </c>
    </row>
    <row r="27" spans="1:23" s="39" customFormat="1" ht="21.75" customHeight="1">
      <c r="A27" s="38"/>
      <c r="C27" s="64"/>
      <c r="D27" s="58">
        <f t="shared" ref="D27:D34" si="10">D26+1</f>
        <v>3</v>
      </c>
      <c r="E27" s="65">
        <f t="shared" ref="E27:E35" si="11">E26+H$17/$G$20</f>
        <v>0.17356019522201116</v>
      </c>
      <c r="F27" s="65">
        <f t="shared" si="0"/>
        <v>0.25345694631466731</v>
      </c>
      <c r="G27" s="66">
        <f t="shared" si="1"/>
        <v>1.8257801832525011</v>
      </c>
      <c r="H27" s="78">
        <f t="shared" si="2"/>
        <v>8.2388514341774813E-2</v>
      </c>
      <c r="I27" s="78">
        <f t="shared" si="3"/>
        <v>22.534031414333981</v>
      </c>
      <c r="J27" s="66">
        <f t="shared" si="4"/>
        <v>0.3250592084364865</v>
      </c>
      <c r="K27" s="66">
        <f t="shared" si="5"/>
        <v>0.24911673587392241</v>
      </c>
      <c r="L27" s="66">
        <f t="shared" si="6"/>
        <v>1.7206805856660334</v>
      </c>
      <c r="N27" s="69"/>
      <c r="O27" s="70"/>
      <c r="R27" s="92">
        <f t="shared" si="7"/>
        <v>8.2388514341774813E-2</v>
      </c>
      <c r="S27" s="93">
        <f t="shared" si="8"/>
        <v>0.17356019522201116</v>
      </c>
      <c r="T27" s="94">
        <f t="shared" si="9"/>
        <v>22.534031414333981</v>
      </c>
    </row>
    <row r="28" spans="1:23" s="39" customFormat="1" ht="21.75" customHeight="1">
      <c r="A28" s="38"/>
      <c r="C28" s="64"/>
      <c r="D28" s="58">
        <f t="shared" si="10"/>
        <v>4</v>
      </c>
      <c r="E28" s="65">
        <f t="shared" si="11"/>
        <v>0.26034029283301674</v>
      </c>
      <c r="F28" s="65">
        <f t="shared" si="0"/>
        <v>0.41407395350819143</v>
      </c>
      <c r="G28" s="66">
        <f t="shared" si="1"/>
        <v>2.1386702748787521</v>
      </c>
      <c r="H28" s="78">
        <f t="shared" si="2"/>
        <v>0.16801934993375051</v>
      </c>
      <c r="I28" s="78">
        <f t="shared" si="3"/>
        <v>22.620811511944989</v>
      </c>
      <c r="J28" s="66">
        <f t="shared" si="4"/>
        <v>0.40577135680770771</v>
      </c>
      <c r="K28" s="66">
        <f t="shared" si="5"/>
        <v>0.25390788561233485</v>
      </c>
      <c r="L28" s="66">
        <f t="shared" si="6"/>
        <v>1.9810208784990502</v>
      </c>
      <c r="N28" s="69"/>
      <c r="O28" s="70"/>
      <c r="R28" s="92">
        <f t="shared" si="7"/>
        <v>0.16801934993375051</v>
      </c>
      <c r="S28" s="93">
        <f t="shared" si="8"/>
        <v>0.26034029283301674</v>
      </c>
      <c r="T28" s="94">
        <f t="shared" si="9"/>
        <v>22.620811511944989</v>
      </c>
    </row>
    <row r="29" spans="1:23" s="39" customFormat="1" ht="21.75" customHeight="1">
      <c r="A29" s="38"/>
      <c r="C29" s="64"/>
      <c r="D29" s="58">
        <f t="shared" si="10"/>
        <v>5</v>
      </c>
      <c r="E29" s="65">
        <f t="shared" si="11"/>
        <v>0.34712039044402232</v>
      </c>
      <c r="F29" s="65">
        <f t="shared" si="0"/>
        <v>0.59728331672584256</v>
      </c>
      <c r="G29" s="66">
        <f t="shared" si="1"/>
        <v>2.4515603665050025</v>
      </c>
      <c r="H29" s="78">
        <f t="shared" si="2"/>
        <v>0.28248642339774765</v>
      </c>
      <c r="I29" s="78">
        <f t="shared" si="3"/>
        <v>22.707591609555994</v>
      </c>
      <c r="J29" s="66">
        <f t="shared" si="4"/>
        <v>0.47295214094756138</v>
      </c>
      <c r="K29" s="66">
        <f t="shared" si="5"/>
        <v>0.25629647272790851</v>
      </c>
      <c r="L29" s="66">
        <f t="shared" si="6"/>
        <v>2.2413611713320671</v>
      </c>
      <c r="N29" s="69"/>
      <c r="O29" s="70"/>
      <c r="R29" s="92">
        <f t="shared" si="7"/>
        <v>0.28248642339774765</v>
      </c>
      <c r="S29" s="93">
        <f t="shared" si="8"/>
        <v>0.34712039044402232</v>
      </c>
      <c r="T29" s="94">
        <f t="shared" si="9"/>
        <v>22.707591609555994</v>
      </c>
    </row>
    <row r="30" spans="1:23" s="39" customFormat="1" ht="21.75" customHeight="1">
      <c r="A30" s="38"/>
      <c r="C30" s="64"/>
      <c r="D30" s="58">
        <f t="shared" si="10"/>
        <v>6</v>
      </c>
      <c r="E30" s="65">
        <f t="shared" si="11"/>
        <v>0.4339004880550279</v>
      </c>
      <c r="F30" s="65">
        <f t="shared" si="0"/>
        <v>0.8030850359676206</v>
      </c>
      <c r="G30" s="66">
        <f t="shared" si="1"/>
        <v>2.764450458131253</v>
      </c>
      <c r="H30" s="78">
        <f t="shared" si="2"/>
        <v>0.42709256977597615</v>
      </c>
      <c r="I30" s="78">
        <f t="shared" si="3"/>
        <v>22.794371707166999</v>
      </c>
      <c r="J30" s="66">
        <f t="shared" si="4"/>
        <v>0.53181487718966292</v>
      </c>
      <c r="K30" s="66">
        <f t="shared" si="5"/>
        <v>0.25776913209433266</v>
      </c>
      <c r="L30" s="66">
        <f t="shared" si="6"/>
        <v>2.5017014641650839</v>
      </c>
      <c r="N30" s="69"/>
      <c r="O30" s="70"/>
      <c r="R30" s="92">
        <f t="shared" si="7"/>
        <v>0.42709256977597615</v>
      </c>
      <c r="S30" s="93">
        <f t="shared" si="8"/>
        <v>0.4339004880550279</v>
      </c>
      <c r="T30" s="94">
        <f t="shared" si="9"/>
        <v>22.794371707166999</v>
      </c>
    </row>
    <row r="31" spans="1:23" s="39" customFormat="1" ht="21.75" customHeight="1">
      <c r="A31" s="38"/>
      <c r="C31" s="64"/>
      <c r="D31" s="58">
        <f t="shared" si="10"/>
        <v>7</v>
      </c>
      <c r="E31" s="65">
        <f t="shared" si="11"/>
        <v>0.52068058566603348</v>
      </c>
      <c r="F31" s="65">
        <f t="shared" si="0"/>
        <v>1.0314791112335255</v>
      </c>
      <c r="G31" s="66">
        <f t="shared" si="1"/>
        <v>3.0773405497575039</v>
      </c>
      <c r="H31" s="78">
        <f t="shared" si="2"/>
        <v>0.60345147986233549</v>
      </c>
      <c r="I31" s="78">
        <f t="shared" si="3"/>
        <v>22.881151804778007</v>
      </c>
      <c r="J31" s="66">
        <f t="shared" si="4"/>
        <v>0.58503509503035867</v>
      </c>
      <c r="K31" s="66">
        <f t="shared" si="5"/>
        <v>0.25885807859850896</v>
      </c>
      <c r="L31" s="66">
        <f t="shared" si="6"/>
        <v>2.7620417569981006</v>
      </c>
      <c r="N31" s="69"/>
      <c r="O31" s="70"/>
      <c r="R31" s="92">
        <f t="shared" si="7"/>
        <v>0.60345147986233549</v>
      </c>
      <c r="S31" s="93">
        <f t="shared" si="8"/>
        <v>0.52068058566603348</v>
      </c>
      <c r="T31" s="94">
        <f t="shared" si="9"/>
        <v>22.881151804778007</v>
      </c>
      <c r="V31" s="9"/>
      <c r="W31" s="9"/>
    </row>
    <row r="32" spans="1:23" s="39" customFormat="1" ht="21.75" customHeight="1">
      <c r="A32" s="38"/>
      <c r="C32" s="64"/>
      <c r="D32" s="58">
        <f t="shared" si="10"/>
        <v>8</v>
      </c>
      <c r="E32" s="65">
        <f t="shared" si="11"/>
        <v>0.60746068327703906</v>
      </c>
      <c r="F32" s="65">
        <f t="shared" si="0"/>
        <v>1.2824655425235576</v>
      </c>
      <c r="G32" s="66">
        <f t="shared" si="1"/>
        <v>3.3902306413837549</v>
      </c>
      <c r="H32" s="78">
        <f t="shared" si="2"/>
        <v>0.81329608104597428</v>
      </c>
      <c r="I32" s="78">
        <f>E32+H$16</f>
        <v>22.967931902389012</v>
      </c>
      <c r="J32" s="66">
        <f t="shared" si="4"/>
        <v>0.63416602947913892</v>
      </c>
      <c r="K32" s="66">
        <f t="shared" si="5"/>
        <v>0.25978219590613716</v>
      </c>
      <c r="L32" s="66">
        <f t="shared" si="6"/>
        <v>3.0223820498311174</v>
      </c>
      <c r="N32" s="69"/>
      <c r="O32" s="70"/>
      <c r="R32" s="92">
        <f t="shared" si="7"/>
        <v>0.81329608104597428</v>
      </c>
      <c r="S32" s="93">
        <f t="shared" si="8"/>
        <v>0.60746068327703906</v>
      </c>
      <c r="T32" s="94">
        <f t="shared" si="9"/>
        <v>22.967931902389012</v>
      </c>
      <c r="V32" s="9"/>
      <c r="W32" s="9"/>
    </row>
    <row r="33" spans="1:23" s="39" customFormat="1" ht="21.75" customHeight="1">
      <c r="A33" s="38"/>
      <c r="C33" s="64"/>
      <c r="D33" s="58">
        <f t="shared" si="10"/>
        <v>9</v>
      </c>
      <c r="E33" s="65">
        <f t="shared" si="11"/>
        <v>0.69424078088804464</v>
      </c>
      <c r="F33" s="65">
        <f t="shared" si="0"/>
        <v>1.5560443298377167</v>
      </c>
      <c r="G33" s="66">
        <f t="shared" si="1"/>
        <v>3.7031207330100049</v>
      </c>
      <c r="H33" s="78">
        <f t="shared" si="2"/>
        <v>1.0584004810541163</v>
      </c>
      <c r="I33" s="78">
        <f t="shared" si="3"/>
        <v>23.054712000000016</v>
      </c>
      <c r="J33" s="66">
        <f t="shared" si="4"/>
        <v>0.68018658643516872</v>
      </c>
      <c r="K33" s="66">
        <f t="shared" si="5"/>
        <v>0.26063845877952257</v>
      </c>
      <c r="L33" s="66">
        <f t="shared" si="6"/>
        <v>3.2827223426641341</v>
      </c>
      <c r="N33" s="69"/>
      <c r="O33" s="70"/>
      <c r="R33" s="92">
        <f t="shared" si="7"/>
        <v>1.0584004810541163</v>
      </c>
      <c r="S33" s="93">
        <f t="shared" si="8"/>
        <v>0.69424078088804464</v>
      </c>
      <c r="T33" s="94">
        <f t="shared" si="9"/>
        <v>23.054712000000016</v>
      </c>
      <c r="V33" s="9"/>
      <c r="W33" s="9"/>
    </row>
    <row r="34" spans="1:23" s="39" customFormat="1" ht="21.75" customHeight="1">
      <c r="A34" s="38"/>
      <c r="C34" s="64"/>
      <c r="D34" s="58">
        <f t="shared" si="10"/>
        <v>10</v>
      </c>
      <c r="E34" s="65">
        <f t="shared" si="11"/>
        <v>0.78102087849905022</v>
      </c>
      <c r="F34" s="65">
        <f t="shared" si="0"/>
        <v>1.8522154731760025</v>
      </c>
      <c r="G34" s="66">
        <f t="shared" si="1"/>
        <v>4.0160108246362558</v>
      </c>
      <c r="H34" s="78">
        <f t="shared" si="2"/>
        <v>1.3405445892996923</v>
      </c>
      <c r="I34" s="78">
        <f t="shared" si="3"/>
        <v>23.141492097611021</v>
      </c>
      <c r="J34" s="66">
        <f t="shared" si="4"/>
        <v>0.72375196553187959</v>
      </c>
      <c r="K34" s="66">
        <f t="shared" si="5"/>
        <v>0.26147124248706077</v>
      </c>
      <c r="L34" s="66">
        <f t="shared" si="6"/>
        <v>3.5430626354971508</v>
      </c>
      <c r="N34" s="69"/>
      <c r="O34" s="70"/>
      <c r="R34" s="92">
        <f t="shared" si="7"/>
        <v>1.3405445892996923</v>
      </c>
      <c r="S34" s="93">
        <f t="shared" si="8"/>
        <v>0.78102087849905022</v>
      </c>
      <c r="T34" s="94">
        <f t="shared" si="9"/>
        <v>23.141492097611021</v>
      </c>
      <c r="V34" s="9"/>
      <c r="W34" s="9"/>
    </row>
    <row r="35" spans="1:23" s="39" customFormat="1" ht="21.75" customHeight="1">
      <c r="A35" s="38"/>
      <c r="C35" s="64"/>
      <c r="D35" s="62">
        <f>D34+1</f>
        <v>11</v>
      </c>
      <c r="E35" s="71">
        <f t="shared" si="11"/>
        <v>0.8678009761100558</v>
      </c>
      <c r="F35" s="71">
        <f t="shared" si="0"/>
        <v>2.1709789725384154</v>
      </c>
      <c r="G35" s="72">
        <f t="shared" si="1"/>
        <v>4.3289009162625067</v>
      </c>
      <c r="H35" s="79">
        <f t="shared" si="2"/>
        <v>1.6614971429292222</v>
      </c>
      <c r="I35" s="79">
        <f>E35+H$16</f>
        <v>23.228272195222026</v>
      </c>
      <c r="J35" s="72">
        <f t="shared" si="4"/>
        <v>0.76532161939206533</v>
      </c>
      <c r="K35" s="72">
        <f t="shared" si="5"/>
        <v>0.26230067666265044</v>
      </c>
      <c r="L35" s="72">
        <f t="shared" si="6"/>
        <v>3.8034029283301676</v>
      </c>
      <c r="N35" s="69"/>
      <c r="O35" s="70"/>
      <c r="Q35" s="73"/>
      <c r="R35" s="92">
        <f t="shared" si="7"/>
        <v>1.6614971429292222</v>
      </c>
      <c r="S35" s="93">
        <f t="shared" si="8"/>
        <v>0.8678009761100558</v>
      </c>
      <c r="T35" s="94">
        <f t="shared" si="9"/>
        <v>23.228272195222026</v>
      </c>
      <c r="V35" s="9"/>
      <c r="W35" s="9"/>
    </row>
    <row r="36" spans="1:23" s="33" customFormat="1" ht="21.75" customHeight="1">
      <c r="A36" s="45"/>
      <c r="C36" s="39"/>
      <c r="D36" s="39"/>
      <c r="E36" s="39"/>
      <c r="G36" s="55"/>
      <c r="H36" s="47"/>
      <c r="I36" s="47"/>
      <c r="L36" s="49"/>
      <c r="O36" s="50"/>
      <c r="R36" s="91"/>
      <c r="S36" s="91"/>
      <c r="T36" s="9"/>
      <c r="U36" s="9"/>
      <c r="V36" s="9"/>
      <c r="W36" s="9"/>
    </row>
    <row r="37" spans="1:23" s="33" customFormat="1" ht="21.75" customHeight="1">
      <c r="A37" s="45"/>
      <c r="C37" s="39"/>
      <c r="D37" s="39"/>
      <c r="E37" s="39"/>
      <c r="G37" s="55"/>
      <c r="H37" s="47"/>
      <c r="I37" s="47"/>
      <c r="L37" s="49"/>
      <c r="O37" s="50"/>
      <c r="R37" s="91"/>
      <c r="S37" s="91"/>
      <c r="T37" s="9"/>
      <c r="U37" s="9"/>
      <c r="V37" s="9"/>
      <c r="W37" s="9"/>
    </row>
    <row r="38" spans="1:23" s="33" customFormat="1" ht="21.75" customHeight="1">
      <c r="A38" s="45"/>
      <c r="C38" s="39"/>
      <c r="D38" s="39"/>
      <c r="E38" s="39"/>
      <c r="G38" s="55"/>
      <c r="H38" s="47"/>
      <c r="I38" s="47"/>
      <c r="L38" s="49"/>
      <c r="O38" s="50"/>
      <c r="R38" s="91"/>
      <c r="S38" s="91"/>
      <c r="T38" s="9"/>
      <c r="U38" s="9"/>
      <c r="V38" s="9"/>
      <c r="W38" s="9"/>
    </row>
    <row r="39" spans="1:23" s="33" customFormat="1" ht="21.75" customHeight="1">
      <c r="A39" s="45"/>
      <c r="C39" s="39"/>
      <c r="D39" s="39"/>
      <c r="E39" s="39"/>
      <c r="G39" s="55"/>
      <c r="H39" s="47"/>
      <c r="I39" s="47"/>
      <c r="L39" s="49"/>
      <c r="O39" s="50"/>
      <c r="R39" s="91"/>
      <c r="S39" s="91"/>
      <c r="T39" s="9"/>
      <c r="U39" s="9"/>
      <c r="V39" s="9"/>
      <c r="W39" s="9"/>
    </row>
    <row r="40" spans="1:23" s="33" customFormat="1" ht="21.75" customHeight="1">
      <c r="A40" s="45"/>
      <c r="C40" s="39"/>
      <c r="D40" s="39"/>
      <c r="E40" s="39"/>
      <c r="G40" s="55"/>
      <c r="H40" s="47"/>
      <c r="I40" s="47"/>
      <c r="L40" s="49"/>
      <c r="O40" s="50"/>
      <c r="R40" s="91"/>
      <c r="S40" s="91"/>
      <c r="T40" s="9"/>
      <c r="U40" s="9"/>
      <c r="V40" s="9"/>
      <c r="W40" s="9"/>
    </row>
    <row r="41" spans="1:23" s="33" customFormat="1" ht="21.75" customHeight="1">
      <c r="A41" s="45"/>
      <c r="C41" s="39"/>
      <c r="D41" s="39"/>
      <c r="E41" s="39"/>
      <c r="G41" s="55"/>
      <c r="H41" s="47"/>
      <c r="I41" s="47"/>
      <c r="L41" s="49"/>
      <c r="O41" s="50"/>
      <c r="R41" s="91"/>
      <c r="S41" s="91"/>
      <c r="T41" s="9"/>
      <c r="U41" s="9"/>
      <c r="V41" s="9"/>
      <c r="W41" s="9"/>
    </row>
    <row r="42" spans="1:23" s="33" customFormat="1" ht="21.75" customHeight="1">
      <c r="A42" s="45"/>
      <c r="C42" s="39"/>
      <c r="D42" s="39"/>
      <c r="E42" s="39"/>
      <c r="G42" s="55"/>
      <c r="H42" s="47"/>
      <c r="I42" s="47"/>
      <c r="L42" s="49"/>
      <c r="O42" s="50"/>
      <c r="R42" s="91"/>
      <c r="S42" s="91"/>
    </row>
    <row r="43" spans="1:23" s="33" customFormat="1" ht="21.75" customHeight="1">
      <c r="A43" s="45"/>
      <c r="C43" s="39"/>
      <c r="D43" s="39"/>
      <c r="E43" s="39"/>
      <c r="G43" s="55"/>
      <c r="H43" s="47"/>
      <c r="I43" s="47"/>
      <c r="L43" s="49"/>
      <c r="O43" s="50"/>
      <c r="R43" s="91"/>
      <c r="S43" s="91"/>
    </row>
    <row r="44" spans="1:23" s="33" customFormat="1" ht="21.75" customHeight="1">
      <c r="A44" s="45"/>
      <c r="C44" s="39"/>
      <c r="D44" s="39"/>
      <c r="E44" s="39"/>
      <c r="G44" s="55"/>
      <c r="H44" s="47"/>
      <c r="I44" s="47"/>
      <c r="L44" s="49"/>
      <c r="O44" s="50"/>
      <c r="R44" s="91"/>
      <c r="S44" s="91"/>
    </row>
    <row r="45" spans="1:23" s="33" customFormat="1" ht="21.75" customHeight="1">
      <c r="A45" s="45"/>
      <c r="C45" s="39"/>
      <c r="D45" s="39"/>
      <c r="E45" s="39"/>
      <c r="G45" s="55"/>
      <c r="H45" s="47"/>
      <c r="I45" s="47"/>
      <c r="L45" s="49"/>
      <c r="O45" s="50"/>
      <c r="R45" s="91"/>
      <c r="S45" s="91"/>
    </row>
    <row r="46" spans="1:23" s="33" customFormat="1" ht="21.75" customHeight="1">
      <c r="A46" s="45"/>
      <c r="C46" s="39"/>
      <c r="D46" s="39"/>
      <c r="E46" s="39"/>
      <c r="G46" s="55"/>
      <c r="H46" s="47"/>
      <c r="I46" s="47"/>
      <c r="L46" s="49"/>
      <c r="O46" s="50"/>
      <c r="R46" s="91"/>
      <c r="S46" s="91"/>
    </row>
    <row r="47" spans="1:23" s="30" customFormat="1" ht="28.5" customHeight="1">
      <c r="A47" s="74"/>
      <c r="B47" s="36"/>
      <c r="C47" s="36"/>
      <c r="D47" s="36"/>
      <c r="E47" s="36"/>
      <c r="F47" s="36"/>
      <c r="G47" s="36"/>
      <c r="H47" s="14"/>
      <c r="I47" s="14"/>
      <c r="J47" s="75"/>
      <c r="K47" s="76"/>
      <c r="L47" s="76"/>
      <c r="M47" s="339"/>
      <c r="N47" s="339"/>
      <c r="O47" s="340"/>
      <c r="P47" s="36"/>
      <c r="R47" s="11"/>
      <c r="S47" s="11"/>
    </row>
  </sheetData>
  <mergeCells count="22">
    <mergeCell ref="M47:O47"/>
    <mergeCell ref="B4:G4"/>
    <mergeCell ref="B5:G6"/>
    <mergeCell ref="D20:F20"/>
    <mergeCell ref="L21:L23"/>
    <mergeCell ref="D22:D23"/>
    <mergeCell ref="C15:F15"/>
    <mergeCell ref="L15:O15"/>
    <mergeCell ref="C16:F16"/>
    <mergeCell ref="L16:O16"/>
    <mergeCell ref="C17:F17"/>
    <mergeCell ref="L17:O17"/>
    <mergeCell ref="C12:F12"/>
    <mergeCell ref="L12:O12"/>
    <mergeCell ref="C13:F13"/>
    <mergeCell ref="L13:O13"/>
    <mergeCell ref="C14:F14"/>
    <mergeCell ref="L14:O14"/>
    <mergeCell ref="B1:K1"/>
    <mergeCell ref="B2:K3"/>
    <mergeCell ref="K4:O4"/>
    <mergeCell ref="L5:O5"/>
  </mergeCells>
  <dataValidations count="1">
    <dataValidation type="textLength" allowBlank="1" showInputMessage="1" showErrorMessage="1" sqref="L24:L35 JI24:JI35 TE24:TE35 ADA24:ADA35 AMW24:AMW35 AWS24:AWS35 BGO24:BGO35 BQK24:BQK35 CAG24:CAG35 CKC24:CKC35 CTY24:CTY35 DDU24:DDU35 DNQ24:DNQ35 DXM24:DXM35 EHI24:EHI35 ERE24:ERE35 FBA24:FBA35 FKW24:FKW35 FUS24:FUS35 GEO24:GEO35 GOK24:GOK35 GYG24:GYG35 HIC24:HIC35 HRY24:HRY35 IBU24:IBU35 ILQ24:ILQ35 IVM24:IVM35 JFI24:JFI35 JPE24:JPE35 JZA24:JZA35 KIW24:KIW35 KSS24:KSS35 LCO24:LCO35 LMK24:LMK35 LWG24:LWG35 MGC24:MGC35 MPY24:MPY35 MZU24:MZU35 NJQ24:NJQ35 NTM24:NTM35 ODI24:ODI35 ONE24:ONE35 OXA24:OXA35 PGW24:PGW35 PQS24:PQS35 QAO24:QAO35 QKK24:QKK35 QUG24:QUG35 REC24:REC35 RNY24:RNY35 RXU24:RXU35 SHQ24:SHQ35 SRM24:SRM35 TBI24:TBI35 TLE24:TLE35 TVA24:TVA35 UEW24:UEW35 UOS24:UOS35 UYO24:UYO35 VIK24:VIK35 VSG24:VSG35 WCC24:WCC35 WLY24:WLY35 WVU24:WVU35 M65560:M65571 JI65560:JI65571 TE65560:TE65571 ADA65560:ADA65571 AMW65560:AMW65571 AWS65560:AWS65571 BGO65560:BGO65571 BQK65560:BQK65571 CAG65560:CAG65571 CKC65560:CKC65571 CTY65560:CTY65571 DDU65560:DDU65571 DNQ65560:DNQ65571 DXM65560:DXM65571 EHI65560:EHI65571 ERE65560:ERE65571 FBA65560:FBA65571 FKW65560:FKW65571 FUS65560:FUS65571 GEO65560:GEO65571 GOK65560:GOK65571 GYG65560:GYG65571 HIC65560:HIC65571 HRY65560:HRY65571 IBU65560:IBU65571 ILQ65560:ILQ65571 IVM65560:IVM65571 JFI65560:JFI65571 JPE65560:JPE65571 JZA65560:JZA65571 KIW65560:KIW65571 KSS65560:KSS65571 LCO65560:LCO65571 LMK65560:LMK65571 LWG65560:LWG65571 MGC65560:MGC65571 MPY65560:MPY65571 MZU65560:MZU65571 NJQ65560:NJQ65571 NTM65560:NTM65571 ODI65560:ODI65571 ONE65560:ONE65571 OXA65560:OXA65571 PGW65560:PGW65571 PQS65560:PQS65571 QAO65560:QAO65571 QKK65560:QKK65571 QUG65560:QUG65571 REC65560:REC65571 RNY65560:RNY65571 RXU65560:RXU65571 SHQ65560:SHQ65571 SRM65560:SRM65571 TBI65560:TBI65571 TLE65560:TLE65571 TVA65560:TVA65571 UEW65560:UEW65571 UOS65560:UOS65571 UYO65560:UYO65571 VIK65560:VIK65571 VSG65560:VSG65571 WCC65560:WCC65571 WLY65560:WLY65571 WVU65560:WVU65571 M131096:M131107 JI131096:JI131107 TE131096:TE131107 ADA131096:ADA131107 AMW131096:AMW131107 AWS131096:AWS131107 BGO131096:BGO131107 BQK131096:BQK131107 CAG131096:CAG131107 CKC131096:CKC131107 CTY131096:CTY131107 DDU131096:DDU131107 DNQ131096:DNQ131107 DXM131096:DXM131107 EHI131096:EHI131107 ERE131096:ERE131107 FBA131096:FBA131107 FKW131096:FKW131107 FUS131096:FUS131107 GEO131096:GEO131107 GOK131096:GOK131107 GYG131096:GYG131107 HIC131096:HIC131107 HRY131096:HRY131107 IBU131096:IBU131107 ILQ131096:ILQ131107 IVM131096:IVM131107 JFI131096:JFI131107 JPE131096:JPE131107 JZA131096:JZA131107 KIW131096:KIW131107 KSS131096:KSS131107 LCO131096:LCO131107 LMK131096:LMK131107 LWG131096:LWG131107 MGC131096:MGC131107 MPY131096:MPY131107 MZU131096:MZU131107 NJQ131096:NJQ131107 NTM131096:NTM131107 ODI131096:ODI131107 ONE131096:ONE131107 OXA131096:OXA131107 PGW131096:PGW131107 PQS131096:PQS131107 QAO131096:QAO131107 QKK131096:QKK131107 QUG131096:QUG131107 REC131096:REC131107 RNY131096:RNY131107 RXU131096:RXU131107 SHQ131096:SHQ131107 SRM131096:SRM131107 TBI131096:TBI131107 TLE131096:TLE131107 TVA131096:TVA131107 UEW131096:UEW131107 UOS131096:UOS131107 UYO131096:UYO131107 VIK131096:VIK131107 VSG131096:VSG131107 WCC131096:WCC131107 WLY131096:WLY131107 WVU131096:WVU131107 M196632:M196643 JI196632:JI196643 TE196632:TE196643 ADA196632:ADA196643 AMW196632:AMW196643 AWS196632:AWS196643 BGO196632:BGO196643 BQK196632:BQK196643 CAG196632:CAG196643 CKC196632:CKC196643 CTY196632:CTY196643 DDU196632:DDU196643 DNQ196632:DNQ196643 DXM196632:DXM196643 EHI196632:EHI196643 ERE196632:ERE196643 FBA196632:FBA196643 FKW196632:FKW196643 FUS196632:FUS196643 GEO196632:GEO196643 GOK196632:GOK196643 GYG196632:GYG196643 HIC196632:HIC196643 HRY196632:HRY196643 IBU196632:IBU196643 ILQ196632:ILQ196643 IVM196632:IVM196643 JFI196632:JFI196643 JPE196632:JPE196643 JZA196632:JZA196643 KIW196632:KIW196643 KSS196632:KSS196643 LCO196632:LCO196643 LMK196632:LMK196643 LWG196632:LWG196643 MGC196632:MGC196643 MPY196632:MPY196643 MZU196632:MZU196643 NJQ196632:NJQ196643 NTM196632:NTM196643 ODI196632:ODI196643 ONE196632:ONE196643 OXA196632:OXA196643 PGW196632:PGW196643 PQS196632:PQS196643 QAO196632:QAO196643 QKK196632:QKK196643 QUG196632:QUG196643 REC196632:REC196643 RNY196632:RNY196643 RXU196632:RXU196643 SHQ196632:SHQ196643 SRM196632:SRM196643 TBI196632:TBI196643 TLE196632:TLE196643 TVA196632:TVA196643 UEW196632:UEW196643 UOS196632:UOS196643 UYO196632:UYO196643 VIK196632:VIK196643 VSG196632:VSG196643 WCC196632:WCC196643 WLY196632:WLY196643 WVU196632:WVU196643 M262168:M262179 JI262168:JI262179 TE262168:TE262179 ADA262168:ADA262179 AMW262168:AMW262179 AWS262168:AWS262179 BGO262168:BGO262179 BQK262168:BQK262179 CAG262168:CAG262179 CKC262168:CKC262179 CTY262168:CTY262179 DDU262168:DDU262179 DNQ262168:DNQ262179 DXM262168:DXM262179 EHI262168:EHI262179 ERE262168:ERE262179 FBA262168:FBA262179 FKW262168:FKW262179 FUS262168:FUS262179 GEO262168:GEO262179 GOK262168:GOK262179 GYG262168:GYG262179 HIC262168:HIC262179 HRY262168:HRY262179 IBU262168:IBU262179 ILQ262168:ILQ262179 IVM262168:IVM262179 JFI262168:JFI262179 JPE262168:JPE262179 JZA262168:JZA262179 KIW262168:KIW262179 KSS262168:KSS262179 LCO262168:LCO262179 LMK262168:LMK262179 LWG262168:LWG262179 MGC262168:MGC262179 MPY262168:MPY262179 MZU262168:MZU262179 NJQ262168:NJQ262179 NTM262168:NTM262179 ODI262168:ODI262179 ONE262168:ONE262179 OXA262168:OXA262179 PGW262168:PGW262179 PQS262168:PQS262179 QAO262168:QAO262179 QKK262168:QKK262179 QUG262168:QUG262179 REC262168:REC262179 RNY262168:RNY262179 RXU262168:RXU262179 SHQ262168:SHQ262179 SRM262168:SRM262179 TBI262168:TBI262179 TLE262168:TLE262179 TVA262168:TVA262179 UEW262168:UEW262179 UOS262168:UOS262179 UYO262168:UYO262179 VIK262168:VIK262179 VSG262168:VSG262179 WCC262168:WCC262179 WLY262168:WLY262179 WVU262168:WVU262179 M327704:M327715 JI327704:JI327715 TE327704:TE327715 ADA327704:ADA327715 AMW327704:AMW327715 AWS327704:AWS327715 BGO327704:BGO327715 BQK327704:BQK327715 CAG327704:CAG327715 CKC327704:CKC327715 CTY327704:CTY327715 DDU327704:DDU327715 DNQ327704:DNQ327715 DXM327704:DXM327715 EHI327704:EHI327715 ERE327704:ERE327715 FBA327704:FBA327715 FKW327704:FKW327715 FUS327704:FUS327715 GEO327704:GEO327715 GOK327704:GOK327715 GYG327704:GYG327715 HIC327704:HIC327715 HRY327704:HRY327715 IBU327704:IBU327715 ILQ327704:ILQ327715 IVM327704:IVM327715 JFI327704:JFI327715 JPE327704:JPE327715 JZA327704:JZA327715 KIW327704:KIW327715 KSS327704:KSS327715 LCO327704:LCO327715 LMK327704:LMK327715 LWG327704:LWG327715 MGC327704:MGC327715 MPY327704:MPY327715 MZU327704:MZU327715 NJQ327704:NJQ327715 NTM327704:NTM327715 ODI327704:ODI327715 ONE327704:ONE327715 OXA327704:OXA327715 PGW327704:PGW327715 PQS327704:PQS327715 QAO327704:QAO327715 QKK327704:QKK327715 QUG327704:QUG327715 REC327704:REC327715 RNY327704:RNY327715 RXU327704:RXU327715 SHQ327704:SHQ327715 SRM327704:SRM327715 TBI327704:TBI327715 TLE327704:TLE327715 TVA327704:TVA327715 UEW327704:UEW327715 UOS327704:UOS327715 UYO327704:UYO327715 VIK327704:VIK327715 VSG327704:VSG327715 WCC327704:WCC327715 WLY327704:WLY327715 WVU327704:WVU327715 M393240:M393251 JI393240:JI393251 TE393240:TE393251 ADA393240:ADA393251 AMW393240:AMW393251 AWS393240:AWS393251 BGO393240:BGO393251 BQK393240:BQK393251 CAG393240:CAG393251 CKC393240:CKC393251 CTY393240:CTY393251 DDU393240:DDU393251 DNQ393240:DNQ393251 DXM393240:DXM393251 EHI393240:EHI393251 ERE393240:ERE393251 FBA393240:FBA393251 FKW393240:FKW393251 FUS393240:FUS393251 GEO393240:GEO393251 GOK393240:GOK393251 GYG393240:GYG393251 HIC393240:HIC393251 HRY393240:HRY393251 IBU393240:IBU393251 ILQ393240:ILQ393251 IVM393240:IVM393251 JFI393240:JFI393251 JPE393240:JPE393251 JZA393240:JZA393251 KIW393240:KIW393251 KSS393240:KSS393251 LCO393240:LCO393251 LMK393240:LMK393251 LWG393240:LWG393251 MGC393240:MGC393251 MPY393240:MPY393251 MZU393240:MZU393251 NJQ393240:NJQ393251 NTM393240:NTM393251 ODI393240:ODI393251 ONE393240:ONE393251 OXA393240:OXA393251 PGW393240:PGW393251 PQS393240:PQS393251 QAO393240:QAO393251 QKK393240:QKK393251 QUG393240:QUG393251 REC393240:REC393251 RNY393240:RNY393251 RXU393240:RXU393251 SHQ393240:SHQ393251 SRM393240:SRM393251 TBI393240:TBI393251 TLE393240:TLE393251 TVA393240:TVA393251 UEW393240:UEW393251 UOS393240:UOS393251 UYO393240:UYO393251 VIK393240:VIK393251 VSG393240:VSG393251 WCC393240:WCC393251 WLY393240:WLY393251 WVU393240:WVU393251 M458776:M458787 JI458776:JI458787 TE458776:TE458787 ADA458776:ADA458787 AMW458776:AMW458787 AWS458776:AWS458787 BGO458776:BGO458787 BQK458776:BQK458787 CAG458776:CAG458787 CKC458776:CKC458787 CTY458776:CTY458787 DDU458776:DDU458787 DNQ458776:DNQ458787 DXM458776:DXM458787 EHI458776:EHI458787 ERE458776:ERE458787 FBA458776:FBA458787 FKW458776:FKW458787 FUS458776:FUS458787 GEO458776:GEO458787 GOK458776:GOK458787 GYG458776:GYG458787 HIC458776:HIC458787 HRY458776:HRY458787 IBU458776:IBU458787 ILQ458776:ILQ458787 IVM458776:IVM458787 JFI458776:JFI458787 JPE458776:JPE458787 JZA458776:JZA458787 KIW458776:KIW458787 KSS458776:KSS458787 LCO458776:LCO458787 LMK458776:LMK458787 LWG458776:LWG458787 MGC458776:MGC458787 MPY458776:MPY458787 MZU458776:MZU458787 NJQ458776:NJQ458787 NTM458776:NTM458787 ODI458776:ODI458787 ONE458776:ONE458787 OXA458776:OXA458787 PGW458776:PGW458787 PQS458776:PQS458787 QAO458776:QAO458787 QKK458776:QKK458787 QUG458776:QUG458787 REC458776:REC458787 RNY458776:RNY458787 RXU458776:RXU458787 SHQ458776:SHQ458787 SRM458776:SRM458787 TBI458776:TBI458787 TLE458776:TLE458787 TVA458776:TVA458787 UEW458776:UEW458787 UOS458776:UOS458787 UYO458776:UYO458787 VIK458776:VIK458787 VSG458776:VSG458787 WCC458776:WCC458787 WLY458776:WLY458787 WVU458776:WVU458787 M524312:M524323 JI524312:JI524323 TE524312:TE524323 ADA524312:ADA524323 AMW524312:AMW524323 AWS524312:AWS524323 BGO524312:BGO524323 BQK524312:BQK524323 CAG524312:CAG524323 CKC524312:CKC524323 CTY524312:CTY524323 DDU524312:DDU524323 DNQ524312:DNQ524323 DXM524312:DXM524323 EHI524312:EHI524323 ERE524312:ERE524323 FBA524312:FBA524323 FKW524312:FKW524323 FUS524312:FUS524323 GEO524312:GEO524323 GOK524312:GOK524323 GYG524312:GYG524323 HIC524312:HIC524323 HRY524312:HRY524323 IBU524312:IBU524323 ILQ524312:ILQ524323 IVM524312:IVM524323 JFI524312:JFI524323 JPE524312:JPE524323 JZA524312:JZA524323 KIW524312:KIW524323 KSS524312:KSS524323 LCO524312:LCO524323 LMK524312:LMK524323 LWG524312:LWG524323 MGC524312:MGC524323 MPY524312:MPY524323 MZU524312:MZU524323 NJQ524312:NJQ524323 NTM524312:NTM524323 ODI524312:ODI524323 ONE524312:ONE524323 OXA524312:OXA524323 PGW524312:PGW524323 PQS524312:PQS524323 QAO524312:QAO524323 QKK524312:QKK524323 QUG524312:QUG524323 REC524312:REC524323 RNY524312:RNY524323 RXU524312:RXU524323 SHQ524312:SHQ524323 SRM524312:SRM524323 TBI524312:TBI524323 TLE524312:TLE524323 TVA524312:TVA524323 UEW524312:UEW524323 UOS524312:UOS524323 UYO524312:UYO524323 VIK524312:VIK524323 VSG524312:VSG524323 WCC524312:WCC524323 WLY524312:WLY524323 WVU524312:WVU524323 M589848:M589859 JI589848:JI589859 TE589848:TE589859 ADA589848:ADA589859 AMW589848:AMW589859 AWS589848:AWS589859 BGO589848:BGO589859 BQK589848:BQK589859 CAG589848:CAG589859 CKC589848:CKC589859 CTY589848:CTY589859 DDU589848:DDU589859 DNQ589848:DNQ589859 DXM589848:DXM589859 EHI589848:EHI589859 ERE589848:ERE589859 FBA589848:FBA589859 FKW589848:FKW589859 FUS589848:FUS589859 GEO589848:GEO589859 GOK589848:GOK589859 GYG589848:GYG589859 HIC589848:HIC589859 HRY589848:HRY589859 IBU589848:IBU589859 ILQ589848:ILQ589859 IVM589848:IVM589859 JFI589848:JFI589859 JPE589848:JPE589859 JZA589848:JZA589859 KIW589848:KIW589859 KSS589848:KSS589859 LCO589848:LCO589859 LMK589848:LMK589859 LWG589848:LWG589859 MGC589848:MGC589859 MPY589848:MPY589859 MZU589848:MZU589859 NJQ589848:NJQ589859 NTM589848:NTM589859 ODI589848:ODI589859 ONE589848:ONE589859 OXA589848:OXA589859 PGW589848:PGW589859 PQS589848:PQS589859 QAO589848:QAO589859 QKK589848:QKK589859 QUG589848:QUG589859 REC589848:REC589859 RNY589848:RNY589859 RXU589848:RXU589859 SHQ589848:SHQ589859 SRM589848:SRM589859 TBI589848:TBI589859 TLE589848:TLE589859 TVA589848:TVA589859 UEW589848:UEW589859 UOS589848:UOS589859 UYO589848:UYO589859 VIK589848:VIK589859 VSG589848:VSG589859 WCC589848:WCC589859 WLY589848:WLY589859 WVU589848:WVU589859 M655384:M655395 JI655384:JI655395 TE655384:TE655395 ADA655384:ADA655395 AMW655384:AMW655395 AWS655384:AWS655395 BGO655384:BGO655395 BQK655384:BQK655395 CAG655384:CAG655395 CKC655384:CKC655395 CTY655384:CTY655395 DDU655384:DDU655395 DNQ655384:DNQ655395 DXM655384:DXM655395 EHI655384:EHI655395 ERE655384:ERE655395 FBA655384:FBA655395 FKW655384:FKW655395 FUS655384:FUS655395 GEO655384:GEO655395 GOK655384:GOK655395 GYG655384:GYG655395 HIC655384:HIC655395 HRY655384:HRY655395 IBU655384:IBU655395 ILQ655384:ILQ655395 IVM655384:IVM655395 JFI655384:JFI655395 JPE655384:JPE655395 JZA655384:JZA655395 KIW655384:KIW655395 KSS655384:KSS655395 LCO655384:LCO655395 LMK655384:LMK655395 LWG655384:LWG655395 MGC655384:MGC655395 MPY655384:MPY655395 MZU655384:MZU655395 NJQ655384:NJQ655395 NTM655384:NTM655395 ODI655384:ODI655395 ONE655384:ONE655395 OXA655384:OXA655395 PGW655384:PGW655395 PQS655384:PQS655395 QAO655384:QAO655395 QKK655384:QKK655395 QUG655384:QUG655395 REC655384:REC655395 RNY655384:RNY655395 RXU655384:RXU655395 SHQ655384:SHQ655395 SRM655384:SRM655395 TBI655384:TBI655395 TLE655384:TLE655395 TVA655384:TVA655395 UEW655384:UEW655395 UOS655384:UOS655395 UYO655384:UYO655395 VIK655384:VIK655395 VSG655384:VSG655395 WCC655384:WCC655395 WLY655384:WLY655395 WVU655384:WVU655395 M720920:M720931 JI720920:JI720931 TE720920:TE720931 ADA720920:ADA720931 AMW720920:AMW720931 AWS720920:AWS720931 BGO720920:BGO720931 BQK720920:BQK720931 CAG720920:CAG720931 CKC720920:CKC720931 CTY720920:CTY720931 DDU720920:DDU720931 DNQ720920:DNQ720931 DXM720920:DXM720931 EHI720920:EHI720931 ERE720920:ERE720931 FBA720920:FBA720931 FKW720920:FKW720931 FUS720920:FUS720931 GEO720920:GEO720931 GOK720920:GOK720931 GYG720920:GYG720931 HIC720920:HIC720931 HRY720920:HRY720931 IBU720920:IBU720931 ILQ720920:ILQ720931 IVM720920:IVM720931 JFI720920:JFI720931 JPE720920:JPE720931 JZA720920:JZA720931 KIW720920:KIW720931 KSS720920:KSS720931 LCO720920:LCO720931 LMK720920:LMK720931 LWG720920:LWG720931 MGC720920:MGC720931 MPY720920:MPY720931 MZU720920:MZU720931 NJQ720920:NJQ720931 NTM720920:NTM720931 ODI720920:ODI720931 ONE720920:ONE720931 OXA720920:OXA720931 PGW720920:PGW720931 PQS720920:PQS720931 QAO720920:QAO720931 QKK720920:QKK720931 QUG720920:QUG720931 REC720920:REC720931 RNY720920:RNY720931 RXU720920:RXU720931 SHQ720920:SHQ720931 SRM720920:SRM720931 TBI720920:TBI720931 TLE720920:TLE720931 TVA720920:TVA720931 UEW720920:UEW720931 UOS720920:UOS720931 UYO720920:UYO720931 VIK720920:VIK720931 VSG720920:VSG720931 WCC720920:WCC720931 WLY720920:WLY720931 WVU720920:WVU720931 M786456:M786467 JI786456:JI786467 TE786456:TE786467 ADA786456:ADA786467 AMW786456:AMW786467 AWS786456:AWS786467 BGO786456:BGO786467 BQK786456:BQK786467 CAG786456:CAG786467 CKC786456:CKC786467 CTY786456:CTY786467 DDU786456:DDU786467 DNQ786456:DNQ786467 DXM786456:DXM786467 EHI786456:EHI786467 ERE786456:ERE786467 FBA786456:FBA786467 FKW786456:FKW786467 FUS786456:FUS786467 GEO786456:GEO786467 GOK786456:GOK786467 GYG786456:GYG786467 HIC786456:HIC786467 HRY786456:HRY786467 IBU786456:IBU786467 ILQ786456:ILQ786467 IVM786456:IVM786467 JFI786456:JFI786467 JPE786456:JPE786467 JZA786456:JZA786467 KIW786456:KIW786467 KSS786456:KSS786467 LCO786456:LCO786467 LMK786456:LMK786467 LWG786456:LWG786467 MGC786456:MGC786467 MPY786456:MPY786467 MZU786456:MZU786467 NJQ786456:NJQ786467 NTM786456:NTM786467 ODI786456:ODI786467 ONE786456:ONE786467 OXA786456:OXA786467 PGW786456:PGW786467 PQS786456:PQS786467 QAO786456:QAO786467 QKK786456:QKK786467 QUG786456:QUG786467 REC786456:REC786467 RNY786456:RNY786467 RXU786456:RXU786467 SHQ786456:SHQ786467 SRM786456:SRM786467 TBI786456:TBI786467 TLE786456:TLE786467 TVA786456:TVA786467 UEW786456:UEW786467 UOS786456:UOS786467 UYO786456:UYO786467 VIK786456:VIK786467 VSG786456:VSG786467 WCC786456:WCC786467 WLY786456:WLY786467 WVU786456:WVU786467 M851992:M852003 JI851992:JI852003 TE851992:TE852003 ADA851992:ADA852003 AMW851992:AMW852003 AWS851992:AWS852003 BGO851992:BGO852003 BQK851992:BQK852003 CAG851992:CAG852003 CKC851992:CKC852003 CTY851992:CTY852003 DDU851992:DDU852003 DNQ851992:DNQ852003 DXM851992:DXM852003 EHI851992:EHI852003 ERE851992:ERE852003 FBA851992:FBA852003 FKW851992:FKW852003 FUS851992:FUS852003 GEO851992:GEO852003 GOK851992:GOK852003 GYG851992:GYG852003 HIC851992:HIC852003 HRY851992:HRY852003 IBU851992:IBU852003 ILQ851992:ILQ852003 IVM851992:IVM852003 JFI851992:JFI852003 JPE851992:JPE852003 JZA851992:JZA852003 KIW851992:KIW852003 KSS851992:KSS852003 LCO851992:LCO852003 LMK851992:LMK852003 LWG851992:LWG852003 MGC851992:MGC852003 MPY851992:MPY852003 MZU851992:MZU852003 NJQ851992:NJQ852003 NTM851992:NTM852003 ODI851992:ODI852003 ONE851992:ONE852003 OXA851992:OXA852003 PGW851992:PGW852003 PQS851992:PQS852003 QAO851992:QAO852003 QKK851992:QKK852003 QUG851992:QUG852003 REC851992:REC852003 RNY851992:RNY852003 RXU851992:RXU852003 SHQ851992:SHQ852003 SRM851992:SRM852003 TBI851992:TBI852003 TLE851992:TLE852003 TVA851992:TVA852003 UEW851992:UEW852003 UOS851992:UOS852003 UYO851992:UYO852003 VIK851992:VIK852003 VSG851992:VSG852003 WCC851992:WCC852003 WLY851992:WLY852003 WVU851992:WVU852003 M917528:M917539 JI917528:JI917539 TE917528:TE917539 ADA917528:ADA917539 AMW917528:AMW917539 AWS917528:AWS917539 BGO917528:BGO917539 BQK917528:BQK917539 CAG917528:CAG917539 CKC917528:CKC917539 CTY917528:CTY917539 DDU917528:DDU917539 DNQ917528:DNQ917539 DXM917528:DXM917539 EHI917528:EHI917539 ERE917528:ERE917539 FBA917528:FBA917539 FKW917528:FKW917539 FUS917528:FUS917539 GEO917528:GEO917539 GOK917528:GOK917539 GYG917528:GYG917539 HIC917528:HIC917539 HRY917528:HRY917539 IBU917528:IBU917539 ILQ917528:ILQ917539 IVM917528:IVM917539 JFI917528:JFI917539 JPE917528:JPE917539 JZA917528:JZA917539 KIW917528:KIW917539 KSS917528:KSS917539 LCO917528:LCO917539 LMK917528:LMK917539 LWG917528:LWG917539 MGC917528:MGC917539 MPY917528:MPY917539 MZU917528:MZU917539 NJQ917528:NJQ917539 NTM917528:NTM917539 ODI917528:ODI917539 ONE917528:ONE917539 OXA917528:OXA917539 PGW917528:PGW917539 PQS917528:PQS917539 QAO917528:QAO917539 QKK917528:QKK917539 QUG917528:QUG917539 REC917528:REC917539 RNY917528:RNY917539 RXU917528:RXU917539 SHQ917528:SHQ917539 SRM917528:SRM917539 TBI917528:TBI917539 TLE917528:TLE917539 TVA917528:TVA917539 UEW917528:UEW917539 UOS917528:UOS917539 UYO917528:UYO917539 VIK917528:VIK917539 VSG917528:VSG917539 WCC917528:WCC917539 WLY917528:WLY917539 WVU917528:WVU917539 M983064:M983075 JI983064:JI983075 TE983064:TE983075 ADA983064:ADA983075 AMW983064:AMW983075 AWS983064:AWS983075 BGO983064:BGO983075 BQK983064:BQK983075 CAG983064:CAG983075 CKC983064:CKC983075 CTY983064:CTY983075 DDU983064:DDU983075 DNQ983064:DNQ983075 DXM983064:DXM983075 EHI983064:EHI983075 ERE983064:ERE983075 FBA983064:FBA983075 FKW983064:FKW983075 FUS983064:FUS983075 GEO983064:GEO983075 GOK983064:GOK983075 GYG983064:GYG983075 HIC983064:HIC983075 HRY983064:HRY983075 IBU983064:IBU983075 ILQ983064:ILQ983075 IVM983064:IVM983075 JFI983064:JFI983075 JPE983064:JPE983075 JZA983064:JZA983075 KIW983064:KIW983075 KSS983064:KSS983075 LCO983064:LCO983075 LMK983064:LMK983075 LWG983064:LWG983075 MGC983064:MGC983075 MPY983064:MPY983075 MZU983064:MZU983075 NJQ983064:NJQ983075 NTM983064:NTM983075 ODI983064:ODI983075 ONE983064:ONE983075 OXA983064:OXA983075 PGW983064:PGW983075 PQS983064:PQS983075 QAO983064:QAO983075 QKK983064:QKK983075 QUG983064:QUG983075 REC983064:REC983075 RNY983064:RNY983075 RXU983064:RXU983075 SHQ983064:SHQ983075 SRM983064:SRM983075 TBI983064:TBI983075 TLE983064:TLE983075 TVA983064:TVA983075 UEW983064:UEW983075 UOS983064:UOS983075 UYO983064:UYO983075 VIK983064:VIK983075 VSG983064:VSG983075 WCC983064:WCC983075 WLY983064:WLY983075 WVU983064:WVU983075 O21:O35 JK21:JK35 TG21:TG35 ADC21:ADC35 AMY21:AMY35 AWU21:AWU35 BGQ21:BGQ35 BQM21:BQM35 CAI21:CAI35 CKE21:CKE35 CUA21:CUA35 DDW21:DDW35 DNS21:DNS35 DXO21:DXO35 EHK21:EHK35 ERG21:ERG35 FBC21:FBC35 FKY21:FKY35 FUU21:FUU35 GEQ21:GEQ35 GOM21:GOM35 GYI21:GYI35 HIE21:HIE35 HSA21:HSA35 IBW21:IBW35 ILS21:ILS35 IVO21:IVO35 JFK21:JFK35 JPG21:JPG35 JZC21:JZC35 KIY21:KIY35 KSU21:KSU35 LCQ21:LCQ35 LMM21:LMM35 LWI21:LWI35 MGE21:MGE35 MQA21:MQA35 MZW21:MZW35 NJS21:NJS35 NTO21:NTO35 ODK21:ODK35 ONG21:ONG35 OXC21:OXC35 PGY21:PGY35 PQU21:PQU35 QAQ21:QAQ35 QKM21:QKM35 QUI21:QUI35 REE21:REE35 ROA21:ROA35 RXW21:RXW35 SHS21:SHS35 SRO21:SRO35 TBK21:TBK35 TLG21:TLG35 TVC21:TVC35 UEY21:UEY35 UOU21:UOU35 UYQ21:UYQ35 VIM21:VIM35 VSI21:VSI35 WCE21:WCE35 WMA21:WMA35 WVW21:WVW35 O65557:O65571 JK65557:JK65571 TG65557:TG65571 ADC65557:ADC65571 AMY65557:AMY65571 AWU65557:AWU65571 BGQ65557:BGQ65571 BQM65557:BQM65571 CAI65557:CAI65571 CKE65557:CKE65571 CUA65557:CUA65571 DDW65557:DDW65571 DNS65557:DNS65571 DXO65557:DXO65571 EHK65557:EHK65571 ERG65557:ERG65571 FBC65557:FBC65571 FKY65557:FKY65571 FUU65557:FUU65571 GEQ65557:GEQ65571 GOM65557:GOM65571 GYI65557:GYI65571 HIE65557:HIE65571 HSA65557:HSA65571 IBW65557:IBW65571 ILS65557:ILS65571 IVO65557:IVO65571 JFK65557:JFK65571 JPG65557:JPG65571 JZC65557:JZC65571 KIY65557:KIY65571 KSU65557:KSU65571 LCQ65557:LCQ65571 LMM65557:LMM65571 LWI65557:LWI65571 MGE65557:MGE65571 MQA65557:MQA65571 MZW65557:MZW65571 NJS65557:NJS65571 NTO65557:NTO65571 ODK65557:ODK65571 ONG65557:ONG65571 OXC65557:OXC65571 PGY65557:PGY65571 PQU65557:PQU65571 QAQ65557:QAQ65571 QKM65557:QKM65571 QUI65557:QUI65571 REE65557:REE65571 ROA65557:ROA65571 RXW65557:RXW65571 SHS65557:SHS65571 SRO65557:SRO65571 TBK65557:TBK65571 TLG65557:TLG65571 TVC65557:TVC65571 UEY65557:UEY65571 UOU65557:UOU65571 UYQ65557:UYQ65571 VIM65557:VIM65571 VSI65557:VSI65571 WCE65557:WCE65571 WMA65557:WMA65571 WVW65557:WVW65571 O131093:O131107 JK131093:JK131107 TG131093:TG131107 ADC131093:ADC131107 AMY131093:AMY131107 AWU131093:AWU131107 BGQ131093:BGQ131107 BQM131093:BQM131107 CAI131093:CAI131107 CKE131093:CKE131107 CUA131093:CUA131107 DDW131093:DDW131107 DNS131093:DNS131107 DXO131093:DXO131107 EHK131093:EHK131107 ERG131093:ERG131107 FBC131093:FBC131107 FKY131093:FKY131107 FUU131093:FUU131107 GEQ131093:GEQ131107 GOM131093:GOM131107 GYI131093:GYI131107 HIE131093:HIE131107 HSA131093:HSA131107 IBW131093:IBW131107 ILS131093:ILS131107 IVO131093:IVO131107 JFK131093:JFK131107 JPG131093:JPG131107 JZC131093:JZC131107 KIY131093:KIY131107 KSU131093:KSU131107 LCQ131093:LCQ131107 LMM131093:LMM131107 LWI131093:LWI131107 MGE131093:MGE131107 MQA131093:MQA131107 MZW131093:MZW131107 NJS131093:NJS131107 NTO131093:NTO131107 ODK131093:ODK131107 ONG131093:ONG131107 OXC131093:OXC131107 PGY131093:PGY131107 PQU131093:PQU131107 QAQ131093:QAQ131107 QKM131093:QKM131107 QUI131093:QUI131107 REE131093:REE131107 ROA131093:ROA131107 RXW131093:RXW131107 SHS131093:SHS131107 SRO131093:SRO131107 TBK131093:TBK131107 TLG131093:TLG131107 TVC131093:TVC131107 UEY131093:UEY131107 UOU131093:UOU131107 UYQ131093:UYQ131107 VIM131093:VIM131107 VSI131093:VSI131107 WCE131093:WCE131107 WMA131093:WMA131107 WVW131093:WVW131107 O196629:O196643 JK196629:JK196643 TG196629:TG196643 ADC196629:ADC196643 AMY196629:AMY196643 AWU196629:AWU196643 BGQ196629:BGQ196643 BQM196629:BQM196643 CAI196629:CAI196643 CKE196629:CKE196643 CUA196629:CUA196643 DDW196629:DDW196643 DNS196629:DNS196643 DXO196629:DXO196643 EHK196629:EHK196643 ERG196629:ERG196643 FBC196629:FBC196643 FKY196629:FKY196643 FUU196629:FUU196643 GEQ196629:GEQ196643 GOM196629:GOM196643 GYI196629:GYI196643 HIE196629:HIE196643 HSA196629:HSA196643 IBW196629:IBW196643 ILS196629:ILS196643 IVO196629:IVO196643 JFK196629:JFK196643 JPG196629:JPG196643 JZC196629:JZC196643 KIY196629:KIY196643 KSU196629:KSU196643 LCQ196629:LCQ196643 LMM196629:LMM196643 LWI196629:LWI196643 MGE196629:MGE196643 MQA196629:MQA196643 MZW196629:MZW196643 NJS196629:NJS196643 NTO196629:NTO196643 ODK196629:ODK196643 ONG196629:ONG196643 OXC196629:OXC196643 PGY196629:PGY196643 PQU196629:PQU196643 QAQ196629:QAQ196643 QKM196629:QKM196643 QUI196629:QUI196643 REE196629:REE196643 ROA196629:ROA196643 RXW196629:RXW196643 SHS196629:SHS196643 SRO196629:SRO196643 TBK196629:TBK196643 TLG196629:TLG196643 TVC196629:TVC196643 UEY196629:UEY196643 UOU196629:UOU196643 UYQ196629:UYQ196643 VIM196629:VIM196643 VSI196629:VSI196643 WCE196629:WCE196643 WMA196629:WMA196643 WVW196629:WVW196643 O262165:O262179 JK262165:JK262179 TG262165:TG262179 ADC262165:ADC262179 AMY262165:AMY262179 AWU262165:AWU262179 BGQ262165:BGQ262179 BQM262165:BQM262179 CAI262165:CAI262179 CKE262165:CKE262179 CUA262165:CUA262179 DDW262165:DDW262179 DNS262165:DNS262179 DXO262165:DXO262179 EHK262165:EHK262179 ERG262165:ERG262179 FBC262165:FBC262179 FKY262165:FKY262179 FUU262165:FUU262179 GEQ262165:GEQ262179 GOM262165:GOM262179 GYI262165:GYI262179 HIE262165:HIE262179 HSA262165:HSA262179 IBW262165:IBW262179 ILS262165:ILS262179 IVO262165:IVO262179 JFK262165:JFK262179 JPG262165:JPG262179 JZC262165:JZC262179 KIY262165:KIY262179 KSU262165:KSU262179 LCQ262165:LCQ262179 LMM262165:LMM262179 LWI262165:LWI262179 MGE262165:MGE262179 MQA262165:MQA262179 MZW262165:MZW262179 NJS262165:NJS262179 NTO262165:NTO262179 ODK262165:ODK262179 ONG262165:ONG262179 OXC262165:OXC262179 PGY262165:PGY262179 PQU262165:PQU262179 QAQ262165:QAQ262179 QKM262165:QKM262179 QUI262165:QUI262179 REE262165:REE262179 ROA262165:ROA262179 RXW262165:RXW262179 SHS262165:SHS262179 SRO262165:SRO262179 TBK262165:TBK262179 TLG262165:TLG262179 TVC262165:TVC262179 UEY262165:UEY262179 UOU262165:UOU262179 UYQ262165:UYQ262179 VIM262165:VIM262179 VSI262165:VSI262179 WCE262165:WCE262179 WMA262165:WMA262179 WVW262165:WVW262179 O327701:O327715 JK327701:JK327715 TG327701:TG327715 ADC327701:ADC327715 AMY327701:AMY327715 AWU327701:AWU327715 BGQ327701:BGQ327715 BQM327701:BQM327715 CAI327701:CAI327715 CKE327701:CKE327715 CUA327701:CUA327715 DDW327701:DDW327715 DNS327701:DNS327715 DXO327701:DXO327715 EHK327701:EHK327715 ERG327701:ERG327715 FBC327701:FBC327715 FKY327701:FKY327715 FUU327701:FUU327715 GEQ327701:GEQ327715 GOM327701:GOM327715 GYI327701:GYI327715 HIE327701:HIE327715 HSA327701:HSA327715 IBW327701:IBW327715 ILS327701:ILS327715 IVO327701:IVO327715 JFK327701:JFK327715 JPG327701:JPG327715 JZC327701:JZC327715 KIY327701:KIY327715 KSU327701:KSU327715 LCQ327701:LCQ327715 LMM327701:LMM327715 LWI327701:LWI327715 MGE327701:MGE327715 MQA327701:MQA327715 MZW327701:MZW327715 NJS327701:NJS327715 NTO327701:NTO327715 ODK327701:ODK327715 ONG327701:ONG327715 OXC327701:OXC327715 PGY327701:PGY327715 PQU327701:PQU327715 QAQ327701:QAQ327715 QKM327701:QKM327715 QUI327701:QUI327715 REE327701:REE327715 ROA327701:ROA327715 RXW327701:RXW327715 SHS327701:SHS327715 SRO327701:SRO327715 TBK327701:TBK327715 TLG327701:TLG327715 TVC327701:TVC327715 UEY327701:UEY327715 UOU327701:UOU327715 UYQ327701:UYQ327715 VIM327701:VIM327715 VSI327701:VSI327715 WCE327701:WCE327715 WMA327701:WMA327715 WVW327701:WVW327715 O393237:O393251 JK393237:JK393251 TG393237:TG393251 ADC393237:ADC393251 AMY393237:AMY393251 AWU393237:AWU393251 BGQ393237:BGQ393251 BQM393237:BQM393251 CAI393237:CAI393251 CKE393237:CKE393251 CUA393237:CUA393251 DDW393237:DDW393251 DNS393237:DNS393251 DXO393237:DXO393251 EHK393237:EHK393251 ERG393237:ERG393251 FBC393237:FBC393251 FKY393237:FKY393251 FUU393237:FUU393251 GEQ393237:GEQ393251 GOM393237:GOM393251 GYI393237:GYI393251 HIE393237:HIE393251 HSA393237:HSA393251 IBW393237:IBW393251 ILS393237:ILS393251 IVO393237:IVO393251 JFK393237:JFK393251 JPG393237:JPG393251 JZC393237:JZC393251 KIY393237:KIY393251 KSU393237:KSU393251 LCQ393237:LCQ393251 LMM393237:LMM393251 LWI393237:LWI393251 MGE393237:MGE393251 MQA393237:MQA393251 MZW393237:MZW393251 NJS393237:NJS393251 NTO393237:NTO393251 ODK393237:ODK393251 ONG393237:ONG393251 OXC393237:OXC393251 PGY393237:PGY393251 PQU393237:PQU393251 QAQ393237:QAQ393251 QKM393237:QKM393251 QUI393237:QUI393251 REE393237:REE393251 ROA393237:ROA393251 RXW393237:RXW393251 SHS393237:SHS393251 SRO393237:SRO393251 TBK393237:TBK393251 TLG393237:TLG393251 TVC393237:TVC393251 UEY393237:UEY393251 UOU393237:UOU393251 UYQ393237:UYQ393251 VIM393237:VIM393251 VSI393237:VSI393251 WCE393237:WCE393251 WMA393237:WMA393251 WVW393237:WVW393251 O458773:O458787 JK458773:JK458787 TG458773:TG458787 ADC458773:ADC458787 AMY458773:AMY458787 AWU458773:AWU458787 BGQ458773:BGQ458787 BQM458773:BQM458787 CAI458773:CAI458787 CKE458773:CKE458787 CUA458773:CUA458787 DDW458773:DDW458787 DNS458773:DNS458787 DXO458773:DXO458787 EHK458773:EHK458787 ERG458773:ERG458787 FBC458773:FBC458787 FKY458773:FKY458787 FUU458773:FUU458787 GEQ458773:GEQ458787 GOM458773:GOM458787 GYI458773:GYI458787 HIE458773:HIE458787 HSA458773:HSA458787 IBW458773:IBW458787 ILS458773:ILS458787 IVO458773:IVO458787 JFK458773:JFK458787 JPG458773:JPG458787 JZC458773:JZC458787 KIY458773:KIY458787 KSU458773:KSU458787 LCQ458773:LCQ458787 LMM458773:LMM458787 LWI458773:LWI458787 MGE458773:MGE458787 MQA458773:MQA458787 MZW458773:MZW458787 NJS458773:NJS458787 NTO458773:NTO458787 ODK458773:ODK458787 ONG458773:ONG458787 OXC458773:OXC458787 PGY458773:PGY458787 PQU458773:PQU458787 QAQ458773:QAQ458787 QKM458773:QKM458787 QUI458773:QUI458787 REE458773:REE458787 ROA458773:ROA458787 RXW458773:RXW458787 SHS458773:SHS458787 SRO458773:SRO458787 TBK458773:TBK458787 TLG458773:TLG458787 TVC458773:TVC458787 UEY458773:UEY458787 UOU458773:UOU458787 UYQ458773:UYQ458787 VIM458773:VIM458787 VSI458773:VSI458787 WCE458773:WCE458787 WMA458773:WMA458787 WVW458773:WVW458787 O524309:O524323 JK524309:JK524323 TG524309:TG524323 ADC524309:ADC524323 AMY524309:AMY524323 AWU524309:AWU524323 BGQ524309:BGQ524323 BQM524309:BQM524323 CAI524309:CAI524323 CKE524309:CKE524323 CUA524309:CUA524323 DDW524309:DDW524323 DNS524309:DNS524323 DXO524309:DXO524323 EHK524309:EHK524323 ERG524309:ERG524323 FBC524309:FBC524323 FKY524309:FKY524323 FUU524309:FUU524323 GEQ524309:GEQ524323 GOM524309:GOM524323 GYI524309:GYI524323 HIE524309:HIE524323 HSA524309:HSA524323 IBW524309:IBW524323 ILS524309:ILS524323 IVO524309:IVO524323 JFK524309:JFK524323 JPG524309:JPG524323 JZC524309:JZC524323 KIY524309:KIY524323 KSU524309:KSU524323 LCQ524309:LCQ524323 LMM524309:LMM524323 LWI524309:LWI524323 MGE524309:MGE524323 MQA524309:MQA524323 MZW524309:MZW524323 NJS524309:NJS524323 NTO524309:NTO524323 ODK524309:ODK524323 ONG524309:ONG524323 OXC524309:OXC524323 PGY524309:PGY524323 PQU524309:PQU524323 QAQ524309:QAQ524323 QKM524309:QKM524323 QUI524309:QUI524323 REE524309:REE524323 ROA524309:ROA524323 RXW524309:RXW524323 SHS524309:SHS524323 SRO524309:SRO524323 TBK524309:TBK524323 TLG524309:TLG524323 TVC524309:TVC524323 UEY524309:UEY524323 UOU524309:UOU524323 UYQ524309:UYQ524323 VIM524309:VIM524323 VSI524309:VSI524323 WCE524309:WCE524323 WMA524309:WMA524323 WVW524309:WVW524323 O589845:O589859 JK589845:JK589859 TG589845:TG589859 ADC589845:ADC589859 AMY589845:AMY589859 AWU589845:AWU589859 BGQ589845:BGQ589859 BQM589845:BQM589859 CAI589845:CAI589859 CKE589845:CKE589859 CUA589845:CUA589859 DDW589845:DDW589859 DNS589845:DNS589859 DXO589845:DXO589859 EHK589845:EHK589859 ERG589845:ERG589859 FBC589845:FBC589859 FKY589845:FKY589859 FUU589845:FUU589859 GEQ589845:GEQ589859 GOM589845:GOM589859 GYI589845:GYI589859 HIE589845:HIE589859 HSA589845:HSA589859 IBW589845:IBW589859 ILS589845:ILS589859 IVO589845:IVO589859 JFK589845:JFK589859 JPG589845:JPG589859 JZC589845:JZC589859 KIY589845:KIY589859 KSU589845:KSU589859 LCQ589845:LCQ589859 LMM589845:LMM589859 LWI589845:LWI589859 MGE589845:MGE589859 MQA589845:MQA589859 MZW589845:MZW589859 NJS589845:NJS589859 NTO589845:NTO589859 ODK589845:ODK589859 ONG589845:ONG589859 OXC589845:OXC589859 PGY589845:PGY589859 PQU589845:PQU589859 QAQ589845:QAQ589859 QKM589845:QKM589859 QUI589845:QUI589859 REE589845:REE589859 ROA589845:ROA589859 RXW589845:RXW589859 SHS589845:SHS589859 SRO589845:SRO589859 TBK589845:TBK589859 TLG589845:TLG589859 TVC589845:TVC589859 UEY589845:UEY589859 UOU589845:UOU589859 UYQ589845:UYQ589859 VIM589845:VIM589859 VSI589845:VSI589859 WCE589845:WCE589859 WMA589845:WMA589859 WVW589845:WVW589859 O655381:O655395 JK655381:JK655395 TG655381:TG655395 ADC655381:ADC655395 AMY655381:AMY655395 AWU655381:AWU655395 BGQ655381:BGQ655395 BQM655381:BQM655395 CAI655381:CAI655395 CKE655381:CKE655395 CUA655381:CUA655395 DDW655381:DDW655395 DNS655381:DNS655395 DXO655381:DXO655395 EHK655381:EHK655395 ERG655381:ERG655395 FBC655381:FBC655395 FKY655381:FKY655395 FUU655381:FUU655395 GEQ655381:GEQ655395 GOM655381:GOM655395 GYI655381:GYI655395 HIE655381:HIE655395 HSA655381:HSA655395 IBW655381:IBW655395 ILS655381:ILS655395 IVO655381:IVO655395 JFK655381:JFK655395 JPG655381:JPG655395 JZC655381:JZC655395 KIY655381:KIY655395 KSU655381:KSU655395 LCQ655381:LCQ655395 LMM655381:LMM655395 LWI655381:LWI655395 MGE655381:MGE655395 MQA655381:MQA655395 MZW655381:MZW655395 NJS655381:NJS655395 NTO655381:NTO655395 ODK655381:ODK655395 ONG655381:ONG655395 OXC655381:OXC655395 PGY655381:PGY655395 PQU655381:PQU655395 QAQ655381:QAQ655395 QKM655381:QKM655395 QUI655381:QUI655395 REE655381:REE655395 ROA655381:ROA655395 RXW655381:RXW655395 SHS655381:SHS655395 SRO655381:SRO655395 TBK655381:TBK655395 TLG655381:TLG655395 TVC655381:TVC655395 UEY655381:UEY655395 UOU655381:UOU655395 UYQ655381:UYQ655395 VIM655381:VIM655395 VSI655381:VSI655395 WCE655381:WCE655395 WMA655381:WMA655395 WVW655381:WVW655395 O720917:O720931 JK720917:JK720931 TG720917:TG720931 ADC720917:ADC720931 AMY720917:AMY720931 AWU720917:AWU720931 BGQ720917:BGQ720931 BQM720917:BQM720931 CAI720917:CAI720931 CKE720917:CKE720931 CUA720917:CUA720931 DDW720917:DDW720931 DNS720917:DNS720931 DXO720917:DXO720931 EHK720917:EHK720931 ERG720917:ERG720931 FBC720917:FBC720931 FKY720917:FKY720931 FUU720917:FUU720931 GEQ720917:GEQ720931 GOM720917:GOM720931 GYI720917:GYI720931 HIE720917:HIE720931 HSA720917:HSA720931 IBW720917:IBW720931 ILS720917:ILS720931 IVO720917:IVO720931 JFK720917:JFK720931 JPG720917:JPG720931 JZC720917:JZC720931 KIY720917:KIY720931 KSU720917:KSU720931 LCQ720917:LCQ720931 LMM720917:LMM720931 LWI720917:LWI720931 MGE720917:MGE720931 MQA720917:MQA720931 MZW720917:MZW720931 NJS720917:NJS720931 NTO720917:NTO720931 ODK720917:ODK720931 ONG720917:ONG720931 OXC720917:OXC720931 PGY720917:PGY720931 PQU720917:PQU720931 QAQ720917:QAQ720931 QKM720917:QKM720931 QUI720917:QUI720931 REE720917:REE720931 ROA720917:ROA720931 RXW720917:RXW720931 SHS720917:SHS720931 SRO720917:SRO720931 TBK720917:TBK720931 TLG720917:TLG720931 TVC720917:TVC720931 UEY720917:UEY720931 UOU720917:UOU720931 UYQ720917:UYQ720931 VIM720917:VIM720931 VSI720917:VSI720931 WCE720917:WCE720931 WMA720917:WMA720931 WVW720917:WVW720931 O786453:O786467 JK786453:JK786467 TG786453:TG786467 ADC786453:ADC786467 AMY786453:AMY786467 AWU786453:AWU786467 BGQ786453:BGQ786467 BQM786453:BQM786467 CAI786453:CAI786467 CKE786453:CKE786467 CUA786453:CUA786467 DDW786453:DDW786467 DNS786453:DNS786467 DXO786453:DXO786467 EHK786453:EHK786467 ERG786453:ERG786467 FBC786453:FBC786467 FKY786453:FKY786467 FUU786453:FUU786467 GEQ786453:GEQ786467 GOM786453:GOM786467 GYI786453:GYI786467 HIE786453:HIE786467 HSA786453:HSA786467 IBW786453:IBW786467 ILS786453:ILS786467 IVO786453:IVO786467 JFK786453:JFK786467 JPG786453:JPG786467 JZC786453:JZC786467 KIY786453:KIY786467 KSU786453:KSU786467 LCQ786453:LCQ786467 LMM786453:LMM786467 LWI786453:LWI786467 MGE786453:MGE786467 MQA786453:MQA786467 MZW786453:MZW786467 NJS786453:NJS786467 NTO786453:NTO786467 ODK786453:ODK786467 ONG786453:ONG786467 OXC786453:OXC786467 PGY786453:PGY786467 PQU786453:PQU786467 QAQ786453:QAQ786467 QKM786453:QKM786467 QUI786453:QUI786467 REE786453:REE786467 ROA786453:ROA786467 RXW786453:RXW786467 SHS786453:SHS786467 SRO786453:SRO786467 TBK786453:TBK786467 TLG786453:TLG786467 TVC786453:TVC786467 UEY786453:UEY786467 UOU786453:UOU786467 UYQ786453:UYQ786467 VIM786453:VIM786467 VSI786453:VSI786467 WCE786453:WCE786467 WMA786453:WMA786467 WVW786453:WVW786467 O851989:O852003 JK851989:JK852003 TG851989:TG852003 ADC851989:ADC852003 AMY851989:AMY852003 AWU851989:AWU852003 BGQ851989:BGQ852003 BQM851989:BQM852003 CAI851989:CAI852003 CKE851989:CKE852003 CUA851989:CUA852003 DDW851989:DDW852003 DNS851989:DNS852003 DXO851989:DXO852003 EHK851989:EHK852003 ERG851989:ERG852003 FBC851989:FBC852003 FKY851989:FKY852003 FUU851989:FUU852003 GEQ851989:GEQ852003 GOM851989:GOM852003 GYI851989:GYI852003 HIE851989:HIE852003 HSA851989:HSA852003 IBW851989:IBW852003 ILS851989:ILS852003 IVO851989:IVO852003 JFK851989:JFK852003 JPG851989:JPG852003 JZC851989:JZC852003 KIY851989:KIY852003 KSU851989:KSU852003 LCQ851989:LCQ852003 LMM851989:LMM852003 LWI851989:LWI852003 MGE851989:MGE852003 MQA851989:MQA852003 MZW851989:MZW852003 NJS851989:NJS852003 NTO851989:NTO852003 ODK851989:ODK852003 ONG851989:ONG852003 OXC851989:OXC852003 PGY851989:PGY852003 PQU851989:PQU852003 QAQ851989:QAQ852003 QKM851989:QKM852003 QUI851989:QUI852003 REE851989:REE852003 ROA851989:ROA852003 RXW851989:RXW852003 SHS851989:SHS852003 SRO851989:SRO852003 TBK851989:TBK852003 TLG851989:TLG852003 TVC851989:TVC852003 UEY851989:UEY852003 UOU851989:UOU852003 UYQ851989:UYQ852003 VIM851989:VIM852003 VSI851989:VSI852003 WCE851989:WCE852003 WMA851989:WMA852003 WVW851989:WVW852003 O917525:O917539 JK917525:JK917539 TG917525:TG917539 ADC917525:ADC917539 AMY917525:AMY917539 AWU917525:AWU917539 BGQ917525:BGQ917539 BQM917525:BQM917539 CAI917525:CAI917539 CKE917525:CKE917539 CUA917525:CUA917539 DDW917525:DDW917539 DNS917525:DNS917539 DXO917525:DXO917539 EHK917525:EHK917539 ERG917525:ERG917539 FBC917525:FBC917539 FKY917525:FKY917539 FUU917525:FUU917539 GEQ917525:GEQ917539 GOM917525:GOM917539 GYI917525:GYI917539 HIE917525:HIE917539 HSA917525:HSA917539 IBW917525:IBW917539 ILS917525:ILS917539 IVO917525:IVO917539 JFK917525:JFK917539 JPG917525:JPG917539 JZC917525:JZC917539 KIY917525:KIY917539 KSU917525:KSU917539 LCQ917525:LCQ917539 LMM917525:LMM917539 LWI917525:LWI917539 MGE917525:MGE917539 MQA917525:MQA917539 MZW917525:MZW917539 NJS917525:NJS917539 NTO917525:NTO917539 ODK917525:ODK917539 ONG917525:ONG917539 OXC917525:OXC917539 PGY917525:PGY917539 PQU917525:PQU917539 QAQ917525:QAQ917539 QKM917525:QKM917539 QUI917525:QUI917539 REE917525:REE917539 ROA917525:ROA917539 RXW917525:RXW917539 SHS917525:SHS917539 SRO917525:SRO917539 TBK917525:TBK917539 TLG917525:TLG917539 TVC917525:TVC917539 UEY917525:UEY917539 UOU917525:UOU917539 UYQ917525:UYQ917539 VIM917525:VIM917539 VSI917525:VSI917539 WCE917525:WCE917539 WMA917525:WMA917539 WVW917525:WVW917539 O983061:O983075 JK983061:JK983075 TG983061:TG983075 ADC983061:ADC983075 AMY983061:AMY983075 AWU983061:AWU983075 BGQ983061:BGQ983075 BQM983061:BQM983075 CAI983061:CAI983075 CKE983061:CKE983075 CUA983061:CUA983075 DDW983061:DDW983075 DNS983061:DNS983075 DXO983061:DXO983075 EHK983061:EHK983075 ERG983061:ERG983075 FBC983061:FBC983075 FKY983061:FKY983075 FUU983061:FUU983075 GEQ983061:GEQ983075 GOM983061:GOM983075 GYI983061:GYI983075 HIE983061:HIE983075 HSA983061:HSA983075 IBW983061:IBW983075 ILS983061:ILS983075 IVO983061:IVO983075 JFK983061:JFK983075 JPG983061:JPG983075 JZC983061:JZC983075 KIY983061:KIY983075 KSU983061:KSU983075 LCQ983061:LCQ983075 LMM983061:LMM983075 LWI983061:LWI983075 MGE983061:MGE983075 MQA983061:MQA983075 MZW983061:MZW983075 NJS983061:NJS983075 NTO983061:NTO983075 ODK983061:ODK983075 ONG983061:ONG983075 OXC983061:OXC983075 PGY983061:PGY983075 PQU983061:PQU983075 QAQ983061:QAQ983075 QKM983061:QKM983075 QUI983061:QUI983075 REE983061:REE983075 ROA983061:ROA983075 RXW983061:RXW983075 SHS983061:SHS983075 SRO983061:SRO983075 TBK983061:TBK983075 TLG983061:TLG983075 TVC983061:TVC983075 UEY983061:UEY983075 UOU983061:UOU983075 UYQ983061:UYQ983075 VIM983061:VIM983075 VSI983061:VSI983075 WCE983061:WCE983075 WMA983061:WMA983075 WVW983061:WVW983075 N25:N35 JJ25:JJ35 TF25:TF35 ADB25:ADB35 AMX25:AMX35 AWT25:AWT35 BGP25:BGP35 BQL25:BQL35 CAH25:CAH35 CKD25:CKD35 CTZ25:CTZ35 DDV25:DDV35 DNR25:DNR35 DXN25:DXN35 EHJ25:EHJ35 ERF25:ERF35 FBB25:FBB35 FKX25:FKX35 FUT25:FUT35 GEP25:GEP35 GOL25:GOL35 GYH25:GYH35 HID25:HID35 HRZ25:HRZ35 IBV25:IBV35 ILR25:ILR35 IVN25:IVN35 JFJ25:JFJ35 JPF25:JPF35 JZB25:JZB35 KIX25:KIX35 KST25:KST35 LCP25:LCP35 LML25:LML35 LWH25:LWH35 MGD25:MGD35 MPZ25:MPZ35 MZV25:MZV35 NJR25:NJR35 NTN25:NTN35 ODJ25:ODJ35 ONF25:ONF35 OXB25:OXB35 PGX25:PGX35 PQT25:PQT35 QAP25:QAP35 QKL25:QKL35 QUH25:QUH35 RED25:RED35 RNZ25:RNZ35 RXV25:RXV35 SHR25:SHR35 SRN25:SRN35 TBJ25:TBJ35 TLF25:TLF35 TVB25:TVB35 UEX25:UEX35 UOT25:UOT35 UYP25:UYP35 VIL25:VIL35 VSH25:VSH35 WCD25:WCD35 WLZ25:WLZ35 WVV25:WVV35 N65561:N65571 JJ65561:JJ65571 TF65561:TF65571 ADB65561:ADB65571 AMX65561:AMX65571 AWT65561:AWT65571 BGP65561:BGP65571 BQL65561:BQL65571 CAH65561:CAH65571 CKD65561:CKD65571 CTZ65561:CTZ65571 DDV65561:DDV65571 DNR65561:DNR65571 DXN65561:DXN65571 EHJ65561:EHJ65571 ERF65561:ERF65571 FBB65561:FBB65571 FKX65561:FKX65571 FUT65561:FUT65571 GEP65561:GEP65571 GOL65561:GOL65571 GYH65561:GYH65571 HID65561:HID65571 HRZ65561:HRZ65571 IBV65561:IBV65571 ILR65561:ILR65571 IVN65561:IVN65571 JFJ65561:JFJ65571 JPF65561:JPF65571 JZB65561:JZB65571 KIX65561:KIX65571 KST65561:KST65571 LCP65561:LCP65571 LML65561:LML65571 LWH65561:LWH65571 MGD65561:MGD65571 MPZ65561:MPZ65571 MZV65561:MZV65571 NJR65561:NJR65571 NTN65561:NTN65571 ODJ65561:ODJ65571 ONF65561:ONF65571 OXB65561:OXB65571 PGX65561:PGX65571 PQT65561:PQT65571 QAP65561:QAP65571 QKL65561:QKL65571 QUH65561:QUH65571 RED65561:RED65571 RNZ65561:RNZ65571 RXV65561:RXV65571 SHR65561:SHR65571 SRN65561:SRN65571 TBJ65561:TBJ65571 TLF65561:TLF65571 TVB65561:TVB65571 UEX65561:UEX65571 UOT65561:UOT65571 UYP65561:UYP65571 VIL65561:VIL65571 VSH65561:VSH65571 WCD65561:WCD65571 WLZ65561:WLZ65571 WVV65561:WVV65571 N131097:N131107 JJ131097:JJ131107 TF131097:TF131107 ADB131097:ADB131107 AMX131097:AMX131107 AWT131097:AWT131107 BGP131097:BGP131107 BQL131097:BQL131107 CAH131097:CAH131107 CKD131097:CKD131107 CTZ131097:CTZ131107 DDV131097:DDV131107 DNR131097:DNR131107 DXN131097:DXN131107 EHJ131097:EHJ131107 ERF131097:ERF131107 FBB131097:FBB131107 FKX131097:FKX131107 FUT131097:FUT131107 GEP131097:GEP131107 GOL131097:GOL131107 GYH131097:GYH131107 HID131097:HID131107 HRZ131097:HRZ131107 IBV131097:IBV131107 ILR131097:ILR131107 IVN131097:IVN131107 JFJ131097:JFJ131107 JPF131097:JPF131107 JZB131097:JZB131107 KIX131097:KIX131107 KST131097:KST131107 LCP131097:LCP131107 LML131097:LML131107 LWH131097:LWH131107 MGD131097:MGD131107 MPZ131097:MPZ131107 MZV131097:MZV131107 NJR131097:NJR131107 NTN131097:NTN131107 ODJ131097:ODJ131107 ONF131097:ONF131107 OXB131097:OXB131107 PGX131097:PGX131107 PQT131097:PQT131107 QAP131097:QAP131107 QKL131097:QKL131107 QUH131097:QUH131107 RED131097:RED131107 RNZ131097:RNZ131107 RXV131097:RXV131107 SHR131097:SHR131107 SRN131097:SRN131107 TBJ131097:TBJ131107 TLF131097:TLF131107 TVB131097:TVB131107 UEX131097:UEX131107 UOT131097:UOT131107 UYP131097:UYP131107 VIL131097:VIL131107 VSH131097:VSH131107 WCD131097:WCD131107 WLZ131097:WLZ131107 WVV131097:WVV131107 N196633:N196643 JJ196633:JJ196643 TF196633:TF196643 ADB196633:ADB196643 AMX196633:AMX196643 AWT196633:AWT196643 BGP196633:BGP196643 BQL196633:BQL196643 CAH196633:CAH196643 CKD196633:CKD196643 CTZ196633:CTZ196643 DDV196633:DDV196643 DNR196633:DNR196643 DXN196633:DXN196643 EHJ196633:EHJ196643 ERF196633:ERF196643 FBB196633:FBB196643 FKX196633:FKX196643 FUT196633:FUT196643 GEP196633:GEP196643 GOL196633:GOL196643 GYH196633:GYH196643 HID196633:HID196643 HRZ196633:HRZ196643 IBV196633:IBV196643 ILR196633:ILR196643 IVN196633:IVN196643 JFJ196633:JFJ196643 JPF196633:JPF196643 JZB196633:JZB196643 KIX196633:KIX196643 KST196633:KST196643 LCP196633:LCP196643 LML196633:LML196643 LWH196633:LWH196643 MGD196633:MGD196643 MPZ196633:MPZ196643 MZV196633:MZV196643 NJR196633:NJR196643 NTN196633:NTN196643 ODJ196633:ODJ196643 ONF196633:ONF196643 OXB196633:OXB196643 PGX196633:PGX196643 PQT196633:PQT196643 QAP196633:QAP196643 QKL196633:QKL196643 QUH196633:QUH196643 RED196633:RED196643 RNZ196633:RNZ196643 RXV196633:RXV196643 SHR196633:SHR196643 SRN196633:SRN196643 TBJ196633:TBJ196643 TLF196633:TLF196643 TVB196633:TVB196643 UEX196633:UEX196643 UOT196633:UOT196643 UYP196633:UYP196643 VIL196633:VIL196643 VSH196633:VSH196643 WCD196633:WCD196643 WLZ196633:WLZ196643 WVV196633:WVV196643 N262169:N262179 JJ262169:JJ262179 TF262169:TF262179 ADB262169:ADB262179 AMX262169:AMX262179 AWT262169:AWT262179 BGP262169:BGP262179 BQL262169:BQL262179 CAH262169:CAH262179 CKD262169:CKD262179 CTZ262169:CTZ262179 DDV262169:DDV262179 DNR262169:DNR262179 DXN262169:DXN262179 EHJ262169:EHJ262179 ERF262169:ERF262179 FBB262169:FBB262179 FKX262169:FKX262179 FUT262169:FUT262179 GEP262169:GEP262179 GOL262169:GOL262179 GYH262169:GYH262179 HID262169:HID262179 HRZ262169:HRZ262179 IBV262169:IBV262179 ILR262169:ILR262179 IVN262169:IVN262179 JFJ262169:JFJ262179 JPF262169:JPF262179 JZB262169:JZB262179 KIX262169:KIX262179 KST262169:KST262179 LCP262169:LCP262179 LML262169:LML262179 LWH262169:LWH262179 MGD262169:MGD262179 MPZ262169:MPZ262179 MZV262169:MZV262179 NJR262169:NJR262179 NTN262169:NTN262179 ODJ262169:ODJ262179 ONF262169:ONF262179 OXB262169:OXB262179 PGX262169:PGX262179 PQT262169:PQT262179 QAP262169:QAP262179 QKL262169:QKL262179 QUH262169:QUH262179 RED262169:RED262179 RNZ262169:RNZ262179 RXV262169:RXV262179 SHR262169:SHR262179 SRN262169:SRN262179 TBJ262169:TBJ262179 TLF262169:TLF262179 TVB262169:TVB262179 UEX262169:UEX262179 UOT262169:UOT262179 UYP262169:UYP262179 VIL262169:VIL262179 VSH262169:VSH262179 WCD262169:WCD262179 WLZ262169:WLZ262179 WVV262169:WVV262179 N327705:N327715 JJ327705:JJ327715 TF327705:TF327715 ADB327705:ADB327715 AMX327705:AMX327715 AWT327705:AWT327715 BGP327705:BGP327715 BQL327705:BQL327715 CAH327705:CAH327715 CKD327705:CKD327715 CTZ327705:CTZ327715 DDV327705:DDV327715 DNR327705:DNR327715 DXN327705:DXN327715 EHJ327705:EHJ327715 ERF327705:ERF327715 FBB327705:FBB327715 FKX327705:FKX327715 FUT327705:FUT327715 GEP327705:GEP327715 GOL327705:GOL327715 GYH327705:GYH327715 HID327705:HID327715 HRZ327705:HRZ327715 IBV327705:IBV327715 ILR327705:ILR327715 IVN327705:IVN327715 JFJ327705:JFJ327715 JPF327705:JPF327715 JZB327705:JZB327715 KIX327705:KIX327715 KST327705:KST327715 LCP327705:LCP327715 LML327705:LML327715 LWH327705:LWH327715 MGD327705:MGD327715 MPZ327705:MPZ327715 MZV327705:MZV327715 NJR327705:NJR327715 NTN327705:NTN327715 ODJ327705:ODJ327715 ONF327705:ONF327715 OXB327705:OXB327715 PGX327705:PGX327715 PQT327705:PQT327715 QAP327705:QAP327715 QKL327705:QKL327715 QUH327705:QUH327715 RED327705:RED327715 RNZ327705:RNZ327715 RXV327705:RXV327715 SHR327705:SHR327715 SRN327705:SRN327715 TBJ327705:TBJ327715 TLF327705:TLF327715 TVB327705:TVB327715 UEX327705:UEX327715 UOT327705:UOT327715 UYP327705:UYP327715 VIL327705:VIL327715 VSH327705:VSH327715 WCD327705:WCD327715 WLZ327705:WLZ327715 WVV327705:WVV327715 N393241:N393251 JJ393241:JJ393251 TF393241:TF393251 ADB393241:ADB393251 AMX393241:AMX393251 AWT393241:AWT393251 BGP393241:BGP393251 BQL393241:BQL393251 CAH393241:CAH393251 CKD393241:CKD393251 CTZ393241:CTZ393251 DDV393241:DDV393251 DNR393241:DNR393251 DXN393241:DXN393251 EHJ393241:EHJ393251 ERF393241:ERF393251 FBB393241:FBB393251 FKX393241:FKX393251 FUT393241:FUT393251 GEP393241:GEP393251 GOL393241:GOL393251 GYH393241:GYH393251 HID393241:HID393251 HRZ393241:HRZ393251 IBV393241:IBV393251 ILR393241:ILR393251 IVN393241:IVN393251 JFJ393241:JFJ393251 JPF393241:JPF393251 JZB393241:JZB393251 KIX393241:KIX393251 KST393241:KST393251 LCP393241:LCP393251 LML393241:LML393251 LWH393241:LWH393251 MGD393241:MGD393251 MPZ393241:MPZ393251 MZV393241:MZV393251 NJR393241:NJR393251 NTN393241:NTN393251 ODJ393241:ODJ393251 ONF393241:ONF393251 OXB393241:OXB393251 PGX393241:PGX393251 PQT393241:PQT393251 QAP393241:QAP393251 QKL393241:QKL393251 QUH393241:QUH393251 RED393241:RED393251 RNZ393241:RNZ393251 RXV393241:RXV393251 SHR393241:SHR393251 SRN393241:SRN393251 TBJ393241:TBJ393251 TLF393241:TLF393251 TVB393241:TVB393251 UEX393241:UEX393251 UOT393241:UOT393251 UYP393241:UYP393251 VIL393241:VIL393251 VSH393241:VSH393251 WCD393241:WCD393251 WLZ393241:WLZ393251 WVV393241:WVV393251 N458777:N458787 JJ458777:JJ458787 TF458777:TF458787 ADB458777:ADB458787 AMX458777:AMX458787 AWT458777:AWT458787 BGP458777:BGP458787 BQL458777:BQL458787 CAH458777:CAH458787 CKD458777:CKD458787 CTZ458777:CTZ458787 DDV458777:DDV458787 DNR458777:DNR458787 DXN458777:DXN458787 EHJ458777:EHJ458787 ERF458777:ERF458787 FBB458777:FBB458787 FKX458777:FKX458787 FUT458777:FUT458787 GEP458777:GEP458787 GOL458777:GOL458787 GYH458777:GYH458787 HID458777:HID458787 HRZ458777:HRZ458787 IBV458777:IBV458787 ILR458777:ILR458787 IVN458777:IVN458787 JFJ458777:JFJ458787 JPF458777:JPF458787 JZB458777:JZB458787 KIX458777:KIX458787 KST458777:KST458787 LCP458777:LCP458787 LML458777:LML458787 LWH458777:LWH458787 MGD458777:MGD458787 MPZ458777:MPZ458787 MZV458777:MZV458787 NJR458777:NJR458787 NTN458777:NTN458787 ODJ458777:ODJ458787 ONF458777:ONF458787 OXB458777:OXB458787 PGX458777:PGX458787 PQT458777:PQT458787 QAP458777:QAP458787 QKL458777:QKL458787 QUH458777:QUH458787 RED458777:RED458787 RNZ458777:RNZ458787 RXV458777:RXV458787 SHR458777:SHR458787 SRN458777:SRN458787 TBJ458777:TBJ458787 TLF458777:TLF458787 TVB458777:TVB458787 UEX458777:UEX458787 UOT458777:UOT458787 UYP458777:UYP458787 VIL458777:VIL458787 VSH458777:VSH458787 WCD458777:WCD458787 WLZ458777:WLZ458787 WVV458777:WVV458787 N524313:N524323 JJ524313:JJ524323 TF524313:TF524323 ADB524313:ADB524323 AMX524313:AMX524323 AWT524313:AWT524323 BGP524313:BGP524323 BQL524313:BQL524323 CAH524313:CAH524323 CKD524313:CKD524323 CTZ524313:CTZ524323 DDV524313:DDV524323 DNR524313:DNR524323 DXN524313:DXN524323 EHJ524313:EHJ524323 ERF524313:ERF524323 FBB524313:FBB524323 FKX524313:FKX524323 FUT524313:FUT524323 GEP524313:GEP524323 GOL524313:GOL524323 GYH524313:GYH524323 HID524313:HID524323 HRZ524313:HRZ524323 IBV524313:IBV524323 ILR524313:ILR524323 IVN524313:IVN524323 JFJ524313:JFJ524323 JPF524313:JPF524323 JZB524313:JZB524323 KIX524313:KIX524323 KST524313:KST524323 LCP524313:LCP524323 LML524313:LML524323 LWH524313:LWH524323 MGD524313:MGD524323 MPZ524313:MPZ524323 MZV524313:MZV524323 NJR524313:NJR524323 NTN524313:NTN524323 ODJ524313:ODJ524323 ONF524313:ONF524323 OXB524313:OXB524323 PGX524313:PGX524323 PQT524313:PQT524323 QAP524313:QAP524323 QKL524313:QKL524323 QUH524313:QUH524323 RED524313:RED524323 RNZ524313:RNZ524323 RXV524313:RXV524323 SHR524313:SHR524323 SRN524313:SRN524323 TBJ524313:TBJ524323 TLF524313:TLF524323 TVB524313:TVB524323 UEX524313:UEX524323 UOT524313:UOT524323 UYP524313:UYP524323 VIL524313:VIL524323 VSH524313:VSH524323 WCD524313:WCD524323 WLZ524313:WLZ524323 WVV524313:WVV524323 N589849:N589859 JJ589849:JJ589859 TF589849:TF589859 ADB589849:ADB589859 AMX589849:AMX589859 AWT589849:AWT589859 BGP589849:BGP589859 BQL589849:BQL589859 CAH589849:CAH589859 CKD589849:CKD589859 CTZ589849:CTZ589859 DDV589849:DDV589859 DNR589849:DNR589859 DXN589849:DXN589859 EHJ589849:EHJ589859 ERF589849:ERF589859 FBB589849:FBB589859 FKX589849:FKX589859 FUT589849:FUT589859 GEP589849:GEP589859 GOL589849:GOL589859 GYH589849:GYH589859 HID589849:HID589859 HRZ589849:HRZ589859 IBV589849:IBV589859 ILR589849:ILR589859 IVN589849:IVN589859 JFJ589849:JFJ589859 JPF589849:JPF589859 JZB589849:JZB589859 KIX589849:KIX589859 KST589849:KST589859 LCP589849:LCP589859 LML589849:LML589859 LWH589849:LWH589859 MGD589849:MGD589859 MPZ589849:MPZ589859 MZV589849:MZV589859 NJR589849:NJR589859 NTN589849:NTN589859 ODJ589849:ODJ589859 ONF589849:ONF589859 OXB589849:OXB589859 PGX589849:PGX589859 PQT589849:PQT589859 QAP589849:QAP589859 QKL589849:QKL589859 QUH589849:QUH589859 RED589849:RED589859 RNZ589849:RNZ589859 RXV589849:RXV589859 SHR589849:SHR589859 SRN589849:SRN589859 TBJ589849:TBJ589859 TLF589849:TLF589859 TVB589849:TVB589859 UEX589849:UEX589859 UOT589849:UOT589859 UYP589849:UYP589859 VIL589849:VIL589859 VSH589849:VSH589859 WCD589849:WCD589859 WLZ589849:WLZ589859 WVV589849:WVV589859 N655385:N655395 JJ655385:JJ655395 TF655385:TF655395 ADB655385:ADB655395 AMX655385:AMX655395 AWT655385:AWT655395 BGP655385:BGP655395 BQL655385:BQL655395 CAH655385:CAH655395 CKD655385:CKD655395 CTZ655385:CTZ655395 DDV655385:DDV655395 DNR655385:DNR655395 DXN655385:DXN655395 EHJ655385:EHJ655395 ERF655385:ERF655395 FBB655385:FBB655395 FKX655385:FKX655395 FUT655385:FUT655395 GEP655385:GEP655395 GOL655385:GOL655395 GYH655385:GYH655395 HID655385:HID655395 HRZ655385:HRZ655395 IBV655385:IBV655395 ILR655385:ILR655395 IVN655385:IVN655395 JFJ655385:JFJ655395 JPF655385:JPF655395 JZB655385:JZB655395 KIX655385:KIX655395 KST655385:KST655395 LCP655385:LCP655395 LML655385:LML655395 LWH655385:LWH655395 MGD655385:MGD655395 MPZ655385:MPZ655395 MZV655385:MZV655395 NJR655385:NJR655395 NTN655385:NTN655395 ODJ655385:ODJ655395 ONF655385:ONF655395 OXB655385:OXB655395 PGX655385:PGX655395 PQT655385:PQT655395 QAP655385:QAP655395 QKL655385:QKL655395 QUH655385:QUH655395 RED655385:RED655395 RNZ655385:RNZ655395 RXV655385:RXV655395 SHR655385:SHR655395 SRN655385:SRN655395 TBJ655385:TBJ655395 TLF655385:TLF655395 TVB655385:TVB655395 UEX655385:UEX655395 UOT655385:UOT655395 UYP655385:UYP655395 VIL655385:VIL655395 VSH655385:VSH655395 WCD655385:WCD655395 WLZ655385:WLZ655395 WVV655385:WVV655395 N720921:N720931 JJ720921:JJ720931 TF720921:TF720931 ADB720921:ADB720931 AMX720921:AMX720931 AWT720921:AWT720931 BGP720921:BGP720931 BQL720921:BQL720931 CAH720921:CAH720931 CKD720921:CKD720931 CTZ720921:CTZ720931 DDV720921:DDV720931 DNR720921:DNR720931 DXN720921:DXN720931 EHJ720921:EHJ720931 ERF720921:ERF720931 FBB720921:FBB720931 FKX720921:FKX720931 FUT720921:FUT720931 GEP720921:GEP720931 GOL720921:GOL720931 GYH720921:GYH720931 HID720921:HID720931 HRZ720921:HRZ720931 IBV720921:IBV720931 ILR720921:ILR720931 IVN720921:IVN720931 JFJ720921:JFJ720931 JPF720921:JPF720931 JZB720921:JZB720931 KIX720921:KIX720931 KST720921:KST720931 LCP720921:LCP720931 LML720921:LML720931 LWH720921:LWH720931 MGD720921:MGD720931 MPZ720921:MPZ720931 MZV720921:MZV720931 NJR720921:NJR720931 NTN720921:NTN720931 ODJ720921:ODJ720931 ONF720921:ONF720931 OXB720921:OXB720931 PGX720921:PGX720931 PQT720921:PQT720931 QAP720921:QAP720931 QKL720921:QKL720931 QUH720921:QUH720931 RED720921:RED720931 RNZ720921:RNZ720931 RXV720921:RXV720931 SHR720921:SHR720931 SRN720921:SRN720931 TBJ720921:TBJ720931 TLF720921:TLF720931 TVB720921:TVB720931 UEX720921:UEX720931 UOT720921:UOT720931 UYP720921:UYP720931 VIL720921:VIL720931 VSH720921:VSH720931 WCD720921:WCD720931 WLZ720921:WLZ720931 WVV720921:WVV720931 N786457:N786467 JJ786457:JJ786467 TF786457:TF786467 ADB786457:ADB786467 AMX786457:AMX786467 AWT786457:AWT786467 BGP786457:BGP786467 BQL786457:BQL786467 CAH786457:CAH786467 CKD786457:CKD786467 CTZ786457:CTZ786467 DDV786457:DDV786467 DNR786457:DNR786467 DXN786457:DXN786467 EHJ786457:EHJ786467 ERF786457:ERF786467 FBB786457:FBB786467 FKX786457:FKX786467 FUT786457:FUT786467 GEP786457:GEP786467 GOL786457:GOL786467 GYH786457:GYH786467 HID786457:HID786467 HRZ786457:HRZ786467 IBV786457:IBV786467 ILR786457:ILR786467 IVN786457:IVN786467 JFJ786457:JFJ786467 JPF786457:JPF786467 JZB786457:JZB786467 KIX786457:KIX786467 KST786457:KST786467 LCP786457:LCP786467 LML786457:LML786467 LWH786457:LWH786467 MGD786457:MGD786467 MPZ786457:MPZ786467 MZV786457:MZV786467 NJR786457:NJR786467 NTN786457:NTN786467 ODJ786457:ODJ786467 ONF786457:ONF786467 OXB786457:OXB786467 PGX786457:PGX786467 PQT786457:PQT786467 QAP786457:QAP786467 QKL786457:QKL786467 QUH786457:QUH786467 RED786457:RED786467 RNZ786457:RNZ786467 RXV786457:RXV786467 SHR786457:SHR786467 SRN786457:SRN786467 TBJ786457:TBJ786467 TLF786457:TLF786467 TVB786457:TVB786467 UEX786457:UEX786467 UOT786457:UOT786467 UYP786457:UYP786467 VIL786457:VIL786467 VSH786457:VSH786467 WCD786457:WCD786467 WLZ786457:WLZ786467 WVV786457:WVV786467 N851993:N852003 JJ851993:JJ852003 TF851993:TF852003 ADB851993:ADB852003 AMX851993:AMX852003 AWT851993:AWT852003 BGP851993:BGP852003 BQL851993:BQL852003 CAH851993:CAH852003 CKD851993:CKD852003 CTZ851993:CTZ852003 DDV851993:DDV852003 DNR851993:DNR852003 DXN851993:DXN852003 EHJ851993:EHJ852003 ERF851993:ERF852003 FBB851993:FBB852003 FKX851993:FKX852003 FUT851993:FUT852003 GEP851993:GEP852003 GOL851993:GOL852003 GYH851993:GYH852003 HID851993:HID852003 HRZ851993:HRZ852003 IBV851993:IBV852003 ILR851993:ILR852003 IVN851993:IVN852003 JFJ851993:JFJ852003 JPF851993:JPF852003 JZB851993:JZB852003 KIX851993:KIX852003 KST851993:KST852003 LCP851993:LCP852003 LML851993:LML852003 LWH851993:LWH852003 MGD851993:MGD852003 MPZ851993:MPZ852003 MZV851993:MZV852003 NJR851993:NJR852003 NTN851993:NTN852003 ODJ851993:ODJ852003 ONF851993:ONF852003 OXB851993:OXB852003 PGX851993:PGX852003 PQT851993:PQT852003 QAP851993:QAP852003 QKL851993:QKL852003 QUH851993:QUH852003 RED851993:RED852003 RNZ851993:RNZ852003 RXV851993:RXV852003 SHR851993:SHR852003 SRN851993:SRN852003 TBJ851993:TBJ852003 TLF851993:TLF852003 TVB851993:TVB852003 UEX851993:UEX852003 UOT851993:UOT852003 UYP851993:UYP852003 VIL851993:VIL852003 VSH851993:VSH852003 WCD851993:WCD852003 WLZ851993:WLZ852003 WVV851993:WVV852003 N917529:N917539 JJ917529:JJ917539 TF917529:TF917539 ADB917529:ADB917539 AMX917529:AMX917539 AWT917529:AWT917539 BGP917529:BGP917539 BQL917529:BQL917539 CAH917529:CAH917539 CKD917529:CKD917539 CTZ917529:CTZ917539 DDV917529:DDV917539 DNR917529:DNR917539 DXN917529:DXN917539 EHJ917529:EHJ917539 ERF917529:ERF917539 FBB917529:FBB917539 FKX917529:FKX917539 FUT917529:FUT917539 GEP917529:GEP917539 GOL917529:GOL917539 GYH917529:GYH917539 HID917529:HID917539 HRZ917529:HRZ917539 IBV917529:IBV917539 ILR917529:ILR917539 IVN917529:IVN917539 JFJ917529:JFJ917539 JPF917529:JPF917539 JZB917529:JZB917539 KIX917529:KIX917539 KST917529:KST917539 LCP917529:LCP917539 LML917529:LML917539 LWH917529:LWH917539 MGD917529:MGD917539 MPZ917529:MPZ917539 MZV917529:MZV917539 NJR917529:NJR917539 NTN917529:NTN917539 ODJ917529:ODJ917539 ONF917529:ONF917539 OXB917529:OXB917539 PGX917529:PGX917539 PQT917529:PQT917539 QAP917529:QAP917539 QKL917529:QKL917539 QUH917529:QUH917539 RED917529:RED917539 RNZ917529:RNZ917539 RXV917529:RXV917539 SHR917529:SHR917539 SRN917529:SRN917539 TBJ917529:TBJ917539 TLF917529:TLF917539 TVB917529:TVB917539 UEX917529:UEX917539 UOT917529:UOT917539 UYP917529:UYP917539 VIL917529:VIL917539 VSH917529:VSH917539 WCD917529:WCD917539 WLZ917529:WLZ917539 WVV917529:WVV917539 N983065:N983075 JJ983065:JJ983075 TF983065:TF983075 ADB983065:ADB983075 AMX983065:AMX983075 AWT983065:AWT983075 BGP983065:BGP983075 BQL983065:BQL983075 CAH983065:CAH983075 CKD983065:CKD983075 CTZ983065:CTZ983075 DDV983065:DDV983075 DNR983065:DNR983075 DXN983065:DXN983075 EHJ983065:EHJ983075 ERF983065:ERF983075 FBB983065:FBB983075 FKX983065:FKX983075 FUT983065:FUT983075 GEP983065:GEP983075 GOL983065:GOL983075 GYH983065:GYH983075 HID983065:HID983075 HRZ983065:HRZ983075 IBV983065:IBV983075 ILR983065:ILR983075 IVN983065:IVN983075 JFJ983065:JFJ983075 JPF983065:JPF983075 JZB983065:JZB983075 KIX983065:KIX983075 KST983065:KST983075 LCP983065:LCP983075 LML983065:LML983075 LWH983065:LWH983075 MGD983065:MGD983075 MPZ983065:MPZ983075 MZV983065:MZV983075 NJR983065:NJR983075 NTN983065:NTN983075 ODJ983065:ODJ983075 ONF983065:ONF983075 OXB983065:OXB983075 PGX983065:PGX983075 PQT983065:PQT983075 QAP983065:QAP983075 QKL983065:QKL983075 QUH983065:QUH983075 RED983065:RED983075 RNZ983065:RNZ983075 RXV983065:RXV983075 SHR983065:SHR983075 SRN983065:SRN983075 TBJ983065:TBJ983075 TLF983065:TLF983075 TVB983065:TVB983075 UEX983065:UEX983075 UOT983065:UOT983075 UYP983065:UYP983075 VIL983065:VIL983075 VSH983065:VSH983075 WCD983065:WCD983075 WLZ983065:WLZ983075 WVV983065:WVV983075 N23 JJ23 TF23 ADB23 AMX23 AWT23 BGP23 BQL23 CAH23 CKD23 CTZ23 DDV23 DNR23 DXN23 EHJ23 ERF23 FBB23 FKX23 FUT23 GEP23 GOL23 GYH23 HID23 HRZ23 IBV23 ILR23 IVN23 JFJ23 JPF23 JZB23 KIX23 KST23 LCP23 LML23 LWH23 MGD23 MPZ23 MZV23 NJR23 NTN23 ODJ23 ONF23 OXB23 PGX23 PQT23 QAP23 QKL23 QUH23 RED23 RNZ23 RXV23 SHR23 SRN23 TBJ23 TLF23 TVB23 UEX23 UOT23 UYP23 VIL23 VSH23 WCD23 WLZ23 WVV23 N65559 JJ65559 TF65559 ADB65559 AMX65559 AWT65559 BGP65559 BQL65559 CAH65559 CKD65559 CTZ65559 DDV65559 DNR65559 DXN65559 EHJ65559 ERF65559 FBB65559 FKX65559 FUT65559 GEP65559 GOL65559 GYH65559 HID65559 HRZ65559 IBV65559 ILR65559 IVN65559 JFJ65559 JPF65559 JZB65559 KIX65559 KST65559 LCP65559 LML65559 LWH65559 MGD65559 MPZ65559 MZV65559 NJR65559 NTN65559 ODJ65559 ONF65559 OXB65559 PGX65559 PQT65559 QAP65559 QKL65559 QUH65559 RED65559 RNZ65559 RXV65559 SHR65559 SRN65559 TBJ65559 TLF65559 TVB65559 UEX65559 UOT65559 UYP65559 VIL65559 VSH65559 WCD65559 WLZ65559 WVV65559 N131095 JJ131095 TF131095 ADB131095 AMX131095 AWT131095 BGP131095 BQL131095 CAH131095 CKD131095 CTZ131095 DDV131095 DNR131095 DXN131095 EHJ131095 ERF131095 FBB131095 FKX131095 FUT131095 GEP131095 GOL131095 GYH131095 HID131095 HRZ131095 IBV131095 ILR131095 IVN131095 JFJ131095 JPF131095 JZB131095 KIX131095 KST131095 LCP131095 LML131095 LWH131095 MGD131095 MPZ131095 MZV131095 NJR131095 NTN131095 ODJ131095 ONF131095 OXB131095 PGX131095 PQT131095 QAP131095 QKL131095 QUH131095 RED131095 RNZ131095 RXV131095 SHR131095 SRN131095 TBJ131095 TLF131095 TVB131095 UEX131095 UOT131095 UYP131095 VIL131095 VSH131095 WCD131095 WLZ131095 WVV131095 N196631 JJ196631 TF196631 ADB196631 AMX196631 AWT196631 BGP196631 BQL196631 CAH196631 CKD196631 CTZ196631 DDV196631 DNR196631 DXN196631 EHJ196631 ERF196631 FBB196631 FKX196631 FUT196631 GEP196631 GOL196631 GYH196631 HID196631 HRZ196631 IBV196631 ILR196631 IVN196631 JFJ196631 JPF196631 JZB196631 KIX196631 KST196631 LCP196631 LML196631 LWH196631 MGD196631 MPZ196631 MZV196631 NJR196631 NTN196631 ODJ196631 ONF196631 OXB196631 PGX196631 PQT196631 QAP196631 QKL196631 QUH196631 RED196631 RNZ196631 RXV196631 SHR196631 SRN196631 TBJ196631 TLF196631 TVB196631 UEX196631 UOT196631 UYP196631 VIL196631 VSH196631 WCD196631 WLZ196631 WVV196631 N262167 JJ262167 TF262167 ADB262167 AMX262167 AWT262167 BGP262167 BQL262167 CAH262167 CKD262167 CTZ262167 DDV262167 DNR262167 DXN262167 EHJ262167 ERF262167 FBB262167 FKX262167 FUT262167 GEP262167 GOL262167 GYH262167 HID262167 HRZ262167 IBV262167 ILR262167 IVN262167 JFJ262167 JPF262167 JZB262167 KIX262167 KST262167 LCP262167 LML262167 LWH262167 MGD262167 MPZ262167 MZV262167 NJR262167 NTN262167 ODJ262167 ONF262167 OXB262167 PGX262167 PQT262167 QAP262167 QKL262167 QUH262167 RED262167 RNZ262167 RXV262167 SHR262167 SRN262167 TBJ262167 TLF262167 TVB262167 UEX262167 UOT262167 UYP262167 VIL262167 VSH262167 WCD262167 WLZ262167 WVV262167 N327703 JJ327703 TF327703 ADB327703 AMX327703 AWT327703 BGP327703 BQL327703 CAH327703 CKD327703 CTZ327703 DDV327703 DNR327703 DXN327703 EHJ327703 ERF327703 FBB327703 FKX327703 FUT327703 GEP327703 GOL327703 GYH327703 HID327703 HRZ327703 IBV327703 ILR327703 IVN327703 JFJ327703 JPF327703 JZB327703 KIX327703 KST327703 LCP327703 LML327703 LWH327703 MGD327703 MPZ327703 MZV327703 NJR327703 NTN327703 ODJ327703 ONF327703 OXB327703 PGX327703 PQT327703 QAP327703 QKL327703 QUH327703 RED327703 RNZ327703 RXV327703 SHR327703 SRN327703 TBJ327703 TLF327703 TVB327703 UEX327703 UOT327703 UYP327703 VIL327703 VSH327703 WCD327703 WLZ327703 WVV327703 N393239 JJ393239 TF393239 ADB393239 AMX393239 AWT393239 BGP393239 BQL393239 CAH393239 CKD393239 CTZ393239 DDV393239 DNR393239 DXN393239 EHJ393239 ERF393239 FBB393239 FKX393239 FUT393239 GEP393239 GOL393239 GYH393239 HID393239 HRZ393239 IBV393239 ILR393239 IVN393239 JFJ393239 JPF393239 JZB393239 KIX393239 KST393239 LCP393239 LML393239 LWH393239 MGD393239 MPZ393239 MZV393239 NJR393239 NTN393239 ODJ393239 ONF393239 OXB393239 PGX393239 PQT393239 QAP393239 QKL393239 QUH393239 RED393239 RNZ393239 RXV393239 SHR393239 SRN393239 TBJ393239 TLF393239 TVB393239 UEX393239 UOT393239 UYP393239 VIL393239 VSH393239 WCD393239 WLZ393239 WVV393239 N458775 JJ458775 TF458775 ADB458775 AMX458775 AWT458775 BGP458775 BQL458775 CAH458775 CKD458775 CTZ458775 DDV458775 DNR458775 DXN458775 EHJ458775 ERF458775 FBB458775 FKX458775 FUT458775 GEP458775 GOL458775 GYH458775 HID458775 HRZ458775 IBV458775 ILR458775 IVN458775 JFJ458775 JPF458775 JZB458775 KIX458775 KST458775 LCP458775 LML458775 LWH458775 MGD458775 MPZ458775 MZV458775 NJR458775 NTN458775 ODJ458775 ONF458775 OXB458775 PGX458775 PQT458775 QAP458775 QKL458775 QUH458775 RED458775 RNZ458775 RXV458775 SHR458775 SRN458775 TBJ458775 TLF458775 TVB458775 UEX458775 UOT458775 UYP458775 VIL458775 VSH458775 WCD458775 WLZ458775 WVV458775 N524311 JJ524311 TF524311 ADB524311 AMX524311 AWT524311 BGP524311 BQL524311 CAH524311 CKD524311 CTZ524311 DDV524311 DNR524311 DXN524311 EHJ524311 ERF524311 FBB524311 FKX524311 FUT524311 GEP524311 GOL524311 GYH524311 HID524311 HRZ524311 IBV524311 ILR524311 IVN524311 JFJ524311 JPF524311 JZB524311 KIX524311 KST524311 LCP524311 LML524311 LWH524311 MGD524311 MPZ524311 MZV524311 NJR524311 NTN524311 ODJ524311 ONF524311 OXB524311 PGX524311 PQT524311 QAP524311 QKL524311 QUH524311 RED524311 RNZ524311 RXV524311 SHR524311 SRN524311 TBJ524311 TLF524311 TVB524311 UEX524311 UOT524311 UYP524311 VIL524311 VSH524311 WCD524311 WLZ524311 WVV524311 N589847 JJ589847 TF589847 ADB589847 AMX589847 AWT589847 BGP589847 BQL589847 CAH589847 CKD589847 CTZ589847 DDV589847 DNR589847 DXN589847 EHJ589847 ERF589847 FBB589847 FKX589847 FUT589847 GEP589847 GOL589847 GYH589847 HID589847 HRZ589847 IBV589847 ILR589847 IVN589847 JFJ589847 JPF589847 JZB589847 KIX589847 KST589847 LCP589847 LML589847 LWH589847 MGD589847 MPZ589847 MZV589847 NJR589847 NTN589847 ODJ589847 ONF589847 OXB589847 PGX589847 PQT589847 QAP589847 QKL589847 QUH589847 RED589847 RNZ589847 RXV589847 SHR589847 SRN589847 TBJ589847 TLF589847 TVB589847 UEX589847 UOT589847 UYP589847 VIL589847 VSH589847 WCD589847 WLZ589847 WVV589847 N655383 JJ655383 TF655383 ADB655383 AMX655383 AWT655383 BGP655383 BQL655383 CAH655383 CKD655383 CTZ655383 DDV655383 DNR655383 DXN655383 EHJ655383 ERF655383 FBB655383 FKX655383 FUT655383 GEP655383 GOL655383 GYH655383 HID655383 HRZ655383 IBV655383 ILR655383 IVN655383 JFJ655383 JPF655383 JZB655383 KIX655383 KST655383 LCP655383 LML655383 LWH655383 MGD655383 MPZ655383 MZV655383 NJR655383 NTN655383 ODJ655383 ONF655383 OXB655383 PGX655383 PQT655383 QAP655383 QKL655383 QUH655383 RED655383 RNZ655383 RXV655383 SHR655383 SRN655383 TBJ655383 TLF655383 TVB655383 UEX655383 UOT655383 UYP655383 VIL655383 VSH655383 WCD655383 WLZ655383 WVV655383 N720919 JJ720919 TF720919 ADB720919 AMX720919 AWT720919 BGP720919 BQL720919 CAH720919 CKD720919 CTZ720919 DDV720919 DNR720919 DXN720919 EHJ720919 ERF720919 FBB720919 FKX720919 FUT720919 GEP720919 GOL720919 GYH720919 HID720919 HRZ720919 IBV720919 ILR720919 IVN720919 JFJ720919 JPF720919 JZB720919 KIX720919 KST720919 LCP720919 LML720919 LWH720919 MGD720919 MPZ720919 MZV720919 NJR720919 NTN720919 ODJ720919 ONF720919 OXB720919 PGX720919 PQT720919 QAP720919 QKL720919 QUH720919 RED720919 RNZ720919 RXV720919 SHR720919 SRN720919 TBJ720919 TLF720919 TVB720919 UEX720919 UOT720919 UYP720919 VIL720919 VSH720919 WCD720919 WLZ720919 WVV720919 N786455 JJ786455 TF786455 ADB786455 AMX786455 AWT786455 BGP786455 BQL786455 CAH786455 CKD786455 CTZ786455 DDV786455 DNR786455 DXN786455 EHJ786455 ERF786455 FBB786455 FKX786455 FUT786455 GEP786455 GOL786455 GYH786455 HID786455 HRZ786455 IBV786455 ILR786455 IVN786455 JFJ786455 JPF786455 JZB786455 KIX786455 KST786455 LCP786455 LML786455 LWH786455 MGD786455 MPZ786455 MZV786455 NJR786455 NTN786455 ODJ786455 ONF786455 OXB786455 PGX786455 PQT786455 QAP786455 QKL786455 QUH786455 RED786455 RNZ786455 RXV786455 SHR786455 SRN786455 TBJ786455 TLF786455 TVB786455 UEX786455 UOT786455 UYP786455 VIL786455 VSH786455 WCD786455 WLZ786455 WVV786455 N851991 JJ851991 TF851991 ADB851991 AMX851991 AWT851991 BGP851991 BQL851991 CAH851991 CKD851991 CTZ851991 DDV851991 DNR851991 DXN851991 EHJ851991 ERF851991 FBB851991 FKX851991 FUT851991 GEP851991 GOL851991 GYH851991 HID851991 HRZ851991 IBV851991 ILR851991 IVN851991 JFJ851991 JPF851991 JZB851991 KIX851991 KST851991 LCP851991 LML851991 LWH851991 MGD851991 MPZ851991 MZV851991 NJR851991 NTN851991 ODJ851991 ONF851991 OXB851991 PGX851991 PQT851991 QAP851991 QKL851991 QUH851991 RED851991 RNZ851991 RXV851991 SHR851991 SRN851991 TBJ851991 TLF851991 TVB851991 UEX851991 UOT851991 UYP851991 VIL851991 VSH851991 WCD851991 WLZ851991 WVV851991 N917527 JJ917527 TF917527 ADB917527 AMX917527 AWT917527 BGP917527 BQL917527 CAH917527 CKD917527 CTZ917527 DDV917527 DNR917527 DXN917527 EHJ917527 ERF917527 FBB917527 FKX917527 FUT917527 GEP917527 GOL917527 GYH917527 HID917527 HRZ917527 IBV917527 ILR917527 IVN917527 JFJ917527 JPF917527 JZB917527 KIX917527 KST917527 LCP917527 LML917527 LWH917527 MGD917527 MPZ917527 MZV917527 NJR917527 NTN917527 ODJ917527 ONF917527 OXB917527 PGX917527 PQT917527 QAP917527 QKL917527 QUH917527 RED917527 RNZ917527 RXV917527 SHR917527 SRN917527 TBJ917527 TLF917527 TVB917527 UEX917527 UOT917527 UYP917527 VIL917527 VSH917527 WCD917527 WLZ917527 WVV917527 N983063 JJ983063 TF983063 ADB983063 AMX983063 AWT983063 BGP983063 BQL983063 CAH983063 CKD983063 CTZ983063 DDV983063 DNR983063 DXN983063 EHJ983063 ERF983063 FBB983063 FKX983063 FUT983063 GEP983063 GOL983063 GYH983063 HID983063 HRZ983063 IBV983063 ILR983063 IVN983063 JFJ983063 JPF983063 JZB983063 KIX983063 KST983063 LCP983063 LML983063 LWH983063 MGD983063 MPZ983063 MZV983063 NJR983063 NTN983063 ODJ983063 ONF983063 OXB983063 PGX983063 PQT983063 QAP983063 QKL983063 QUH983063 RED983063 RNZ983063 RXV983063 SHR983063 SRN983063 TBJ983063 TLF983063 TVB983063 UEX983063 UOT983063 UYP983063 VIL983063 VSH983063 WCD983063 WLZ983063 WVV983063 M47:O47 JI47:JK47 TE47:TG47 ADA47:ADC47 AMW47:AMY47 AWS47:AWU47 BGO47:BGQ47 BQK47:BQM47 CAG47:CAI47 CKC47:CKE47 CTY47:CUA47 DDU47:DDW47 DNQ47:DNS47 DXM47:DXO47 EHI47:EHK47 ERE47:ERG47 FBA47:FBC47 FKW47:FKY47 FUS47:FUU47 GEO47:GEQ47 GOK47:GOM47 GYG47:GYI47 HIC47:HIE47 HRY47:HSA47 IBU47:IBW47 ILQ47:ILS47 IVM47:IVO47 JFI47:JFK47 JPE47:JPG47 JZA47:JZC47 KIW47:KIY47 KSS47:KSU47 LCO47:LCQ47 LMK47:LMM47 LWG47:LWI47 MGC47:MGE47 MPY47:MQA47 MZU47:MZW47 NJQ47:NJS47 NTM47:NTO47 ODI47:ODK47 ONE47:ONG47 OXA47:OXC47 PGW47:PGY47 PQS47:PQU47 QAO47:QAQ47 QKK47:QKM47 QUG47:QUI47 REC47:REE47 RNY47:ROA47 RXU47:RXW47 SHQ47:SHS47 SRM47:SRO47 TBI47:TBK47 TLE47:TLG47 TVA47:TVC47 UEW47:UEY47 UOS47:UOU47 UYO47:UYQ47 VIK47:VIM47 VSG47:VSI47 WCC47:WCE47 WLY47:WMA47 WVU47:WVW47 M65583:O65583 JI65583:JK65583 TE65583:TG65583 ADA65583:ADC65583 AMW65583:AMY65583 AWS65583:AWU65583 BGO65583:BGQ65583 BQK65583:BQM65583 CAG65583:CAI65583 CKC65583:CKE65583 CTY65583:CUA65583 DDU65583:DDW65583 DNQ65583:DNS65583 DXM65583:DXO65583 EHI65583:EHK65583 ERE65583:ERG65583 FBA65583:FBC65583 FKW65583:FKY65583 FUS65583:FUU65583 GEO65583:GEQ65583 GOK65583:GOM65583 GYG65583:GYI65583 HIC65583:HIE65583 HRY65583:HSA65583 IBU65583:IBW65583 ILQ65583:ILS65583 IVM65583:IVO65583 JFI65583:JFK65583 JPE65583:JPG65583 JZA65583:JZC65583 KIW65583:KIY65583 KSS65583:KSU65583 LCO65583:LCQ65583 LMK65583:LMM65583 LWG65583:LWI65583 MGC65583:MGE65583 MPY65583:MQA65583 MZU65583:MZW65583 NJQ65583:NJS65583 NTM65583:NTO65583 ODI65583:ODK65583 ONE65583:ONG65583 OXA65583:OXC65583 PGW65583:PGY65583 PQS65583:PQU65583 QAO65583:QAQ65583 QKK65583:QKM65583 QUG65583:QUI65583 REC65583:REE65583 RNY65583:ROA65583 RXU65583:RXW65583 SHQ65583:SHS65583 SRM65583:SRO65583 TBI65583:TBK65583 TLE65583:TLG65583 TVA65583:TVC65583 UEW65583:UEY65583 UOS65583:UOU65583 UYO65583:UYQ65583 VIK65583:VIM65583 VSG65583:VSI65583 WCC65583:WCE65583 WLY65583:WMA65583 WVU65583:WVW65583 M131119:O131119 JI131119:JK131119 TE131119:TG131119 ADA131119:ADC131119 AMW131119:AMY131119 AWS131119:AWU131119 BGO131119:BGQ131119 BQK131119:BQM131119 CAG131119:CAI131119 CKC131119:CKE131119 CTY131119:CUA131119 DDU131119:DDW131119 DNQ131119:DNS131119 DXM131119:DXO131119 EHI131119:EHK131119 ERE131119:ERG131119 FBA131119:FBC131119 FKW131119:FKY131119 FUS131119:FUU131119 GEO131119:GEQ131119 GOK131119:GOM131119 GYG131119:GYI131119 HIC131119:HIE131119 HRY131119:HSA131119 IBU131119:IBW131119 ILQ131119:ILS131119 IVM131119:IVO131119 JFI131119:JFK131119 JPE131119:JPG131119 JZA131119:JZC131119 KIW131119:KIY131119 KSS131119:KSU131119 LCO131119:LCQ131119 LMK131119:LMM131119 LWG131119:LWI131119 MGC131119:MGE131119 MPY131119:MQA131119 MZU131119:MZW131119 NJQ131119:NJS131119 NTM131119:NTO131119 ODI131119:ODK131119 ONE131119:ONG131119 OXA131119:OXC131119 PGW131119:PGY131119 PQS131119:PQU131119 QAO131119:QAQ131119 QKK131119:QKM131119 QUG131119:QUI131119 REC131119:REE131119 RNY131119:ROA131119 RXU131119:RXW131119 SHQ131119:SHS131119 SRM131119:SRO131119 TBI131119:TBK131119 TLE131119:TLG131119 TVA131119:TVC131119 UEW131119:UEY131119 UOS131119:UOU131119 UYO131119:UYQ131119 VIK131119:VIM131119 VSG131119:VSI131119 WCC131119:WCE131119 WLY131119:WMA131119 WVU131119:WVW131119 M196655:O196655 JI196655:JK196655 TE196655:TG196655 ADA196655:ADC196655 AMW196655:AMY196655 AWS196655:AWU196655 BGO196655:BGQ196655 BQK196655:BQM196655 CAG196655:CAI196655 CKC196655:CKE196655 CTY196655:CUA196655 DDU196655:DDW196655 DNQ196655:DNS196655 DXM196655:DXO196655 EHI196655:EHK196655 ERE196655:ERG196655 FBA196655:FBC196655 FKW196655:FKY196655 FUS196655:FUU196655 GEO196655:GEQ196655 GOK196655:GOM196655 GYG196655:GYI196655 HIC196655:HIE196655 HRY196655:HSA196655 IBU196655:IBW196655 ILQ196655:ILS196655 IVM196655:IVO196655 JFI196655:JFK196655 JPE196655:JPG196655 JZA196655:JZC196655 KIW196655:KIY196655 KSS196655:KSU196655 LCO196655:LCQ196655 LMK196655:LMM196655 LWG196655:LWI196655 MGC196655:MGE196655 MPY196655:MQA196655 MZU196655:MZW196655 NJQ196655:NJS196655 NTM196655:NTO196655 ODI196655:ODK196655 ONE196655:ONG196655 OXA196655:OXC196655 PGW196655:PGY196655 PQS196655:PQU196655 QAO196655:QAQ196655 QKK196655:QKM196655 QUG196655:QUI196655 REC196655:REE196655 RNY196655:ROA196655 RXU196655:RXW196655 SHQ196655:SHS196655 SRM196655:SRO196655 TBI196655:TBK196655 TLE196655:TLG196655 TVA196655:TVC196655 UEW196655:UEY196655 UOS196655:UOU196655 UYO196655:UYQ196655 VIK196655:VIM196655 VSG196655:VSI196655 WCC196655:WCE196655 WLY196655:WMA196655 WVU196655:WVW196655 M262191:O262191 JI262191:JK262191 TE262191:TG262191 ADA262191:ADC262191 AMW262191:AMY262191 AWS262191:AWU262191 BGO262191:BGQ262191 BQK262191:BQM262191 CAG262191:CAI262191 CKC262191:CKE262191 CTY262191:CUA262191 DDU262191:DDW262191 DNQ262191:DNS262191 DXM262191:DXO262191 EHI262191:EHK262191 ERE262191:ERG262191 FBA262191:FBC262191 FKW262191:FKY262191 FUS262191:FUU262191 GEO262191:GEQ262191 GOK262191:GOM262191 GYG262191:GYI262191 HIC262191:HIE262191 HRY262191:HSA262191 IBU262191:IBW262191 ILQ262191:ILS262191 IVM262191:IVO262191 JFI262191:JFK262191 JPE262191:JPG262191 JZA262191:JZC262191 KIW262191:KIY262191 KSS262191:KSU262191 LCO262191:LCQ262191 LMK262191:LMM262191 LWG262191:LWI262191 MGC262191:MGE262191 MPY262191:MQA262191 MZU262191:MZW262191 NJQ262191:NJS262191 NTM262191:NTO262191 ODI262191:ODK262191 ONE262191:ONG262191 OXA262191:OXC262191 PGW262191:PGY262191 PQS262191:PQU262191 QAO262191:QAQ262191 QKK262191:QKM262191 QUG262191:QUI262191 REC262191:REE262191 RNY262191:ROA262191 RXU262191:RXW262191 SHQ262191:SHS262191 SRM262191:SRO262191 TBI262191:TBK262191 TLE262191:TLG262191 TVA262191:TVC262191 UEW262191:UEY262191 UOS262191:UOU262191 UYO262191:UYQ262191 VIK262191:VIM262191 VSG262191:VSI262191 WCC262191:WCE262191 WLY262191:WMA262191 WVU262191:WVW262191 M327727:O327727 JI327727:JK327727 TE327727:TG327727 ADA327727:ADC327727 AMW327727:AMY327727 AWS327727:AWU327727 BGO327727:BGQ327727 BQK327727:BQM327727 CAG327727:CAI327727 CKC327727:CKE327727 CTY327727:CUA327727 DDU327727:DDW327727 DNQ327727:DNS327727 DXM327727:DXO327727 EHI327727:EHK327727 ERE327727:ERG327727 FBA327727:FBC327727 FKW327727:FKY327727 FUS327727:FUU327727 GEO327727:GEQ327727 GOK327727:GOM327727 GYG327727:GYI327727 HIC327727:HIE327727 HRY327727:HSA327727 IBU327727:IBW327727 ILQ327727:ILS327727 IVM327727:IVO327727 JFI327727:JFK327727 JPE327727:JPG327727 JZA327727:JZC327727 KIW327727:KIY327727 KSS327727:KSU327727 LCO327727:LCQ327727 LMK327727:LMM327727 LWG327727:LWI327727 MGC327727:MGE327727 MPY327727:MQA327727 MZU327727:MZW327727 NJQ327727:NJS327727 NTM327727:NTO327727 ODI327727:ODK327727 ONE327727:ONG327727 OXA327727:OXC327727 PGW327727:PGY327727 PQS327727:PQU327727 QAO327727:QAQ327727 QKK327727:QKM327727 QUG327727:QUI327727 REC327727:REE327727 RNY327727:ROA327727 RXU327727:RXW327727 SHQ327727:SHS327727 SRM327727:SRO327727 TBI327727:TBK327727 TLE327727:TLG327727 TVA327727:TVC327727 UEW327727:UEY327727 UOS327727:UOU327727 UYO327727:UYQ327727 VIK327727:VIM327727 VSG327727:VSI327727 WCC327727:WCE327727 WLY327727:WMA327727 WVU327727:WVW327727 M393263:O393263 JI393263:JK393263 TE393263:TG393263 ADA393263:ADC393263 AMW393263:AMY393263 AWS393263:AWU393263 BGO393263:BGQ393263 BQK393263:BQM393263 CAG393263:CAI393263 CKC393263:CKE393263 CTY393263:CUA393263 DDU393263:DDW393263 DNQ393263:DNS393263 DXM393263:DXO393263 EHI393263:EHK393263 ERE393263:ERG393263 FBA393263:FBC393263 FKW393263:FKY393263 FUS393263:FUU393263 GEO393263:GEQ393263 GOK393263:GOM393263 GYG393263:GYI393263 HIC393263:HIE393263 HRY393263:HSA393263 IBU393263:IBW393263 ILQ393263:ILS393263 IVM393263:IVO393263 JFI393263:JFK393263 JPE393263:JPG393263 JZA393263:JZC393263 KIW393263:KIY393263 KSS393263:KSU393263 LCO393263:LCQ393263 LMK393263:LMM393263 LWG393263:LWI393263 MGC393263:MGE393263 MPY393263:MQA393263 MZU393263:MZW393263 NJQ393263:NJS393263 NTM393263:NTO393263 ODI393263:ODK393263 ONE393263:ONG393263 OXA393263:OXC393263 PGW393263:PGY393263 PQS393263:PQU393263 QAO393263:QAQ393263 QKK393263:QKM393263 QUG393263:QUI393263 REC393263:REE393263 RNY393263:ROA393263 RXU393263:RXW393263 SHQ393263:SHS393263 SRM393263:SRO393263 TBI393263:TBK393263 TLE393263:TLG393263 TVA393263:TVC393263 UEW393263:UEY393263 UOS393263:UOU393263 UYO393263:UYQ393263 VIK393263:VIM393263 VSG393263:VSI393263 WCC393263:WCE393263 WLY393263:WMA393263 WVU393263:WVW393263 M458799:O458799 JI458799:JK458799 TE458799:TG458799 ADA458799:ADC458799 AMW458799:AMY458799 AWS458799:AWU458799 BGO458799:BGQ458799 BQK458799:BQM458799 CAG458799:CAI458799 CKC458799:CKE458799 CTY458799:CUA458799 DDU458799:DDW458799 DNQ458799:DNS458799 DXM458799:DXO458799 EHI458799:EHK458799 ERE458799:ERG458799 FBA458799:FBC458799 FKW458799:FKY458799 FUS458799:FUU458799 GEO458799:GEQ458799 GOK458799:GOM458799 GYG458799:GYI458799 HIC458799:HIE458799 HRY458799:HSA458799 IBU458799:IBW458799 ILQ458799:ILS458799 IVM458799:IVO458799 JFI458799:JFK458799 JPE458799:JPG458799 JZA458799:JZC458799 KIW458799:KIY458799 KSS458799:KSU458799 LCO458799:LCQ458799 LMK458799:LMM458799 LWG458799:LWI458799 MGC458799:MGE458799 MPY458799:MQA458799 MZU458799:MZW458799 NJQ458799:NJS458799 NTM458799:NTO458799 ODI458799:ODK458799 ONE458799:ONG458799 OXA458799:OXC458799 PGW458799:PGY458799 PQS458799:PQU458799 QAO458799:QAQ458799 QKK458799:QKM458799 QUG458799:QUI458799 REC458799:REE458799 RNY458799:ROA458799 RXU458799:RXW458799 SHQ458799:SHS458799 SRM458799:SRO458799 TBI458799:TBK458799 TLE458799:TLG458799 TVA458799:TVC458799 UEW458799:UEY458799 UOS458799:UOU458799 UYO458799:UYQ458799 VIK458799:VIM458799 VSG458799:VSI458799 WCC458799:WCE458799 WLY458799:WMA458799 WVU458799:WVW458799 M524335:O524335 JI524335:JK524335 TE524335:TG524335 ADA524335:ADC524335 AMW524335:AMY524335 AWS524335:AWU524335 BGO524335:BGQ524335 BQK524335:BQM524335 CAG524335:CAI524335 CKC524335:CKE524335 CTY524335:CUA524335 DDU524335:DDW524335 DNQ524335:DNS524335 DXM524335:DXO524335 EHI524335:EHK524335 ERE524335:ERG524335 FBA524335:FBC524335 FKW524335:FKY524335 FUS524335:FUU524335 GEO524335:GEQ524335 GOK524335:GOM524335 GYG524335:GYI524335 HIC524335:HIE524335 HRY524335:HSA524335 IBU524335:IBW524335 ILQ524335:ILS524335 IVM524335:IVO524335 JFI524335:JFK524335 JPE524335:JPG524335 JZA524335:JZC524335 KIW524335:KIY524335 KSS524335:KSU524335 LCO524335:LCQ524335 LMK524335:LMM524335 LWG524335:LWI524335 MGC524335:MGE524335 MPY524335:MQA524335 MZU524335:MZW524335 NJQ524335:NJS524335 NTM524335:NTO524335 ODI524335:ODK524335 ONE524335:ONG524335 OXA524335:OXC524335 PGW524335:PGY524335 PQS524335:PQU524335 QAO524335:QAQ524335 QKK524335:QKM524335 QUG524335:QUI524335 REC524335:REE524335 RNY524335:ROA524335 RXU524335:RXW524335 SHQ524335:SHS524335 SRM524335:SRO524335 TBI524335:TBK524335 TLE524335:TLG524335 TVA524335:TVC524335 UEW524335:UEY524335 UOS524335:UOU524335 UYO524335:UYQ524335 VIK524335:VIM524335 VSG524335:VSI524335 WCC524335:WCE524335 WLY524335:WMA524335 WVU524335:WVW524335 M589871:O589871 JI589871:JK589871 TE589871:TG589871 ADA589871:ADC589871 AMW589871:AMY589871 AWS589871:AWU589871 BGO589871:BGQ589871 BQK589871:BQM589871 CAG589871:CAI589871 CKC589871:CKE589871 CTY589871:CUA589871 DDU589871:DDW589871 DNQ589871:DNS589871 DXM589871:DXO589871 EHI589871:EHK589871 ERE589871:ERG589871 FBA589871:FBC589871 FKW589871:FKY589871 FUS589871:FUU589871 GEO589871:GEQ589871 GOK589871:GOM589871 GYG589871:GYI589871 HIC589871:HIE589871 HRY589871:HSA589871 IBU589871:IBW589871 ILQ589871:ILS589871 IVM589871:IVO589871 JFI589871:JFK589871 JPE589871:JPG589871 JZA589871:JZC589871 KIW589871:KIY589871 KSS589871:KSU589871 LCO589871:LCQ589871 LMK589871:LMM589871 LWG589871:LWI589871 MGC589871:MGE589871 MPY589871:MQA589871 MZU589871:MZW589871 NJQ589871:NJS589871 NTM589871:NTO589871 ODI589871:ODK589871 ONE589871:ONG589871 OXA589871:OXC589871 PGW589871:PGY589871 PQS589871:PQU589871 QAO589871:QAQ589871 QKK589871:QKM589871 QUG589871:QUI589871 REC589871:REE589871 RNY589871:ROA589871 RXU589871:RXW589871 SHQ589871:SHS589871 SRM589871:SRO589871 TBI589871:TBK589871 TLE589871:TLG589871 TVA589871:TVC589871 UEW589871:UEY589871 UOS589871:UOU589871 UYO589871:UYQ589871 VIK589871:VIM589871 VSG589871:VSI589871 WCC589871:WCE589871 WLY589871:WMA589871 WVU589871:WVW589871 M655407:O655407 JI655407:JK655407 TE655407:TG655407 ADA655407:ADC655407 AMW655407:AMY655407 AWS655407:AWU655407 BGO655407:BGQ655407 BQK655407:BQM655407 CAG655407:CAI655407 CKC655407:CKE655407 CTY655407:CUA655407 DDU655407:DDW655407 DNQ655407:DNS655407 DXM655407:DXO655407 EHI655407:EHK655407 ERE655407:ERG655407 FBA655407:FBC655407 FKW655407:FKY655407 FUS655407:FUU655407 GEO655407:GEQ655407 GOK655407:GOM655407 GYG655407:GYI655407 HIC655407:HIE655407 HRY655407:HSA655407 IBU655407:IBW655407 ILQ655407:ILS655407 IVM655407:IVO655407 JFI655407:JFK655407 JPE655407:JPG655407 JZA655407:JZC655407 KIW655407:KIY655407 KSS655407:KSU655407 LCO655407:LCQ655407 LMK655407:LMM655407 LWG655407:LWI655407 MGC655407:MGE655407 MPY655407:MQA655407 MZU655407:MZW655407 NJQ655407:NJS655407 NTM655407:NTO655407 ODI655407:ODK655407 ONE655407:ONG655407 OXA655407:OXC655407 PGW655407:PGY655407 PQS655407:PQU655407 QAO655407:QAQ655407 QKK655407:QKM655407 QUG655407:QUI655407 REC655407:REE655407 RNY655407:ROA655407 RXU655407:RXW655407 SHQ655407:SHS655407 SRM655407:SRO655407 TBI655407:TBK655407 TLE655407:TLG655407 TVA655407:TVC655407 UEW655407:UEY655407 UOS655407:UOU655407 UYO655407:UYQ655407 VIK655407:VIM655407 VSG655407:VSI655407 WCC655407:WCE655407 WLY655407:WMA655407 WVU655407:WVW655407 M720943:O720943 JI720943:JK720943 TE720943:TG720943 ADA720943:ADC720943 AMW720943:AMY720943 AWS720943:AWU720943 BGO720943:BGQ720943 BQK720943:BQM720943 CAG720943:CAI720943 CKC720943:CKE720943 CTY720943:CUA720943 DDU720943:DDW720943 DNQ720943:DNS720943 DXM720943:DXO720943 EHI720943:EHK720943 ERE720943:ERG720943 FBA720943:FBC720943 FKW720943:FKY720943 FUS720943:FUU720943 GEO720943:GEQ720943 GOK720943:GOM720943 GYG720943:GYI720943 HIC720943:HIE720943 HRY720943:HSA720943 IBU720943:IBW720943 ILQ720943:ILS720943 IVM720943:IVO720943 JFI720943:JFK720943 JPE720943:JPG720943 JZA720943:JZC720943 KIW720943:KIY720943 KSS720943:KSU720943 LCO720943:LCQ720943 LMK720943:LMM720943 LWG720943:LWI720943 MGC720943:MGE720943 MPY720943:MQA720943 MZU720943:MZW720943 NJQ720943:NJS720943 NTM720943:NTO720943 ODI720943:ODK720943 ONE720943:ONG720943 OXA720943:OXC720943 PGW720943:PGY720943 PQS720943:PQU720943 QAO720943:QAQ720943 QKK720943:QKM720943 QUG720943:QUI720943 REC720943:REE720943 RNY720943:ROA720943 RXU720943:RXW720943 SHQ720943:SHS720943 SRM720943:SRO720943 TBI720943:TBK720943 TLE720943:TLG720943 TVA720943:TVC720943 UEW720943:UEY720943 UOS720943:UOU720943 UYO720943:UYQ720943 VIK720943:VIM720943 VSG720943:VSI720943 WCC720943:WCE720943 WLY720943:WMA720943 WVU720943:WVW720943 M786479:O786479 JI786479:JK786479 TE786479:TG786479 ADA786479:ADC786479 AMW786479:AMY786479 AWS786479:AWU786479 BGO786479:BGQ786479 BQK786479:BQM786479 CAG786479:CAI786479 CKC786479:CKE786479 CTY786479:CUA786479 DDU786479:DDW786479 DNQ786479:DNS786479 DXM786479:DXO786479 EHI786479:EHK786479 ERE786479:ERG786479 FBA786479:FBC786479 FKW786479:FKY786479 FUS786479:FUU786479 GEO786479:GEQ786479 GOK786479:GOM786479 GYG786479:GYI786479 HIC786479:HIE786479 HRY786479:HSA786479 IBU786479:IBW786479 ILQ786479:ILS786479 IVM786479:IVO786479 JFI786479:JFK786479 JPE786479:JPG786479 JZA786479:JZC786479 KIW786479:KIY786479 KSS786479:KSU786479 LCO786479:LCQ786479 LMK786479:LMM786479 LWG786479:LWI786479 MGC786479:MGE786479 MPY786479:MQA786479 MZU786479:MZW786479 NJQ786479:NJS786479 NTM786479:NTO786479 ODI786479:ODK786479 ONE786479:ONG786479 OXA786479:OXC786479 PGW786479:PGY786479 PQS786479:PQU786479 QAO786479:QAQ786479 QKK786479:QKM786479 QUG786479:QUI786479 REC786479:REE786479 RNY786479:ROA786479 RXU786479:RXW786479 SHQ786479:SHS786479 SRM786479:SRO786479 TBI786479:TBK786479 TLE786479:TLG786479 TVA786479:TVC786479 UEW786479:UEY786479 UOS786479:UOU786479 UYO786479:UYQ786479 VIK786479:VIM786479 VSG786479:VSI786479 WCC786479:WCE786479 WLY786479:WMA786479 WVU786479:WVW786479 M852015:O852015 JI852015:JK852015 TE852015:TG852015 ADA852015:ADC852015 AMW852015:AMY852015 AWS852015:AWU852015 BGO852015:BGQ852015 BQK852015:BQM852015 CAG852015:CAI852015 CKC852015:CKE852015 CTY852015:CUA852015 DDU852015:DDW852015 DNQ852015:DNS852015 DXM852015:DXO852015 EHI852015:EHK852015 ERE852015:ERG852015 FBA852015:FBC852015 FKW852015:FKY852015 FUS852015:FUU852015 GEO852015:GEQ852015 GOK852015:GOM852015 GYG852015:GYI852015 HIC852015:HIE852015 HRY852015:HSA852015 IBU852015:IBW852015 ILQ852015:ILS852015 IVM852015:IVO852015 JFI852015:JFK852015 JPE852015:JPG852015 JZA852015:JZC852015 KIW852015:KIY852015 KSS852015:KSU852015 LCO852015:LCQ852015 LMK852015:LMM852015 LWG852015:LWI852015 MGC852015:MGE852015 MPY852015:MQA852015 MZU852015:MZW852015 NJQ852015:NJS852015 NTM852015:NTO852015 ODI852015:ODK852015 ONE852015:ONG852015 OXA852015:OXC852015 PGW852015:PGY852015 PQS852015:PQU852015 QAO852015:QAQ852015 QKK852015:QKM852015 QUG852015:QUI852015 REC852015:REE852015 RNY852015:ROA852015 RXU852015:RXW852015 SHQ852015:SHS852015 SRM852015:SRO852015 TBI852015:TBK852015 TLE852015:TLG852015 TVA852015:TVC852015 UEW852015:UEY852015 UOS852015:UOU852015 UYO852015:UYQ852015 VIK852015:VIM852015 VSG852015:VSI852015 WCC852015:WCE852015 WLY852015:WMA852015 WVU852015:WVW852015 M917551:O917551 JI917551:JK917551 TE917551:TG917551 ADA917551:ADC917551 AMW917551:AMY917551 AWS917551:AWU917551 BGO917551:BGQ917551 BQK917551:BQM917551 CAG917551:CAI917551 CKC917551:CKE917551 CTY917551:CUA917551 DDU917551:DDW917551 DNQ917551:DNS917551 DXM917551:DXO917551 EHI917551:EHK917551 ERE917551:ERG917551 FBA917551:FBC917551 FKW917551:FKY917551 FUS917551:FUU917551 GEO917551:GEQ917551 GOK917551:GOM917551 GYG917551:GYI917551 HIC917551:HIE917551 HRY917551:HSA917551 IBU917551:IBW917551 ILQ917551:ILS917551 IVM917551:IVO917551 JFI917551:JFK917551 JPE917551:JPG917551 JZA917551:JZC917551 KIW917551:KIY917551 KSS917551:KSU917551 LCO917551:LCQ917551 LMK917551:LMM917551 LWG917551:LWI917551 MGC917551:MGE917551 MPY917551:MQA917551 MZU917551:MZW917551 NJQ917551:NJS917551 NTM917551:NTO917551 ODI917551:ODK917551 ONE917551:ONG917551 OXA917551:OXC917551 PGW917551:PGY917551 PQS917551:PQU917551 QAO917551:QAQ917551 QKK917551:QKM917551 QUG917551:QUI917551 REC917551:REE917551 RNY917551:ROA917551 RXU917551:RXW917551 SHQ917551:SHS917551 SRM917551:SRO917551 TBI917551:TBK917551 TLE917551:TLG917551 TVA917551:TVC917551 UEW917551:UEY917551 UOS917551:UOU917551 UYO917551:UYQ917551 VIK917551:VIM917551 VSG917551:VSI917551 WCC917551:WCE917551 WLY917551:WMA917551 WVU917551:WVW917551 M983087:O983087 JI983087:JK983087 TE983087:TG983087 ADA983087:ADC983087 AMW983087:AMY983087 AWS983087:AWU983087 BGO983087:BGQ983087 BQK983087:BQM983087 CAG983087:CAI983087 CKC983087:CKE983087 CTY983087:CUA983087 DDU983087:DDW983087 DNQ983087:DNS983087 DXM983087:DXO983087 EHI983087:EHK983087 ERE983087:ERG983087 FBA983087:FBC983087 FKW983087:FKY983087 FUS983087:FUU983087 GEO983087:GEQ983087 GOK983087:GOM983087 GYG983087:GYI983087 HIC983087:HIE983087 HRY983087:HSA983087 IBU983087:IBW983087 ILQ983087:ILS983087 IVM983087:IVO983087 JFI983087:JFK983087 JPE983087:JPG983087 JZA983087:JZC983087 KIW983087:KIY983087 KSS983087:KSU983087 LCO983087:LCQ983087 LMK983087:LMM983087 LWG983087:LWI983087 MGC983087:MGE983087 MPY983087:MQA983087 MZU983087:MZW983087 NJQ983087:NJS983087 NTM983087:NTO983087 ODI983087:ODK983087 ONE983087:ONG983087 OXA983087:OXC983087 PGW983087:PGY983087 PQS983087:PQU983087 QAO983087:QAQ983087 QKK983087:QKM983087 QUG983087:QUI983087 REC983087:REE983087 RNY983087:ROA983087 RXU983087:RXW983087 SHQ983087:SHS983087 SRM983087:SRO983087 TBI983087:TBK983087 TLE983087:TLG983087 TVA983087:TVC983087 UEW983087:UEY983087 UOS983087:UOU983087 UYO983087:UYQ983087 VIK983087:VIM983087 VSG983087:VSI983087 WCC983087:WCE983087 WLY983087:WMA983087 WVU983087:WVW983087" xr:uid="{995279E6-62CE-43D6-B9EA-E5DB036CAC91}">
      <formula1>0</formula1>
      <formula2>31</formula2>
    </dataValidation>
  </dataValidations>
  <pageMargins left="0.27" right="0.28000000000000003" top="0.25" bottom="0.42" header="0.25" footer="0.22"/>
  <pageSetup paperSize="9" scale="72" orientation="portrait" r:id="rId1"/>
  <headerFooter alignWithMargins="0">
    <oddFooter>&amp;L&amp;Z&amp;F</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5AC43-3CCF-4F79-B26C-4207FEA613F1}">
  <sheetPr codeName="Sheet4"/>
  <dimension ref="A1:V50"/>
  <sheetViews>
    <sheetView showGridLines="0" view="pageBreakPreview" topLeftCell="B36" zoomScale="85" zoomScaleNormal="100" zoomScaleSheetLayoutView="100" workbookViewId="0">
      <selection activeCell="L53" sqref="L53"/>
    </sheetView>
  </sheetViews>
  <sheetFormatPr defaultRowHeight="13.2"/>
  <cols>
    <col min="1" max="1" width="3.5546875" style="9" customWidth="1"/>
    <col min="2" max="2" width="5.5546875" style="9" customWidth="1"/>
    <col min="3" max="14" width="10.5546875" style="9" customWidth="1"/>
    <col min="15" max="15" width="3.6640625" style="9" customWidth="1"/>
    <col min="16" max="16" width="8.88671875" style="9"/>
    <col min="17" max="18" width="8.88671875" style="90"/>
    <col min="19" max="254" width="8.88671875" style="9"/>
    <col min="255" max="255" width="7.6640625" style="9" customWidth="1"/>
    <col min="256" max="256" width="3.44140625" style="9" customWidth="1"/>
    <col min="257" max="257" width="6.5546875" style="9" customWidth="1"/>
    <col min="258" max="258" width="5.21875" style="9" customWidth="1"/>
    <col min="259" max="260" width="10.6640625" style="9" customWidth="1"/>
    <col min="261" max="261" width="11.21875" style="9" customWidth="1"/>
    <col min="262" max="262" width="12.21875" style="9" customWidth="1"/>
    <col min="263" max="264" width="5.44140625" style="9" customWidth="1"/>
    <col min="265" max="265" width="8" style="9" customWidth="1"/>
    <col min="266" max="266" width="9.5546875" style="9" customWidth="1"/>
    <col min="267" max="267" width="10" style="9" customWidth="1"/>
    <col min="268" max="268" width="6.21875" style="9" customWidth="1"/>
    <col min="269" max="269" width="4.44140625" style="9" customWidth="1"/>
    <col min="270" max="270" width="4.77734375" style="9" customWidth="1"/>
    <col min="271" max="271" width="10.44140625" style="9" customWidth="1"/>
    <col min="272" max="510" width="8.88671875" style="9"/>
    <col min="511" max="511" width="7.6640625" style="9" customWidth="1"/>
    <col min="512" max="512" width="3.44140625" style="9" customWidth="1"/>
    <col min="513" max="513" width="6.5546875" style="9" customWidth="1"/>
    <col min="514" max="514" width="5.21875" style="9" customWidth="1"/>
    <col min="515" max="516" width="10.6640625" style="9" customWidth="1"/>
    <col min="517" max="517" width="11.21875" style="9" customWidth="1"/>
    <col min="518" max="518" width="12.21875" style="9" customWidth="1"/>
    <col min="519" max="520" width="5.44140625" style="9" customWidth="1"/>
    <col min="521" max="521" width="8" style="9" customWidth="1"/>
    <col min="522" max="522" width="9.5546875" style="9" customWidth="1"/>
    <col min="523" max="523" width="10" style="9" customWidth="1"/>
    <col min="524" max="524" width="6.21875" style="9" customWidth="1"/>
    <col min="525" max="525" width="4.44140625" style="9" customWidth="1"/>
    <col min="526" max="526" width="4.77734375" style="9" customWidth="1"/>
    <col min="527" max="527" width="10.44140625" style="9" customWidth="1"/>
    <col min="528" max="766" width="8.88671875" style="9"/>
    <col min="767" max="767" width="7.6640625" style="9" customWidth="1"/>
    <col min="768" max="768" width="3.44140625" style="9" customWidth="1"/>
    <col min="769" max="769" width="6.5546875" style="9" customWidth="1"/>
    <col min="770" max="770" width="5.21875" style="9" customWidth="1"/>
    <col min="771" max="772" width="10.6640625" style="9" customWidth="1"/>
    <col min="773" max="773" width="11.21875" style="9" customWidth="1"/>
    <col min="774" max="774" width="12.21875" style="9" customWidth="1"/>
    <col min="775" max="776" width="5.44140625" style="9" customWidth="1"/>
    <col min="777" max="777" width="8" style="9" customWidth="1"/>
    <col min="778" max="778" width="9.5546875" style="9" customWidth="1"/>
    <col min="779" max="779" width="10" style="9" customWidth="1"/>
    <col min="780" max="780" width="6.21875" style="9" customWidth="1"/>
    <col min="781" max="781" width="4.44140625" style="9" customWidth="1"/>
    <col min="782" max="782" width="4.77734375" style="9" customWidth="1"/>
    <col min="783" max="783" width="10.44140625" style="9" customWidth="1"/>
    <col min="784" max="1022" width="8.88671875" style="9"/>
    <col min="1023" max="1023" width="7.6640625" style="9" customWidth="1"/>
    <col min="1024" max="1024" width="3.44140625" style="9" customWidth="1"/>
    <col min="1025" max="1025" width="6.5546875" style="9" customWidth="1"/>
    <col min="1026" max="1026" width="5.21875" style="9" customWidth="1"/>
    <col min="1027" max="1028" width="10.6640625" style="9" customWidth="1"/>
    <col min="1029" max="1029" width="11.21875" style="9" customWidth="1"/>
    <col min="1030" max="1030" width="12.21875" style="9" customWidth="1"/>
    <col min="1031" max="1032" width="5.44140625" style="9" customWidth="1"/>
    <col min="1033" max="1033" width="8" style="9" customWidth="1"/>
    <col min="1034" max="1034" width="9.5546875" style="9" customWidth="1"/>
    <col min="1035" max="1035" width="10" style="9" customWidth="1"/>
    <col min="1036" max="1036" width="6.21875" style="9" customWidth="1"/>
    <col min="1037" max="1037" width="4.44140625" style="9" customWidth="1"/>
    <col min="1038" max="1038" width="4.77734375" style="9" customWidth="1"/>
    <col min="1039" max="1039" width="10.44140625" style="9" customWidth="1"/>
    <col min="1040" max="1278" width="8.88671875" style="9"/>
    <col min="1279" max="1279" width="7.6640625" style="9" customWidth="1"/>
    <col min="1280" max="1280" width="3.44140625" style="9" customWidth="1"/>
    <col min="1281" max="1281" width="6.5546875" style="9" customWidth="1"/>
    <col min="1282" max="1282" width="5.21875" style="9" customWidth="1"/>
    <col min="1283" max="1284" width="10.6640625" style="9" customWidth="1"/>
    <col min="1285" max="1285" width="11.21875" style="9" customWidth="1"/>
    <col min="1286" max="1286" width="12.21875" style="9" customWidth="1"/>
    <col min="1287" max="1288" width="5.44140625" style="9" customWidth="1"/>
    <col min="1289" max="1289" width="8" style="9" customWidth="1"/>
    <col min="1290" max="1290" width="9.5546875" style="9" customWidth="1"/>
    <col min="1291" max="1291" width="10" style="9" customWidth="1"/>
    <col min="1292" max="1292" width="6.21875" style="9" customWidth="1"/>
    <col min="1293" max="1293" width="4.44140625" style="9" customWidth="1"/>
    <col min="1294" max="1294" width="4.77734375" style="9" customWidth="1"/>
    <col min="1295" max="1295" width="10.44140625" style="9" customWidth="1"/>
    <col min="1296" max="1534" width="8.88671875" style="9"/>
    <col min="1535" max="1535" width="7.6640625" style="9" customWidth="1"/>
    <col min="1536" max="1536" width="3.44140625" style="9" customWidth="1"/>
    <col min="1537" max="1537" width="6.5546875" style="9" customWidth="1"/>
    <col min="1538" max="1538" width="5.21875" style="9" customWidth="1"/>
    <col min="1539" max="1540" width="10.6640625" style="9" customWidth="1"/>
    <col min="1541" max="1541" width="11.21875" style="9" customWidth="1"/>
    <col min="1542" max="1542" width="12.21875" style="9" customWidth="1"/>
    <col min="1543" max="1544" width="5.44140625" style="9" customWidth="1"/>
    <col min="1545" max="1545" width="8" style="9" customWidth="1"/>
    <col min="1546" max="1546" width="9.5546875" style="9" customWidth="1"/>
    <col min="1547" max="1547" width="10" style="9" customWidth="1"/>
    <col min="1548" max="1548" width="6.21875" style="9" customWidth="1"/>
    <col min="1549" max="1549" width="4.44140625" style="9" customWidth="1"/>
    <col min="1550" max="1550" width="4.77734375" style="9" customWidth="1"/>
    <col min="1551" max="1551" width="10.44140625" style="9" customWidth="1"/>
    <col min="1552" max="1790" width="8.88671875" style="9"/>
    <col min="1791" max="1791" width="7.6640625" style="9" customWidth="1"/>
    <col min="1792" max="1792" width="3.44140625" style="9" customWidth="1"/>
    <col min="1793" max="1793" width="6.5546875" style="9" customWidth="1"/>
    <col min="1794" max="1794" width="5.21875" style="9" customWidth="1"/>
    <col min="1795" max="1796" width="10.6640625" style="9" customWidth="1"/>
    <col min="1797" max="1797" width="11.21875" style="9" customWidth="1"/>
    <col min="1798" max="1798" width="12.21875" style="9" customWidth="1"/>
    <col min="1799" max="1800" width="5.44140625" style="9" customWidth="1"/>
    <col min="1801" max="1801" width="8" style="9" customWidth="1"/>
    <col min="1802" max="1802" width="9.5546875" style="9" customWidth="1"/>
    <col min="1803" max="1803" width="10" style="9" customWidth="1"/>
    <col min="1804" max="1804" width="6.21875" style="9" customWidth="1"/>
    <col min="1805" max="1805" width="4.44140625" style="9" customWidth="1"/>
    <col min="1806" max="1806" width="4.77734375" style="9" customWidth="1"/>
    <col min="1807" max="1807" width="10.44140625" style="9" customWidth="1"/>
    <col min="1808" max="2046" width="8.88671875" style="9"/>
    <col min="2047" max="2047" width="7.6640625" style="9" customWidth="1"/>
    <col min="2048" max="2048" width="3.44140625" style="9" customWidth="1"/>
    <col min="2049" max="2049" width="6.5546875" style="9" customWidth="1"/>
    <col min="2050" max="2050" width="5.21875" style="9" customWidth="1"/>
    <col min="2051" max="2052" width="10.6640625" style="9" customWidth="1"/>
    <col min="2053" max="2053" width="11.21875" style="9" customWidth="1"/>
    <col min="2054" max="2054" width="12.21875" style="9" customWidth="1"/>
    <col min="2055" max="2056" width="5.44140625" style="9" customWidth="1"/>
    <col min="2057" max="2057" width="8" style="9" customWidth="1"/>
    <col min="2058" max="2058" width="9.5546875" style="9" customWidth="1"/>
    <col min="2059" max="2059" width="10" style="9" customWidth="1"/>
    <col min="2060" max="2060" width="6.21875" style="9" customWidth="1"/>
    <col min="2061" max="2061" width="4.44140625" style="9" customWidth="1"/>
    <col min="2062" max="2062" width="4.77734375" style="9" customWidth="1"/>
    <col min="2063" max="2063" width="10.44140625" style="9" customWidth="1"/>
    <col min="2064" max="2302" width="8.88671875" style="9"/>
    <col min="2303" max="2303" width="7.6640625" style="9" customWidth="1"/>
    <col min="2304" max="2304" width="3.44140625" style="9" customWidth="1"/>
    <col min="2305" max="2305" width="6.5546875" style="9" customWidth="1"/>
    <col min="2306" max="2306" width="5.21875" style="9" customWidth="1"/>
    <col min="2307" max="2308" width="10.6640625" style="9" customWidth="1"/>
    <col min="2309" max="2309" width="11.21875" style="9" customWidth="1"/>
    <col min="2310" max="2310" width="12.21875" style="9" customWidth="1"/>
    <col min="2311" max="2312" width="5.44140625" style="9" customWidth="1"/>
    <col min="2313" max="2313" width="8" style="9" customWidth="1"/>
    <col min="2314" max="2314" width="9.5546875" style="9" customWidth="1"/>
    <col min="2315" max="2315" width="10" style="9" customWidth="1"/>
    <col min="2316" max="2316" width="6.21875" style="9" customWidth="1"/>
    <col min="2317" max="2317" width="4.44140625" style="9" customWidth="1"/>
    <col min="2318" max="2318" width="4.77734375" style="9" customWidth="1"/>
    <col min="2319" max="2319" width="10.44140625" style="9" customWidth="1"/>
    <col min="2320" max="2558" width="8.88671875" style="9"/>
    <col min="2559" max="2559" width="7.6640625" style="9" customWidth="1"/>
    <col min="2560" max="2560" width="3.44140625" style="9" customWidth="1"/>
    <col min="2561" max="2561" width="6.5546875" style="9" customWidth="1"/>
    <col min="2562" max="2562" width="5.21875" style="9" customWidth="1"/>
    <col min="2563" max="2564" width="10.6640625" style="9" customWidth="1"/>
    <col min="2565" max="2565" width="11.21875" style="9" customWidth="1"/>
    <col min="2566" max="2566" width="12.21875" style="9" customWidth="1"/>
    <col min="2567" max="2568" width="5.44140625" style="9" customWidth="1"/>
    <col min="2569" max="2569" width="8" style="9" customWidth="1"/>
    <col min="2570" max="2570" width="9.5546875" style="9" customWidth="1"/>
    <col min="2571" max="2571" width="10" style="9" customWidth="1"/>
    <col min="2572" max="2572" width="6.21875" style="9" customWidth="1"/>
    <col min="2573" max="2573" width="4.44140625" style="9" customWidth="1"/>
    <col min="2574" max="2574" width="4.77734375" style="9" customWidth="1"/>
    <col min="2575" max="2575" width="10.44140625" style="9" customWidth="1"/>
    <col min="2576" max="2814" width="8.88671875" style="9"/>
    <col min="2815" max="2815" width="7.6640625" style="9" customWidth="1"/>
    <col min="2816" max="2816" width="3.44140625" style="9" customWidth="1"/>
    <col min="2817" max="2817" width="6.5546875" style="9" customWidth="1"/>
    <col min="2818" max="2818" width="5.21875" style="9" customWidth="1"/>
    <col min="2819" max="2820" width="10.6640625" style="9" customWidth="1"/>
    <col min="2821" max="2821" width="11.21875" style="9" customWidth="1"/>
    <col min="2822" max="2822" width="12.21875" style="9" customWidth="1"/>
    <col min="2823" max="2824" width="5.44140625" style="9" customWidth="1"/>
    <col min="2825" max="2825" width="8" style="9" customWidth="1"/>
    <col min="2826" max="2826" width="9.5546875" style="9" customWidth="1"/>
    <col min="2827" max="2827" width="10" style="9" customWidth="1"/>
    <col min="2828" max="2828" width="6.21875" style="9" customWidth="1"/>
    <col min="2829" max="2829" width="4.44140625" style="9" customWidth="1"/>
    <col min="2830" max="2830" width="4.77734375" style="9" customWidth="1"/>
    <col min="2831" max="2831" width="10.44140625" style="9" customWidth="1"/>
    <col min="2832" max="3070" width="8.88671875" style="9"/>
    <col min="3071" max="3071" width="7.6640625" style="9" customWidth="1"/>
    <col min="3072" max="3072" width="3.44140625" style="9" customWidth="1"/>
    <col min="3073" max="3073" width="6.5546875" style="9" customWidth="1"/>
    <col min="3074" max="3074" width="5.21875" style="9" customWidth="1"/>
    <col min="3075" max="3076" width="10.6640625" style="9" customWidth="1"/>
    <col min="3077" max="3077" width="11.21875" style="9" customWidth="1"/>
    <col min="3078" max="3078" width="12.21875" style="9" customWidth="1"/>
    <col min="3079" max="3080" width="5.44140625" style="9" customWidth="1"/>
    <col min="3081" max="3081" width="8" style="9" customWidth="1"/>
    <col min="3082" max="3082" width="9.5546875" style="9" customWidth="1"/>
    <col min="3083" max="3083" width="10" style="9" customWidth="1"/>
    <col min="3084" max="3084" width="6.21875" style="9" customWidth="1"/>
    <col min="3085" max="3085" width="4.44140625" style="9" customWidth="1"/>
    <col min="3086" max="3086" width="4.77734375" style="9" customWidth="1"/>
    <col min="3087" max="3087" width="10.44140625" style="9" customWidth="1"/>
    <col min="3088" max="3326" width="8.88671875" style="9"/>
    <col min="3327" max="3327" width="7.6640625" style="9" customWidth="1"/>
    <col min="3328" max="3328" width="3.44140625" style="9" customWidth="1"/>
    <col min="3329" max="3329" width="6.5546875" style="9" customWidth="1"/>
    <col min="3330" max="3330" width="5.21875" style="9" customWidth="1"/>
    <col min="3331" max="3332" width="10.6640625" style="9" customWidth="1"/>
    <col min="3333" max="3333" width="11.21875" style="9" customWidth="1"/>
    <col min="3334" max="3334" width="12.21875" style="9" customWidth="1"/>
    <col min="3335" max="3336" width="5.44140625" style="9" customWidth="1"/>
    <col min="3337" max="3337" width="8" style="9" customWidth="1"/>
    <col min="3338" max="3338" width="9.5546875" style="9" customWidth="1"/>
    <col min="3339" max="3339" width="10" style="9" customWidth="1"/>
    <col min="3340" max="3340" width="6.21875" style="9" customWidth="1"/>
    <col min="3341" max="3341" width="4.44140625" style="9" customWidth="1"/>
    <col min="3342" max="3342" width="4.77734375" style="9" customWidth="1"/>
    <col min="3343" max="3343" width="10.44140625" style="9" customWidth="1"/>
    <col min="3344" max="3582" width="8.88671875" style="9"/>
    <col min="3583" max="3583" width="7.6640625" style="9" customWidth="1"/>
    <col min="3584" max="3584" width="3.44140625" style="9" customWidth="1"/>
    <col min="3585" max="3585" width="6.5546875" style="9" customWidth="1"/>
    <col min="3586" max="3586" width="5.21875" style="9" customWidth="1"/>
    <col min="3587" max="3588" width="10.6640625" style="9" customWidth="1"/>
    <col min="3589" max="3589" width="11.21875" style="9" customWidth="1"/>
    <col min="3590" max="3590" width="12.21875" style="9" customWidth="1"/>
    <col min="3591" max="3592" width="5.44140625" style="9" customWidth="1"/>
    <col min="3593" max="3593" width="8" style="9" customWidth="1"/>
    <col min="3594" max="3594" width="9.5546875" style="9" customWidth="1"/>
    <col min="3595" max="3595" width="10" style="9" customWidth="1"/>
    <col min="3596" max="3596" width="6.21875" style="9" customWidth="1"/>
    <col min="3597" max="3597" width="4.44140625" style="9" customWidth="1"/>
    <col min="3598" max="3598" width="4.77734375" style="9" customWidth="1"/>
    <col min="3599" max="3599" width="10.44140625" style="9" customWidth="1"/>
    <col min="3600" max="3838" width="8.88671875" style="9"/>
    <col min="3839" max="3839" width="7.6640625" style="9" customWidth="1"/>
    <col min="3840" max="3840" width="3.44140625" style="9" customWidth="1"/>
    <col min="3841" max="3841" width="6.5546875" style="9" customWidth="1"/>
    <col min="3842" max="3842" width="5.21875" style="9" customWidth="1"/>
    <col min="3843" max="3844" width="10.6640625" style="9" customWidth="1"/>
    <col min="3845" max="3845" width="11.21875" style="9" customWidth="1"/>
    <col min="3846" max="3846" width="12.21875" style="9" customWidth="1"/>
    <col min="3847" max="3848" width="5.44140625" style="9" customWidth="1"/>
    <col min="3849" max="3849" width="8" style="9" customWidth="1"/>
    <col min="3850" max="3850" width="9.5546875" style="9" customWidth="1"/>
    <col min="3851" max="3851" width="10" style="9" customWidth="1"/>
    <col min="3852" max="3852" width="6.21875" style="9" customWidth="1"/>
    <col min="3853" max="3853" width="4.44140625" style="9" customWidth="1"/>
    <col min="3854" max="3854" width="4.77734375" style="9" customWidth="1"/>
    <col min="3855" max="3855" width="10.44140625" style="9" customWidth="1"/>
    <col min="3856" max="4094" width="8.88671875" style="9"/>
    <col min="4095" max="4095" width="7.6640625" style="9" customWidth="1"/>
    <col min="4096" max="4096" width="3.44140625" style="9" customWidth="1"/>
    <col min="4097" max="4097" width="6.5546875" style="9" customWidth="1"/>
    <col min="4098" max="4098" width="5.21875" style="9" customWidth="1"/>
    <col min="4099" max="4100" width="10.6640625" style="9" customWidth="1"/>
    <col min="4101" max="4101" width="11.21875" style="9" customWidth="1"/>
    <col min="4102" max="4102" width="12.21875" style="9" customWidth="1"/>
    <col min="4103" max="4104" width="5.44140625" style="9" customWidth="1"/>
    <col min="4105" max="4105" width="8" style="9" customWidth="1"/>
    <col min="4106" max="4106" width="9.5546875" style="9" customWidth="1"/>
    <col min="4107" max="4107" width="10" style="9" customWidth="1"/>
    <col min="4108" max="4108" width="6.21875" style="9" customWidth="1"/>
    <col min="4109" max="4109" width="4.44140625" style="9" customWidth="1"/>
    <col min="4110" max="4110" width="4.77734375" style="9" customWidth="1"/>
    <col min="4111" max="4111" width="10.44140625" style="9" customWidth="1"/>
    <col min="4112" max="4350" width="8.88671875" style="9"/>
    <col min="4351" max="4351" width="7.6640625" style="9" customWidth="1"/>
    <col min="4352" max="4352" width="3.44140625" style="9" customWidth="1"/>
    <col min="4353" max="4353" width="6.5546875" style="9" customWidth="1"/>
    <col min="4354" max="4354" width="5.21875" style="9" customWidth="1"/>
    <col min="4355" max="4356" width="10.6640625" style="9" customWidth="1"/>
    <col min="4357" max="4357" width="11.21875" style="9" customWidth="1"/>
    <col min="4358" max="4358" width="12.21875" style="9" customWidth="1"/>
    <col min="4359" max="4360" width="5.44140625" style="9" customWidth="1"/>
    <col min="4361" max="4361" width="8" style="9" customWidth="1"/>
    <col min="4362" max="4362" width="9.5546875" style="9" customWidth="1"/>
    <col min="4363" max="4363" width="10" style="9" customWidth="1"/>
    <col min="4364" max="4364" width="6.21875" style="9" customWidth="1"/>
    <col min="4365" max="4365" width="4.44140625" style="9" customWidth="1"/>
    <col min="4366" max="4366" width="4.77734375" style="9" customWidth="1"/>
    <col min="4367" max="4367" width="10.44140625" style="9" customWidth="1"/>
    <col min="4368" max="4606" width="8.88671875" style="9"/>
    <col min="4607" max="4607" width="7.6640625" style="9" customWidth="1"/>
    <col min="4608" max="4608" width="3.44140625" style="9" customWidth="1"/>
    <col min="4609" max="4609" width="6.5546875" style="9" customWidth="1"/>
    <col min="4610" max="4610" width="5.21875" style="9" customWidth="1"/>
    <col min="4611" max="4612" width="10.6640625" style="9" customWidth="1"/>
    <col min="4613" max="4613" width="11.21875" style="9" customWidth="1"/>
    <col min="4614" max="4614" width="12.21875" style="9" customWidth="1"/>
    <col min="4615" max="4616" width="5.44140625" style="9" customWidth="1"/>
    <col min="4617" max="4617" width="8" style="9" customWidth="1"/>
    <col min="4618" max="4618" width="9.5546875" style="9" customWidth="1"/>
    <col min="4619" max="4619" width="10" style="9" customWidth="1"/>
    <col min="4620" max="4620" width="6.21875" style="9" customWidth="1"/>
    <col min="4621" max="4621" width="4.44140625" style="9" customWidth="1"/>
    <col min="4622" max="4622" width="4.77734375" style="9" customWidth="1"/>
    <col min="4623" max="4623" width="10.44140625" style="9" customWidth="1"/>
    <col min="4624" max="4862" width="8.88671875" style="9"/>
    <col min="4863" max="4863" width="7.6640625" style="9" customWidth="1"/>
    <col min="4864" max="4864" width="3.44140625" style="9" customWidth="1"/>
    <col min="4865" max="4865" width="6.5546875" style="9" customWidth="1"/>
    <col min="4866" max="4866" width="5.21875" style="9" customWidth="1"/>
    <col min="4867" max="4868" width="10.6640625" style="9" customWidth="1"/>
    <col min="4869" max="4869" width="11.21875" style="9" customWidth="1"/>
    <col min="4870" max="4870" width="12.21875" style="9" customWidth="1"/>
    <col min="4871" max="4872" width="5.44140625" style="9" customWidth="1"/>
    <col min="4873" max="4873" width="8" style="9" customWidth="1"/>
    <col min="4874" max="4874" width="9.5546875" style="9" customWidth="1"/>
    <col min="4875" max="4875" width="10" style="9" customWidth="1"/>
    <col min="4876" max="4876" width="6.21875" style="9" customWidth="1"/>
    <col min="4877" max="4877" width="4.44140625" style="9" customWidth="1"/>
    <col min="4878" max="4878" width="4.77734375" style="9" customWidth="1"/>
    <col min="4879" max="4879" width="10.44140625" style="9" customWidth="1"/>
    <col min="4880" max="5118" width="8.88671875" style="9"/>
    <col min="5119" max="5119" width="7.6640625" style="9" customWidth="1"/>
    <col min="5120" max="5120" width="3.44140625" style="9" customWidth="1"/>
    <col min="5121" max="5121" width="6.5546875" style="9" customWidth="1"/>
    <col min="5122" max="5122" width="5.21875" style="9" customWidth="1"/>
    <col min="5123" max="5124" width="10.6640625" style="9" customWidth="1"/>
    <col min="5125" max="5125" width="11.21875" style="9" customWidth="1"/>
    <col min="5126" max="5126" width="12.21875" style="9" customWidth="1"/>
    <col min="5127" max="5128" width="5.44140625" style="9" customWidth="1"/>
    <col min="5129" max="5129" width="8" style="9" customWidth="1"/>
    <col min="5130" max="5130" width="9.5546875" style="9" customWidth="1"/>
    <col min="5131" max="5131" width="10" style="9" customWidth="1"/>
    <col min="5132" max="5132" width="6.21875" style="9" customWidth="1"/>
    <col min="5133" max="5133" width="4.44140625" style="9" customWidth="1"/>
    <col min="5134" max="5134" width="4.77734375" style="9" customWidth="1"/>
    <col min="5135" max="5135" width="10.44140625" style="9" customWidth="1"/>
    <col min="5136" max="5374" width="8.88671875" style="9"/>
    <col min="5375" max="5375" width="7.6640625" style="9" customWidth="1"/>
    <col min="5376" max="5376" width="3.44140625" style="9" customWidth="1"/>
    <col min="5377" max="5377" width="6.5546875" style="9" customWidth="1"/>
    <col min="5378" max="5378" width="5.21875" style="9" customWidth="1"/>
    <col min="5379" max="5380" width="10.6640625" style="9" customWidth="1"/>
    <col min="5381" max="5381" width="11.21875" style="9" customWidth="1"/>
    <col min="5382" max="5382" width="12.21875" style="9" customWidth="1"/>
    <col min="5383" max="5384" width="5.44140625" style="9" customWidth="1"/>
    <col min="5385" max="5385" width="8" style="9" customWidth="1"/>
    <col min="5386" max="5386" width="9.5546875" style="9" customWidth="1"/>
    <col min="5387" max="5387" width="10" style="9" customWidth="1"/>
    <col min="5388" max="5388" width="6.21875" style="9" customWidth="1"/>
    <col min="5389" max="5389" width="4.44140625" style="9" customWidth="1"/>
    <col min="5390" max="5390" width="4.77734375" style="9" customWidth="1"/>
    <col min="5391" max="5391" width="10.44140625" style="9" customWidth="1"/>
    <col min="5392" max="5630" width="8.88671875" style="9"/>
    <col min="5631" max="5631" width="7.6640625" style="9" customWidth="1"/>
    <col min="5632" max="5632" width="3.44140625" style="9" customWidth="1"/>
    <col min="5633" max="5633" width="6.5546875" style="9" customWidth="1"/>
    <col min="5634" max="5634" width="5.21875" style="9" customWidth="1"/>
    <col min="5635" max="5636" width="10.6640625" style="9" customWidth="1"/>
    <col min="5637" max="5637" width="11.21875" style="9" customWidth="1"/>
    <col min="5638" max="5638" width="12.21875" style="9" customWidth="1"/>
    <col min="5639" max="5640" width="5.44140625" style="9" customWidth="1"/>
    <col min="5641" max="5641" width="8" style="9" customWidth="1"/>
    <col min="5642" max="5642" width="9.5546875" style="9" customWidth="1"/>
    <col min="5643" max="5643" width="10" style="9" customWidth="1"/>
    <col min="5644" max="5644" width="6.21875" style="9" customWidth="1"/>
    <col min="5645" max="5645" width="4.44140625" style="9" customWidth="1"/>
    <col min="5646" max="5646" width="4.77734375" style="9" customWidth="1"/>
    <col min="5647" max="5647" width="10.44140625" style="9" customWidth="1"/>
    <col min="5648" max="5886" width="8.88671875" style="9"/>
    <col min="5887" max="5887" width="7.6640625" style="9" customWidth="1"/>
    <col min="5888" max="5888" width="3.44140625" style="9" customWidth="1"/>
    <col min="5889" max="5889" width="6.5546875" style="9" customWidth="1"/>
    <col min="5890" max="5890" width="5.21875" style="9" customWidth="1"/>
    <col min="5891" max="5892" width="10.6640625" style="9" customWidth="1"/>
    <col min="5893" max="5893" width="11.21875" style="9" customWidth="1"/>
    <col min="5894" max="5894" width="12.21875" style="9" customWidth="1"/>
    <col min="5895" max="5896" width="5.44140625" style="9" customWidth="1"/>
    <col min="5897" max="5897" width="8" style="9" customWidth="1"/>
    <col min="5898" max="5898" width="9.5546875" style="9" customWidth="1"/>
    <col min="5899" max="5899" width="10" style="9" customWidth="1"/>
    <col min="5900" max="5900" width="6.21875" style="9" customWidth="1"/>
    <col min="5901" max="5901" width="4.44140625" style="9" customWidth="1"/>
    <col min="5902" max="5902" width="4.77734375" style="9" customWidth="1"/>
    <col min="5903" max="5903" width="10.44140625" style="9" customWidth="1"/>
    <col min="5904" max="6142" width="8.88671875" style="9"/>
    <col min="6143" max="6143" width="7.6640625" style="9" customWidth="1"/>
    <col min="6144" max="6144" width="3.44140625" style="9" customWidth="1"/>
    <col min="6145" max="6145" width="6.5546875" style="9" customWidth="1"/>
    <col min="6146" max="6146" width="5.21875" style="9" customWidth="1"/>
    <col min="6147" max="6148" width="10.6640625" style="9" customWidth="1"/>
    <col min="6149" max="6149" width="11.21875" style="9" customWidth="1"/>
    <col min="6150" max="6150" width="12.21875" style="9" customWidth="1"/>
    <col min="6151" max="6152" width="5.44140625" style="9" customWidth="1"/>
    <col min="6153" max="6153" width="8" style="9" customWidth="1"/>
    <col min="6154" max="6154" width="9.5546875" style="9" customWidth="1"/>
    <col min="6155" max="6155" width="10" style="9" customWidth="1"/>
    <col min="6156" max="6156" width="6.21875" style="9" customWidth="1"/>
    <col min="6157" max="6157" width="4.44140625" style="9" customWidth="1"/>
    <col min="6158" max="6158" width="4.77734375" style="9" customWidth="1"/>
    <col min="6159" max="6159" width="10.44140625" style="9" customWidth="1"/>
    <col min="6160" max="6398" width="8.88671875" style="9"/>
    <col min="6399" max="6399" width="7.6640625" style="9" customWidth="1"/>
    <col min="6400" max="6400" width="3.44140625" style="9" customWidth="1"/>
    <col min="6401" max="6401" width="6.5546875" style="9" customWidth="1"/>
    <col min="6402" max="6402" width="5.21875" style="9" customWidth="1"/>
    <col min="6403" max="6404" width="10.6640625" style="9" customWidth="1"/>
    <col min="6405" max="6405" width="11.21875" style="9" customWidth="1"/>
    <col min="6406" max="6406" width="12.21875" style="9" customWidth="1"/>
    <col min="6407" max="6408" width="5.44140625" style="9" customWidth="1"/>
    <col min="6409" max="6409" width="8" style="9" customWidth="1"/>
    <col min="6410" max="6410" width="9.5546875" style="9" customWidth="1"/>
    <col min="6411" max="6411" width="10" style="9" customWidth="1"/>
    <col min="6412" max="6412" width="6.21875" style="9" customWidth="1"/>
    <col min="6413" max="6413" width="4.44140625" style="9" customWidth="1"/>
    <col min="6414" max="6414" width="4.77734375" style="9" customWidth="1"/>
    <col min="6415" max="6415" width="10.44140625" style="9" customWidth="1"/>
    <col min="6416" max="6654" width="8.88671875" style="9"/>
    <col min="6655" max="6655" width="7.6640625" style="9" customWidth="1"/>
    <col min="6656" max="6656" width="3.44140625" style="9" customWidth="1"/>
    <col min="6657" max="6657" width="6.5546875" style="9" customWidth="1"/>
    <col min="6658" max="6658" width="5.21875" style="9" customWidth="1"/>
    <col min="6659" max="6660" width="10.6640625" style="9" customWidth="1"/>
    <col min="6661" max="6661" width="11.21875" style="9" customWidth="1"/>
    <col min="6662" max="6662" width="12.21875" style="9" customWidth="1"/>
    <col min="6663" max="6664" width="5.44140625" style="9" customWidth="1"/>
    <col min="6665" max="6665" width="8" style="9" customWidth="1"/>
    <col min="6666" max="6666" width="9.5546875" style="9" customWidth="1"/>
    <col min="6667" max="6667" width="10" style="9" customWidth="1"/>
    <col min="6668" max="6668" width="6.21875" style="9" customWidth="1"/>
    <col min="6669" max="6669" width="4.44140625" style="9" customWidth="1"/>
    <col min="6670" max="6670" width="4.77734375" style="9" customWidth="1"/>
    <col min="6671" max="6671" width="10.44140625" style="9" customWidth="1"/>
    <col min="6672" max="6910" width="8.88671875" style="9"/>
    <col min="6911" max="6911" width="7.6640625" style="9" customWidth="1"/>
    <col min="6912" max="6912" width="3.44140625" style="9" customWidth="1"/>
    <col min="6913" max="6913" width="6.5546875" style="9" customWidth="1"/>
    <col min="6914" max="6914" width="5.21875" style="9" customWidth="1"/>
    <col min="6915" max="6916" width="10.6640625" style="9" customWidth="1"/>
    <col min="6917" max="6917" width="11.21875" style="9" customWidth="1"/>
    <col min="6918" max="6918" width="12.21875" style="9" customWidth="1"/>
    <col min="6919" max="6920" width="5.44140625" style="9" customWidth="1"/>
    <col min="6921" max="6921" width="8" style="9" customWidth="1"/>
    <col min="6922" max="6922" width="9.5546875" style="9" customWidth="1"/>
    <col min="6923" max="6923" width="10" style="9" customWidth="1"/>
    <col min="6924" max="6924" width="6.21875" style="9" customWidth="1"/>
    <col min="6925" max="6925" width="4.44140625" style="9" customWidth="1"/>
    <col min="6926" max="6926" width="4.77734375" style="9" customWidth="1"/>
    <col min="6927" max="6927" width="10.44140625" style="9" customWidth="1"/>
    <col min="6928" max="7166" width="8.88671875" style="9"/>
    <col min="7167" max="7167" width="7.6640625" style="9" customWidth="1"/>
    <col min="7168" max="7168" width="3.44140625" style="9" customWidth="1"/>
    <col min="7169" max="7169" width="6.5546875" style="9" customWidth="1"/>
    <col min="7170" max="7170" width="5.21875" style="9" customWidth="1"/>
    <col min="7171" max="7172" width="10.6640625" style="9" customWidth="1"/>
    <col min="7173" max="7173" width="11.21875" style="9" customWidth="1"/>
    <col min="7174" max="7174" width="12.21875" style="9" customWidth="1"/>
    <col min="7175" max="7176" width="5.44140625" style="9" customWidth="1"/>
    <col min="7177" max="7177" width="8" style="9" customWidth="1"/>
    <col min="7178" max="7178" width="9.5546875" style="9" customWidth="1"/>
    <col min="7179" max="7179" width="10" style="9" customWidth="1"/>
    <col min="7180" max="7180" width="6.21875" style="9" customWidth="1"/>
    <col min="7181" max="7181" width="4.44140625" style="9" customWidth="1"/>
    <col min="7182" max="7182" width="4.77734375" style="9" customWidth="1"/>
    <col min="7183" max="7183" width="10.44140625" style="9" customWidth="1"/>
    <col min="7184" max="7422" width="8.88671875" style="9"/>
    <col min="7423" max="7423" width="7.6640625" style="9" customWidth="1"/>
    <col min="7424" max="7424" width="3.44140625" style="9" customWidth="1"/>
    <col min="7425" max="7425" width="6.5546875" style="9" customWidth="1"/>
    <col min="7426" max="7426" width="5.21875" style="9" customWidth="1"/>
    <col min="7427" max="7428" width="10.6640625" style="9" customWidth="1"/>
    <col min="7429" max="7429" width="11.21875" style="9" customWidth="1"/>
    <col min="7430" max="7430" width="12.21875" style="9" customWidth="1"/>
    <col min="7431" max="7432" width="5.44140625" style="9" customWidth="1"/>
    <col min="7433" max="7433" width="8" style="9" customWidth="1"/>
    <col min="7434" max="7434" width="9.5546875" style="9" customWidth="1"/>
    <col min="7435" max="7435" width="10" style="9" customWidth="1"/>
    <col min="7436" max="7436" width="6.21875" style="9" customWidth="1"/>
    <col min="7437" max="7437" width="4.44140625" style="9" customWidth="1"/>
    <col min="7438" max="7438" width="4.77734375" style="9" customWidth="1"/>
    <col min="7439" max="7439" width="10.44140625" style="9" customWidth="1"/>
    <col min="7440" max="7678" width="8.88671875" style="9"/>
    <col min="7679" max="7679" width="7.6640625" style="9" customWidth="1"/>
    <col min="7680" max="7680" width="3.44140625" style="9" customWidth="1"/>
    <col min="7681" max="7681" width="6.5546875" style="9" customWidth="1"/>
    <col min="7682" max="7682" width="5.21875" style="9" customWidth="1"/>
    <col min="7683" max="7684" width="10.6640625" style="9" customWidth="1"/>
    <col min="7685" max="7685" width="11.21875" style="9" customWidth="1"/>
    <col min="7686" max="7686" width="12.21875" style="9" customWidth="1"/>
    <col min="7687" max="7688" width="5.44140625" style="9" customWidth="1"/>
    <col min="7689" max="7689" width="8" style="9" customWidth="1"/>
    <col min="7690" max="7690" width="9.5546875" style="9" customWidth="1"/>
    <col min="7691" max="7691" width="10" style="9" customWidth="1"/>
    <col min="7692" max="7692" width="6.21875" style="9" customWidth="1"/>
    <col min="7693" max="7693" width="4.44140625" style="9" customWidth="1"/>
    <col min="7694" max="7694" width="4.77734375" style="9" customWidth="1"/>
    <col min="7695" max="7695" width="10.44140625" style="9" customWidth="1"/>
    <col min="7696" max="7934" width="8.88671875" style="9"/>
    <col min="7935" max="7935" width="7.6640625" style="9" customWidth="1"/>
    <col min="7936" max="7936" width="3.44140625" style="9" customWidth="1"/>
    <col min="7937" max="7937" width="6.5546875" style="9" customWidth="1"/>
    <col min="7938" max="7938" width="5.21875" style="9" customWidth="1"/>
    <col min="7939" max="7940" width="10.6640625" style="9" customWidth="1"/>
    <col min="7941" max="7941" width="11.21875" style="9" customWidth="1"/>
    <col min="7942" max="7942" width="12.21875" style="9" customWidth="1"/>
    <col min="7943" max="7944" width="5.44140625" style="9" customWidth="1"/>
    <col min="7945" max="7945" width="8" style="9" customWidth="1"/>
    <col min="7946" max="7946" width="9.5546875" style="9" customWidth="1"/>
    <col min="7947" max="7947" width="10" style="9" customWidth="1"/>
    <col min="7948" max="7948" width="6.21875" style="9" customWidth="1"/>
    <col min="7949" max="7949" width="4.44140625" style="9" customWidth="1"/>
    <col min="7950" max="7950" width="4.77734375" style="9" customWidth="1"/>
    <col min="7951" max="7951" width="10.44140625" style="9" customWidth="1"/>
    <col min="7952" max="8190" width="8.88671875" style="9"/>
    <col min="8191" max="8191" width="7.6640625" style="9" customWidth="1"/>
    <col min="8192" max="8192" width="3.44140625" style="9" customWidth="1"/>
    <col min="8193" max="8193" width="6.5546875" style="9" customWidth="1"/>
    <col min="8194" max="8194" width="5.21875" style="9" customWidth="1"/>
    <col min="8195" max="8196" width="10.6640625" style="9" customWidth="1"/>
    <col min="8197" max="8197" width="11.21875" style="9" customWidth="1"/>
    <col min="8198" max="8198" width="12.21875" style="9" customWidth="1"/>
    <col min="8199" max="8200" width="5.44140625" style="9" customWidth="1"/>
    <col min="8201" max="8201" width="8" style="9" customWidth="1"/>
    <col min="8202" max="8202" width="9.5546875" style="9" customWidth="1"/>
    <col min="8203" max="8203" width="10" style="9" customWidth="1"/>
    <col min="8204" max="8204" width="6.21875" style="9" customWidth="1"/>
    <col min="8205" max="8205" width="4.44140625" style="9" customWidth="1"/>
    <col min="8206" max="8206" width="4.77734375" style="9" customWidth="1"/>
    <col min="8207" max="8207" width="10.44140625" style="9" customWidth="1"/>
    <col min="8208" max="8446" width="8.88671875" style="9"/>
    <col min="8447" max="8447" width="7.6640625" style="9" customWidth="1"/>
    <col min="8448" max="8448" width="3.44140625" style="9" customWidth="1"/>
    <col min="8449" max="8449" width="6.5546875" style="9" customWidth="1"/>
    <col min="8450" max="8450" width="5.21875" style="9" customWidth="1"/>
    <col min="8451" max="8452" width="10.6640625" style="9" customWidth="1"/>
    <col min="8453" max="8453" width="11.21875" style="9" customWidth="1"/>
    <col min="8454" max="8454" width="12.21875" style="9" customWidth="1"/>
    <col min="8455" max="8456" width="5.44140625" style="9" customWidth="1"/>
    <col min="8457" max="8457" width="8" style="9" customWidth="1"/>
    <col min="8458" max="8458" width="9.5546875" style="9" customWidth="1"/>
    <col min="8459" max="8459" width="10" style="9" customWidth="1"/>
    <col min="8460" max="8460" width="6.21875" style="9" customWidth="1"/>
    <col min="8461" max="8461" width="4.44140625" style="9" customWidth="1"/>
    <col min="8462" max="8462" width="4.77734375" style="9" customWidth="1"/>
    <col min="8463" max="8463" width="10.44140625" style="9" customWidth="1"/>
    <col min="8464" max="8702" width="8.88671875" style="9"/>
    <col min="8703" max="8703" width="7.6640625" style="9" customWidth="1"/>
    <col min="8704" max="8704" width="3.44140625" style="9" customWidth="1"/>
    <col min="8705" max="8705" width="6.5546875" style="9" customWidth="1"/>
    <col min="8706" max="8706" width="5.21875" style="9" customWidth="1"/>
    <col min="8707" max="8708" width="10.6640625" style="9" customWidth="1"/>
    <col min="8709" max="8709" width="11.21875" style="9" customWidth="1"/>
    <col min="8710" max="8710" width="12.21875" style="9" customWidth="1"/>
    <col min="8711" max="8712" width="5.44140625" style="9" customWidth="1"/>
    <col min="8713" max="8713" width="8" style="9" customWidth="1"/>
    <col min="8714" max="8714" width="9.5546875" style="9" customWidth="1"/>
    <col min="8715" max="8715" width="10" style="9" customWidth="1"/>
    <col min="8716" max="8716" width="6.21875" style="9" customWidth="1"/>
    <col min="8717" max="8717" width="4.44140625" style="9" customWidth="1"/>
    <col min="8718" max="8718" width="4.77734375" style="9" customWidth="1"/>
    <col min="8719" max="8719" width="10.44140625" style="9" customWidth="1"/>
    <col min="8720" max="8958" width="8.88671875" style="9"/>
    <col min="8959" max="8959" width="7.6640625" style="9" customWidth="1"/>
    <col min="8960" max="8960" width="3.44140625" style="9" customWidth="1"/>
    <col min="8961" max="8961" width="6.5546875" style="9" customWidth="1"/>
    <col min="8962" max="8962" width="5.21875" style="9" customWidth="1"/>
    <col min="8963" max="8964" width="10.6640625" style="9" customWidth="1"/>
    <col min="8965" max="8965" width="11.21875" style="9" customWidth="1"/>
    <col min="8966" max="8966" width="12.21875" style="9" customWidth="1"/>
    <col min="8967" max="8968" width="5.44140625" style="9" customWidth="1"/>
    <col min="8969" max="8969" width="8" style="9" customWidth="1"/>
    <col min="8970" max="8970" width="9.5546875" style="9" customWidth="1"/>
    <col min="8971" max="8971" width="10" style="9" customWidth="1"/>
    <col min="8972" max="8972" width="6.21875" style="9" customWidth="1"/>
    <col min="8973" max="8973" width="4.44140625" style="9" customWidth="1"/>
    <col min="8974" max="8974" width="4.77734375" style="9" customWidth="1"/>
    <col min="8975" max="8975" width="10.44140625" style="9" customWidth="1"/>
    <col min="8976" max="9214" width="8.88671875" style="9"/>
    <col min="9215" max="9215" width="7.6640625" style="9" customWidth="1"/>
    <col min="9216" max="9216" width="3.44140625" style="9" customWidth="1"/>
    <col min="9217" max="9217" width="6.5546875" style="9" customWidth="1"/>
    <col min="9218" max="9218" width="5.21875" style="9" customWidth="1"/>
    <col min="9219" max="9220" width="10.6640625" style="9" customWidth="1"/>
    <col min="9221" max="9221" width="11.21875" style="9" customWidth="1"/>
    <col min="9222" max="9222" width="12.21875" style="9" customWidth="1"/>
    <col min="9223" max="9224" width="5.44140625" style="9" customWidth="1"/>
    <col min="9225" max="9225" width="8" style="9" customWidth="1"/>
    <col min="9226" max="9226" width="9.5546875" style="9" customWidth="1"/>
    <col min="9227" max="9227" width="10" style="9" customWidth="1"/>
    <col min="9228" max="9228" width="6.21875" style="9" customWidth="1"/>
    <col min="9229" max="9229" width="4.44140625" style="9" customWidth="1"/>
    <col min="9230" max="9230" width="4.77734375" style="9" customWidth="1"/>
    <col min="9231" max="9231" width="10.44140625" style="9" customWidth="1"/>
    <col min="9232" max="9470" width="8.88671875" style="9"/>
    <col min="9471" max="9471" width="7.6640625" style="9" customWidth="1"/>
    <col min="9472" max="9472" width="3.44140625" style="9" customWidth="1"/>
    <col min="9473" max="9473" width="6.5546875" style="9" customWidth="1"/>
    <col min="9474" max="9474" width="5.21875" style="9" customWidth="1"/>
    <col min="9475" max="9476" width="10.6640625" style="9" customWidth="1"/>
    <col min="9477" max="9477" width="11.21875" style="9" customWidth="1"/>
    <col min="9478" max="9478" width="12.21875" style="9" customWidth="1"/>
    <col min="9479" max="9480" width="5.44140625" style="9" customWidth="1"/>
    <col min="9481" max="9481" width="8" style="9" customWidth="1"/>
    <col min="9482" max="9482" width="9.5546875" style="9" customWidth="1"/>
    <col min="9483" max="9483" width="10" style="9" customWidth="1"/>
    <col min="9484" max="9484" width="6.21875" style="9" customWidth="1"/>
    <col min="9485" max="9485" width="4.44140625" style="9" customWidth="1"/>
    <col min="9486" max="9486" width="4.77734375" style="9" customWidth="1"/>
    <col min="9487" max="9487" width="10.44140625" style="9" customWidth="1"/>
    <col min="9488" max="9726" width="8.88671875" style="9"/>
    <col min="9727" max="9727" width="7.6640625" style="9" customWidth="1"/>
    <col min="9728" max="9728" width="3.44140625" style="9" customWidth="1"/>
    <col min="9729" max="9729" width="6.5546875" style="9" customWidth="1"/>
    <col min="9730" max="9730" width="5.21875" style="9" customWidth="1"/>
    <col min="9731" max="9732" width="10.6640625" style="9" customWidth="1"/>
    <col min="9733" max="9733" width="11.21875" style="9" customWidth="1"/>
    <col min="9734" max="9734" width="12.21875" style="9" customWidth="1"/>
    <col min="9735" max="9736" width="5.44140625" style="9" customWidth="1"/>
    <col min="9737" max="9737" width="8" style="9" customWidth="1"/>
    <col min="9738" max="9738" width="9.5546875" style="9" customWidth="1"/>
    <col min="9739" max="9739" width="10" style="9" customWidth="1"/>
    <col min="9740" max="9740" width="6.21875" style="9" customWidth="1"/>
    <col min="9741" max="9741" width="4.44140625" style="9" customWidth="1"/>
    <col min="9742" max="9742" width="4.77734375" style="9" customWidth="1"/>
    <col min="9743" max="9743" width="10.44140625" style="9" customWidth="1"/>
    <col min="9744" max="9982" width="8.88671875" style="9"/>
    <col min="9983" max="9983" width="7.6640625" style="9" customWidth="1"/>
    <col min="9984" max="9984" width="3.44140625" style="9" customWidth="1"/>
    <col min="9985" max="9985" width="6.5546875" style="9" customWidth="1"/>
    <col min="9986" max="9986" width="5.21875" style="9" customWidth="1"/>
    <col min="9987" max="9988" width="10.6640625" style="9" customWidth="1"/>
    <col min="9989" max="9989" width="11.21875" style="9" customWidth="1"/>
    <col min="9990" max="9990" width="12.21875" style="9" customWidth="1"/>
    <col min="9991" max="9992" width="5.44140625" style="9" customWidth="1"/>
    <col min="9993" max="9993" width="8" style="9" customWidth="1"/>
    <col min="9994" max="9994" width="9.5546875" style="9" customWidth="1"/>
    <col min="9995" max="9995" width="10" style="9" customWidth="1"/>
    <col min="9996" max="9996" width="6.21875" style="9" customWidth="1"/>
    <col min="9997" max="9997" width="4.44140625" style="9" customWidth="1"/>
    <col min="9998" max="9998" width="4.77734375" style="9" customWidth="1"/>
    <col min="9999" max="9999" width="10.44140625" style="9" customWidth="1"/>
    <col min="10000" max="10238" width="8.88671875" style="9"/>
    <col min="10239" max="10239" width="7.6640625" style="9" customWidth="1"/>
    <col min="10240" max="10240" width="3.44140625" style="9" customWidth="1"/>
    <col min="10241" max="10241" width="6.5546875" style="9" customWidth="1"/>
    <col min="10242" max="10242" width="5.21875" style="9" customWidth="1"/>
    <col min="10243" max="10244" width="10.6640625" style="9" customWidth="1"/>
    <col min="10245" max="10245" width="11.21875" style="9" customWidth="1"/>
    <col min="10246" max="10246" width="12.21875" style="9" customWidth="1"/>
    <col min="10247" max="10248" width="5.44140625" style="9" customWidth="1"/>
    <col min="10249" max="10249" width="8" style="9" customWidth="1"/>
    <col min="10250" max="10250" width="9.5546875" style="9" customWidth="1"/>
    <col min="10251" max="10251" width="10" style="9" customWidth="1"/>
    <col min="10252" max="10252" width="6.21875" style="9" customWidth="1"/>
    <col min="10253" max="10253" width="4.44140625" style="9" customWidth="1"/>
    <col min="10254" max="10254" width="4.77734375" style="9" customWidth="1"/>
    <col min="10255" max="10255" width="10.44140625" style="9" customWidth="1"/>
    <col min="10256" max="10494" width="8.88671875" style="9"/>
    <col min="10495" max="10495" width="7.6640625" style="9" customWidth="1"/>
    <col min="10496" max="10496" width="3.44140625" style="9" customWidth="1"/>
    <col min="10497" max="10497" width="6.5546875" style="9" customWidth="1"/>
    <col min="10498" max="10498" width="5.21875" style="9" customWidth="1"/>
    <col min="10499" max="10500" width="10.6640625" style="9" customWidth="1"/>
    <col min="10501" max="10501" width="11.21875" style="9" customWidth="1"/>
    <col min="10502" max="10502" width="12.21875" style="9" customWidth="1"/>
    <col min="10503" max="10504" width="5.44140625" style="9" customWidth="1"/>
    <col min="10505" max="10505" width="8" style="9" customWidth="1"/>
    <col min="10506" max="10506" width="9.5546875" style="9" customWidth="1"/>
    <col min="10507" max="10507" width="10" style="9" customWidth="1"/>
    <col min="10508" max="10508" width="6.21875" style="9" customWidth="1"/>
    <col min="10509" max="10509" width="4.44140625" style="9" customWidth="1"/>
    <col min="10510" max="10510" width="4.77734375" style="9" customWidth="1"/>
    <col min="10511" max="10511" width="10.44140625" style="9" customWidth="1"/>
    <col min="10512" max="10750" width="8.88671875" style="9"/>
    <col min="10751" max="10751" width="7.6640625" style="9" customWidth="1"/>
    <col min="10752" max="10752" width="3.44140625" style="9" customWidth="1"/>
    <col min="10753" max="10753" width="6.5546875" style="9" customWidth="1"/>
    <col min="10754" max="10754" width="5.21875" style="9" customWidth="1"/>
    <col min="10755" max="10756" width="10.6640625" style="9" customWidth="1"/>
    <col min="10757" max="10757" width="11.21875" style="9" customWidth="1"/>
    <col min="10758" max="10758" width="12.21875" style="9" customWidth="1"/>
    <col min="10759" max="10760" width="5.44140625" style="9" customWidth="1"/>
    <col min="10761" max="10761" width="8" style="9" customWidth="1"/>
    <col min="10762" max="10762" width="9.5546875" style="9" customWidth="1"/>
    <col min="10763" max="10763" width="10" style="9" customWidth="1"/>
    <col min="10764" max="10764" width="6.21875" style="9" customWidth="1"/>
    <col min="10765" max="10765" width="4.44140625" style="9" customWidth="1"/>
    <col min="10766" max="10766" width="4.77734375" style="9" customWidth="1"/>
    <col min="10767" max="10767" width="10.44140625" style="9" customWidth="1"/>
    <col min="10768" max="11006" width="8.88671875" style="9"/>
    <col min="11007" max="11007" width="7.6640625" style="9" customWidth="1"/>
    <col min="11008" max="11008" width="3.44140625" style="9" customWidth="1"/>
    <col min="11009" max="11009" width="6.5546875" style="9" customWidth="1"/>
    <col min="11010" max="11010" width="5.21875" style="9" customWidth="1"/>
    <col min="11011" max="11012" width="10.6640625" style="9" customWidth="1"/>
    <col min="11013" max="11013" width="11.21875" style="9" customWidth="1"/>
    <col min="11014" max="11014" width="12.21875" style="9" customWidth="1"/>
    <col min="11015" max="11016" width="5.44140625" style="9" customWidth="1"/>
    <col min="11017" max="11017" width="8" style="9" customWidth="1"/>
    <col min="11018" max="11018" width="9.5546875" style="9" customWidth="1"/>
    <col min="11019" max="11019" width="10" style="9" customWidth="1"/>
    <col min="11020" max="11020" width="6.21875" style="9" customWidth="1"/>
    <col min="11021" max="11021" width="4.44140625" style="9" customWidth="1"/>
    <col min="11022" max="11022" width="4.77734375" style="9" customWidth="1"/>
    <col min="11023" max="11023" width="10.44140625" style="9" customWidth="1"/>
    <col min="11024" max="11262" width="8.88671875" style="9"/>
    <col min="11263" max="11263" width="7.6640625" style="9" customWidth="1"/>
    <col min="11264" max="11264" width="3.44140625" style="9" customWidth="1"/>
    <col min="11265" max="11265" width="6.5546875" style="9" customWidth="1"/>
    <col min="11266" max="11266" width="5.21875" style="9" customWidth="1"/>
    <col min="11267" max="11268" width="10.6640625" style="9" customWidth="1"/>
    <col min="11269" max="11269" width="11.21875" style="9" customWidth="1"/>
    <col min="11270" max="11270" width="12.21875" style="9" customWidth="1"/>
    <col min="11271" max="11272" width="5.44140625" style="9" customWidth="1"/>
    <col min="11273" max="11273" width="8" style="9" customWidth="1"/>
    <col min="11274" max="11274" width="9.5546875" style="9" customWidth="1"/>
    <col min="11275" max="11275" width="10" style="9" customWidth="1"/>
    <col min="11276" max="11276" width="6.21875" style="9" customWidth="1"/>
    <col min="11277" max="11277" width="4.44140625" style="9" customWidth="1"/>
    <col min="11278" max="11278" width="4.77734375" style="9" customWidth="1"/>
    <col min="11279" max="11279" width="10.44140625" style="9" customWidth="1"/>
    <col min="11280" max="11518" width="8.88671875" style="9"/>
    <col min="11519" max="11519" width="7.6640625" style="9" customWidth="1"/>
    <col min="11520" max="11520" width="3.44140625" style="9" customWidth="1"/>
    <col min="11521" max="11521" width="6.5546875" style="9" customWidth="1"/>
    <col min="11522" max="11522" width="5.21875" style="9" customWidth="1"/>
    <col min="11523" max="11524" width="10.6640625" style="9" customWidth="1"/>
    <col min="11525" max="11525" width="11.21875" style="9" customWidth="1"/>
    <col min="11526" max="11526" width="12.21875" style="9" customWidth="1"/>
    <col min="11527" max="11528" width="5.44140625" style="9" customWidth="1"/>
    <col min="11529" max="11529" width="8" style="9" customWidth="1"/>
    <col min="11530" max="11530" width="9.5546875" style="9" customWidth="1"/>
    <col min="11531" max="11531" width="10" style="9" customWidth="1"/>
    <col min="11532" max="11532" width="6.21875" style="9" customWidth="1"/>
    <col min="11533" max="11533" width="4.44140625" style="9" customWidth="1"/>
    <col min="11534" max="11534" width="4.77734375" style="9" customWidth="1"/>
    <col min="11535" max="11535" width="10.44140625" style="9" customWidth="1"/>
    <col min="11536" max="11774" width="8.88671875" style="9"/>
    <col min="11775" max="11775" width="7.6640625" style="9" customWidth="1"/>
    <col min="11776" max="11776" width="3.44140625" style="9" customWidth="1"/>
    <col min="11777" max="11777" width="6.5546875" style="9" customWidth="1"/>
    <col min="11778" max="11778" width="5.21875" style="9" customWidth="1"/>
    <col min="11779" max="11780" width="10.6640625" style="9" customWidth="1"/>
    <col min="11781" max="11781" width="11.21875" style="9" customWidth="1"/>
    <col min="11782" max="11782" width="12.21875" style="9" customWidth="1"/>
    <col min="11783" max="11784" width="5.44140625" style="9" customWidth="1"/>
    <col min="11785" max="11785" width="8" style="9" customWidth="1"/>
    <col min="11786" max="11786" width="9.5546875" style="9" customWidth="1"/>
    <col min="11787" max="11787" width="10" style="9" customWidth="1"/>
    <col min="11788" max="11788" width="6.21875" style="9" customWidth="1"/>
    <col min="11789" max="11789" width="4.44140625" style="9" customWidth="1"/>
    <col min="11790" max="11790" width="4.77734375" style="9" customWidth="1"/>
    <col min="11791" max="11791" width="10.44140625" style="9" customWidth="1"/>
    <col min="11792" max="12030" width="8.88671875" style="9"/>
    <col min="12031" max="12031" width="7.6640625" style="9" customWidth="1"/>
    <col min="12032" max="12032" width="3.44140625" style="9" customWidth="1"/>
    <col min="12033" max="12033" width="6.5546875" style="9" customWidth="1"/>
    <col min="12034" max="12034" width="5.21875" style="9" customWidth="1"/>
    <col min="12035" max="12036" width="10.6640625" style="9" customWidth="1"/>
    <col min="12037" max="12037" width="11.21875" style="9" customWidth="1"/>
    <col min="12038" max="12038" width="12.21875" style="9" customWidth="1"/>
    <col min="12039" max="12040" width="5.44140625" style="9" customWidth="1"/>
    <col min="12041" max="12041" width="8" style="9" customWidth="1"/>
    <col min="12042" max="12042" width="9.5546875" style="9" customWidth="1"/>
    <col min="12043" max="12043" width="10" style="9" customWidth="1"/>
    <col min="12044" max="12044" width="6.21875" style="9" customWidth="1"/>
    <col min="12045" max="12045" width="4.44140625" style="9" customWidth="1"/>
    <col min="12046" max="12046" width="4.77734375" style="9" customWidth="1"/>
    <col min="12047" max="12047" width="10.44140625" style="9" customWidth="1"/>
    <col min="12048" max="12286" width="8.88671875" style="9"/>
    <col min="12287" max="12287" width="7.6640625" style="9" customWidth="1"/>
    <col min="12288" max="12288" width="3.44140625" style="9" customWidth="1"/>
    <col min="12289" max="12289" width="6.5546875" style="9" customWidth="1"/>
    <col min="12290" max="12290" width="5.21875" style="9" customWidth="1"/>
    <col min="12291" max="12292" width="10.6640625" style="9" customWidth="1"/>
    <col min="12293" max="12293" width="11.21875" style="9" customWidth="1"/>
    <col min="12294" max="12294" width="12.21875" style="9" customWidth="1"/>
    <col min="12295" max="12296" width="5.44140625" style="9" customWidth="1"/>
    <col min="12297" max="12297" width="8" style="9" customWidth="1"/>
    <col min="12298" max="12298" width="9.5546875" style="9" customWidth="1"/>
    <col min="12299" max="12299" width="10" style="9" customWidth="1"/>
    <col min="12300" max="12300" width="6.21875" style="9" customWidth="1"/>
    <col min="12301" max="12301" width="4.44140625" style="9" customWidth="1"/>
    <col min="12302" max="12302" width="4.77734375" style="9" customWidth="1"/>
    <col min="12303" max="12303" width="10.44140625" style="9" customWidth="1"/>
    <col min="12304" max="12542" width="8.88671875" style="9"/>
    <col min="12543" max="12543" width="7.6640625" style="9" customWidth="1"/>
    <col min="12544" max="12544" width="3.44140625" style="9" customWidth="1"/>
    <col min="12545" max="12545" width="6.5546875" style="9" customWidth="1"/>
    <col min="12546" max="12546" width="5.21875" style="9" customWidth="1"/>
    <col min="12547" max="12548" width="10.6640625" style="9" customWidth="1"/>
    <col min="12549" max="12549" width="11.21875" style="9" customWidth="1"/>
    <col min="12550" max="12550" width="12.21875" style="9" customWidth="1"/>
    <col min="12551" max="12552" width="5.44140625" style="9" customWidth="1"/>
    <col min="12553" max="12553" width="8" style="9" customWidth="1"/>
    <col min="12554" max="12554" width="9.5546875" style="9" customWidth="1"/>
    <col min="12555" max="12555" width="10" style="9" customWidth="1"/>
    <col min="12556" max="12556" width="6.21875" style="9" customWidth="1"/>
    <col min="12557" max="12557" width="4.44140625" style="9" customWidth="1"/>
    <col min="12558" max="12558" width="4.77734375" style="9" customWidth="1"/>
    <col min="12559" max="12559" width="10.44140625" style="9" customWidth="1"/>
    <col min="12560" max="12798" width="8.88671875" style="9"/>
    <col min="12799" max="12799" width="7.6640625" style="9" customWidth="1"/>
    <col min="12800" max="12800" width="3.44140625" style="9" customWidth="1"/>
    <col min="12801" max="12801" width="6.5546875" style="9" customWidth="1"/>
    <col min="12802" max="12802" width="5.21875" style="9" customWidth="1"/>
    <col min="12803" max="12804" width="10.6640625" style="9" customWidth="1"/>
    <col min="12805" max="12805" width="11.21875" style="9" customWidth="1"/>
    <col min="12806" max="12806" width="12.21875" style="9" customWidth="1"/>
    <col min="12807" max="12808" width="5.44140625" style="9" customWidth="1"/>
    <col min="12809" max="12809" width="8" style="9" customWidth="1"/>
    <col min="12810" max="12810" width="9.5546875" style="9" customWidth="1"/>
    <col min="12811" max="12811" width="10" style="9" customWidth="1"/>
    <col min="12812" max="12812" width="6.21875" style="9" customWidth="1"/>
    <col min="12813" max="12813" width="4.44140625" style="9" customWidth="1"/>
    <col min="12814" max="12814" width="4.77734375" style="9" customWidth="1"/>
    <col min="12815" max="12815" width="10.44140625" style="9" customWidth="1"/>
    <col min="12816" max="13054" width="8.88671875" style="9"/>
    <col min="13055" max="13055" width="7.6640625" style="9" customWidth="1"/>
    <col min="13056" max="13056" width="3.44140625" style="9" customWidth="1"/>
    <col min="13057" max="13057" width="6.5546875" style="9" customWidth="1"/>
    <col min="13058" max="13058" width="5.21875" style="9" customWidth="1"/>
    <col min="13059" max="13060" width="10.6640625" style="9" customWidth="1"/>
    <col min="13061" max="13061" width="11.21875" style="9" customWidth="1"/>
    <col min="13062" max="13062" width="12.21875" style="9" customWidth="1"/>
    <col min="13063" max="13064" width="5.44140625" style="9" customWidth="1"/>
    <col min="13065" max="13065" width="8" style="9" customWidth="1"/>
    <col min="13066" max="13066" width="9.5546875" style="9" customWidth="1"/>
    <col min="13067" max="13067" width="10" style="9" customWidth="1"/>
    <col min="13068" max="13068" width="6.21875" style="9" customWidth="1"/>
    <col min="13069" max="13069" width="4.44140625" style="9" customWidth="1"/>
    <col min="13070" max="13070" width="4.77734375" style="9" customWidth="1"/>
    <col min="13071" max="13071" width="10.44140625" style="9" customWidth="1"/>
    <col min="13072" max="13310" width="8.88671875" style="9"/>
    <col min="13311" max="13311" width="7.6640625" style="9" customWidth="1"/>
    <col min="13312" max="13312" width="3.44140625" style="9" customWidth="1"/>
    <col min="13313" max="13313" width="6.5546875" style="9" customWidth="1"/>
    <col min="13314" max="13314" width="5.21875" style="9" customWidth="1"/>
    <col min="13315" max="13316" width="10.6640625" style="9" customWidth="1"/>
    <col min="13317" max="13317" width="11.21875" style="9" customWidth="1"/>
    <col min="13318" max="13318" width="12.21875" style="9" customWidth="1"/>
    <col min="13319" max="13320" width="5.44140625" style="9" customWidth="1"/>
    <col min="13321" max="13321" width="8" style="9" customWidth="1"/>
    <col min="13322" max="13322" width="9.5546875" style="9" customWidth="1"/>
    <col min="13323" max="13323" width="10" style="9" customWidth="1"/>
    <col min="13324" max="13324" width="6.21875" style="9" customWidth="1"/>
    <col min="13325" max="13325" width="4.44140625" style="9" customWidth="1"/>
    <col min="13326" max="13326" width="4.77734375" style="9" customWidth="1"/>
    <col min="13327" max="13327" width="10.44140625" style="9" customWidth="1"/>
    <col min="13328" max="13566" width="8.88671875" style="9"/>
    <col min="13567" max="13567" width="7.6640625" style="9" customWidth="1"/>
    <col min="13568" max="13568" width="3.44140625" style="9" customWidth="1"/>
    <col min="13569" max="13569" width="6.5546875" style="9" customWidth="1"/>
    <col min="13570" max="13570" width="5.21875" style="9" customWidth="1"/>
    <col min="13571" max="13572" width="10.6640625" style="9" customWidth="1"/>
    <col min="13573" max="13573" width="11.21875" style="9" customWidth="1"/>
    <col min="13574" max="13574" width="12.21875" style="9" customWidth="1"/>
    <col min="13575" max="13576" width="5.44140625" style="9" customWidth="1"/>
    <col min="13577" max="13577" width="8" style="9" customWidth="1"/>
    <col min="13578" max="13578" width="9.5546875" style="9" customWidth="1"/>
    <col min="13579" max="13579" width="10" style="9" customWidth="1"/>
    <col min="13580" max="13580" width="6.21875" style="9" customWidth="1"/>
    <col min="13581" max="13581" width="4.44140625" style="9" customWidth="1"/>
    <col min="13582" max="13582" width="4.77734375" style="9" customWidth="1"/>
    <col min="13583" max="13583" width="10.44140625" style="9" customWidth="1"/>
    <col min="13584" max="13822" width="8.88671875" style="9"/>
    <col min="13823" max="13823" width="7.6640625" style="9" customWidth="1"/>
    <col min="13824" max="13824" width="3.44140625" style="9" customWidth="1"/>
    <col min="13825" max="13825" width="6.5546875" style="9" customWidth="1"/>
    <col min="13826" max="13826" width="5.21875" style="9" customWidth="1"/>
    <col min="13827" max="13828" width="10.6640625" style="9" customWidth="1"/>
    <col min="13829" max="13829" width="11.21875" style="9" customWidth="1"/>
    <col min="13830" max="13830" width="12.21875" style="9" customWidth="1"/>
    <col min="13831" max="13832" width="5.44140625" style="9" customWidth="1"/>
    <col min="13833" max="13833" width="8" style="9" customWidth="1"/>
    <col min="13834" max="13834" width="9.5546875" style="9" customWidth="1"/>
    <col min="13835" max="13835" width="10" style="9" customWidth="1"/>
    <col min="13836" max="13836" width="6.21875" style="9" customWidth="1"/>
    <col min="13837" max="13837" width="4.44140625" style="9" customWidth="1"/>
    <col min="13838" max="13838" width="4.77734375" style="9" customWidth="1"/>
    <col min="13839" max="13839" width="10.44140625" style="9" customWidth="1"/>
    <col min="13840" max="14078" width="8.88671875" style="9"/>
    <col min="14079" max="14079" width="7.6640625" style="9" customWidth="1"/>
    <col min="14080" max="14080" width="3.44140625" style="9" customWidth="1"/>
    <col min="14081" max="14081" width="6.5546875" style="9" customWidth="1"/>
    <col min="14082" max="14082" width="5.21875" style="9" customWidth="1"/>
    <col min="14083" max="14084" width="10.6640625" style="9" customWidth="1"/>
    <col min="14085" max="14085" width="11.21875" style="9" customWidth="1"/>
    <col min="14086" max="14086" width="12.21875" style="9" customWidth="1"/>
    <col min="14087" max="14088" width="5.44140625" style="9" customWidth="1"/>
    <col min="14089" max="14089" width="8" style="9" customWidth="1"/>
    <col min="14090" max="14090" width="9.5546875" style="9" customWidth="1"/>
    <col min="14091" max="14091" width="10" style="9" customWidth="1"/>
    <col min="14092" max="14092" width="6.21875" style="9" customWidth="1"/>
    <col min="14093" max="14093" width="4.44140625" style="9" customWidth="1"/>
    <col min="14094" max="14094" width="4.77734375" style="9" customWidth="1"/>
    <col min="14095" max="14095" width="10.44140625" style="9" customWidth="1"/>
    <col min="14096" max="14334" width="8.88671875" style="9"/>
    <col min="14335" max="14335" width="7.6640625" style="9" customWidth="1"/>
    <col min="14336" max="14336" width="3.44140625" style="9" customWidth="1"/>
    <col min="14337" max="14337" width="6.5546875" style="9" customWidth="1"/>
    <col min="14338" max="14338" width="5.21875" style="9" customWidth="1"/>
    <col min="14339" max="14340" width="10.6640625" style="9" customWidth="1"/>
    <col min="14341" max="14341" width="11.21875" style="9" customWidth="1"/>
    <col min="14342" max="14342" width="12.21875" style="9" customWidth="1"/>
    <col min="14343" max="14344" width="5.44140625" style="9" customWidth="1"/>
    <col min="14345" max="14345" width="8" style="9" customWidth="1"/>
    <col min="14346" max="14346" width="9.5546875" style="9" customWidth="1"/>
    <col min="14347" max="14347" width="10" style="9" customWidth="1"/>
    <col min="14348" max="14348" width="6.21875" style="9" customWidth="1"/>
    <col min="14349" max="14349" width="4.44140625" style="9" customWidth="1"/>
    <col min="14350" max="14350" width="4.77734375" style="9" customWidth="1"/>
    <col min="14351" max="14351" width="10.44140625" style="9" customWidth="1"/>
    <col min="14352" max="14590" width="8.88671875" style="9"/>
    <col min="14591" max="14591" width="7.6640625" style="9" customWidth="1"/>
    <col min="14592" max="14592" width="3.44140625" style="9" customWidth="1"/>
    <col min="14593" max="14593" width="6.5546875" style="9" customWidth="1"/>
    <col min="14594" max="14594" width="5.21875" style="9" customWidth="1"/>
    <col min="14595" max="14596" width="10.6640625" style="9" customWidth="1"/>
    <col min="14597" max="14597" width="11.21875" style="9" customWidth="1"/>
    <col min="14598" max="14598" width="12.21875" style="9" customWidth="1"/>
    <col min="14599" max="14600" width="5.44140625" style="9" customWidth="1"/>
    <col min="14601" max="14601" width="8" style="9" customWidth="1"/>
    <col min="14602" max="14602" width="9.5546875" style="9" customWidth="1"/>
    <col min="14603" max="14603" width="10" style="9" customWidth="1"/>
    <col min="14604" max="14604" width="6.21875" style="9" customWidth="1"/>
    <col min="14605" max="14605" width="4.44140625" style="9" customWidth="1"/>
    <col min="14606" max="14606" width="4.77734375" style="9" customWidth="1"/>
    <col min="14607" max="14607" width="10.44140625" style="9" customWidth="1"/>
    <col min="14608" max="14846" width="8.88671875" style="9"/>
    <col min="14847" max="14847" width="7.6640625" style="9" customWidth="1"/>
    <col min="14848" max="14848" width="3.44140625" style="9" customWidth="1"/>
    <col min="14849" max="14849" width="6.5546875" style="9" customWidth="1"/>
    <col min="14850" max="14850" width="5.21875" style="9" customWidth="1"/>
    <col min="14851" max="14852" width="10.6640625" style="9" customWidth="1"/>
    <col min="14853" max="14853" width="11.21875" style="9" customWidth="1"/>
    <col min="14854" max="14854" width="12.21875" style="9" customWidth="1"/>
    <col min="14855" max="14856" width="5.44140625" style="9" customWidth="1"/>
    <col min="14857" max="14857" width="8" style="9" customWidth="1"/>
    <col min="14858" max="14858" width="9.5546875" style="9" customWidth="1"/>
    <col min="14859" max="14859" width="10" style="9" customWidth="1"/>
    <col min="14860" max="14860" width="6.21875" style="9" customWidth="1"/>
    <col min="14861" max="14861" width="4.44140625" style="9" customWidth="1"/>
    <col min="14862" max="14862" width="4.77734375" style="9" customWidth="1"/>
    <col min="14863" max="14863" width="10.44140625" style="9" customWidth="1"/>
    <col min="14864" max="15102" width="8.88671875" style="9"/>
    <col min="15103" max="15103" width="7.6640625" style="9" customWidth="1"/>
    <col min="15104" max="15104" width="3.44140625" style="9" customWidth="1"/>
    <col min="15105" max="15105" width="6.5546875" style="9" customWidth="1"/>
    <col min="15106" max="15106" width="5.21875" style="9" customWidth="1"/>
    <col min="15107" max="15108" width="10.6640625" style="9" customWidth="1"/>
    <col min="15109" max="15109" width="11.21875" style="9" customWidth="1"/>
    <col min="15110" max="15110" width="12.21875" style="9" customWidth="1"/>
    <col min="15111" max="15112" width="5.44140625" style="9" customWidth="1"/>
    <col min="15113" max="15113" width="8" style="9" customWidth="1"/>
    <col min="15114" max="15114" width="9.5546875" style="9" customWidth="1"/>
    <col min="15115" max="15115" width="10" style="9" customWidth="1"/>
    <col min="15116" max="15116" width="6.21875" style="9" customWidth="1"/>
    <col min="15117" max="15117" width="4.44140625" style="9" customWidth="1"/>
    <col min="15118" max="15118" width="4.77734375" style="9" customWidth="1"/>
    <col min="15119" max="15119" width="10.44140625" style="9" customWidth="1"/>
    <col min="15120" max="15358" width="8.88671875" style="9"/>
    <col min="15359" max="15359" width="7.6640625" style="9" customWidth="1"/>
    <col min="15360" max="15360" width="3.44140625" style="9" customWidth="1"/>
    <col min="15361" max="15361" width="6.5546875" style="9" customWidth="1"/>
    <col min="15362" max="15362" width="5.21875" style="9" customWidth="1"/>
    <col min="15363" max="15364" width="10.6640625" style="9" customWidth="1"/>
    <col min="15365" max="15365" width="11.21875" style="9" customWidth="1"/>
    <col min="15366" max="15366" width="12.21875" style="9" customWidth="1"/>
    <col min="15367" max="15368" width="5.44140625" style="9" customWidth="1"/>
    <col min="15369" max="15369" width="8" style="9" customWidth="1"/>
    <col min="15370" max="15370" width="9.5546875" style="9" customWidth="1"/>
    <col min="15371" max="15371" width="10" style="9" customWidth="1"/>
    <col min="15372" max="15372" width="6.21875" style="9" customWidth="1"/>
    <col min="15373" max="15373" width="4.44140625" style="9" customWidth="1"/>
    <col min="15374" max="15374" width="4.77734375" style="9" customWidth="1"/>
    <col min="15375" max="15375" width="10.44140625" style="9" customWidth="1"/>
    <col min="15376" max="15614" width="8.88671875" style="9"/>
    <col min="15615" max="15615" width="7.6640625" style="9" customWidth="1"/>
    <col min="15616" max="15616" width="3.44140625" style="9" customWidth="1"/>
    <col min="15617" max="15617" width="6.5546875" style="9" customWidth="1"/>
    <col min="15618" max="15618" width="5.21875" style="9" customWidth="1"/>
    <col min="15619" max="15620" width="10.6640625" style="9" customWidth="1"/>
    <col min="15621" max="15621" width="11.21875" style="9" customWidth="1"/>
    <col min="15622" max="15622" width="12.21875" style="9" customWidth="1"/>
    <col min="15623" max="15624" width="5.44140625" style="9" customWidth="1"/>
    <col min="15625" max="15625" width="8" style="9" customWidth="1"/>
    <col min="15626" max="15626" width="9.5546875" style="9" customWidth="1"/>
    <col min="15627" max="15627" width="10" style="9" customWidth="1"/>
    <col min="15628" max="15628" width="6.21875" style="9" customWidth="1"/>
    <col min="15629" max="15629" width="4.44140625" style="9" customWidth="1"/>
    <col min="15630" max="15630" width="4.77734375" style="9" customWidth="1"/>
    <col min="15631" max="15631" width="10.44140625" style="9" customWidth="1"/>
    <col min="15632" max="15870" width="8.88671875" style="9"/>
    <col min="15871" max="15871" width="7.6640625" style="9" customWidth="1"/>
    <col min="15872" max="15872" width="3.44140625" style="9" customWidth="1"/>
    <col min="15873" max="15873" width="6.5546875" style="9" customWidth="1"/>
    <col min="15874" max="15874" width="5.21875" style="9" customWidth="1"/>
    <col min="15875" max="15876" width="10.6640625" style="9" customWidth="1"/>
    <col min="15877" max="15877" width="11.21875" style="9" customWidth="1"/>
    <col min="15878" max="15878" width="12.21875" style="9" customWidth="1"/>
    <col min="15879" max="15880" width="5.44140625" style="9" customWidth="1"/>
    <col min="15881" max="15881" width="8" style="9" customWidth="1"/>
    <col min="15882" max="15882" width="9.5546875" style="9" customWidth="1"/>
    <col min="15883" max="15883" width="10" style="9" customWidth="1"/>
    <col min="15884" max="15884" width="6.21875" style="9" customWidth="1"/>
    <col min="15885" max="15885" width="4.44140625" style="9" customWidth="1"/>
    <col min="15886" max="15886" width="4.77734375" style="9" customWidth="1"/>
    <col min="15887" max="15887" width="10.44140625" style="9" customWidth="1"/>
    <col min="15888" max="16126" width="8.88671875" style="9"/>
    <col min="16127" max="16127" width="7.6640625" style="9" customWidth="1"/>
    <col min="16128" max="16128" width="3.44140625" style="9" customWidth="1"/>
    <col min="16129" max="16129" width="6.5546875" style="9" customWidth="1"/>
    <col min="16130" max="16130" width="5.21875" style="9" customWidth="1"/>
    <col min="16131" max="16132" width="10.6640625" style="9" customWidth="1"/>
    <col min="16133" max="16133" width="11.21875" style="9" customWidth="1"/>
    <col min="16134" max="16134" width="12.21875" style="9" customWidth="1"/>
    <col min="16135" max="16136" width="5.44140625" style="9" customWidth="1"/>
    <col min="16137" max="16137" width="8" style="9" customWidth="1"/>
    <col min="16138" max="16138" width="9.5546875" style="9" customWidth="1"/>
    <col min="16139" max="16139" width="10" style="9" customWidth="1"/>
    <col min="16140" max="16140" width="6.21875" style="9" customWidth="1"/>
    <col min="16141" max="16141" width="4.44140625" style="9" customWidth="1"/>
    <col min="16142" max="16142" width="4.77734375" style="9" customWidth="1"/>
    <col min="16143" max="16143" width="10.44140625" style="9" customWidth="1"/>
    <col min="16144" max="16384" width="8.88671875" style="9"/>
  </cols>
  <sheetData>
    <row r="1" spans="1:18" ht="27.75" customHeight="1">
      <c r="A1" s="6"/>
      <c r="B1" s="324" t="s">
        <v>0</v>
      </c>
      <c r="C1" s="325"/>
      <c r="D1" s="325"/>
      <c r="E1" s="325"/>
      <c r="F1" s="325"/>
      <c r="G1" s="325"/>
      <c r="H1" s="325"/>
      <c r="I1" s="325"/>
      <c r="J1" s="325"/>
      <c r="K1" s="326"/>
      <c r="L1" s="7"/>
      <c r="M1" s="7"/>
      <c r="N1" s="8"/>
    </row>
    <row r="2" spans="1:18" ht="27.75" customHeight="1">
      <c r="A2" s="10"/>
      <c r="B2" s="327" t="s">
        <v>16</v>
      </c>
      <c r="C2" s="328"/>
      <c r="D2" s="328"/>
      <c r="E2" s="328"/>
      <c r="F2" s="328"/>
      <c r="G2" s="328"/>
      <c r="H2" s="328"/>
      <c r="I2" s="328"/>
      <c r="J2" s="328"/>
      <c r="K2" s="329"/>
      <c r="L2" s="12"/>
      <c r="M2" s="12"/>
      <c r="N2" s="13"/>
    </row>
    <row r="3" spans="1:18" ht="27.75" customHeight="1">
      <c r="A3" s="10"/>
      <c r="B3" s="330"/>
      <c r="C3" s="331"/>
      <c r="D3" s="331"/>
      <c r="E3" s="331"/>
      <c r="F3" s="331"/>
      <c r="G3" s="331"/>
      <c r="H3" s="331"/>
      <c r="I3" s="331"/>
      <c r="J3" s="331"/>
      <c r="K3" s="332"/>
      <c r="L3" s="15"/>
      <c r="M3" s="15"/>
      <c r="N3" s="16"/>
    </row>
    <row r="4" spans="1:18" ht="27.75" customHeight="1">
      <c r="A4" s="10"/>
      <c r="B4" s="341" t="s">
        <v>6</v>
      </c>
      <c r="C4" s="341"/>
      <c r="D4" s="341"/>
      <c r="E4" s="341"/>
      <c r="F4" s="341"/>
      <c r="G4" s="341"/>
      <c r="H4" s="81" t="s">
        <v>1</v>
      </c>
      <c r="I4" s="80" t="s">
        <v>8</v>
      </c>
      <c r="J4" s="82" t="s">
        <v>7</v>
      </c>
      <c r="K4" s="333" t="s">
        <v>15</v>
      </c>
      <c r="L4" s="334"/>
      <c r="M4" s="334"/>
      <c r="N4" s="335"/>
    </row>
    <row r="5" spans="1:18" ht="27.75" customHeight="1">
      <c r="A5" s="10"/>
      <c r="B5" s="342" t="s">
        <v>98</v>
      </c>
      <c r="C5" s="342"/>
      <c r="D5" s="342"/>
      <c r="E5" s="342"/>
      <c r="F5" s="342"/>
      <c r="G5" s="342"/>
      <c r="H5" s="81" t="s">
        <v>2</v>
      </c>
      <c r="I5" s="80" t="s">
        <v>14</v>
      </c>
      <c r="J5" s="82" t="s">
        <v>73</v>
      </c>
      <c r="K5" s="17">
        <v>45134</v>
      </c>
      <c r="L5" s="336" t="s">
        <v>3</v>
      </c>
      <c r="M5" s="337"/>
      <c r="N5" s="338"/>
      <c r="O5" s="2"/>
    </row>
    <row r="6" spans="1:18" ht="27.75" customHeight="1">
      <c r="A6" s="10"/>
      <c r="B6" s="342"/>
      <c r="C6" s="342"/>
      <c r="D6" s="342"/>
      <c r="E6" s="342"/>
      <c r="F6" s="342"/>
      <c r="G6" s="342"/>
      <c r="H6" s="81" t="s">
        <v>4</v>
      </c>
      <c r="I6" s="80" t="s">
        <v>87</v>
      </c>
      <c r="J6" s="82" t="s">
        <v>73</v>
      </c>
      <c r="K6" s="17">
        <v>45135</v>
      </c>
      <c r="L6" s="113"/>
      <c r="M6" s="114" t="s">
        <v>5</v>
      </c>
      <c r="N6" s="113"/>
      <c r="O6" s="1"/>
    </row>
    <row r="7" spans="1:18" ht="8.1" customHeight="1">
      <c r="A7" s="22"/>
      <c r="B7" s="107"/>
      <c r="C7" s="23"/>
      <c r="D7" s="23"/>
      <c r="E7" s="23"/>
      <c r="F7" s="23"/>
      <c r="G7" s="23"/>
      <c r="H7" s="23"/>
      <c r="I7" s="24"/>
      <c r="J7" s="24"/>
      <c r="K7" s="24"/>
      <c r="L7" s="30"/>
      <c r="M7" s="30"/>
      <c r="N7" s="32"/>
      <c r="O7" s="1"/>
    </row>
    <row r="8" spans="1:18" s="30" customFormat="1" ht="31.5" customHeight="1">
      <c r="A8" s="29"/>
      <c r="B8" s="108"/>
      <c r="C8" s="31" t="s">
        <v>136</v>
      </c>
      <c r="D8" s="31"/>
      <c r="E8" s="31"/>
      <c r="N8" s="32"/>
      <c r="Q8" s="11"/>
      <c r="R8" s="11"/>
    </row>
    <row r="9" spans="1:18" s="30" customFormat="1" ht="24.75" customHeight="1">
      <c r="A9" s="29"/>
      <c r="B9" s="109"/>
      <c r="C9" s="34"/>
      <c r="D9" s="34"/>
      <c r="E9" s="34"/>
      <c r="N9" s="32"/>
      <c r="Q9" s="11"/>
      <c r="R9" s="11"/>
    </row>
    <row r="10" spans="1:18" s="30" customFormat="1" ht="24.75" customHeight="1">
      <c r="A10" s="29"/>
      <c r="B10" s="109"/>
      <c r="C10" s="347" t="s">
        <v>137</v>
      </c>
      <c r="D10" s="347"/>
      <c r="E10" s="347"/>
      <c r="F10" s="347"/>
      <c r="G10" s="347"/>
      <c r="H10" s="347"/>
      <c r="I10" s="347"/>
      <c r="J10" s="347"/>
      <c r="K10" s="347"/>
      <c r="L10" s="347"/>
      <c r="M10" s="347"/>
      <c r="N10" s="348"/>
      <c r="Q10" s="11"/>
      <c r="R10" s="11"/>
    </row>
    <row r="11" spans="1:18" s="30" customFormat="1" ht="24.75" customHeight="1">
      <c r="A11" s="29"/>
      <c r="B11" s="109"/>
      <c r="C11" s="347"/>
      <c r="D11" s="347"/>
      <c r="E11" s="347"/>
      <c r="F11" s="347"/>
      <c r="G11" s="347"/>
      <c r="H11" s="347"/>
      <c r="I11" s="347"/>
      <c r="J11" s="347"/>
      <c r="K11" s="347"/>
      <c r="L11" s="347"/>
      <c r="M11" s="347"/>
      <c r="N11" s="348"/>
      <c r="Q11" s="11"/>
      <c r="R11" s="11"/>
    </row>
    <row r="12" spans="1:18" s="30" customFormat="1" ht="23.25" customHeight="1">
      <c r="A12" s="29"/>
      <c r="B12" s="109"/>
      <c r="C12" s="35" t="s">
        <v>76</v>
      </c>
      <c r="D12" s="35"/>
      <c r="E12" s="35"/>
      <c r="F12" s="36"/>
      <c r="G12" s="36"/>
      <c r="H12" s="36"/>
      <c r="I12" s="36"/>
      <c r="J12" s="37"/>
      <c r="K12" s="37"/>
      <c r="L12" s="37"/>
      <c r="M12" s="37"/>
      <c r="N12" s="21"/>
      <c r="Q12" s="11"/>
      <c r="R12" s="11"/>
    </row>
    <row r="13" spans="1:18" s="39" customFormat="1" ht="21.75" customHeight="1">
      <c r="A13" s="38"/>
      <c r="B13" s="110"/>
      <c r="C13" s="40"/>
      <c r="D13" s="40"/>
      <c r="E13" s="40"/>
      <c r="H13" s="41"/>
      <c r="I13" s="42"/>
      <c r="L13" s="43"/>
      <c r="M13" s="43"/>
      <c r="N13" s="44"/>
      <c r="Q13" s="47"/>
      <c r="R13" s="47"/>
    </row>
    <row r="14" spans="1:18" s="33" customFormat="1" ht="21.75" customHeight="1">
      <c r="A14" s="45"/>
      <c r="B14" s="109"/>
      <c r="C14" s="308" t="s">
        <v>78</v>
      </c>
      <c r="D14" s="308"/>
      <c r="E14" s="308"/>
      <c r="F14" s="308"/>
      <c r="G14" s="83" t="s">
        <v>49</v>
      </c>
      <c r="H14" s="48">
        <f>Input!E26</f>
        <v>1.2</v>
      </c>
      <c r="I14" s="84" t="s">
        <v>9</v>
      </c>
      <c r="J14" s="49"/>
      <c r="K14" s="49"/>
      <c r="L14" s="321"/>
      <c r="M14" s="321"/>
      <c r="N14" s="323"/>
      <c r="Q14" s="91"/>
      <c r="R14" s="91"/>
    </row>
    <row r="15" spans="1:18" s="33" customFormat="1" ht="21.75" customHeight="1">
      <c r="A15" s="45"/>
      <c r="B15" s="109"/>
      <c r="C15" s="308" t="s">
        <v>17</v>
      </c>
      <c r="D15" s="308"/>
      <c r="E15" s="308"/>
      <c r="F15" s="308"/>
      <c r="G15" s="83" t="s">
        <v>18</v>
      </c>
      <c r="H15" s="48">
        <f>'Design of Crump'!G82</f>
        <v>0.74087999999999976</v>
      </c>
      <c r="I15" s="84" t="s">
        <v>9</v>
      </c>
      <c r="J15" s="49"/>
      <c r="K15" s="49"/>
      <c r="L15" s="49"/>
      <c r="M15" s="49"/>
      <c r="N15" s="50"/>
      <c r="Q15" s="91"/>
      <c r="R15" s="91"/>
    </row>
    <row r="16" spans="1:18" s="33" customFormat="1" ht="21.75" customHeight="1">
      <c r="A16" s="45"/>
      <c r="B16" s="109"/>
      <c r="C16" s="308" t="s">
        <v>22</v>
      </c>
      <c r="D16" s="308"/>
      <c r="E16" s="308"/>
      <c r="F16" s="308"/>
      <c r="G16" s="83" t="s">
        <v>9</v>
      </c>
      <c r="H16" s="48">
        <f>Input!E27</f>
        <v>1.5</v>
      </c>
      <c r="I16" s="84" t="s">
        <v>79</v>
      </c>
      <c r="J16" s="49"/>
      <c r="K16" s="49"/>
      <c r="L16" s="321"/>
      <c r="M16" s="321"/>
      <c r="N16" s="323"/>
      <c r="Q16" s="91"/>
      <c r="R16" s="91"/>
    </row>
    <row r="17" spans="1:19" s="33" customFormat="1" ht="21.75" customHeight="1">
      <c r="A17" s="45"/>
      <c r="B17" s="109"/>
      <c r="C17" s="308" t="s">
        <v>80</v>
      </c>
      <c r="D17" s="308"/>
      <c r="E17" s="308"/>
      <c r="F17" s="308"/>
      <c r="G17" s="83" t="s">
        <v>155</v>
      </c>
      <c r="H17" s="52">
        <f>Input!E28</f>
        <v>2.9999999999999997E-4</v>
      </c>
      <c r="I17" s="84" t="s">
        <v>81</v>
      </c>
      <c r="J17" s="49">
        <f>1/H17</f>
        <v>3333.3333333333335</v>
      </c>
      <c r="K17" s="49"/>
      <c r="L17" s="321"/>
      <c r="M17" s="321"/>
      <c r="N17" s="323"/>
      <c r="Q17" s="91"/>
      <c r="R17" s="91"/>
    </row>
    <row r="18" spans="1:19" s="33" customFormat="1" ht="21.75" customHeight="1">
      <c r="A18" s="45"/>
      <c r="B18" s="109"/>
      <c r="C18" s="308" t="s">
        <v>82</v>
      </c>
      <c r="D18" s="308"/>
      <c r="E18" s="308"/>
      <c r="F18" s="308"/>
      <c r="G18" s="83" t="s">
        <v>62</v>
      </c>
      <c r="H18" s="53">
        <f>Input!E29</f>
        <v>1.4285714285714285E-2</v>
      </c>
      <c r="I18" s="84" t="s">
        <v>20</v>
      </c>
      <c r="J18" s="49"/>
      <c r="K18" s="49"/>
      <c r="L18" s="321"/>
      <c r="M18" s="321"/>
      <c r="N18" s="323"/>
      <c r="Q18" s="91"/>
      <c r="R18" s="91"/>
    </row>
    <row r="19" spans="1:19" s="33" customFormat="1" ht="21.75" customHeight="1">
      <c r="A19" s="45"/>
      <c r="B19" s="109"/>
      <c r="C19" s="308" t="s">
        <v>83</v>
      </c>
      <c r="D19" s="308"/>
      <c r="E19" s="308"/>
      <c r="F19" s="308"/>
      <c r="G19" s="83" t="s">
        <v>10</v>
      </c>
      <c r="H19" s="48">
        <f>Input!E23</f>
        <v>22.360471219111972</v>
      </c>
      <c r="I19" s="84" t="s">
        <v>92</v>
      </c>
      <c r="J19" s="49"/>
      <c r="K19" s="49"/>
      <c r="L19" s="321"/>
      <c r="M19" s="321"/>
      <c r="N19" s="350"/>
      <c r="Q19" s="91"/>
      <c r="R19" s="91"/>
    </row>
    <row r="20" spans="1:19" s="33" customFormat="1" ht="21.75" customHeight="1">
      <c r="A20" s="45"/>
      <c r="B20" s="109"/>
      <c r="C20" s="308" t="s">
        <v>84</v>
      </c>
      <c r="D20" s="308"/>
      <c r="E20" s="308"/>
      <c r="F20" s="308"/>
      <c r="G20" s="83" t="s">
        <v>139</v>
      </c>
      <c r="H20" s="54">
        <f>Input!E25-Input!E23</f>
        <v>0.69424078088804464</v>
      </c>
      <c r="I20" s="84" t="s">
        <v>9</v>
      </c>
      <c r="J20" s="49"/>
      <c r="K20" s="49"/>
      <c r="L20" s="321"/>
      <c r="M20" s="321"/>
      <c r="N20" s="323"/>
      <c r="Q20" s="91"/>
      <c r="R20" s="91"/>
    </row>
    <row r="21" spans="1:19" s="33" customFormat="1" ht="15.75" customHeight="1">
      <c r="A21" s="45"/>
      <c r="B21" s="109"/>
      <c r="C21" s="39" t="s">
        <v>138</v>
      </c>
      <c r="D21" s="39"/>
      <c r="E21" s="39"/>
      <c r="G21" s="83" t="s">
        <v>140</v>
      </c>
      <c r="H21" s="54">
        <f>'Design of Crump'!G85</f>
        <v>0.57751340540413021</v>
      </c>
      <c r="I21" s="47"/>
      <c r="L21" s="49"/>
      <c r="M21" s="49"/>
      <c r="N21" s="50"/>
      <c r="Q21" s="91"/>
      <c r="R21" s="91"/>
    </row>
    <row r="22" spans="1:19" s="33" customFormat="1" ht="15.75" customHeight="1">
      <c r="A22" s="45"/>
      <c r="B22" s="109"/>
      <c r="C22" s="39"/>
      <c r="D22" s="39"/>
      <c r="E22" s="39"/>
      <c r="G22" s="55"/>
      <c r="H22" s="47"/>
      <c r="I22" s="47"/>
      <c r="L22" s="49"/>
      <c r="M22" s="49"/>
      <c r="N22" s="50"/>
      <c r="Q22" s="91"/>
      <c r="R22" s="91"/>
    </row>
    <row r="23" spans="1:19" s="30" customFormat="1" ht="23.25" customHeight="1">
      <c r="A23" s="29"/>
      <c r="B23" s="109"/>
      <c r="C23" s="35" t="s">
        <v>86</v>
      </c>
      <c r="D23" s="35"/>
      <c r="E23" s="35"/>
      <c r="F23" s="36"/>
      <c r="G23" s="36"/>
      <c r="H23" s="36"/>
      <c r="I23" s="36"/>
      <c r="J23" s="37"/>
      <c r="K23" s="37"/>
      <c r="L23" s="37"/>
      <c r="M23" s="37"/>
      <c r="N23" s="21"/>
      <c r="Q23" s="11"/>
      <c r="R23" s="11"/>
    </row>
    <row r="24" spans="1:19" s="59" customFormat="1" ht="30.6">
      <c r="A24" s="58"/>
      <c r="B24" s="111"/>
      <c r="C24" s="97" t="s">
        <v>55</v>
      </c>
      <c r="D24" s="97" t="s">
        <v>56</v>
      </c>
      <c r="E24" s="97" t="s">
        <v>151</v>
      </c>
      <c r="F24" s="97" t="s">
        <v>57</v>
      </c>
      <c r="G24" s="98" t="s">
        <v>59</v>
      </c>
      <c r="H24" s="97" t="s">
        <v>143</v>
      </c>
      <c r="I24" s="97" t="s">
        <v>142</v>
      </c>
      <c r="J24" s="61" t="s">
        <v>149</v>
      </c>
      <c r="K24" s="61" t="s">
        <v>154</v>
      </c>
      <c r="L24" s="344" t="s">
        <v>159</v>
      </c>
      <c r="M24" s="349" t="s">
        <v>158</v>
      </c>
      <c r="N24" s="60"/>
      <c r="Q24" s="69"/>
      <c r="R24" s="69"/>
    </row>
    <row r="25" spans="1:19" s="59" customFormat="1" ht="10.199999999999999">
      <c r="A25" s="58"/>
      <c r="B25" s="111"/>
      <c r="C25" s="61" t="s">
        <v>48</v>
      </c>
      <c r="D25" s="61" t="s">
        <v>51</v>
      </c>
      <c r="E25" s="61" t="s">
        <v>21</v>
      </c>
      <c r="F25" s="61" t="s">
        <v>152</v>
      </c>
      <c r="G25" s="51" t="s">
        <v>52</v>
      </c>
      <c r="H25" s="61" t="s">
        <v>144</v>
      </c>
      <c r="I25" s="99" t="s">
        <v>141</v>
      </c>
      <c r="J25" s="61" t="s">
        <v>46</v>
      </c>
      <c r="K25" s="61" t="s">
        <v>46</v>
      </c>
      <c r="L25" s="345"/>
      <c r="M25" s="349"/>
      <c r="N25" s="60"/>
      <c r="Q25" s="69"/>
      <c r="R25" s="69"/>
    </row>
    <row r="26" spans="1:19" s="59" customFormat="1" ht="11.4">
      <c r="A26" s="58"/>
      <c r="B26" s="111"/>
      <c r="C26" s="61" t="s">
        <v>9</v>
      </c>
      <c r="D26" s="61" t="s">
        <v>65</v>
      </c>
      <c r="E26" s="61" t="s">
        <v>9</v>
      </c>
      <c r="F26" s="61" t="s">
        <v>9</v>
      </c>
      <c r="G26" s="51" t="s">
        <v>96</v>
      </c>
      <c r="H26" s="61" t="s">
        <v>9</v>
      </c>
      <c r="I26" s="95" t="s">
        <v>9</v>
      </c>
      <c r="J26" s="61" t="s">
        <v>20</v>
      </c>
      <c r="K26" s="61" t="s">
        <v>20</v>
      </c>
      <c r="L26" s="346"/>
      <c r="M26" s="349"/>
      <c r="N26" s="60"/>
      <c r="Q26" s="69"/>
      <c r="R26" s="69"/>
    </row>
    <row r="27" spans="1:19" s="59" customFormat="1" ht="25.2">
      <c r="A27" s="58"/>
      <c r="B27" s="111"/>
      <c r="C27" s="61" t="s">
        <v>20</v>
      </c>
      <c r="D27" s="61" t="s">
        <v>145</v>
      </c>
      <c r="E27" s="61" t="s">
        <v>146</v>
      </c>
      <c r="F27" s="61" t="s">
        <v>153</v>
      </c>
      <c r="G27" s="51" t="s">
        <v>70</v>
      </c>
      <c r="H27" s="96" t="s">
        <v>147</v>
      </c>
      <c r="I27" s="95" t="s">
        <v>148</v>
      </c>
      <c r="J27" s="61" t="s">
        <v>150</v>
      </c>
      <c r="K27" s="61" t="s">
        <v>150</v>
      </c>
      <c r="L27" s="61" t="s">
        <v>156</v>
      </c>
      <c r="M27" s="100" t="s">
        <v>157</v>
      </c>
      <c r="N27" s="60"/>
      <c r="Q27" s="69"/>
      <c r="R27" s="69"/>
    </row>
    <row r="28" spans="1:19" s="39" customFormat="1" ht="21.75" customHeight="1">
      <c r="A28" s="38"/>
      <c r="B28" s="110"/>
      <c r="C28" s="65">
        <f>H20</f>
        <v>0.69424078088804464</v>
      </c>
      <c r="D28" s="65">
        <f t="shared" ref="D28:D38" si="0">C28*H$14+C28^2*H$16</f>
        <v>1.5560443298377167</v>
      </c>
      <c r="E28" s="66">
        <f t="shared" ref="E28:E38" si="1">H$14+2*C28*SQRT(1+H$16^2)</f>
        <v>3.7031207330100049</v>
      </c>
      <c r="F28" s="66">
        <f>D28/E28</f>
        <v>0.42019810911563726</v>
      </c>
      <c r="G28" s="66">
        <f>$H$15/D28</f>
        <v>0.47613039409826313</v>
      </c>
      <c r="H28" s="78">
        <f>C28+G28^2/2/9.81</f>
        <v>0.70579532483219176</v>
      </c>
      <c r="I28" s="78">
        <f t="shared" ref="I28:I37" si="2">H29-H28</f>
        <v>-1.1085202642244441E-2</v>
      </c>
      <c r="J28" s="101">
        <f>($H$18*$H$15/D28/F28^0.66667)^2</f>
        <v>1.4700071606404161E-4</v>
      </c>
      <c r="K28" s="101">
        <f>(J28+J29)/2</f>
        <v>1.5212724725244497E-4</v>
      </c>
      <c r="L28" s="102">
        <f>$H$17-K28</f>
        <v>1.47872752747555E-4</v>
      </c>
      <c r="M28" s="106">
        <f t="shared" ref="M28:M37" si="3">I28/L28</f>
        <v>-74.96447071063082</v>
      </c>
      <c r="N28" s="44"/>
      <c r="P28" s="94">
        <f>$H$19+H28</f>
        <v>23.066266543944163</v>
      </c>
      <c r="Q28" s="92">
        <v>0</v>
      </c>
      <c r="R28" s="93"/>
      <c r="S28" s="94"/>
    </row>
    <row r="29" spans="1:19" s="39" customFormat="1" ht="21.75" customHeight="1">
      <c r="A29" s="38"/>
      <c r="B29" s="110"/>
      <c r="C29" s="65">
        <f>C28-($H$20-$H$21)/10</f>
        <v>0.68256804333965315</v>
      </c>
      <c r="D29" s="65">
        <f t="shared" si="0"/>
        <v>1.5179303526903678</v>
      </c>
      <c r="E29" s="66">
        <f t="shared" si="1"/>
        <v>3.6610340792542457</v>
      </c>
      <c r="F29" s="66">
        <f t="shared" ref="F29:F38" si="4">D29/E29</f>
        <v>0.41461792483493376</v>
      </c>
      <c r="G29" s="66">
        <f t="shared" ref="G29:G38" si="5">$H$15/D29</f>
        <v>0.48808563494818447</v>
      </c>
      <c r="H29" s="78">
        <f t="shared" ref="H29:H37" si="6">C29+G29^2/2/9.81</f>
        <v>0.69471012218994732</v>
      </c>
      <c r="I29" s="78">
        <f t="shared" si="2"/>
        <v>-1.104627787883905E-2</v>
      </c>
      <c r="J29" s="101">
        <f t="shared" ref="J29:J38" si="7">($H$18*$H$15/D29/F29^0.66667)^2</f>
        <v>1.5725377844084837E-4</v>
      </c>
      <c r="K29" s="101">
        <f t="shared" ref="K29:K37" si="8">(J29+J30)/2</f>
        <v>1.6282248473006085E-4</v>
      </c>
      <c r="L29" s="102">
        <f t="shared" ref="L29:L37" si="9">$H$17-K29</f>
        <v>1.3717751526993912E-4</v>
      </c>
      <c r="M29" s="106">
        <f t="shared" si="3"/>
        <v>-80.525426175726309</v>
      </c>
      <c r="N29" s="44"/>
      <c r="P29" s="94">
        <f t="shared" ref="P29:P37" si="10">$H$19+H29</f>
        <v>23.055181341301918</v>
      </c>
      <c r="Q29" s="92">
        <f t="shared" ref="Q29:Q37" si="11">M28</f>
        <v>-74.96447071063082</v>
      </c>
      <c r="R29" s="93"/>
      <c r="S29" s="94"/>
    </row>
    <row r="30" spans="1:19" s="39" customFormat="1" ht="21.75" customHeight="1">
      <c r="A30" s="38"/>
      <c r="B30" s="110"/>
      <c r="C30" s="65">
        <f t="shared" ref="C30:C37" si="12">C29-($H$20-$H$21)/10</f>
        <v>0.67089530579126166</v>
      </c>
      <c r="D30" s="65">
        <f t="shared" si="0"/>
        <v>1.4802251339486396</v>
      </c>
      <c r="E30" s="66">
        <f t="shared" si="1"/>
        <v>3.6189474254984866</v>
      </c>
      <c r="F30" s="66">
        <f t="shared" si="4"/>
        <v>0.40902090025382126</v>
      </c>
      <c r="G30" s="66">
        <f t="shared" si="5"/>
        <v>0.50051845696176822</v>
      </c>
      <c r="H30" s="78">
        <f t="shared" si="6"/>
        <v>0.68366384431110827</v>
      </c>
      <c r="I30" s="78">
        <f t="shared" si="2"/>
        <v>-1.100413081290319E-2</v>
      </c>
      <c r="J30" s="101">
        <f t="shared" si="7"/>
        <v>1.6839119101927331E-4</v>
      </c>
      <c r="K30" s="101">
        <f t="shared" si="8"/>
        <v>1.7444800328358739E-4</v>
      </c>
      <c r="L30" s="102">
        <f t="shared" si="9"/>
        <v>1.2555199671641259E-4</v>
      </c>
      <c r="M30" s="106">
        <f t="shared" si="3"/>
        <v>-87.646004051679824</v>
      </c>
      <c r="N30" s="44"/>
      <c r="P30" s="94">
        <f t="shared" si="10"/>
        <v>23.044135063423081</v>
      </c>
      <c r="Q30" s="92">
        <f t="shared" si="11"/>
        <v>-80.525426175726309</v>
      </c>
      <c r="R30" s="93"/>
      <c r="S30" s="94"/>
    </row>
    <row r="31" spans="1:19" s="39" customFormat="1" ht="21.75" customHeight="1">
      <c r="A31" s="38"/>
      <c r="B31" s="110"/>
      <c r="C31" s="65">
        <f t="shared" si="12"/>
        <v>0.65922256824287018</v>
      </c>
      <c r="D31" s="65">
        <f t="shared" si="0"/>
        <v>1.4429286736125326</v>
      </c>
      <c r="E31" s="66">
        <f t="shared" si="1"/>
        <v>3.5768607717427274</v>
      </c>
      <c r="F31" s="66">
        <f t="shared" si="4"/>
        <v>0.40340644092487421</v>
      </c>
      <c r="G31" s="66">
        <f t="shared" si="5"/>
        <v>0.5134557331549342</v>
      </c>
      <c r="H31" s="78">
        <f t="shared" si="6"/>
        <v>0.67265971349820508</v>
      </c>
      <c r="I31" s="78">
        <f t="shared" si="2"/>
        <v>-1.0958437825485445E-2</v>
      </c>
      <c r="J31" s="101">
        <f t="shared" si="7"/>
        <v>1.8050481554790149E-4</v>
      </c>
      <c r="K31" s="101">
        <f t="shared" si="8"/>
        <v>1.8710129548208659E-4</v>
      </c>
      <c r="L31" s="102">
        <f t="shared" si="9"/>
        <v>1.1289870451791338E-4</v>
      </c>
      <c r="M31" s="106">
        <f t="shared" si="3"/>
        <v>-97.064336320588112</v>
      </c>
      <c r="N31" s="44"/>
      <c r="P31" s="94">
        <f t="shared" si="10"/>
        <v>23.033130932610177</v>
      </c>
      <c r="Q31" s="92">
        <f t="shared" si="11"/>
        <v>-87.646004051679824</v>
      </c>
      <c r="R31" s="93"/>
      <c r="S31" s="94"/>
    </row>
    <row r="32" spans="1:19" s="39" customFormat="1" ht="21.75" customHeight="1">
      <c r="A32" s="38"/>
      <c r="B32" s="110"/>
      <c r="C32" s="65">
        <f t="shared" si="12"/>
        <v>0.64754983069447869</v>
      </c>
      <c r="D32" s="65">
        <f t="shared" si="0"/>
        <v>1.4060409716820463</v>
      </c>
      <c r="E32" s="66">
        <f t="shared" si="1"/>
        <v>3.5347741179869674</v>
      </c>
      <c r="F32" s="66">
        <f t="shared" si="4"/>
        <v>0.39777392408960438</v>
      </c>
      <c r="G32" s="66">
        <f t="shared" si="5"/>
        <v>0.52692632357198332</v>
      </c>
      <c r="H32" s="78">
        <f t="shared" si="6"/>
        <v>0.66170127567271964</v>
      </c>
      <c r="I32" s="78">
        <f t="shared" si="2"/>
        <v>-1.0908836731283511E-2</v>
      </c>
      <c r="J32" s="101">
        <f t="shared" si="7"/>
        <v>1.9369777541627169E-4</v>
      </c>
      <c r="K32" s="101">
        <f t="shared" si="8"/>
        <v>2.0089191726838291E-4</v>
      </c>
      <c r="L32" s="102">
        <f t="shared" si="9"/>
        <v>9.9108082731617063E-5</v>
      </c>
      <c r="M32" s="106">
        <f t="shared" si="3"/>
        <v>-110.07010155593917</v>
      </c>
      <c r="N32" s="44"/>
      <c r="P32" s="94">
        <f t="shared" si="10"/>
        <v>23.022172494784691</v>
      </c>
      <c r="Q32" s="92">
        <f t="shared" si="11"/>
        <v>-97.064336320588112</v>
      </c>
      <c r="R32" s="93"/>
      <c r="S32" s="94"/>
    </row>
    <row r="33" spans="1:22" s="39" customFormat="1" ht="21.75" customHeight="1">
      <c r="A33" s="38"/>
      <c r="B33" s="110"/>
      <c r="C33" s="65">
        <f t="shared" si="12"/>
        <v>0.6358770931460872</v>
      </c>
      <c r="D33" s="65">
        <f t="shared" si="0"/>
        <v>1.3695620281571812</v>
      </c>
      <c r="E33" s="66">
        <f t="shared" si="1"/>
        <v>3.4926874642312082</v>
      </c>
      <c r="F33" s="66">
        <f t="shared" si="4"/>
        <v>0.39212269697272839</v>
      </c>
      <c r="G33" s="66">
        <f t="shared" si="5"/>
        <v>0.54096125970788878</v>
      </c>
      <c r="H33" s="78">
        <f t="shared" si="6"/>
        <v>0.65079243894143612</v>
      </c>
      <c r="I33" s="78">
        <f t="shared" si="2"/>
        <v>-1.0854921418591124E-2</v>
      </c>
      <c r="J33" s="101">
        <f t="shared" si="7"/>
        <v>2.080860591204941E-4</v>
      </c>
      <c r="K33" s="101">
        <f t="shared" si="8"/>
        <v>2.1594322228684606E-4</v>
      </c>
      <c r="L33" s="102">
        <f t="shared" si="9"/>
        <v>8.405677771315391E-5</v>
      </c>
      <c r="M33" s="106">
        <f t="shared" si="3"/>
        <v>-129.13796738240245</v>
      </c>
      <c r="N33" s="44"/>
      <c r="P33" s="94">
        <f t="shared" si="10"/>
        <v>23.011263658053409</v>
      </c>
      <c r="Q33" s="92">
        <f t="shared" si="11"/>
        <v>-110.07010155593917</v>
      </c>
      <c r="R33" s="93"/>
      <c r="S33" s="94"/>
    </row>
    <row r="34" spans="1:22" s="39" customFormat="1" ht="21.75" customHeight="1">
      <c r="A34" s="38"/>
      <c r="B34" s="110"/>
      <c r="C34" s="65">
        <f t="shared" si="12"/>
        <v>0.62420435559769571</v>
      </c>
      <c r="D34" s="65">
        <f t="shared" si="0"/>
        <v>1.3334918430379368</v>
      </c>
      <c r="E34" s="66">
        <f t="shared" si="1"/>
        <v>3.4506008104754491</v>
      </c>
      <c r="F34" s="66">
        <f t="shared" si="4"/>
        <v>0.38645207495160777</v>
      </c>
      <c r="G34" s="66">
        <f t="shared" si="5"/>
        <v>0.55559394972536202</v>
      </c>
      <c r="H34" s="78">
        <f t="shared" si="6"/>
        <v>0.639937517522845</v>
      </c>
      <c r="I34" s="78">
        <f t="shared" si="2"/>
        <v>-1.0796235632469231E-2</v>
      </c>
      <c r="J34" s="101">
        <f t="shared" si="7"/>
        <v>2.2380038545319805E-4</v>
      </c>
      <c r="K34" s="101">
        <f t="shared" si="8"/>
        <v>2.3239438215913276E-4</v>
      </c>
      <c r="L34" s="102">
        <f t="shared" si="9"/>
        <v>6.7605617840867213E-5</v>
      </c>
      <c r="M34" s="106">
        <f t="shared" si="3"/>
        <v>-159.69435643472468</v>
      </c>
      <c r="N34" s="44"/>
      <c r="P34" s="94">
        <f t="shared" si="10"/>
        <v>23.000408736634817</v>
      </c>
      <c r="Q34" s="92">
        <f t="shared" si="11"/>
        <v>-129.13796738240245</v>
      </c>
      <c r="R34" s="93"/>
      <c r="S34" s="94"/>
      <c r="U34" s="9"/>
      <c r="V34" s="9"/>
    </row>
    <row r="35" spans="1:22" s="39" customFormat="1" ht="21.75" customHeight="1">
      <c r="A35" s="38"/>
      <c r="B35" s="110"/>
      <c r="C35" s="65">
        <f t="shared" si="12"/>
        <v>0.61253161804930423</v>
      </c>
      <c r="D35" s="65">
        <f t="shared" si="0"/>
        <v>1.2978304163243131</v>
      </c>
      <c r="E35" s="66">
        <f t="shared" si="1"/>
        <v>3.4085141567196899</v>
      </c>
      <c r="F35" s="66">
        <f t="shared" si="4"/>
        <v>0.3807613395900718</v>
      </c>
      <c r="G35" s="66">
        <f t="shared" si="5"/>
        <v>0.5708604072466601</v>
      </c>
      <c r="H35" s="78">
        <f t="shared" si="6"/>
        <v>0.62914128189037577</v>
      </c>
      <c r="I35" s="78">
        <f t="shared" si="2"/>
        <v>-1.0732265745410974E-2</v>
      </c>
      <c r="J35" s="101">
        <f t="shared" si="7"/>
        <v>2.409883788650675E-4</v>
      </c>
      <c r="K35" s="101">
        <f t="shared" si="8"/>
        <v>2.5040274619458571E-4</v>
      </c>
      <c r="L35" s="102">
        <f t="shared" si="9"/>
        <v>4.959725380541426E-5</v>
      </c>
      <c r="M35" s="106">
        <f t="shared" si="3"/>
        <v>-216.3883062460888</v>
      </c>
      <c r="N35" s="44"/>
      <c r="P35" s="94">
        <f t="shared" si="10"/>
        <v>22.989612501002348</v>
      </c>
      <c r="Q35" s="92">
        <f t="shared" si="11"/>
        <v>-159.69435643472468</v>
      </c>
      <c r="R35" s="93"/>
      <c r="S35" s="94"/>
      <c r="U35" s="9"/>
      <c r="V35" s="9"/>
    </row>
    <row r="36" spans="1:22" s="39" customFormat="1" ht="21.75" customHeight="1">
      <c r="A36" s="38"/>
      <c r="B36" s="110"/>
      <c r="C36" s="65">
        <f t="shared" si="12"/>
        <v>0.60085888050091274</v>
      </c>
      <c r="D36" s="65">
        <f t="shared" si="0"/>
        <v>1.2625777480163105</v>
      </c>
      <c r="E36" s="66">
        <f t="shared" si="1"/>
        <v>3.3664275029639308</v>
      </c>
      <c r="F36" s="66">
        <f t="shared" si="4"/>
        <v>0.37504973652475482</v>
      </c>
      <c r="G36" s="66">
        <f t="shared" si="5"/>
        <v>0.58679950693256533</v>
      </c>
      <c r="H36" s="78">
        <f t="shared" si="6"/>
        <v>0.6184090161449648</v>
      </c>
      <c r="I36" s="78">
        <f t="shared" si="2"/>
        <v>-1.0662432327901872E-2</v>
      </c>
      <c r="J36" s="101">
        <f t="shared" si="7"/>
        <v>2.5981711352410393E-4</v>
      </c>
      <c r="K36" s="101">
        <f t="shared" si="8"/>
        <v>2.7014660527017754E-4</v>
      </c>
      <c r="L36" s="102">
        <f t="shared" si="9"/>
        <v>2.9853394729822437E-5</v>
      </c>
      <c r="M36" s="106">
        <f t="shared" si="3"/>
        <v>-357.15979453587892</v>
      </c>
      <c r="N36" s="44"/>
      <c r="P36" s="94">
        <f t="shared" si="10"/>
        <v>22.978880235256938</v>
      </c>
      <c r="Q36" s="92">
        <f t="shared" si="11"/>
        <v>-216.3883062460888</v>
      </c>
      <c r="R36" s="93"/>
      <c r="S36" s="94"/>
      <c r="U36" s="9"/>
      <c r="V36" s="9"/>
    </row>
    <row r="37" spans="1:22" s="39" customFormat="1" ht="21.75" customHeight="1">
      <c r="A37" s="38"/>
      <c r="B37" s="110"/>
      <c r="C37" s="65">
        <f t="shared" si="12"/>
        <v>0.58918614295252125</v>
      </c>
      <c r="D37" s="65">
        <f t="shared" si="0"/>
        <v>1.2277338381139287</v>
      </c>
      <c r="E37" s="66">
        <f t="shared" si="1"/>
        <v>3.3243408492081707</v>
      </c>
      <c r="F37" s="66">
        <f t="shared" si="4"/>
        <v>0.36931647319087763</v>
      </c>
      <c r="G37" s="66">
        <f t="shared" si="5"/>
        <v>0.60345327057056253</v>
      </c>
      <c r="H37" s="78">
        <f t="shared" si="6"/>
        <v>0.60774658381706292</v>
      </c>
      <c r="I37" s="78">
        <f t="shared" si="2"/>
        <v>-1.0586080292098621E-2</v>
      </c>
      <c r="J37" s="101">
        <f t="shared" si="7"/>
        <v>2.8047609701625114E-4</v>
      </c>
      <c r="K37" s="101">
        <f t="shared" si="8"/>
        <v>2.9182843850234245E-4</v>
      </c>
      <c r="L37" s="102">
        <f t="shared" si="9"/>
        <v>8.1715614976575197E-6</v>
      </c>
      <c r="M37" s="106">
        <f t="shared" si="3"/>
        <v>-1295.4782626470171</v>
      </c>
      <c r="N37" s="44"/>
      <c r="P37" s="94">
        <f t="shared" si="10"/>
        <v>22.968217802929036</v>
      </c>
      <c r="Q37" s="92">
        <f t="shared" si="11"/>
        <v>-357.15979453587892</v>
      </c>
      <c r="R37" s="93"/>
      <c r="S37" s="94"/>
      <c r="U37" s="9"/>
      <c r="V37" s="9"/>
    </row>
    <row r="38" spans="1:22" s="39" customFormat="1" ht="21.75" customHeight="1">
      <c r="A38" s="38"/>
      <c r="B38" s="110"/>
      <c r="C38" s="71">
        <f>H21</f>
        <v>0.57751340540413021</v>
      </c>
      <c r="D38" s="71">
        <f t="shared" si="0"/>
        <v>1.1932986866171691</v>
      </c>
      <c r="E38" s="72">
        <f t="shared" si="1"/>
        <v>3.2822541954524134</v>
      </c>
      <c r="F38" s="72">
        <f t="shared" si="4"/>
        <v>0.36356071637306242</v>
      </c>
      <c r="G38" s="72">
        <f t="shared" si="5"/>
        <v>0.62086718799656815</v>
      </c>
      <c r="H38" s="79">
        <f>C38+G38^2/2/9.81</f>
        <v>0.5971605035249643</v>
      </c>
      <c r="I38" s="79" t="s">
        <v>20</v>
      </c>
      <c r="J38" s="103">
        <f t="shared" si="7"/>
        <v>3.0318077998843382E-4</v>
      </c>
      <c r="K38" s="103" t="s">
        <v>20</v>
      </c>
      <c r="L38" s="104" t="s">
        <v>20</v>
      </c>
      <c r="M38" s="105" t="s">
        <v>20</v>
      </c>
      <c r="N38" s="44"/>
      <c r="P38" s="94">
        <f t="shared" ref="P38" si="13">H38</f>
        <v>0.5971605035249643</v>
      </c>
      <c r="Q38" s="92"/>
      <c r="R38" s="93"/>
      <c r="S38" s="94"/>
      <c r="U38" s="9"/>
      <c r="V38" s="9"/>
    </row>
    <row r="39" spans="1:22" s="33" customFormat="1" ht="21.75" customHeight="1">
      <c r="A39" s="45"/>
      <c r="B39" s="109"/>
      <c r="C39" s="39"/>
      <c r="D39" s="39"/>
      <c r="E39" s="39"/>
      <c r="G39" s="55"/>
      <c r="H39" s="47"/>
      <c r="I39" s="47"/>
      <c r="L39" s="49"/>
      <c r="M39" s="115">
        <f>SUM(M28:M38)</f>
        <v>-2608.1290260606766</v>
      </c>
      <c r="N39" s="50"/>
      <c r="Q39" s="91"/>
      <c r="R39" s="91"/>
      <c r="S39" s="9"/>
      <c r="T39" s="9"/>
      <c r="U39" s="9"/>
      <c r="V39" s="9"/>
    </row>
    <row r="40" spans="1:22" s="33" customFormat="1" ht="21.75" customHeight="1">
      <c r="A40" s="45"/>
      <c r="B40" s="109"/>
      <c r="C40" s="39"/>
      <c r="D40" s="39"/>
      <c r="E40" s="39"/>
      <c r="G40" s="55"/>
      <c r="H40" s="47"/>
      <c r="I40" s="47"/>
      <c r="L40" s="49"/>
      <c r="M40" s="49"/>
      <c r="N40" s="50"/>
      <c r="Q40" s="91"/>
      <c r="R40" s="91"/>
      <c r="S40" s="9"/>
      <c r="T40" s="9"/>
      <c r="U40" s="9"/>
      <c r="V40" s="9"/>
    </row>
    <row r="41" spans="1:22" s="33" customFormat="1" ht="21.75" customHeight="1">
      <c r="A41" s="45"/>
      <c r="B41" s="109"/>
      <c r="C41" s="39"/>
      <c r="D41" s="39"/>
      <c r="E41" s="39"/>
      <c r="G41" s="55"/>
      <c r="H41" s="47"/>
      <c r="I41" s="47"/>
      <c r="L41" s="49"/>
      <c r="M41" s="49"/>
      <c r="N41" s="50"/>
      <c r="Q41" s="91"/>
      <c r="R41" s="91"/>
      <c r="S41" s="9"/>
      <c r="T41" s="9"/>
      <c r="U41" s="9"/>
      <c r="V41" s="9"/>
    </row>
    <row r="42" spans="1:22" s="33" customFormat="1" ht="21.75" customHeight="1">
      <c r="A42" s="45"/>
      <c r="B42" s="109"/>
      <c r="C42" s="39"/>
      <c r="D42" s="39"/>
      <c r="E42" s="39"/>
      <c r="G42" s="55"/>
      <c r="H42" s="47"/>
      <c r="I42" s="47"/>
      <c r="L42" s="49"/>
      <c r="M42" s="49"/>
      <c r="N42" s="50"/>
      <c r="Q42" s="91"/>
      <c r="R42" s="91"/>
      <c r="S42" s="9"/>
      <c r="T42" s="9"/>
      <c r="U42" s="9"/>
      <c r="V42" s="9"/>
    </row>
    <row r="43" spans="1:22" s="33" customFormat="1" ht="21.75" customHeight="1">
      <c r="A43" s="45"/>
      <c r="B43" s="109"/>
      <c r="C43" s="39"/>
      <c r="D43" s="39"/>
      <c r="E43" s="39"/>
      <c r="G43" s="55"/>
      <c r="H43" s="47"/>
      <c r="I43" s="47"/>
      <c r="L43" s="49"/>
      <c r="M43" s="49"/>
      <c r="N43" s="50"/>
      <c r="Q43" s="91"/>
      <c r="R43" s="91"/>
      <c r="S43" s="9"/>
      <c r="T43" s="9"/>
      <c r="U43" s="9"/>
      <c r="V43" s="9"/>
    </row>
    <row r="44" spans="1:22" s="33" customFormat="1" ht="21.75" customHeight="1">
      <c r="A44" s="45"/>
      <c r="B44" s="109"/>
      <c r="C44" s="39"/>
      <c r="D44" s="39"/>
      <c r="E44" s="39"/>
      <c r="G44" s="55"/>
      <c r="H44" s="47"/>
      <c r="I44" s="47"/>
      <c r="L44" s="49"/>
      <c r="M44" s="49"/>
      <c r="N44" s="50"/>
      <c r="Q44" s="91"/>
      <c r="R44" s="91"/>
      <c r="S44" s="9"/>
      <c r="T44" s="9"/>
      <c r="U44" s="9"/>
      <c r="V44" s="9"/>
    </row>
    <row r="45" spans="1:22" s="33" customFormat="1" ht="21.75" customHeight="1">
      <c r="A45" s="45"/>
      <c r="B45" s="109"/>
      <c r="C45" s="39"/>
      <c r="D45" s="39"/>
      <c r="E45" s="39"/>
      <c r="G45" s="55"/>
      <c r="H45" s="47"/>
      <c r="I45" s="47"/>
      <c r="L45" s="49"/>
      <c r="M45" s="49"/>
      <c r="N45" s="50"/>
      <c r="Q45" s="91"/>
      <c r="R45" s="91"/>
    </row>
    <row r="46" spans="1:22" s="33" customFormat="1" ht="21.75" customHeight="1">
      <c r="A46" s="45"/>
      <c r="B46" s="109"/>
      <c r="C46" s="39"/>
      <c r="D46" s="39"/>
      <c r="E46" s="39"/>
      <c r="G46" s="55"/>
      <c r="H46" s="47"/>
      <c r="I46" s="47"/>
      <c r="L46" s="49"/>
      <c r="M46" s="49"/>
      <c r="N46" s="50"/>
      <c r="Q46" s="91"/>
      <c r="R46" s="91"/>
    </row>
    <row r="47" spans="1:22" s="33" customFormat="1" ht="21.75" customHeight="1">
      <c r="A47" s="45"/>
      <c r="B47" s="109"/>
      <c r="C47" s="39"/>
      <c r="D47" s="39"/>
      <c r="E47" s="39"/>
      <c r="G47" s="55"/>
      <c r="H47" s="47"/>
      <c r="I47" s="47"/>
      <c r="L47" s="49"/>
      <c r="M47" s="49"/>
      <c r="N47" s="50"/>
      <c r="Q47" s="91"/>
      <c r="R47" s="91"/>
    </row>
    <row r="48" spans="1:22" s="33" customFormat="1" ht="21.75" customHeight="1">
      <c r="A48" s="45"/>
      <c r="B48" s="109"/>
      <c r="C48" s="39"/>
      <c r="D48" s="39"/>
      <c r="E48" s="39"/>
      <c r="G48" s="55"/>
      <c r="H48" s="47"/>
      <c r="I48" s="47"/>
      <c r="L48" s="49"/>
      <c r="M48" s="49"/>
      <c r="N48" s="50"/>
      <c r="Q48" s="91"/>
      <c r="R48" s="91"/>
    </row>
    <row r="49" spans="1:18" s="33" customFormat="1" ht="21.75" customHeight="1">
      <c r="A49" s="45"/>
      <c r="B49" s="109"/>
      <c r="C49" s="39"/>
      <c r="D49" s="39"/>
      <c r="E49" s="39"/>
      <c r="G49" s="55"/>
      <c r="H49" s="47"/>
      <c r="I49" s="47"/>
      <c r="L49" s="49"/>
      <c r="M49" s="49"/>
      <c r="N49" s="50"/>
      <c r="Q49" s="91"/>
      <c r="R49" s="91"/>
    </row>
    <row r="50" spans="1:18" s="30" customFormat="1" ht="28.5" customHeight="1">
      <c r="A50" s="74"/>
      <c r="B50" s="112"/>
      <c r="C50" s="36"/>
      <c r="D50" s="36"/>
      <c r="E50" s="36"/>
      <c r="F50" s="36"/>
      <c r="G50" s="36"/>
      <c r="H50" s="14"/>
      <c r="I50" s="14"/>
      <c r="J50" s="75"/>
      <c r="K50" s="76"/>
      <c r="L50" s="76"/>
      <c r="M50" s="76"/>
      <c r="N50" s="85"/>
      <c r="Q50" s="11"/>
      <c r="R50" s="11"/>
    </row>
  </sheetData>
  <mergeCells count="22">
    <mergeCell ref="C10:N11"/>
    <mergeCell ref="C15:F15"/>
    <mergeCell ref="M24:M26"/>
    <mergeCell ref="L24:L26"/>
    <mergeCell ref="C18:F18"/>
    <mergeCell ref="L18:N18"/>
    <mergeCell ref="C19:F19"/>
    <mergeCell ref="L19:N19"/>
    <mergeCell ref="C20:F20"/>
    <mergeCell ref="L20:N20"/>
    <mergeCell ref="C14:F14"/>
    <mergeCell ref="L14:N14"/>
    <mergeCell ref="C16:F16"/>
    <mergeCell ref="L16:N16"/>
    <mergeCell ref="C17:F17"/>
    <mergeCell ref="L17:N17"/>
    <mergeCell ref="B1:K1"/>
    <mergeCell ref="B2:K3"/>
    <mergeCell ref="B4:G4"/>
    <mergeCell ref="K4:N4"/>
    <mergeCell ref="B5:G6"/>
    <mergeCell ref="L5:N5"/>
  </mergeCells>
  <dataValidations count="1">
    <dataValidation type="textLength" allowBlank="1" showInputMessage="1" showErrorMessage="1" sqref="N65563:N65574 JH65563:JH65574 TD65563:TD65574 ACZ65563:ACZ65574 AMV65563:AMV65574 AWR65563:AWR65574 BGN65563:BGN65574 BQJ65563:BQJ65574 CAF65563:CAF65574 CKB65563:CKB65574 CTX65563:CTX65574 DDT65563:DDT65574 DNP65563:DNP65574 DXL65563:DXL65574 EHH65563:EHH65574 ERD65563:ERD65574 FAZ65563:FAZ65574 FKV65563:FKV65574 FUR65563:FUR65574 GEN65563:GEN65574 GOJ65563:GOJ65574 GYF65563:GYF65574 HIB65563:HIB65574 HRX65563:HRX65574 IBT65563:IBT65574 ILP65563:ILP65574 IVL65563:IVL65574 JFH65563:JFH65574 JPD65563:JPD65574 JYZ65563:JYZ65574 KIV65563:KIV65574 KSR65563:KSR65574 LCN65563:LCN65574 LMJ65563:LMJ65574 LWF65563:LWF65574 MGB65563:MGB65574 MPX65563:MPX65574 MZT65563:MZT65574 NJP65563:NJP65574 NTL65563:NTL65574 ODH65563:ODH65574 OND65563:OND65574 OWZ65563:OWZ65574 PGV65563:PGV65574 PQR65563:PQR65574 QAN65563:QAN65574 QKJ65563:QKJ65574 QUF65563:QUF65574 REB65563:REB65574 RNX65563:RNX65574 RXT65563:RXT65574 SHP65563:SHP65574 SRL65563:SRL65574 TBH65563:TBH65574 TLD65563:TLD65574 TUZ65563:TUZ65574 UEV65563:UEV65574 UOR65563:UOR65574 UYN65563:UYN65574 VIJ65563:VIJ65574 VSF65563:VSF65574 WCB65563:WCB65574 WLX65563:WLX65574 WVT65563:WVT65574 N131099:N131110 JH131099:JH131110 TD131099:TD131110 ACZ131099:ACZ131110 AMV131099:AMV131110 AWR131099:AWR131110 BGN131099:BGN131110 BQJ131099:BQJ131110 CAF131099:CAF131110 CKB131099:CKB131110 CTX131099:CTX131110 DDT131099:DDT131110 DNP131099:DNP131110 DXL131099:DXL131110 EHH131099:EHH131110 ERD131099:ERD131110 FAZ131099:FAZ131110 FKV131099:FKV131110 FUR131099:FUR131110 GEN131099:GEN131110 GOJ131099:GOJ131110 GYF131099:GYF131110 HIB131099:HIB131110 HRX131099:HRX131110 IBT131099:IBT131110 ILP131099:ILP131110 IVL131099:IVL131110 JFH131099:JFH131110 JPD131099:JPD131110 JYZ131099:JYZ131110 KIV131099:KIV131110 KSR131099:KSR131110 LCN131099:LCN131110 LMJ131099:LMJ131110 LWF131099:LWF131110 MGB131099:MGB131110 MPX131099:MPX131110 MZT131099:MZT131110 NJP131099:NJP131110 NTL131099:NTL131110 ODH131099:ODH131110 OND131099:OND131110 OWZ131099:OWZ131110 PGV131099:PGV131110 PQR131099:PQR131110 QAN131099:QAN131110 QKJ131099:QKJ131110 QUF131099:QUF131110 REB131099:REB131110 RNX131099:RNX131110 RXT131099:RXT131110 SHP131099:SHP131110 SRL131099:SRL131110 TBH131099:TBH131110 TLD131099:TLD131110 TUZ131099:TUZ131110 UEV131099:UEV131110 UOR131099:UOR131110 UYN131099:UYN131110 VIJ131099:VIJ131110 VSF131099:VSF131110 WCB131099:WCB131110 WLX131099:WLX131110 WVT131099:WVT131110 N196635:N196646 JH196635:JH196646 TD196635:TD196646 ACZ196635:ACZ196646 AMV196635:AMV196646 AWR196635:AWR196646 BGN196635:BGN196646 BQJ196635:BQJ196646 CAF196635:CAF196646 CKB196635:CKB196646 CTX196635:CTX196646 DDT196635:DDT196646 DNP196635:DNP196646 DXL196635:DXL196646 EHH196635:EHH196646 ERD196635:ERD196646 FAZ196635:FAZ196646 FKV196635:FKV196646 FUR196635:FUR196646 GEN196635:GEN196646 GOJ196635:GOJ196646 GYF196635:GYF196646 HIB196635:HIB196646 HRX196635:HRX196646 IBT196635:IBT196646 ILP196635:ILP196646 IVL196635:IVL196646 JFH196635:JFH196646 JPD196635:JPD196646 JYZ196635:JYZ196646 KIV196635:KIV196646 KSR196635:KSR196646 LCN196635:LCN196646 LMJ196635:LMJ196646 LWF196635:LWF196646 MGB196635:MGB196646 MPX196635:MPX196646 MZT196635:MZT196646 NJP196635:NJP196646 NTL196635:NTL196646 ODH196635:ODH196646 OND196635:OND196646 OWZ196635:OWZ196646 PGV196635:PGV196646 PQR196635:PQR196646 QAN196635:QAN196646 QKJ196635:QKJ196646 QUF196635:QUF196646 REB196635:REB196646 RNX196635:RNX196646 RXT196635:RXT196646 SHP196635:SHP196646 SRL196635:SRL196646 TBH196635:TBH196646 TLD196635:TLD196646 TUZ196635:TUZ196646 UEV196635:UEV196646 UOR196635:UOR196646 UYN196635:UYN196646 VIJ196635:VIJ196646 VSF196635:VSF196646 WCB196635:WCB196646 WLX196635:WLX196646 WVT196635:WVT196646 N262171:N262182 JH262171:JH262182 TD262171:TD262182 ACZ262171:ACZ262182 AMV262171:AMV262182 AWR262171:AWR262182 BGN262171:BGN262182 BQJ262171:BQJ262182 CAF262171:CAF262182 CKB262171:CKB262182 CTX262171:CTX262182 DDT262171:DDT262182 DNP262171:DNP262182 DXL262171:DXL262182 EHH262171:EHH262182 ERD262171:ERD262182 FAZ262171:FAZ262182 FKV262171:FKV262182 FUR262171:FUR262182 GEN262171:GEN262182 GOJ262171:GOJ262182 GYF262171:GYF262182 HIB262171:HIB262182 HRX262171:HRX262182 IBT262171:IBT262182 ILP262171:ILP262182 IVL262171:IVL262182 JFH262171:JFH262182 JPD262171:JPD262182 JYZ262171:JYZ262182 KIV262171:KIV262182 KSR262171:KSR262182 LCN262171:LCN262182 LMJ262171:LMJ262182 LWF262171:LWF262182 MGB262171:MGB262182 MPX262171:MPX262182 MZT262171:MZT262182 NJP262171:NJP262182 NTL262171:NTL262182 ODH262171:ODH262182 OND262171:OND262182 OWZ262171:OWZ262182 PGV262171:PGV262182 PQR262171:PQR262182 QAN262171:QAN262182 QKJ262171:QKJ262182 QUF262171:QUF262182 REB262171:REB262182 RNX262171:RNX262182 RXT262171:RXT262182 SHP262171:SHP262182 SRL262171:SRL262182 TBH262171:TBH262182 TLD262171:TLD262182 TUZ262171:TUZ262182 UEV262171:UEV262182 UOR262171:UOR262182 UYN262171:UYN262182 VIJ262171:VIJ262182 VSF262171:VSF262182 WCB262171:WCB262182 WLX262171:WLX262182 WVT262171:WVT262182 N327707:N327718 JH327707:JH327718 TD327707:TD327718 ACZ327707:ACZ327718 AMV327707:AMV327718 AWR327707:AWR327718 BGN327707:BGN327718 BQJ327707:BQJ327718 CAF327707:CAF327718 CKB327707:CKB327718 CTX327707:CTX327718 DDT327707:DDT327718 DNP327707:DNP327718 DXL327707:DXL327718 EHH327707:EHH327718 ERD327707:ERD327718 FAZ327707:FAZ327718 FKV327707:FKV327718 FUR327707:FUR327718 GEN327707:GEN327718 GOJ327707:GOJ327718 GYF327707:GYF327718 HIB327707:HIB327718 HRX327707:HRX327718 IBT327707:IBT327718 ILP327707:ILP327718 IVL327707:IVL327718 JFH327707:JFH327718 JPD327707:JPD327718 JYZ327707:JYZ327718 KIV327707:KIV327718 KSR327707:KSR327718 LCN327707:LCN327718 LMJ327707:LMJ327718 LWF327707:LWF327718 MGB327707:MGB327718 MPX327707:MPX327718 MZT327707:MZT327718 NJP327707:NJP327718 NTL327707:NTL327718 ODH327707:ODH327718 OND327707:OND327718 OWZ327707:OWZ327718 PGV327707:PGV327718 PQR327707:PQR327718 QAN327707:QAN327718 QKJ327707:QKJ327718 QUF327707:QUF327718 REB327707:REB327718 RNX327707:RNX327718 RXT327707:RXT327718 SHP327707:SHP327718 SRL327707:SRL327718 TBH327707:TBH327718 TLD327707:TLD327718 TUZ327707:TUZ327718 UEV327707:UEV327718 UOR327707:UOR327718 UYN327707:UYN327718 VIJ327707:VIJ327718 VSF327707:VSF327718 WCB327707:WCB327718 WLX327707:WLX327718 WVT327707:WVT327718 N393243:N393254 JH393243:JH393254 TD393243:TD393254 ACZ393243:ACZ393254 AMV393243:AMV393254 AWR393243:AWR393254 BGN393243:BGN393254 BQJ393243:BQJ393254 CAF393243:CAF393254 CKB393243:CKB393254 CTX393243:CTX393254 DDT393243:DDT393254 DNP393243:DNP393254 DXL393243:DXL393254 EHH393243:EHH393254 ERD393243:ERD393254 FAZ393243:FAZ393254 FKV393243:FKV393254 FUR393243:FUR393254 GEN393243:GEN393254 GOJ393243:GOJ393254 GYF393243:GYF393254 HIB393243:HIB393254 HRX393243:HRX393254 IBT393243:IBT393254 ILP393243:ILP393254 IVL393243:IVL393254 JFH393243:JFH393254 JPD393243:JPD393254 JYZ393243:JYZ393254 KIV393243:KIV393254 KSR393243:KSR393254 LCN393243:LCN393254 LMJ393243:LMJ393254 LWF393243:LWF393254 MGB393243:MGB393254 MPX393243:MPX393254 MZT393243:MZT393254 NJP393243:NJP393254 NTL393243:NTL393254 ODH393243:ODH393254 OND393243:OND393254 OWZ393243:OWZ393254 PGV393243:PGV393254 PQR393243:PQR393254 QAN393243:QAN393254 QKJ393243:QKJ393254 QUF393243:QUF393254 REB393243:REB393254 RNX393243:RNX393254 RXT393243:RXT393254 SHP393243:SHP393254 SRL393243:SRL393254 TBH393243:TBH393254 TLD393243:TLD393254 TUZ393243:TUZ393254 UEV393243:UEV393254 UOR393243:UOR393254 UYN393243:UYN393254 VIJ393243:VIJ393254 VSF393243:VSF393254 WCB393243:WCB393254 WLX393243:WLX393254 WVT393243:WVT393254 N458779:N458790 JH458779:JH458790 TD458779:TD458790 ACZ458779:ACZ458790 AMV458779:AMV458790 AWR458779:AWR458790 BGN458779:BGN458790 BQJ458779:BQJ458790 CAF458779:CAF458790 CKB458779:CKB458790 CTX458779:CTX458790 DDT458779:DDT458790 DNP458779:DNP458790 DXL458779:DXL458790 EHH458779:EHH458790 ERD458779:ERD458790 FAZ458779:FAZ458790 FKV458779:FKV458790 FUR458779:FUR458790 GEN458779:GEN458790 GOJ458779:GOJ458790 GYF458779:GYF458790 HIB458779:HIB458790 HRX458779:HRX458790 IBT458779:IBT458790 ILP458779:ILP458790 IVL458779:IVL458790 JFH458779:JFH458790 JPD458779:JPD458790 JYZ458779:JYZ458790 KIV458779:KIV458790 KSR458779:KSR458790 LCN458779:LCN458790 LMJ458779:LMJ458790 LWF458779:LWF458790 MGB458779:MGB458790 MPX458779:MPX458790 MZT458779:MZT458790 NJP458779:NJP458790 NTL458779:NTL458790 ODH458779:ODH458790 OND458779:OND458790 OWZ458779:OWZ458790 PGV458779:PGV458790 PQR458779:PQR458790 QAN458779:QAN458790 QKJ458779:QKJ458790 QUF458779:QUF458790 REB458779:REB458790 RNX458779:RNX458790 RXT458779:RXT458790 SHP458779:SHP458790 SRL458779:SRL458790 TBH458779:TBH458790 TLD458779:TLD458790 TUZ458779:TUZ458790 UEV458779:UEV458790 UOR458779:UOR458790 UYN458779:UYN458790 VIJ458779:VIJ458790 VSF458779:VSF458790 WCB458779:WCB458790 WLX458779:WLX458790 WVT458779:WVT458790 N524315:N524326 JH524315:JH524326 TD524315:TD524326 ACZ524315:ACZ524326 AMV524315:AMV524326 AWR524315:AWR524326 BGN524315:BGN524326 BQJ524315:BQJ524326 CAF524315:CAF524326 CKB524315:CKB524326 CTX524315:CTX524326 DDT524315:DDT524326 DNP524315:DNP524326 DXL524315:DXL524326 EHH524315:EHH524326 ERD524315:ERD524326 FAZ524315:FAZ524326 FKV524315:FKV524326 FUR524315:FUR524326 GEN524315:GEN524326 GOJ524315:GOJ524326 GYF524315:GYF524326 HIB524315:HIB524326 HRX524315:HRX524326 IBT524315:IBT524326 ILP524315:ILP524326 IVL524315:IVL524326 JFH524315:JFH524326 JPD524315:JPD524326 JYZ524315:JYZ524326 KIV524315:KIV524326 KSR524315:KSR524326 LCN524315:LCN524326 LMJ524315:LMJ524326 LWF524315:LWF524326 MGB524315:MGB524326 MPX524315:MPX524326 MZT524315:MZT524326 NJP524315:NJP524326 NTL524315:NTL524326 ODH524315:ODH524326 OND524315:OND524326 OWZ524315:OWZ524326 PGV524315:PGV524326 PQR524315:PQR524326 QAN524315:QAN524326 QKJ524315:QKJ524326 QUF524315:QUF524326 REB524315:REB524326 RNX524315:RNX524326 RXT524315:RXT524326 SHP524315:SHP524326 SRL524315:SRL524326 TBH524315:TBH524326 TLD524315:TLD524326 TUZ524315:TUZ524326 UEV524315:UEV524326 UOR524315:UOR524326 UYN524315:UYN524326 VIJ524315:VIJ524326 VSF524315:VSF524326 WCB524315:WCB524326 WLX524315:WLX524326 WVT524315:WVT524326 N589851:N589862 JH589851:JH589862 TD589851:TD589862 ACZ589851:ACZ589862 AMV589851:AMV589862 AWR589851:AWR589862 BGN589851:BGN589862 BQJ589851:BQJ589862 CAF589851:CAF589862 CKB589851:CKB589862 CTX589851:CTX589862 DDT589851:DDT589862 DNP589851:DNP589862 DXL589851:DXL589862 EHH589851:EHH589862 ERD589851:ERD589862 FAZ589851:FAZ589862 FKV589851:FKV589862 FUR589851:FUR589862 GEN589851:GEN589862 GOJ589851:GOJ589862 GYF589851:GYF589862 HIB589851:HIB589862 HRX589851:HRX589862 IBT589851:IBT589862 ILP589851:ILP589862 IVL589851:IVL589862 JFH589851:JFH589862 JPD589851:JPD589862 JYZ589851:JYZ589862 KIV589851:KIV589862 KSR589851:KSR589862 LCN589851:LCN589862 LMJ589851:LMJ589862 LWF589851:LWF589862 MGB589851:MGB589862 MPX589851:MPX589862 MZT589851:MZT589862 NJP589851:NJP589862 NTL589851:NTL589862 ODH589851:ODH589862 OND589851:OND589862 OWZ589851:OWZ589862 PGV589851:PGV589862 PQR589851:PQR589862 QAN589851:QAN589862 QKJ589851:QKJ589862 QUF589851:QUF589862 REB589851:REB589862 RNX589851:RNX589862 RXT589851:RXT589862 SHP589851:SHP589862 SRL589851:SRL589862 TBH589851:TBH589862 TLD589851:TLD589862 TUZ589851:TUZ589862 UEV589851:UEV589862 UOR589851:UOR589862 UYN589851:UYN589862 VIJ589851:VIJ589862 VSF589851:VSF589862 WCB589851:WCB589862 WLX589851:WLX589862 WVT589851:WVT589862 N655387:N655398 JH655387:JH655398 TD655387:TD655398 ACZ655387:ACZ655398 AMV655387:AMV655398 AWR655387:AWR655398 BGN655387:BGN655398 BQJ655387:BQJ655398 CAF655387:CAF655398 CKB655387:CKB655398 CTX655387:CTX655398 DDT655387:DDT655398 DNP655387:DNP655398 DXL655387:DXL655398 EHH655387:EHH655398 ERD655387:ERD655398 FAZ655387:FAZ655398 FKV655387:FKV655398 FUR655387:FUR655398 GEN655387:GEN655398 GOJ655387:GOJ655398 GYF655387:GYF655398 HIB655387:HIB655398 HRX655387:HRX655398 IBT655387:IBT655398 ILP655387:ILP655398 IVL655387:IVL655398 JFH655387:JFH655398 JPD655387:JPD655398 JYZ655387:JYZ655398 KIV655387:KIV655398 KSR655387:KSR655398 LCN655387:LCN655398 LMJ655387:LMJ655398 LWF655387:LWF655398 MGB655387:MGB655398 MPX655387:MPX655398 MZT655387:MZT655398 NJP655387:NJP655398 NTL655387:NTL655398 ODH655387:ODH655398 OND655387:OND655398 OWZ655387:OWZ655398 PGV655387:PGV655398 PQR655387:PQR655398 QAN655387:QAN655398 QKJ655387:QKJ655398 QUF655387:QUF655398 REB655387:REB655398 RNX655387:RNX655398 RXT655387:RXT655398 SHP655387:SHP655398 SRL655387:SRL655398 TBH655387:TBH655398 TLD655387:TLD655398 TUZ655387:TUZ655398 UEV655387:UEV655398 UOR655387:UOR655398 UYN655387:UYN655398 VIJ655387:VIJ655398 VSF655387:VSF655398 WCB655387:WCB655398 WLX655387:WLX655398 WVT655387:WVT655398 N720923:N720934 JH720923:JH720934 TD720923:TD720934 ACZ720923:ACZ720934 AMV720923:AMV720934 AWR720923:AWR720934 BGN720923:BGN720934 BQJ720923:BQJ720934 CAF720923:CAF720934 CKB720923:CKB720934 CTX720923:CTX720934 DDT720923:DDT720934 DNP720923:DNP720934 DXL720923:DXL720934 EHH720923:EHH720934 ERD720923:ERD720934 FAZ720923:FAZ720934 FKV720923:FKV720934 FUR720923:FUR720934 GEN720923:GEN720934 GOJ720923:GOJ720934 GYF720923:GYF720934 HIB720923:HIB720934 HRX720923:HRX720934 IBT720923:IBT720934 ILP720923:ILP720934 IVL720923:IVL720934 JFH720923:JFH720934 JPD720923:JPD720934 JYZ720923:JYZ720934 KIV720923:KIV720934 KSR720923:KSR720934 LCN720923:LCN720934 LMJ720923:LMJ720934 LWF720923:LWF720934 MGB720923:MGB720934 MPX720923:MPX720934 MZT720923:MZT720934 NJP720923:NJP720934 NTL720923:NTL720934 ODH720923:ODH720934 OND720923:OND720934 OWZ720923:OWZ720934 PGV720923:PGV720934 PQR720923:PQR720934 QAN720923:QAN720934 QKJ720923:QKJ720934 QUF720923:QUF720934 REB720923:REB720934 RNX720923:RNX720934 RXT720923:RXT720934 SHP720923:SHP720934 SRL720923:SRL720934 TBH720923:TBH720934 TLD720923:TLD720934 TUZ720923:TUZ720934 UEV720923:UEV720934 UOR720923:UOR720934 UYN720923:UYN720934 VIJ720923:VIJ720934 VSF720923:VSF720934 WCB720923:WCB720934 WLX720923:WLX720934 WVT720923:WVT720934 N786459:N786470 JH786459:JH786470 TD786459:TD786470 ACZ786459:ACZ786470 AMV786459:AMV786470 AWR786459:AWR786470 BGN786459:BGN786470 BQJ786459:BQJ786470 CAF786459:CAF786470 CKB786459:CKB786470 CTX786459:CTX786470 DDT786459:DDT786470 DNP786459:DNP786470 DXL786459:DXL786470 EHH786459:EHH786470 ERD786459:ERD786470 FAZ786459:FAZ786470 FKV786459:FKV786470 FUR786459:FUR786470 GEN786459:GEN786470 GOJ786459:GOJ786470 GYF786459:GYF786470 HIB786459:HIB786470 HRX786459:HRX786470 IBT786459:IBT786470 ILP786459:ILP786470 IVL786459:IVL786470 JFH786459:JFH786470 JPD786459:JPD786470 JYZ786459:JYZ786470 KIV786459:KIV786470 KSR786459:KSR786470 LCN786459:LCN786470 LMJ786459:LMJ786470 LWF786459:LWF786470 MGB786459:MGB786470 MPX786459:MPX786470 MZT786459:MZT786470 NJP786459:NJP786470 NTL786459:NTL786470 ODH786459:ODH786470 OND786459:OND786470 OWZ786459:OWZ786470 PGV786459:PGV786470 PQR786459:PQR786470 QAN786459:QAN786470 QKJ786459:QKJ786470 QUF786459:QUF786470 REB786459:REB786470 RNX786459:RNX786470 RXT786459:RXT786470 SHP786459:SHP786470 SRL786459:SRL786470 TBH786459:TBH786470 TLD786459:TLD786470 TUZ786459:TUZ786470 UEV786459:UEV786470 UOR786459:UOR786470 UYN786459:UYN786470 VIJ786459:VIJ786470 VSF786459:VSF786470 WCB786459:WCB786470 WLX786459:WLX786470 WVT786459:WVT786470 N851995:N852006 JH851995:JH852006 TD851995:TD852006 ACZ851995:ACZ852006 AMV851995:AMV852006 AWR851995:AWR852006 BGN851995:BGN852006 BQJ851995:BQJ852006 CAF851995:CAF852006 CKB851995:CKB852006 CTX851995:CTX852006 DDT851995:DDT852006 DNP851995:DNP852006 DXL851995:DXL852006 EHH851995:EHH852006 ERD851995:ERD852006 FAZ851995:FAZ852006 FKV851995:FKV852006 FUR851995:FUR852006 GEN851995:GEN852006 GOJ851995:GOJ852006 GYF851995:GYF852006 HIB851995:HIB852006 HRX851995:HRX852006 IBT851995:IBT852006 ILP851995:ILP852006 IVL851995:IVL852006 JFH851995:JFH852006 JPD851995:JPD852006 JYZ851995:JYZ852006 KIV851995:KIV852006 KSR851995:KSR852006 LCN851995:LCN852006 LMJ851995:LMJ852006 LWF851995:LWF852006 MGB851995:MGB852006 MPX851995:MPX852006 MZT851995:MZT852006 NJP851995:NJP852006 NTL851995:NTL852006 ODH851995:ODH852006 OND851995:OND852006 OWZ851995:OWZ852006 PGV851995:PGV852006 PQR851995:PQR852006 QAN851995:QAN852006 QKJ851995:QKJ852006 QUF851995:QUF852006 REB851995:REB852006 RNX851995:RNX852006 RXT851995:RXT852006 SHP851995:SHP852006 SRL851995:SRL852006 TBH851995:TBH852006 TLD851995:TLD852006 TUZ851995:TUZ852006 UEV851995:UEV852006 UOR851995:UOR852006 UYN851995:UYN852006 VIJ851995:VIJ852006 VSF851995:VSF852006 WCB851995:WCB852006 WLX851995:WLX852006 WVT851995:WVT852006 N917531:N917542 JH917531:JH917542 TD917531:TD917542 ACZ917531:ACZ917542 AMV917531:AMV917542 AWR917531:AWR917542 BGN917531:BGN917542 BQJ917531:BQJ917542 CAF917531:CAF917542 CKB917531:CKB917542 CTX917531:CTX917542 DDT917531:DDT917542 DNP917531:DNP917542 DXL917531:DXL917542 EHH917531:EHH917542 ERD917531:ERD917542 FAZ917531:FAZ917542 FKV917531:FKV917542 FUR917531:FUR917542 GEN917531:GEN917542 GOJ917531:GOJ917542 GYF917531:GYF917542 HIB917531:HIB917542 HRX917531:HRX917542 IBT917531:IBT917542 ILP917531:ILP917542 IVL917531:IVL917542 JFH917531:JFH917542 JPD917531:JPD917542 JYZ917531:JYZ917542 KIV917531:KIV917542 KSR917531:KSR917542 LCN917531:LCN917542 LMJ917531:LMJ917542 LWF917531:LWF917542 MGB917531:MGB917542 MPX917531:MPX917542 MZT917531:MZT917542 NJP917531:NJP917542 NTL917531:NTL917542 ODH917531:ODH917542 OND917531:OND917542 OWZ917531:OWZ917542 PGV917531:PGV917542 PQR917531:PQR917542 QAN917531:QAN917542 QKJ917531:QKJ917542 QUF917531:QUF917542 REB917531:REB917542 RNX917531:RNX917542 RXT917531:RXT917542 SHP917531:SHP917542 SRL917531:SRL917542 TBH917531:TBH917542 TLD917531:TLD917542 TUZ917531:TUZ917542 UEV917531:UEV917542 UOR917531:UOR917542 UYN917531:UYN917542 VIJ917531:VIJ917542 VSF917531:VSF917542 WCB917531:WCB917542 WLX917531:WLX917542 WVT917531:WVT917542 N983067:N983078 JH983067:JH983078 TD983067:TD983078 ACZ983067:ACZ983078 AMV983067:AMV983078 AWR983067:AWR983078 BGN983067:BGN983078 BQJ983067:BQJ983078 CAF983067:CAF983078 CKB983067:CKB983078 CTX983067:CTX983078 DDT983067:DDT983078 DNP983067:DNP983078 DXL983067:DXL983078 EHH983067:EHH983078 ERD983067:ERD983078 FAZ983067:FAZ983078 FKV983067:FKV983078 FUR983067:FUR983078 GEN983067:GEN983078 GOJ983067:GOJ983078 GYF983067:GYF983078 HIB983067:HIB983078 HRX983067:HRX983078 IBT983067:IBT983078 ILP983067:ILP983078 IVL983067:IVL983078 JFH983067:JFH983078 JPD983067:JPD983078 JYZ983067:JYZ983078 KIV983067:KIV983078 KSR983067:KSR983078 LCN983067:LCN983078 LMJ983067:LMJ983078 LWF983067:LWF983078 MGB983067:MGB983078 MPX983067:MPX983078 MZT983067:MZT983078 NJP983067:NJP983078 NTL983067:NTL983078 ODH983067:ODH983078 OND983067:OND983078 OWZ983067:OWZ983078 PGV983067:PGV983078 PQR983067:PQR983078 QAN983067:QAN983078 QKJ983067:QKJ983078 QUF983067:QUF983078 REB983067:REB983078 RNX983067:RNX983078 RXT983067:RXT983078 SHP983067:SHP983078 SRL983067:SRL983078 TBH983067:TBH983078 TLD983067:TLD983078 TUZ983067:TUZ983078 UEV983067:UEV983078 UOR983067:UOR983078 UYN983067:UYN983078 VIJ983067:VIJ983078 VSF983067:VSF983078 WCB983067:WCB983078 WLX983067:WLX983078 WVT983067:WVT983078 JJ65560:JJ65574 TF65560:TF65574 ADB65560:ADB65574 AMX65560:AMX65574 AWT65560:AWT65574 BGP65560:BGP65574 BQL65560:BQL65574 CAH65560:CAH65574 CKD65560:CKD65574 CTZ65560:CTZ65574 DDV65560:DDV65574 DNR65560:DNR65574 DXN65560:DXN65574 EHJ65560:EHJ65574 ERF65560:ERF65574 FBB65560:FBB65574 FKX65560:FKX65574 FUT65560:FUT65574 GEP65560:GEP65574 GOL65560:GOL65574 GYH65560:GYH65574 HID65560:HID65574 HRZ65560:HRZ65574 IBV65560:IBV65574 ILR65560:ILR65574 IVN65560:IVN65574 JFJ65560:JFJ65574 JPF65560:JPF65574 JZB65560:JZB65574 KIX65560:KIX65574 KST65560:KST65574 LCP65560:LCP65574 LML65560:LML65574 LWH65560:LWH65574 MGD65560:MGD65574 MPZ65560:MPZ65574 MZV65560:MZV65574 NJR65560:NJR65574 NTN65560:NTN65574 ODJ65560:ODJ65574 ONF65560:ONF65574 OXB65560:OXB65574 PGX65560:PGX65574 PQT65560:PQT65574 QAP65560:QAP65574 QKL65560:QKL65574 QUH65560:QUH65574 RED65560:RED65574 RNZ65560:RNZ65574 RXV65560:RXV65574 SHR65560:SHR65574 SRN65560:SRN65574 TBJ65560:TBJ65574 TLF65560:TLF65574 TVB65560:TVB65574 UEX65560:UEX65574 UOT65560:UOT65574 UYP65560:UYP65574 VIL65560:VIL65574 VSH65560:VSH65574 WCD65560:WCD65574 WLZ65560:WLZ65574 WVV65560:WVV65574 JJ131096:JJ131110 TF131096:TF131110 ADB131096:ADB131110 AMX131096:AMX131110 AWT131096:AWT131110 BGP131096:BGP131110 BQL131096:BQL131110 CAH131096:CAH131110 CKD131096:CKD131110 CTZ131096:CTZ131110 DDV131096:DDV131110 DNR131096:DNR131110 DXN131096:DXN131110 EHJ131096:EHJ131110 ERF131096:ERF131110 FBB131096:FBB131110 FKX131096:FKX131110 FUT131096:FUT131110 GEP131096:GEP131110 GOL131096:GOL131110 GYH131096:GYH131110 HID131096:HID131110 HRZ131096:HRZ131110 IBV131096:IBV131110 ILR131096:ILR131110 IVN131096:IVN131110 JFJ131096:JFJ131110 JPF131096:JPF131110 JZB131096:JZB131110 KIX131096:KIX131110 KST131096:KST131110 LCP131096:LCP131110 LML131096:LML131110 LWH131096:LWH131110 MGD131096:MGD131110 MPZ131096:MPZ131110 MZV131096:MZV131110 NJR131096:NJR131110 NTN131096:NTN131110 ODJ131096:ODJ131110 ONF131096:ONF131110 OXB131096:OXB131110 PGX131096:PGX131110 PQT131096:PQT131110 QAP131096:QAP131110 QKL131096:QKL131110 QUH131096:QUH131110 RED131096:RED131110 RNZ131096:RNZ131110 RXV131096:RXV131110 SHR131096:SHR131110 SRN131096:SRN131110 TBJ131096:TBJ131110 TLF131096:TLF131110 TVB131096:TVB131110 UEX131096:UEX131110 UOT131096:UOT131110 UYP131096:UYP131110 VIL131096:VIL131110 VSH131096:VSH131110 WCD131096:WCD131110 WLZ131096:WLZ131110 WVV131096:WVV131110 JJ196632:JJ196646 TF196632:TF196646 ADB196632:ADB196646 AMX196632:AMX196646 AWT196632:AWT196646 BGP196632:BGP196646 BQL196632:BQL196646 CAH196632:CAH196646 CKD196632:CKD196646 CTZ196632:CTZ196646 DDV196632:DDV196646 DNR196632:DNR196646 DXN196632:DXN196646 EHJ196632:EHJ196646 ERF196632:ERF196646 FBB196632:FBB196646 FKX196632:FKX196646 FUT196632:FUT196646 GEP196632:GEP196646 GOL196632:GOL196646 GYH196632:GYH196646 HID196632:HID196646 HRZ196632:HRZ196646 IBV196632:IBV196646 ILR196632:ILR196646 IVN196632:IVN196646 JFJ196632:JFJ196646 JPF196632:JPF196646 JZB196632:JZB196646 KIX196632:KIX196646 KST196632:KST196646 LCP196632:LCP196646 LML196632:LML196646 LWH196632:LWH196646 MGD196632:MGD196646 MPZ196632:MPZ196646 MZV196632:MZV196646 NJR196632:NJR196646 NTN196632:NTN196646 ODJ196632:ODJ196646 ONF196632:ONF196646 OXB196632:OXB196646 PGX196632:PGX196646 PQT196632:PQT196646 QAP196632:QAP196646 QKL196632:QKL196646 QUH196632:QUH196646 RED196632:RED196646 RNZ196632:RNZ196646 RXV196632:RXV196646 SHR196632:SHR196646 SRN196632:SRN196646 TBJ196632:TBJ196646 TLF196632:TLF196646 TVB196632:TVB196646 UEX196632:UEX196646 UOT196632:UOT196646 UYP196632:UYP196646 VIL196632:VIL196646 VSH196632:VSH196646 WCD196632:WCD196646 WLZ196632:WLZ196646 WVV196632:WVV196646 JJ262168:JJ262182 TF262168:TF262182 ADB262168:ADB262182 AMX262168:AMX262182 AWT262168:AWT262182 BGP262168:BGP262182 BQL262168:BQL262182 CAH262168:CAH262182 CKD262168:CKD262182 CTZ262168:CTZ262182 DDV262168:DDV262182 DNR262168:DNR262182 DXN262168:DXN262182 EHJ262168:EHJ262182 ERF262168:ERF262182 FBB262168:FBB262182 FKX262168:FKX262182 FUT262168:FUT262182 GEP262168:GEP262182 GOL262168:GOL262182 GYH262168:GYH262182 HID262168:HID262182 HRZ262168:HRZ262182 IBV262168:IBV262182 ILR262168:ILR262182 IVN262168:IVN262182 JFJ262168:JFJ262182 JPF262168:JPF262182 JZB262168:JZB262182 KIX262168:KIX262182 KST262168:KST262182 LCP262168:LCP262182 LML262168:LML262182 LWH262168:LWH262182 MGD262168:MGD262182 MPZ262168:MPZ262182 MZV262168:MZV262182 NJR262168:NJR262182 NTN262168:NTN262182 ODJ262168:ODJ262182 ONF262168:ONF262182 OXB262168:OXB262182 PGX262168:PGX262182 PQT262168:PQT262182 QAP262168:QAP262182 QKL262168:QKL262182 QUH262168:QUH262182 RED262168:RED262182 RNZ262168:RNZ262182 RXV262168:RXV262182 SHR262168:SHR262182 SRN262168:SRN262182 TBJ262168:TBJ262182 TLF262168:TLF262182 TVB262168:TVB262182 UEX262168:UEX262182 UOT262168:UOT262182 UYP262168:UYP262182 VIL262168:VIL262182 VSH262168:VSH262182 WCD262168:WCD262182 WLZ262168:WLZ262182 WVV262168:WVV262182 JJ327704:JJ327718 TF327704:TF327718 ADB327704:ADB327718 AMX327704:AMX327718 AWT327704:AWT327718 BGP327704:BGP327718 BQL327704:BQL327718 CAH327704:CAH327718 CKD327704:CKD327718 CTZ327704:CTZ327718 DDV327704:DDV327718 DNR327704:DNR327718 DXN327704:DXN327718 EHJ327704:EHJ327718 ERF327704:ERF327718 FBB327704:FBB327718 FKX327704:FKX327718 FUT327704:FUT327718 GEP327704:GEP327718 GOL327704:GOL327718 GYH327704:GYH327718 HID327704:HID327718 HRZ327704:HRZ327718 IBV327704:IBV327718 ILR327704:ILR327718 IVN327704:IVN327718 JFJ327704:JFJ327718 JPF327704:JPF327718 JZB327704:JZB327718 KIX327704:KIX327718 KST327704:KST327718 LCP327704:LCP327718 LML327704:LML327718 LWH327704:LWH327718 MGD327704:MGD327718 MPZ327704:MPZ327718 MZV327704:MZV327718 NJR327704:NJR327718 NTN327704:NTN327718 ODJ327704:ODJ327718 ONF327704:ONF327718 OXB327704:OXB327718 PGX327704:PGX327718 PQT327704:PQT327718 QAP327704:QAP327718 QKL327704:QKL327718 QUH327704:QUH327718 RED327704:RED327718 RNZ327704:RNZ327718 RXV327704:RXV327718 SHR327704:SHR327718 SRN327704:SRN327718 TBJ327704:TBJ327718 TLF327704:TLF327718 TVB327704:TVB327718 UEX327704:UEX327718 UOT327704:UOT327718 UYP327704:UYP327718 VIL327704:VIL327718 VSH327704:VSH327718 WCD327704:WCD327718 WLZ327704:WLZ327718 WVV327704:WVV327718 JJ393240:JJ393254 TF393240:TF393254 ADB393240:ADB393254 AMX393240:AMX393254 AWT393240:AWT393254 BGP393240:BGP393254 BQL393240:BQL393254 CAH393240:CAH393254 CKD393240:CKD393254 CTZ393240:CTZ393254 DDV393240:DDV393254 DNR393240:DNR393254 DXN393240:DXN393254 EHJ393240:EHJ393254 ERF393240:ERF393254 FBB393240:FBB393254 FKX393240:FKX393254 FUT393240:FUT393254 GEP393240:GEP393254 GOL393240:GOL393254 GYH393240:GYH393254 HID393240:HID393254 HRZ393240:HRZ393254 IBV393240:IBV393254 ILR393240:ILR393254 IVN393240:IVN393254 JFJ393240:JFJ393254 JPF393240:JPF393254 JZB393240:JZB393254 KIX393240:KIX393254 KST393240:KST393254 LCP393240:LCP393254 LML393240:LML393254 LWH393240:LWH393254 MGD393240:MGD393254 MPZ393240:MPZ393254 MZV393240:MZV393254 NJR393240:NJR393254 NTN393240:NTN393254 ODJ393240:ODJ393254 ONF393240:ONF393254 OXB393240:OXB393254 PGX393240:PGX393254 PQT393240:PQT393254 QAP393240:QAP393254 QKL393240:QKL393254 QUH393240:QUH393254 RED393240:RED393254 RNZ393240:RNZ393254 RXV393240:RXV393254 SHR393240:SHR393254 SRN393240:SRN393254 TBJ393240:TBJ393254 TLF393240:TLF393254 TVB393240:TVB393254 UEX393240:UEX393254 UOT393240:UOT393254 UYP393240:UYP393254 VIL393240:VIL393254 VSH393240:VSH393254 WCD393240:WCD393254 WLZ393240:WLZ393254 WVV393240:WVV393254 JJ458776:JJ458790 TF458776:TF458790 ADB458776:ADB458790 AMX458776:AMX458790 AWT458776:AWT458790 BGP458776:BGP458790 BQL458776:BQL458790 CAH458776:CAH458790 CKD458776:CKD458790 CTZ458776:CTZ458790 DDV458776:DDV458790 DNR458776:DNR458790 DXN458776:DXN458790 EHJ458776:EHJ458790 ERF458776:ERF458790 FBB458776:FBB458790 FKX458776:FKX458790 FUT458776:FUT458790 GEP458776:GEP458790 GOL458776:GOL458790 GYH458776:GYH458790 HID458776:HID458790 HRZ458776:HRZ458790 IBV458776:IBV458790 ILR458776:ILR458790 IVN458776:IVN458790 JFJ458776:JFJ458790 JPF458776:JPF458790 JZB458776:JZB458790 KIX458776:KIX458790 KST458776:KST458790 LCP458776:LCP458790 LML458776:LML458790 LWH458776:LWH458790 MGD458776:MGD458790 MPZ458776:MPZ458790 MZV458776:MZV458790 NJR458776:NJR458790 NTN458776:NTN458790 ODJ458776:ODJ458790 ONF458776:ONF458790 OXB458776:OXB458790 PGX458776:PGX458790 PQT458776:PQT458790 QAP458776:QAP458790 QKL458776:QKL458790 QUH458776:QUH458790 RED458776:RED458790 RNZ458776:RNZ458790 RXV458776:RXV458790 SHR458776:SHR458790 SRN458776:SRN458790 TBJ458776:TBJ458790 TLF458776:TLF458790 TVB458776:TVB458790 UEX458776:UEX458790 UOT458776:UOT458790 UYP458776:UYP458790 VIL458776:VIL458790 VSH458776:VSH458790 WCD458776:WCD458790 WLZ458776:WLZ458790 WVV458776:WVV458790 JJ524312:JJ524326 TF524312:TF524326 ADB524312:ADB524326 AMX524312:AMX524326 AWT524312:AWT524326 BGP524312:BGP524326 BQL524312:BQL524326 CAH524312:CAH524326 CKD524312:CKD524326 CTZ524312:CTZ524326 DDV524312:DDV524326 DNR524312:DNR524326 DXN524312:DXN524326 EHJ524312:EHJ524326 ERF524312:ERF524326 FBB524312:FBB524326 FKX524312:FKX524326 FUT524312:FUT524326 GEP524312:GEP524326 GOL524312:GOL524326 GYH524312:GYH524326 HID524312:HID524326 HRZ524312:HRZ524326 IBV524312:IBV524326 ILR524312:ILR524326 IVN524312:IVN524326 JFJ524312:JFJ524326 JPF524312:JPF524326 JZB524312:JZB524326 KIX524312:KIX524326 KST524312:KST524326 LCP524312:LCP524326 LML524312:LML524326 LWH524312:LWH524326 MGD524312:MGD524326 MPZ524312:MPZ524326 MZV524312:MZV524326 NJR524312:NJR524326 NTN524312:NTN524326 ODJ524312:ODJ524326 ONF524312:ONF524326 OXB524312:OXB524326 PGX524312:PGX524326 PQT524312:PQT524326 QAP524312:QAP524326 QKL524312:QKL524326 QUH524312:QUH524326 RED524312:RED524326 RNZ524312:RNZ524326 RXV524312:RXV524326 SHR524312:SHR524326 SRN524312:SRN524326 TBJ524312:TBJ524326 TLF524312:TLF524326 TVB524312:TVB524326 UEX524312:UEX524326 UOT524312:UOT524326 UYP524312:UYP524326 VIL524312:VIL524326 VSH524312:VSH524326 WCD524312:WCD524326 WLZ524312:WLZ524326 WVV524312:WVV524326 JJ589848:JJ589862 TF589848:TF589862 ADB589848:ADB589862 AMX589848:AMX589862 AWT589848:AWT589862 BGP589848:BGP589862 BQL589848:BQL589862 CAH589848:CAH589862 CKD589848:CKD589862 CTZ589848:CTZ589862 DDV589848:DDV589862 DNR589848:DNR589862 DXN589848:DXN589862 EHJ589848:EHJ589862 ERF589848:ERF589862 FBB589848:FBB589862 FKX589848:FKX589862 FUT589848:FUT589862 GEP589848:GEP589862 GOL589848:GOL589862 GYH589848:GYH589862 HID589848:HID589862 HRZ589848:HRZ589862 IBV589848:IBV589862 ILR589848:ILR589862 IVN589848:IVN589862 JFJ589848:JFJ589862 JPF589848:JPF589862 JZB589848:JZB589862 KIX589848:KIX589862 KST589848:KST589862 LCP589848:LCP589862 LML589848:LML589862 LWH589848:LWH589862 MGD589848:MGD589862 MPZ589848:MPZ589862 MZV589848:MZV589862 NJR589848:NJR589862 NTN589848:NTN589862 ODJ589848:ODJ589862 ONF589848:ONF589862 OXB589848:OXB589862 PGX589848:PGX589862 PQT589848:PQT589862 QAP589848:QAP589862 QKL589848:QKL589862 QUH589848:QUH589862 RED589848:RED589862 RNZ589848:RNZ589862 RXV589848:RXV589862 SHR589848:SHR589862 SRN589848:SRN589862 TBJ589848:TBJ589862 TLF589848:TLF589862 TVB589848:TVB589862 UEX589848:UEX589862 UOT589848:UOT589862 UYP589848:UYP589862 VIL589848:VIL589862 VSH589848:VSH589862 WCD589848:WCD589862 WLZ589848:WLZ589862 WVV589848:WVV589862 JJ655384:JJ655398 TF655384:TF655398 ADB655384:ADB655398 AMX655384:AMX655398 AWT655384:AWT655398 BGP655384:BGP655398 BQL655384:BQL655398 CAH655384:CAH655398 CKD655384:CKD655398 CTZ655384:CTZ655398 DDV655384:DDV655398 DNR655384:DNR655398 DXN655384:DXN655398 EHJ655384:EHJ655398 ERF655384:ERF655398 FBB655384:FBB655398 FKX655384:FKX655398 FUT655384:FUT655398 GEP655384:GEP655398 GOL655384:GOL655398 GYH655384:GYH655398 HID655384:HID655398 HRZ655384:HRZ655398 IBV655384:IBV655398 ILR655384:ILR655398 IVN655384:IVN655398 JFJ655384:JFJ655398 JPF655384:JPF655398 JZB655384:JZB655398 KIX655384:KIX655398 KST655384:KST655398 LCP655384:LCP655398 LML655384:LML655398 LWH655384:LWH655398 MGD655384:MGD655398 MPZ655384:MPZ655398 MZV655384:MZV655398 NJR655384:NJR655398 NTN655384:NTN655398 ODJ655384:ODJ655398 ONF655384:ONF655398 OXB655384:OXB655398 PGX655384:PGX655398 PQT655384:PQT655398 QAP655384:QAP655398 QKL655384:QKL655398 QUH655384:QUH655398 RED655384:RED655398 RNZ655384:RNZ655398 RXV655384:RXV655398 SHR655384:SHR655398 SRN655384:SRN655398 TBJ655384:TBJ655398 TLF655384:TLF655398 TVB655384:TVB655398 UEX655384:UEX655398 UOT655384:UOT655398 UYP655384:UYP655398 VIL655384:VIL655398 VSH655384:VSH655398 WCD655384:WCD655398 WLZ655384:WLZ655398 WVV655384:WVV655398 JJ720920:JJ720934 TF720920:TF720934 ADB720920:ADB720934 AMX720920:AMX720934 AWT720920:AWT720934 BGP720920:BGP720934 BQL720920:BQL720934 CAH720920:CAH720934 CKD720920:CKD720934 CTZ720920:CTZ720934 DDV720920:DDV720934 DNR720920:DNR720934 DXN720920:DXN720934 EHJ720920:EHJ720934 ERF720920:ERF720934 FBB720920:FBB720934 FKX720920:FKX720934 FUT720920:FUT720934 GEP720920:GEP720934 GOL720920:GOL720934 GYH720920:GYH720934 HID720920:HID720934 HRZ720920:HRZ720934 IBV720920:IBV720934 ILR720920:ILR720934 IVN720920:IVN720934 JFJ720920:JFJ720934 JPF720920:JPF720934 JZB720920:JZB720934 KIX720920:KIX720934 KST720920:KST720934 LCP720920:LCP720934 LML720920:LML720934 LWH720920:LWH720934 MGD720920:MGD720934 MPZ720920:MPZ720934 MZV720920:MZV720934 NJR720920:NJR720934 NTN720920:NTN720934 ODJ720920:ODJ720934 ONF720920:ONF720934 OXB720920:OXB720934 PGX720920:PGX720934 PQT720920:PQT720934 QAP720920:QAP720934 QKL720920:QKL720934 QUH720920:QUH720934 RED720920:RED720934 RNZ720920:RNZ720934 RXV720920:RXV720934 SHR720920:SHR720934 SRN720920:SRN720934 TBJ720920:TBJ720934 TLF720920:TLF720934 TVB720920:TVB720934 UEX720920:UEX720934 UOT720920:UOT720934 UYP720920:UYP720934 VIL720920:VIL720934 VSH720920:VSH720934 WCD720920:WCD720934 WLZ720920:WLZ720934 WVV720920:WVV720934 JJ786456:JJ786470 TF786456:TF786470 ADB786456:ADB786470 AMX786456:AMX786470 AWT786456:AWT786470 BGP786456:BGP786470 BQL786456:BQL786470 CAH786456:CAH786470 CKD786456:CKD786470 CTZ786456:CTZ786470 DDV786456:DDV786470 DNR786456:DNR786470 DXN786456:DXN786470 EHJ786456:EHJ786470 ERF786456:ERF786470 FBB786456:FBB786470 FKX786456:FKX786470 FUT786456:FUT786470 GEP786456:GEP786470 GOL786456:GOL786470 GYH786456:GYH786470 HID786456:HID786470 HRZ786456:HRZ786470 IBV786456:IBV786470 ILR786456:ILR786470 IVN786456:IVN786470 JFJ786456:JFJ786470 JPF786456:JPF786470 JZB786456:JZB786470 KIX786456:KIX786470 KST786456:KST786470 LCP786456:LCP786470 LML786456:LML786470 LWH786456:LWH786470 MGD786456:MGD786470 MPZ786456:MPZ786470 MZV786456:MZV786470 NJR786456:NJR786470 NTN786456:NTN786470 ODJ786456:ODJ786470 ONF786456:ONF786470 OXB786456:OXB786470 PGX786456:PGX786470 PQT786456:PQT786470 QAP786456:QAP786470 QKL786456:QKL786470 QUH786456:QUH786470 RED786456:RED786470 RNZ786456:RNZ786470 RXV786456:RXV786470 SHR786456:SHR786470 SRN786456:SRN786470 TBJ786456:TBJ786470 TLF786456:TLF786470 TVB786456:TVB786470 UEX786456:UEX786470 UOT786456:UOT786470 UYP786456:UYP786470 VIL786456:VIL786470 VSH786456:VSH786470 WCD786456:WCD786470 WLZ786456:WLZ786470 WVV786456:WVV786470 JJ851992:JJ852006 TF851992:TF852006 ADB851992:ADB852006 AMX851992:AMX852006 AWT851992:AWT852006 BGP851992:BGP852006 BQL851992:BQL852006 CAH851992:CAH852006 CKD851992:CKD852006 CTZ851992:CTZ852006 DDV851992:DDV852006 DNR851992:DNR852006 DXN851992:DXN852006 EHJ851992:EHJ852006 ERF851992:ERF852006 FBB851992:FBB852006 FKX851992:FKX852006 FUT851992:FUT852006 GEP851992:GEP852006 GOL851992:GOL852006 GYH851992:GYH852006 HID851992:HID852006 HRZ851992:HRZ852006 IBV851992:IBV852006 ILR851992:ILR852006 IVN851992:IVN852006 JFJ851992:JFJ852006 JPF851992:JPF852006 JZB851992:JZB852006 KIX851992:KIX852006 KST851992:KST852006 LCP851992:LCP852006 LML851992:LML852006 LWH851992:LWH852006 MGD851992:MGD852006 MPZ851992:MPZ852006 MZV851992:MZV852006 NJR851992:NJR852006 NTN851992:NTN852006 ODJ851992:ODJ852006 ONF851992:ONF852006 OXB851992:OXB852006 PGX851992:PGX852006 PQT851992:PQT852006 QAP851992:QAP852006 QKL851992:QKL852006 QUH851992:QUH852006 RED851992:RED852006 RNZ851992:RNZ852006 RXV851992:RXV852006 SHR851992:SHR852006 SRN851992:SRN852006 TBJ851992:TBJ852006 TLF851992:TLF852006 TVB851992:TVB852006 UEX851992:UEX852006 UOT851992:UOT852006 UYP851992:UYP852006 VIL851992:VIL852006 VSH851992:VSH852006 WCD851992:WCD852006 WLZ851992:WLZ852006 WVV851992:WVV852006 JJ917528:JJ917542 TF917528:TF917542 ADB917528:ADB917542 AMX917528:AMX917542 AWT917528:AWT917542 BGP917528:BGP917542 BQL917528:BQL917542 CAH917528:CAH917542 CKD917528:CKD917542 CTZ917528:CTZ917542 DDV917528:DDV917542 DNR917528:DNR917542 DXN917528:DXN917542 EHJ917528:EHJ917542 ERF917528:ERF917542 FBB917528:FBB917542 FKX917528:FKX917542 FUT917528:FUT917542 GEP917528:GEP917542 GOL917528:GOL917542 GYH917528:GYH917542 HID917528:HID917542 HRZ917528:HRZ917542 IBV917528:IBV917542 ILR917528:ILR917542 IVN917528:IVN917542 JFJ917528:JFJ917542 JPF917528:JPF917542 JZB917528:JZB917542 KIX917528:KIX917542 KST917528:KST917542 LCP917528:LCP917542 LML917528:LML917542 LWH917528:LWH917542 MGD917528:MGD917542 MPZ917528:MPZ917542 MZV917528:MZV917542 NJR917528:NJR917542 NTN917528:NTN917542 ODJ917528:ODJ917542 ONF917528:ONF917542 OXB917528:OXB917542 PGX917528:PGX917542 PQT917528:PQT917542 QAP917528:QAP917542 QKL917528:QKL917542 QUH917528:QUH917542 RED917528:RED917542 RNZ917528:RNZ917542 RXV917528:RXV917542 SHR917528:SHR917542 SRN917528:SRN917542 TBJ917528:TBJ917542 TLF917528:TLF917542 TVB917528:TVB917542 UEX917528:UEX917542 UOT917528:UOT917542 UYP917528:UYP917542 VIL917528:VIL917542 VSH917528:VSH917542 WCD917528:WCD917542 WLZ917528:WLZ917542 WVV917528:WVV917542 JJ983064:JJ983078 TF983064:TF983078 ADB983064:ADB983078 AMX983064:AMX983078 AWT983064:AWT983078 BGP983064:BGP983078 BQL983064:BQL983078 CAH983064:CAH983078 CKD983064:CKD983078 CTZ983064:CTZ983078 DDV983064:DDV983078 DNR983064:DNR983078 DXN983064:DXN983078 EHJ983064:EHJ983078 ERF983064:ERF983078 FBB983064:FBB983078 FKX983064:FKX983078 FUT983064:FUT983078 GEP983064:GEP983078 GOL983064:GOL983078 GYH983064:GYH983078 HID983064:HID983078 HRZ983064:HRZ983078 IBV983064:IBV983078 ILR983064:ILR983078 IVN983064:IVN983078 JFJ983064:JFJ983078 JPF983064:JPF983078 JZB983064:JZB983078 KIX983064:KIX983078 KST983064:KST983078 LCP983064:LCP983078 LML983064:LML983078 LWH983064:LWH983078 MGD983064:MGD983078 MPZ983064:MPZ983078 MZV983064:MZV983078 NJR983064:NJR983078 NTN983064:NTN983078 ODJ983064:ODJ983078 ONF983064:ONF983078 OXB983064:OXB983078 PGX983064:PGX983078 PQT983064:PQT983078 QAP983064:QAP983078 QKL983064:QKL983078 QUH983064:QUH983078 RED983064:RED983078 RNZ983064:RNZ983078 RXV983064:RXV983078 SHR983064:SHR983078 SRN983064:SRN983078 TBJ983064:TBJ983078 TLF983064:TLF983078 TVB983064:TVB983078 UEX983064:UEX983078 UOT983064:UOT983078 UYP983064:UYP983078 VIL983064:VIL983078 VSH983064:VSH983078 WCD983064:WCD983078 WLZ983064:WLZ983078 WVV983064:WVV983078 JI65564:JI65574 TE65564:TE65574 ADA65564:ADA65574 AMW65564:AMW65574 AWS65564:AWS65574 BGO65564:BGO65574 BQK65564:BQK65574 CAG65564:CAG65574 CKC65564:CKC65574 CTY65564:CTY65574 DDU65564:DDU65574 DNQ65564:DNQ65574 DXM65564:DXM65574 EHI65564:EHI65574 ERE65564:ERE65574 FBA65564:FBA65574 FKW65564:FKW65574 FUS65564:FUS65574 GEO65564:GEO65574 GOK65564:GOK65574 GYG65564:GYG65574 HIC65564:HIC65574 HRY65564:HRY65574 IBU65564:IBU65574 ILQ65564:ILQ65574 IVM65564:IVM65574 JFI65564:JFI65574 JPE65564:JPE65574 JZA65564:JZA65574 KIW65564:KIW65574 KSS65564:KSS65574 LCO65564:LCO65574 LMK65564:LMK65574 LWG65564:LWG65574 MGC65564:MGC65574 MPY65564:MPY65574 MZU65564:MZU65574 NJQ65564:NJQ65574 NTM65564:NTM65574 ODI65564:ODI65574 ONE65564:ONE65574 OXA65564:OXA65574 PGW65564:PGW65574 PQS65564:PQS65574 QAO65564:QAO65574 QKK65564:QKK65574 QUG65564:QUG65574 REC65564:REC65574 RNY65564:RNY65574 RXU65564:RXU65574 SHQ65564:SHQ65574 SRM65564:SRM65574 TBI65564:TBI65574 TLE65564:TLE65574 TVA65564:TVA65574 UEW65564:UEW65574 UOS65564:UOS65574 UYO65564:UYO65574 VIK65564:VIK65574 VSG65564:VSG65574 WCC65564:WCC65574 WLY65564:WLY65574 WVU65564:WVU65574 JI131100:JI131110 TE131100:TE131110 ADA131100:ADA131110 AMW131100:AMW131110 AWS131100:AWS131110 BGO131100:BGO131110 BQK131100:BQK131110 CAG131100:CAG131110 CKC131100:CKC131110 CTY131100:CTY131110 DDU131100:DDU131110 DNQ131100:DNQ131110 DXM131100:DXM131110 EHI131100:EHI131110 ERE131100:ERE131110 FBA131100:FBA131110 FKW131100:FKW131110 FUS131100:FUS131110 GEO131100:GEO131110 GOK131100:GOK131110 GYG131100:GYG131110 HIC131100:HIC131110 HRY131100:HRY131110 IBU131100:IBU131110 ILQ131100:ILQ131110 IVM131100:IVM131110 JFI131100:JFI131110 JPE131100:JPE131110 JZA131100:JZA131110 KIW131100:KIW131110 KSS131100:KSS131110 LCO131100:LCO131110 LMK131100:LMK131110 LWG131100:LWG131110 MGC131100:MGC131110 MPY131100:MPY131110 MZU131100:MZU131110 NJQ131100:NJQ131110 NTM131100:NTM131110 ODI131100:ODI131110 ONE131100:ONE131110 OXA131100:OXA131110 PGW131100:PGW131110 PQS131100:PQS131110 QAO131100:QAO131110 QKK131100:QKK131110 QUG131100:QUG131110 REC131100:REC131110 RNY131100:RNY131110 RXU131100:RXU131110 SHQ131100:SHQ131110 SRM131100:SRM131110 TBI131100:TBI131110 TLE131100:TLE131110 TVA131100:TVA131110 UEW131100:UEW131110 UOS131100:UOS131110 UYO131100:UYO131110 VIK131100:VIK131110 VSG131100:VSG131110 WCC131100:WCC131110 WLY131100:WLY131110 WVU131100:WVU131110 JI196636:JI196646 TE196636:TE196646 ADA196636:ADA196646 AMW196636:AMW196646 AWS196636:AWS196646 BGO196636:BGO196646 BQK196636:BQK196646 CAG196636:CAG196646 CKC196636:CKC196646 CTY196636:CTY196646 DDU196636:DDU196646 DNQ196636:DNQ196646 DXM196636:DXM196646 EHI196636:EHI196646 ERE196636:ERE196646 FBA196636:FBA196646 FKW196636:FKW196646 FUS196636:FUS196646 GEO196636:GEO196646 GOK196636:GOK196646 GYG196636:GYG196646 HIC196636:HIC196646 HRY196636:HRY196646 IBU196636:IBU196646 ILQ196636:ILQ196646 IVM196636:IVM196646 JFI196636:JFI196646 JPE196636:JPE196646 JZA196636:JZA196646 KIW196636:KIW196646 KSS196636:KSS196646 LCO196636:LCO196646 LMK196636:LMK196646 LWG196636:LWG196646 MGC196636:MGC196646 MPY196636:MPY196646 MZU196636:MZU196646 NJQ196636:NJQ196646 NTM196636:NTM196646 ODI196636:ODI196646 ONE196636:ONE196646 OXA196636:OXA196646 PGW196636:PGW196646 PQS196636:PQS196646 QAO196636:QAO196646 QKK196636:QKK196646 QUG196636:QUG196646 REC196636:REC196646 RNY196636:RNY196646 RXU196636:RXU196646 SHQ196636:SHQ196646 SRM196636:SRM196646 TBI196636:TBI196646 TLE196636:TLE196646 TVA196636:TVA196646 UEW196636:UEW196646 UOS196636:UOS196646 UYO196636:UYO196646 VIK196636:VIK196646 VSG196636:VSG196646 WCC196636:WCC196646 WLY196636:WLY196646 WVU196636:WVU196646 JI262172:JI262182 TE262172:TE262182 ADA262172:ADA262182 AMW262172:AMW262182 AWS262172:AWS262182 BGO262172:BGO262182 BQK262172:BQK262182 CAG262172:CAG262182 CKC262172:CKC262182 CTY262172:CTY262182 DDU262172:DDU262182 DNQ262172:DNQ262182 DXM262172:DXM262182 EHI262172:EHI262182 ERE262172:ERE262182 FBA262172:FBA262182 FKW262172:FKW262182 FUS262172:FUS262182 GEO262172:GEO262182 GOK262172:GOK262182 GYG262172:GYG262182 HIC262172:HIC262182 HRY262172:HRY262182 IBU262172:IBU262182 ILQ262172:ILQ262182 IVM262172:IVM262182 JFI262172:JFI262182 JPE262172:JPE262182 JZA262172:JZA262182 KIW262172:KIW262182 KSS262172:KSS262182 LCO262172:LCO262182 LMK262172:LMK262182 LWG262172:LWG262182 MGC262172:MGC262182 MPY262172:MPY262182 MZU262172:MZU262182 NJQ262172:NJQ262182 NTM262172:NTM262182 ODI262172:ODI262182 ONE262172:ONE262182 OXA262172:OXA262182 PGW262172:PGW262182 PQS262172:PQS262182 QAO262172:QAO262182 QKK262172:QKK262182 QUG262172:QUG262182 REC262172:REC262182 RNY262172:RNY262182 RXU262172:RXU262182 SHQ262172:SHQ262182 SRM262172:SRM262182 TBI262172:TBI262182 TLE262172:TLE262182 TVA262172:TVA262182 UEW262172:UEW262182 UOS262172:UOS262182 UYO262172:UYO262182 VIK262172:VIK262182 VSG262172:VSG262182 WCC262172:WCC262182 WLY262172:WLY262182 WVU262172:WVU262182 JI327708:JI327718 TE327708:TE327718 ADA327708:ADA327718 AMW327708:AMW327718 AWS327708:AWS327718 BGO327708:BGO327718 BQK327708:BQK327718 CAG327708:CAG327718 CKC327708:CKC327718 CTY327708:CTY327718 DDU327708:DDU327718 DNQ327708:DNQ327718 DXM327708:DXM327718 EHI327708:EHI327718 ERE327708:ERE327718 FBA327708:FBA327718 FKW327708:FKW327718 FUS327708:FUS327718 GEO327708:GEO327718 GOK327708:GOK327718 GYG327708:GYG327718 HIC327708:HIC327718 HRY327708:HRY327718 IBU327708:IBU327718 ILQ327708:ILQ327718 IVM327708:IVM327718 JFI327708:JFI327718 JPE327708:JPE327718 JZA327708:JZA327718 KIW327708:KIW327718 KSS327708:KSS327718 LCO327708:LCO327718 LMK327708:LMK327718 LWG327708:LWG327718 MGC327708:MGC327718 MPY327708:MPY327718 MZU327708:MZU327718 NJQ327708:NJQ327718 NTM327708:NTM327718 ODI327708:ODI327718 ONE327708:ONE327718 OXA327708:OXA327718 PGW327708:PGW327718 PQS327708:PQS327718 QAO327708:QAO327718 QKK327708:QKK327718 QUG327708:QUG327718 REC327708:REC327718 RNY327708:RNY327718 RXU327708:RXU327718 SHQ327708:SHQ327718 SRM327708:SRM327718 TBI327708:TBI327718 TLE327708:TLE327718 TVA327708:TVA327718 UEW327708:UEW327718 UOS327708:UOS327718 UYO327708:UYO327718 VIK327708:VIK327718 VSG327708:VSG327718 WCC327708:WCC327718 WLY327708:WLY327718 WVU327708:WVU327718 JI393244:JI393254 TE393244:TE393254 ADA393244:ADA393254 AMW393244:AMW393254 AWS393244:AWS393254 BGO393244:BGO393254 BQK393244:BQK393254 CAG393244:CAG393254 CKC393244:CKC393254 CTY393244:CTY393254 DDU393244:DDU393254 DNQ393244:DNQ393254 DXM393244:DXM393254 EHI393244:EHI393254 ERE393244:ERE393254 FBA393244:FBA393254 FKW393244:FKW393254 FUS393244:FUS393254 GEO393244:GEO393254 GOK393244:GOK393254 GYG393244:GYG393254 HIC393244:HIC393254 HRY393244:HRY393254 IBU393244:IBU393254 ILQ393244:ILQ393254 IVM393244:IVM393254 JFI393244:JFI393254 JPE393244:JPE393254 JZA393244:JZA393254 KIW393244:KIW393254 KSS393244:KSS393254 LCO393244:LCO393254 LMK393244:LMK393254 LWG393244:LWG393254 MGC393244:MGC393254 MPY393244:MPY393254 MZU393244:MZU393254 NJQ393244:NJQ393254 NTM393244:NTM393254 ODI393244:ODI393254 ONE393244:ONE393254 OXA393244:OXA393254 PGW393244:PGW393254 PQS393244:PQS393254 QAO393244:QAO393254 QKK393244:QKK393254 QUG393244:QUG393254 REC393244:REC393254 RNY393244:RNY393254 RXU393244:RXU393254 SHQ393244:SHQ393254 SRM393244:SRM393254 TBI393244:TBI393254 TLE393244:TLE393254 TVA393244:TVA393254 UEW393244:UEW393254 UOS393244:UOS393254 UYO393244:UYO393254 VIK393244:VIK393254 VSG393244:VSG393254 WCC393244:WCC393254 WLY393244:WLY393254 WVU393244:WVU393254 JI458780:JI458790 TE458780:TE458790 ADA458780:ADA458790 AMW458780:AMW458790 AWS458780:AWS458790 BGO458780:BGO458790 BQK458780:BQK458790 CAG458780:CAG458790 CKC458780:CKC458790 CTY458780:CTY458790 DDU458780:DDU458790 DNQ458780:DNQ458790 DXM458780:DXM458790 EHI458780:EHI458790 ERE458780:ERE458790 FBA458780:FBA458790 FKW458780:FKW458790 FUS458780:FUS458790 GEO458780:GEO458790 GOK458780:GOK458790 GYG458780:GYG458790 HIC458780:HIC458790 HRY458780:HRY458790 IBU458780:IBU458790 ILQ458780:ILQ458790 IVM458780:IVM458790 JFI458780:JFI458790 JPE458780:JPE458790 JZA458780:JZA458790 KIW458780:KIW458790 KSS458780:KSS458790 LCO458780:LCO458790 LMK458780:LMK458790 LWG458780:LWG458790 MGC458780:MGC458790 MPY458780:MPY458790 MZU458780:MZU458790 NJQ458780:NJQ458790 NTM458780:NTM458790 ODI458780:ODI458790 ONE458780:ONE458790 OXA458780:OXA458790 PGW458780:PGW458790 PQS458780:PQS458790 QAO458780:QAO458790 QKK458780:QKK458790 QUG458780:QUG458790 REC458780:REC458790 RNY458780:RNY458790 RXU458780:RXU458790 SHQ458780:SHQ458790 SRM458780:SRM458790 TBI458780:TBI458790 TLE458780:TLE458790 TVA458780:TVA458790 UEW458780:UEW458790 UOS458780:UOS458790 UYO458780:UYO458790 VIK458780:VIK458790 VSG458780:VSG458790 WCC458780:WCC458790 WLY458780:WLY458790 WVU458780:WVU458790 JI524316:JI524326 TE524316:TE524326 ADA524316:ADA524326 AMW524316:AMW524326 AWS524316:AWS524326 BGO524316:BGO524326 BQK524316:BQK524326 CAG524316:CAG524326 CKC524316:CKC524326 CTY524316:CTY524326 DDU524316:DDU524326 DNQ524316:DNQ524326 DXM524316:DXM524326 EHI524316:EHI524326 ERE524316:ERE524326 FBA524316:FBA524326 FKW524316:FKW524326 FUS524316:FUS524326 GEO524316:GEO524326 GOK524316:GOK524326 GYG524316:GYG524326 HIC524316:HIC524326 HRY524316:HRY524326 IBU524316:IBU524326 ILQ524316:ILQ524326 IVM524316:IVM524326 JFI524316:JFI524326 JPE524316:JPE524326 JZA524316:JZA524326 KIW524316:KIW524326 KSS524316:KSS524326 LCO524316:LCO524326 LMK524316:LMK524326 LWG524316:LWG524326 MGC524316:MGC524326 MPY524316:MPY524326 MZU524316:MZU524326 NJQ524316:NJQ524326 NTM524316:NTM524326 ODI524316:ODI524326 ONE524316:ONE524326 OXA524316:OXA524326 PGW524316:PGW524326 PQS524316:PQS524326 QAO524316:QAO524326 QKK524316:QKK524326 QUG524316:QUG524326 REC524316:REC524326 RNY524316:RNY524326 RXU524316:RXU524326 SHQ524316:SHQ524326 SRM524316:SRM524326 TBI524316:TBI524326 TLE524316:TLE524326 TVA524316:TVA524326 UEW524316:UEW524326 UOS524316:UOS524326 UYO524316:UYO524326 VIK524316:VIK524326 VSG524316:VSG524326 WCC524316:WCC524326 WLY524316:WLY524326 WVU524316:WVU524326 JI589852:JI589862 TE589852:TE589862 ADA589852:ADA589862 AMW589852:AMW589862 AWS589852:AWS589862 BGO589852:BGO589862 BQK589852:BQK589862 CAG589852:CAG589862 CKC589852:CKC589862 CTY589852:CTY589862 DDU589852:DDU589862 DNQ589852:DNQ589862 DXM589852:DXM589862 EHI589852:EHI589862 ERE589852:ERE589862 FBA589852:FBA589862 FKW589852:FKW589862 FUS589852:FUS589862 GEO589852:GEO589862 GOK589852:GOK589862 GYG589852:GYG589862 HIC589852:HIC589862 HRY589852:HRY589862 IBU589852:IBU589862 ILQ589852:ILQ589862 IVM589852:IVM589862 JFI589852:JFI589862 JPE589852:JPE589862 JZA589852:JZA589862 KIW589852:KIW589862 KSS589852:KSS589862 LCO589852:LCO589862 LMK589852:LMK589862 LWG589852:LWG589862 MGC589852:MGC589862 MPY589852:MPY589862 MZU589852:MZU589862 NJQ589852:NJQ589862 NTM589852:NTM589862 ODI589852:ODI589862 ONE589852:ONE589862 OXA589852:OXA589862 PGW589852:PGW589862 PQS589852:PQS589862 QAO589852:QAO589862 QKK589852:QKK589862 QUG589852:QUG589862 REC589852:REC589862 RNY589852:RNY589862 RXU589852:RXU589862 SHQ589852:SHQ589862 SRM589852:SRM589862 TBI589852:TBI589862 TLE589852:TLE589862 TVA589852:TVA589862 UEW589852:UEW589862 UOS589852:UOS589862 UYO589852:UYO589862 VIK589852:VIK589862 VSG589852:VSG589862 WCC589852:WCC589862 WLY589852:WLY589862 WVU589852:WVU589862 JI655388:JI655398 TE655388:TE655398 ADA655388:ADA655398 AMW655388:AMW655398 AWS655388:AWS655398 BGO655388:BGO655398 BQK655388:BQK655398 CAG655388:CAG655398 CKC655388:CKC655398 CTY655388:CTY655398 DDU655388:DDU655398 DNQ655388:DNQ655398 DXM655388:DXM655398 EHI655388:EHI655398 ERE655388:ERE655398 FBA655388:FBA655398 FKW655388:FKW655398 FUS655388:FUS655398 GEO655388:GEO655398 GOK655388:GOK655398 GYG655388:GYG655398 HIC655388:HIC655398 HRY655388:HRY655398 IBU655388:IBU655398 ILQ655388:ILQ655398 IVM655388:IVM655398 JFI655388:JFI655398 JPE655388:JPE655398 JZA655388:JZA655398 KIW655388:KIW655398 KSS655388:KSS655398 LCO655388:LCO655398 LMK655388:LMK655398 LWG655388:LWG655398 MGC655388:MGC655398 MPY655388:MPY655398 MZU655388:MZU655398 NJQ655388:NJQ655398 NTM655388:NTM655398 ODI655388:ODI655398 ONE655388:ONE655398 OXA655388:OXA655398 PGW655388:PGW655398 PQS655388:PQS655398 QAO655388:QAO655398 QKK655388:QKK655398 QUG655388:QUG655398 REC655388:REC655398 RNY655388:RNY655398 RXU655388:RXU655398 SHQ655388:SHQ655398 SRM655388:SRM655398 TBI655388:TBI655398 TLE655388:TLE655398 TVA655388:TVA655398 UEW655388:UEW655398 UOS655388:UOS655398 UYO655388:UYO655398 VIK655388:VIK655398 VSG655388:VSG655398 WCC655388:WCC655398 WLY655388:WLY655398 WVU655388:WVU655398 JI720924:JI720934 TE720924:TE720934 ADA720924:ADA720934 AMW720924:AMW720934 AWS720924:AWS720934 BGO720924:BGO720934 BQK720924:BQK720934 CAG720924:CAG720934 CKC720924:CKC720934 CTY720924:CTY720934 DDU720924:DDU720934 DNQ720924:DNQ720934 DXM720924:DXM720934 EHI720924:EHI720934 ERE720924:ERE720934 FBA720924:FBA720934 FKW720924:FKW720934 FUS720924:FUS720934 GEO720924:GEO720934 GOK720924:GOK720934 GYG720924:GYG720934 HIC720924:HIC720934 HRY720924:HRY720934 IBU720924:IBU720934 ILQ720924:ILQ720934 IVM720924:IVM720934 JFI720924:JFI720934 JPE720924:JPE720934 JZA720924:JZA720934 KIW720924:KIW720934 KSS720924:KSS720934 LCO720924:LCO720934 LMK720924:LMK720934 LWG720924:LWG720934 MGC720924:MGC720934 MPY720924:MPY720934 MZU720924:MZU720934 NJQ720924:NJQ720934 NTM720924:NTM720934 ODI720924:ODI720934 ONE720924:ONE720934 OXA720924:OXA720934 PGW720924:PGW720934 PQS720924:PQS720934 QAO720924:QAO720934 QKK720924:QKK720934 QUG720924:QUG720934 REC720924:REC720934 RNY720924:RNY720934 RXU720924:RXU720934 SHQ720924:SHQ720934 SRM720924:SRM720934 TBI720924:TBI720934 TLE720924:TLE720934 TVA720924:TVA720934 UEW720924:UEW720934 UOS720924:UOS720934 UYO720924:UYO720934 VIK720924:VIK720934 VSG720924:VSG720934 WCC720924:WCC720934 WLY720924:WLY720934 WVU720924:WVU720934 JI786460:JI786470 TE786460:TE786470 ADA786460:ADA786470 AMW786460:AMW786470 AWS786460:AWS786470 BGO786460:BGO786470 BQK786460:BQK786470 CAG786460:CAG786470 CKC786460:CKC786470 CTY786460:CTY786470 DDU786460:DDU786470 DNQ786460:DNQ786470 DXM786460:DXM786470 EHI786460:EHI786470 ERE786460:ERE786470 FBA786460:FBA786470 FKW786460:FKW786470 FUS786460:FUS786470 GEO786460:GEO786470 GOK786460:GOK786470 GYG786460:GYG786470 HIC786460:HIC786470 HRY786460:HRY786470 IBU786460:IBU786470 ILQ786460:ILQ786470 IVM786460:IVM786470 JFI786460:JFI786470 JPE786460:JPE786470 JZA786460:JZA786470 KIW786460:KIW786470 KSS786460:KSS786470 LCO786460:LCO786470 LMK786460:LMK786470 LWG786460:LWG786470 MGC786460:MGC786470 MPY786460:MPY786470 MZU786460:MZU786470 NJQ786460:NJQ786470 NTM786460:NTM786470 ODI786460:ODI786470 ONE786460:ONE786470 OXA786460:OXA786470 PGW786460:PGW786470 PQS786460:PQS786470 QAO786460:QAO786470 QKK786460:QKK786470 QUG786460:QUG786470 REC786460:REC786470 RNY786460:RNY786470 RXU786460:RXU786470 SHQ786460:SHQ786470 SRM786460:SRM786470 TBI786460:TBI786470 TLE786460:TLE786470 TVA786460:TVA786470 UEW786460:UEW786470 UOS786460:UOS786470 UYO786460:UYO786470 VIK786460:VIK786470 VSG786460:VSG786470 WCC786460:WCC786470 WLY786460:WLY786470 WVU786460:WVU786470 JI851996:JI852006 TE851996:TE852006 ADA851996:ADA852006 AMW851996:AMW852006 AWS851996:AWS852006 BGO851996:BGO852006 BQK851996:BQK852006 CAG851996:CAG852006 CKC851996:CKC852006 CTY851996:CTY852006 DDU851996:DDU852006 DNQ851996:DNQ852006 DXM851996:DXM852006 EHI851996:EHI852006 ERE851996:ERE852006 FBA851996:FBA852006 FKW851996:FKW852006 FUS851996:FUS852006 GEO851996:GEO852006 GOK851996:GOK852006 GYG851996:GYG852006 HIC851996:HIC852006 HRY851996:HRY852006 IBU851996:IBU852006 ILQ851996:ILQ852006 IVM851996:IVM852006 JFI851996:JFI852006 JPE851996:JPE852006 JZA851996:JZA852006 KIW851996:KIW852006 KSS851996:KSS852006 LCO851996:LCO852006 LMK851996:LMK852006 LWG851996:LWG852006 MGC851996:MGC852006 MPY851996:MPY852006 MZU851996:MZU852006 NJQ851996:NJQ852006 NTM851996:NTM852006 ODI851996:ODI852006 ONE851996:ONE852006 OXA851996:OXA852006 PGW851996:PGW852006 PQS851996:PQS852006 QAO851996:QAO852006 QKK851996:QKK852006 QUG851996:QUG852006 REC851996:REC852006 RNY851996:RNY852006 RXU851996:RXU852006 SHQ851996:SHQ852006 SRM851996:SRM852006 TBI851996:TBI852006 TLE851996:TLE852006 TVA851996:TVA852006 UEW851996:UEW852006 UOS851996:UOS852006 UYO851996:UYO852006 VIK851996:VIK852006 VSG851996:VSG852006 WCC851996:WCC852006 WLY851996:WLY852006 WVU851996:WVU852006 JI917532:JI917542 TE917532:TE917542 ADA917532:ADA917542 AMW917532:AMW917542 AWS917532:AWS917542 BGO917532:BGO917542 BQK917532:BQK917542 CAG917532:CAG917542 CKC917532:CKC917542 CTY917532:CTY917542 DDU917532:DDU917542 DNQ917532:DNQ917542 DXM917532:DXM917542 EHI917532:EHI917542 ERE917532:ERE917542 FBA917532:FBA917542 FKW917532:FKW917542 FUS917532:FUS917542 GEO917532:GEO917542 GOK917532:GOK917542 GYG917532:GYG917542 HIC917532:HIC917542 HRY917532:HRY917542 IBU917532:IBU917542 ILQ917532:ILQ917542 IVM917532:IVM917542 JFI917532:JFI917542 JPE917532:JPE917542 JZA917532:JZA917542 KIW917532:KIW917542 KSS917532:KSS917542 LCO917532:LCO917542 LMK917532:LMK917542 LWG917532:LWG917542 MGC917532:MGC917542 MPY917532:MPY917542 MZU917532:MZU917542 NJQ917532:NJQ917542 NTM917532:NTM917542 ODI917532:ODI917542 ONE917532:ONE917542 OXA917532:OXA917542 PGW917532:PGW917542 PQS917532:PQS917542 QAO917532:QAO917542 QKK917532:QKK917542 QUG917532:QUG917542 REC917532:REC917542 RNY917532:RNY917542 RXU917532:RXU917542 SHQ917532:SHQ917542 SRM917532:SRM917542 TBI917532:TBI917542 TLE917532:TLE917542 TVA917532:TVA917542 UEW917532:UEW917542 UOS917532:UOS917542 UYO917532:UYO917542 VIK917532:VIK917542 VSG917532:VSG917542 WCC917532:WCC917542 WLY917532:WLY917542 WVU917532:WVU917542 JI983068:JI983078 TE983068:TE983078 ADA983068:ADA983078 AMW983068:AMW983078 AWS983068:AWS983078 BGO983068:BGO983078 BQK983068:BQK983078 CAG983068:CAG983078 CKC983068:CKC983078 CTY983068:CTY983078 DDU983068:DDU983078 DNQ983068:DNQ983078 DXM983068:DXM983078 EHI983068:EHI983078 ERE983068:ERE983078 FBA983068:FBA983078 FKW983068:FKW983078 FUS983068:FUS983078 GEO983068:GEO983078 GOK983068:GOK983078 GYG983068:GYG983078 HIC983068:HIC983078 HRY983068:HRY983078 IBU983068:IBU983078 ILQ983068:ILQ983078 IVM983068:IVM983078 JFI983068:JFI983078 JPE983068:JPE983078 JZA983068:JZA983078 KIW983068:KIW983078 KSS983068:KSS983078 LCO983068:LCO983078 LMK983068:LMK983078 LWG983068:LWG983078 MGC983068:MGC983078 MPY983068:MPY983078 MZU983068:MZU983078 NJQ983068:NJQ983078 NTM983068:NTM983078 ODI983068:ODI983078 ONE983068:ONE983078 OXA983068:OXA983078 PGW983068:PGW983078 PQS983068:PQS983078 QAO983068:QAO983078 QKK983068:QKK983078 QUG983068:QUG983078 REC983068:REC983078 RNY983068:RNY983078 RXU983068:RXU983078 SHQ983068:SHQ983078 SRM983068:SRM983078 TBI983068:TBI983078 TLE983068:TLE983078 TVA983068:TVA983078 UEW983068:UEW983078 UOS983068:UOS983078 UYO983068:UYO983078 VIK983068:VIK983078 VSG983068:VSG983078 WCC983068:WCC983078 WLY983068:WLY983078 WVU983068:WVU983078 N50 JI26 TE26 ADA26 AMW26 AWS26 BGO26 BQK26 CAG26 CKC26 CTY26 DDU26 DNQ26 DXM26 EHI26 ERE26 FBA26 FKW26 FUS26 GEO26 GOK26 GYG26 HIC26 HRY26 IBU26 ILQ26 IVM26 JFI26 JPE26 JZA26 KIW26 KSS26 LCO26 LMK26 LWG26 MGC26 MPY26 MZU26 NJQ26 NTM26 ODI26 ONE26 OXA26 PGW26 PQS26 QAO26 QKK26 QUG26 REC26 RNY26 RXU26 SHQ26 SRM26 TBI26 TLE26 TVA26 UEW26 UOS26 UYO26 VIK26 VSG26 WCC26 WLY26 WVU26 JI65562 TE65562 ADA65562 AMW65562 AWS65562 BGO65562 BQK65562 CAG65562 CKC65562 CTY65562 DDU65562 DNQ65562 DXM65562 EHI65562 ERE65562 FBA65562 FKW65562 FUS65562 GEO65562 GOK65562 GYG65562 HIC65562 HRY65562 IBU65562 ILQ65562 IVM65562 JFI65562 JPE65562 JZA65562 KIW65562 KSS65562 LCO65562 LMK65562 LWG65562 MGC65562 MPY65562 MZU65562 NJQ65562 NTM65562 ODI65562 ONE65562 OXA65562 PGW65562 PQS65562 QAO65562 QKK65562 QUG65562 REC65562 RNY65562 RXU65562 SHQ65562 SRM65562 TBI65562 TLE65562 TVA65562 UEW65562 UOS65562 UYO65562 VIK65562 VSG65562 WCC65562 WLY65562 WVU65562 JI131098 TE131098 ADA131098 AMW131098 AWS131098 BGO131098 BQK131098 CAG131098 CKC131098 CTY131098 DDU131098 DNQ131098 DXM131098 EHI131098 ERE131098 FBA131098 FKW131098 FUS131098 GEO131098 GOK131098 GYG131098 HIC131098 HRY131098 IBU131098 ILQ131098 IVM131098 JFI131098 JPE131098 JZA131098 KIW131098 KSS131098 LCO131098 LMK131098 LWG131098 MGC131098 MPY131098 MZU131098 NJQ131098 NTM131098 ODI131098 ONE131098 OXA131098 PGW131098 PQS131098 QAO131098 QKK131098 QUG131098 REC131098 RNY131098 RXU131098 SHQ131098 SRM131098 TBI131098 TLE131098 TVA131098 UEW131098 UOS131098 UYO131098 VIK131098 VSG131098 WCC131098 WLY131098 WVU131098 JI196634 TE196634 ADA196634 AMW196634 AWS196634 BGO196634 BQK196634 CAG196634 CKC196634 CTY196634 DDU196634 DNQ196634 DXM196634 EHI196634 ERE196634 FBA196634 FKW196634 FUS196634 GEO196634 GOK196634 GYG196634 HIC196634 HRY196634 IBU196634 ILQ196634 IVM196634 JFI196634 JPE196634 JZA196634 KIW196634 KSS196634 LCO196634 LMK196634 LWG196634 MGC196634 MPY196634 MZU196634 NJQ196634 NTM196634 ODI196634 ONE196634 OXA196634 PGW196634 PQS196634 QAO196634 QKK196634 QUG196634 REC196634 RNY196634 RXU196634 SHQ196634 SRM196634 TBI196634 TLE196634 TVA196634 UEW196634 UOS196634 UYO196634 VIK196634 VSG196634 WCC196634 WLY196634 WVU196634 JI262170 TE262170 ADA262170 AMW262170 AWS262170 BGO262170 BQK262170 CAG262170 CKC262170 CTY262170 DDU262170 DNQ262170 DXM262170 EHI262170 ERE262170 FBA262170 FKW262170 FUS262170 GEO262170 GOK262170 GYG262170 HIC262170 HRY262170 IBU262170 ILQ262170 IVM262170 JFI262170 JPE262170 JZA262170 KIW262170 KSS262170 LCO262170 LMK262170 LWG262170 MGC262170 MPY262170 MZU262170 NJQ262170 NTM262170 ODI262170 ONE262170 OXA262170 PGW262170 PQS262170 QAO262170 QKK262170 QUG262170 REC262170 RNY262170 RXU262170 SHQ262170 SRM262170 TBI262170 TLE262170 TVA262170 UEW262170 UOS262170 UYO262170 VIK262170 VSG262170 WCC262170 WLY262170 WVU262170 JI327706 TE327706 ADA327706 AMW327706 AWS327706 BGO327706 BQK327706 CAG327706 CKC327706 CTY327706 DDU327706 DNQ327706 DXM327706 EHI327706 ERE327706 FBA327706 FKW327706 FUS327706 GEO327706 GOK327706 GYG327706 HIC327706 HRY327706 IBU327706 ILQ327706 IVM327706 JFI327706 JPE327706 JZA327706 KIW327706 KSS327706 LCO327706 LMK327706 LWG327706 MGC327706 MPY327706 MZU327706 NJQ327706 NTM327706 ODI327706 ONE327706 OXA327706 PGW327706 PQS327706 QAO327706 QKK327706 QUG327706 REC327706 RNY327706 RXU327706 SHQ327706 SRM327706 TBI327706 TLE327706 TVA327706 UEW327706 UOS327706 UYO327706 VIK327706 VSG327706 WCC327706 WLY327706 WVU327706 JI393242 TE393242 ADA393242 AMW393242 AWS393242 BGO393242 BQK393242 CAG393242 CKC393242 CTY393242 DDU393242 DNQ393242 DXM393242 EHI393242 ERE393242 FBA393242 FKW393242 FUS393242 GEO393242 GOK393242 GYG393242 HIC393242 HRY393242 IBU393242 ILQ393242 IVM393242 JFI393242 JPE393242 JZA393242 KIW393242 KSS393242 LCO393242 LMK393242 LWG393242 MGC393242 MPY393242 MZU393242 NJQ393242 NTM393242 ODI393242 ONE393242 OXA393242 PGW393242 PQS393242 QAO393242 QKK393242 QUG393242 REC393242 RNY393242 RXU393242 SHQ393242 SRM393242 TBI393242 TLE393242 TVA393242 UEW393242 UOS393242 UYO393242 VIK393242 VSG393242 WCC393242 WLY393242 WVU393242 JI458778 TE458778 ADA458778 AMW458778 AWS458778 BGO458778 BQK458778 CAG458778 CKC458778 CTY458778 DDU458778 DNQ458778 DXM458778 EHI458778 ERE458778 FBA458778 FKW458778 FUS458778 GEO458778 GOK458778 GYG458778 HIC458778 HRY458778 IBU458778 ILQ458778 IVM458778 JFI458778 JPE458778 JZA458778 KIW458778 KSS458778 LCO458778 LMK458778 LWG458778 MGC458778 MPY458778 MZU458778 NJQ458778 NTM458778 ODI458778 ONE458778 OXA458778 PGW458778 PQS458778 QAO458778 QKK458778 QUG458778 REC458778 RNY458778 RXU458778 SHQ458778 SRM458778 TBI458778 TLE458778 TVA458778 UEW458778 UOS458778 UYO458778 VIK458778 VSG458778 WCC458778 WLY458778 WVU458778 JI524314 TE524314 ADA524314 AMW524314 AWS524314 BGO524314 BQK524314 CAG524314 CKC524314 CTY524314 DDU524314 DNQ524314 DXM524314 EHI524314 ERE524314 FBA524314 FKW524314 FUS524314 GEO524314 GOK524314 GYG524314 HIC524314 HRY524314 IBU524314 ILQ524314 IVM524314 JFI524314 JPE524314 JZA524314 KIW524314 KSS524314 LCO524314 LMK524314 LWG524314 MGC524314 MPY524314 MZU524314 NJQ524314 NTM524314 ODI524314 ONE524314 OXA524314 PGW524314 PQS524314 QAO524314 QKK524314 QUG524314 REC524314 RNY524314 RXU524314 SHQ524314 SRM524314 TBI524314 TLE524314 TVA524314 UEW524314 UOS524314 UYO524314 VIK524314 VSG524314 WCC524314 WLY524314 WVU524314 JI589850 TE589850 ADA589850 AMW589850 AWS589850 BGO589850 BQK589850 CAG589850 CKC589850 CTY589850 DDU589850 DNQ589850 DXM589850 EHI589850 ERE589850 FBA589850 FKW589850 FUS589850 GEO589850 GOK589850 GYG589850 HIC589850 HRY589850 IBU589850 ILQ589850 IVM589850 JFI589850 JPE589850 JZA589850 KIW589850 KSS589850 LCO589850 LMK589850 LWG589850 MGC589850 MPY589850 MZU589850 NJQ589850 NTM589850 ODI589850 ONE589850 OXA589850 PGW589850 PQS589850 QAO589850 QKK589850 QUG589850 REC589850 RNY589850 RXU589850 SHQ589850 SRM589850 TBI589850 TLE589850 TVA589850 UEW589850 UOS589850 UYO589850 VIK589850 VSG589850 WCC589850 WLY589850 WVU589850 JI655386 TE655386 ADA655386 AMW655386 AWS655386 BGO655386 BQK655386 CAG655386 CKC655386 CTY655386 DDU655386 DNQ655386 DXM655386 EHI655386 ERE655386 FBA655386 FKW655386 FUS655386 GEO655386 GOK655386 GYG655386 HIC655386 HRY655386 IBU655386 ILQ655386 IVM655386 JFI655386 JPE655386 JZA655386 KIW655386 KSS655386 LCO655386 LMK655386 LWG655386 MGC655386 MPY655386 MZU655386 NJQ655386 NTM655386 ODI655386 ONE655386 OXA655386 PGW655386 PQS655386 QAO655386 QKK655386 QUG655386 REC655386 RNY655386 RXU655386 SHQ655386 SRM655386 TBI655386 TLE655386 TVA655386 UEW655386 UOS655386 UYO655386 VIK655386 VSG655386 WCC655386 WLY655386 WVU655386 JI720922 TE720922 ADA720922 AMW720922 AWS720922 BGO720922 BQK720922 CAG720922 CKC720922 CTY720922 DDU720922 DNQ720922 DXM720922 EHI720922 ERE720922 FBA720922 FKW720922 FUS720922 GEO720922 GOK720922 GYG720922 HIC720922 HRY720922 IBU720922 ILQ720922 IVM720922 JFI720922 JPE720922 JZA720922 KIW720922 KSS720922 LCO720922 LMK720922 LWG720922 MGC720922 MPY720922 MZU720922 NJQ720922 NTM720922 ODI720922 ONE720922 OXA720922 PGW720922 PQS720922 QAO720922 QKK720922 QUG720922 REC720922 RNY720922 RXU720922 SHQ720922 SRM720922 TBI720922 TLE720922 TVA720922 UEW720922 UOS720922 UYO720922 VIK720922 VSG720922 WCC720922 WLY720922 WVU720922 JI786458 TE786458 ADA786458 AMW786458 AWS786458 BGO786458 BQK786458 CAG786458 CKC786458 CTY786458 DDU786458 DNQ786458 DXM786458 EHI786458 ERE786458 FBA786458 FKW786458 FUS786458 GEO786458 GOK786458 GYG786458 HIC786458 HRY786458 IBU786458 ILQ786458 IVM786458 JFI786458 JPE786458 JZA786458 KIW786458 KSS786458 LCO786458 LMK786458 LWG786458 MGC786458 MPY786458 MZU786458 NJQ786458 NTM786458 ODI786458 ONE786458 OXA786458 PGW786458 PQS786458 QAO786458 QKK786458 QUG786458 REC786458 RNY786458 RXU786458 SHQ786458 SRM786458 TBI786458 TLE786458 TVA786458 UEW786458 UOS786458 UYO786458 VIK786458 VSG786458 WCC786458 WLY786458 WVU786458 JI851994 TE851994 ADA851994 AMW851994 AWS851994 BGO851994 BQK851994 CAG851994 CKC851994 CTY851994 DDU851994 DNQ851994 DXM851994 EHI851994 ERE851994 FBA851994 FKW851994 FUS851994 GEO851994 GOK851994 GYG851994 HIC851994 HRY851994 IBU851994 ILQ851994 IVM851994 JFI851994 JPE851994 JZA851994 KIW851994 KSS851994 LCO851994 LMK851994 LWG851994 MGC851994 MPY851994 MZU851994 NJQ851994 NTM851994 ODI851994 ONE851994 OXA851994 PGW851994 PQS851994 QAO851994 QKK851994 QUG851994 REC851994 RNY851994 RXU851994 SHQ851994 SRM851994 TBI851994 TLE851994 TVA851994 UEW851994 UOS851994 UYO851994 VIK851994 VSG851994 WCC851994 WLY851994 WVU851994 JI917530 TE917530 ADA917530 AMW917530 AWS917530 BGO917530 BQK917530 CAG917530 CKC917530 CTY917530 DDU917530 DNQ917530 DXM917530 EHI917530 ERE917530 FBA917530 FKW917530 FUS917530 GEO917530 GOK917530 GYG917530 HIC917530 HRY917530 IBU917530 ILQ917530 IVM917530 JFI917530 JPE917530 JZA917530 KIW917530 KSS917530 LCO917530 LMK917530 LWG917530 MGC917530 MPY917530 MZU917530 NJQ917530 NTM917530 ODI917530 ONE917530 OXA917530 PGW917530 PQS917530 QAO917530 QKK917530 QUG917530 REC917530 RNY917530 RXU917530 SHQ917530 SRM917530 TBI917530 TLE917530 TVA917530 UEW917530 UOS917530 UYO917530 VIK917530 VSG917530 WCC917530 WLY917530 WVU917530 JI983066 TE983066 ADA983066 AMW983066 AWS983066 BGO983066 BQK983066 CAG983066 CKC983066 CTY983066 DDU983066 DNQ983066 DXM983066 EHI983066 ERE983066 FBA983066 FKW983066 FUS983066 GEO983066 GOK983066 GYG983066 HIC983066 HRY983066 IBU983066 ILQ983066 IVM983066 JFI983066 JPE983066 JZA983066 KIW983066 KSS983066 LCO983066 LMK983066 LWG983066 MGC983066 MPY983066 MZU983066 NJQ983066 NTM983066 ODI983066 ONE983066 OXA983066 PGW983066 PQS983066 QAO983066 QKK983066 QUG983066 REC983066 RNY983066 RXU983066 SHQ983066 SRM983066 TBI983066 TLE983066 TVA983066 UEW983066 UOS983066 UYO983066 VIK983066 VSG983066 WCC983066 WLY983066 WVU983066 JH50:JJ50 TD50:TF50 ACZ50:ADB50 AMV50:AMX50 AWR50:AWT50 BGN50:BGP50 BQJ50:BQL50 CAF50:CAH50 CKB50:CKD50 CTX50:CTZ50 DDT50:DDV50 DNP50:DNR50 DXL50:DXN50 EHH50:EHJ50 ERD50:ERF50 FAZ50:FBB50 FKV50:FKX50 FUR50:FUT50 GEN50:GEP50 GOJ50:GOL50 GYF50:GYH50 HIB50:HID50 HRX50:HRZ50 IBT50:IBV50 ILP50:ILR50 IVL50:IVN50 JFH50:JFJ50 JPD50:JPF50 JYZ50:JZB50 KIV50:KIX50 KSR50:KST50 LCN50:LCP50 LMJ50:LML50 LWF50:LWH50 MGB50:MGD50 MPX50:MPZ50 MZT50:MZV50 NJP50:NJR50 NTL50:NTN50 ODH50:ODJ50 OND50:ONF50 OWZ50:OXB50 PGV50:PGX50 PQR50:PQT50 QAN50:QAP50 QKJ50:QKL50 QUF50:QUH50 REB50:RED50 RNX50:RNZ50 RXT50:RXV50 SHP50:SHR50 SRL50:SRN50 TBH50:TBJ50 TLD50:TLF50 TUZ50:TVB50 UEV50:UEX50 UOR50:UOT50 UYN50:UYP50 VIJ50:VIL50 VSF50:VSH50 WCB50:WCD50 WLX50:WLZ50 WVT50:WVV50 JH65586:JJ65586 TD65586:TF65586 ACZ65586:ADB65586 AMV65586:AMX65586 AWR65586:AWT65586 BGN65586:BGP65586 BQJ65586:BQL65586 CAF65586:CAH65586 CKB65586:CKD65586 CTX65586:CTZ65586 DDT65586:DDV65586 DNP65586:DNR65586 DXL65586:DXN65586 EHH65586:EHJ65586 ERD65586:ERF65586 FAZ65586:FBB65586 FKV65586:FKX65586 FUR65586:FUT65586 GEN65586:GEP65586 GOJ65586:GOL65586 GYF65586:GYH65586 HIB65586:HID65586 HRX65586:HRZ65586 IBT65586:IBV65586 ILP65586:ILR65586 IVL65586:IVN65586 JFH65586:JFJ65586 JPD65586:JPF65586 JYZ65586:JZB65586 KIV65586:KIX65586 KSR65586:KST65586 LCN65586:LCP65586 LMJ65586:LML65586 LWF65586:LWH65586 MGB65586:MGD65586 MPX65586:MPZ65586 MZT65586:MZV65586 NJP65586:NJR65586 NTL65586:NTN65586 ODH65586:ODJ65586 OND65586:ONF65586 OWZ65586:OXB65586 PGV65586:PGX65586 PQR65586:PQT65586 QAN65586:QAP65586 QKJ65586:QKL65586 QUF65586:QUH65586 REB65586:RED65586 RNX65586:RNZ65586 RXT65586:RXV65586 SHP65586:SHR65586 SRL65586:SRN65586 TBH65586:TBJ65586 TLD65586:TLF65586 TUZ65586:TVB65586 UEV65586:UEX65586 UOR65586:UOT65586 UYN65586:UYP65586 VIJ65586:VIL65586 VSF65586:VSH65586 WCB65586:WCD65586 WLX65586:WLZ65586 WVT65586:WVV65586 JH131122:JJ131122 TD131122:TF131122 ACZ131122:ADB131122 AMV131122:AMX131122 AWR131122:AWT131122 BGN131122:BGP131122 BQJ131122:BQL131122 CAF131122:CAH131122 CKB131122:CKD131122 CTX131122:CTZ131122 DDT131122:DDV131122 DNP131122:DNR131122 DXL131122:DXN131122 EHH131122:EHJ131122 ERD131122:ERF131122 FAZ131122:FBB131122 FKV131122:FKX131122 FUR131122:FUT131122 GEN131122:GEP131122 GOJ131122:GOL131122 GYF131122:GYH131122 HIB131122:HID131122 HRX131122:HRZ131122 IBT131122:IBV131122 ILP131122:ILR131122 IVL131122:IVN131122 JFH131122:JFJ131122 JPD131122:JPF131122 JYZ131122:JZB131122 KIV131122:KIX131122 KSR131122:KST131122 LCN131122:LCP131122 LMJ131122:LML131122 LWF131122:LWH131122 MGB131122:MGD131122 MPX131122:MPZ131122 MZT131122:MZV131122 NJP131122:NJR131122 NTL131122:NTN131122 ODH131122:ODJ131122 OND131122:ONF131122 OWZ131122:OXB131122 PGV131122:PGX131122 PQR131122:PQT131122 QAN131122:QAP131122 QKJ131122:QKL131122 QUF131122:QUH131122 REB131122:RED131122 RNX131122:RNZ131122 RXT131122:RXV131122 SHP131122:SHR131122 SRL131122:SRN131122 TBH131122:TBJ131122 TLD131122:TLF131122 TUZ131122:TVB131122 UEV131122:UEX131122 UOR131122:UOT131122 UYN131122:UYP131122 VIJ131122:VIL131122 VSF131122:VSH131122 WCB131122:WCD131122 WLX131122:WLZ131122 WVT131122:WVV131122 JH196658:JJ196658 TD196658:TF196658 ACZ196658:ADB196658 AMV196658:AMX196658 AWR196658:AWT196658 BGN196658:BGP196658 BQJ196658:BQL196658 CAF196658:CAH196658 CKB196658:CKD196658 CTX196658:CTZ196658 DDT196658:DDV196658 DNP196658:DNR196658 DXL196658:DXN196658 EHH196658:EHJ196658 ERD196658:ERF196658 FAZ196658:FBB196658 FKV196658:FKX196658 FUR196658:FUT196658 GEN196658:GEP196658 GOJ196658:GOL196658 GYF196658:GYH196658 HIB196658:HID196658 HRX196658:HRZ196658 IBT196658:IBV196658 ILP196658:ILR196658 IVL196658:IVN196658 JFH196658:JFJ196658 JPD196658:JPF196658 JYZ196658:JZB196658 KIV196658:KIX196658 KSR196658:KST196658 LCN196658:LCP196658 LMJ196658:LML196658 LWF196658:LWH196658 MGB196658:MGD196658 MPX196658:MPZ196658 MZT196658:MZV196658 NJP196658:NJR196658 NTL196658:NTN196658 ODH196658:ODJ196658 OND196658:ONF196658 OWZ196658:OXB196658 PGV196658:PGX196658 PQR196658:PQT196658 QAN196658:QAP196658 QKJ196658:QKL196658 QUF196658:QUH196658 REB196658:RED196658 RNX196658:RNZ196658 RXT196658:RXV196658 SHP196658:SHR196658 SRL196658:SRN196658 TBH196658:TBJ196658 TLD196658:TLF196658 TUZ196658:TVB196658 UEV196658:UEX196658 UOR196658:UOT196658 UYN196658:UYP196658 VIJ196658:VIL196658 VSF196658:VSH196658 WCB196658:WCD196658 WLX196658:WLZ196658 WVT196658:WVV196658 JH262194:JJ262194 TD262194:TF262194 ACZ262194:ADB262194 AMV262194:AMX262194 AWR262194:AWT262194 BGN262194:BGP262194 BQJ262194:BQL262194 CAF262194:CAH262194 CKB262194:CKD262194 CTX262194:CTZ262194 DDT262194:DDV262194 DNP262194:DNR262194 DXL262194:DXN262194 EHH262194:EHJ262194 ERD262194:ERF262194 FAZ262194:FBB262194 FKV262194:FKX262194 FUR262194:FUT262194 GEN262194:GEP262194 GOJ262194:GOL262194 GYF262194:GYH262194 HIB262194:HID262194 HRX262194:HRZ262194 IBT262194:IBV262194 ILP262194:ILR262194 IVL262194:IVN262194 JFH262194:JFJ262194 JPD262194:JPF262194 JYZ262194:JZB262194 KIV262194:KIX262194 KSR262194:KST262194 LCN262194:LCP262194 LMJ262194:LML262194 LWF262194:LWH262194 MGB262194:MGD262194 MPX262194:MPZ262194 MZT262194:MZV262194 NJP262194:NJR262194 NTL262194:NTN262194 ODH262194:ODJ262194 OND262194:ONF262194 OWZ262194:OXB262194 PGV262194:PGX262194 PQR262194:PQT262194 QAN262194:QAP262194 QKJ262194:QKL262194 QUF262194:QUH262194 REB262194:RED262194 RNX262194:RNZ262194 RXT262194:RXV262194 SHP262194:SHR262194 SRL262194:SRN262194 TBH262194:TBJ262194 TLD262194:TLF262194 TUZ262194:TVB262194 UEV262194:UEX262194 UOR262194:UOT262194 UYN262194:UYP262194 VIJ262194:VIL262194 VSF262194:VSH262194 WCB262194:WCD262194 WLX262194:WLZ262194 WVT262194:WVV262194 JH327730:JJ327730 TD327730:TF327730 ACZ327730:ADB327730 AMV327730:AMX327730 AWR327730:AWT327730 BGN327730:BGP327730 BQJ327730:BQL327730 CAF327730:CAH327730 CKB327730:CKD327730 CTX327730:CTZ327730 DDT327730:DDV327730 DNP327730:DNR327730 DXL327730:DXN327730 EHH327730:EHJ327730 ERD327730:ERF327730 FAZ327730:FBB327730 FKV327730:FKX327730 FUR327730:FUT327730 GEN327730:GEP327730 GOJ327730:GOL327730 GYF327730:GYH327730 HIB327730:HID327730 HRX327730:HRZ327730 IBT327730:IBV327730 ILP327730:ILR327730 IVL327730:IVN327730 JFH327730:JFJ327730 JPD327730:JPF327730 JYZ327730:JZB327730 KIV327730:KIX327730 KSR327730:KST327730 LCN327730:LCP327730 LMJ327730:LML327730 LWF327730:LWH327730 MGB327730:MGD327730 MPX327730:MPZ327730 MZT327730:MZV327730 NJP327730:NJR327730 NTL327730:NTN327730 ODH327730:ODJ327730 OND327730:ONF327730 OWZ327730:OXB327730 PGV327730:PGX327730 PQR327730:PQT327730 QAN327730:QAP327730 QKJ327730:QKL327730 QUF327730:QUH327730 REB327730:RED327730 RNX327730:RNZ327730 RXT327730:RXV327730 SHP327730:SHR327730 SRL327730:SRN327730 TBH327730:TBJ327730 TLD327730:TLF327730 TUZ327730:TVB327730 UEV327730:UEX327730 UOR327730:UOT327730 UYN327730:UYP327730 VIJ327730:VIL327730 VSF327730:VSH327730 WCB327730:WCD327730 WLX327730:WLZ327730 WVT327730:WVV327730 JH393266:JJ393266 TD393266:TF393266 ACZ393266:ADB393266 AMV393266:AMX393266 AWR393266:AWT393266 BGN393266:BGP393266 BQJ393266:BQL393266 CAF393266:CAH393266 CKB393266:CKD393266 CTX393266:CTZ393266 DDT393266:DDV393266 DNP393266:DNR393266 DXL393266:DXN393266 EHH393266:EHJ393266 ERD393266:ERF393266 FAZ393266:FBB393266 FKV393266:FKX393266 FUR393266:FUT393266 GEN393266:GEP393266 GOJ393266:GOL393266 GYF393266:GYH393266 HIB393266:HID393266 HRX393266:HRZ393266 IBT393266:IBV393266 ILP393266:ILR393266 IVL393266:IVN393266 JFH393266:JFJ393266 JPD393266:JPF393266 JYZ393266:JZB393266 KIV393266:KIX393266 KSR393266:KST393266 LCN393266:LCP393266 LMJ393266:LML393266 LWF393266:LWH393266 MGB393266:MGD393266 MPX393266:MPZ393266 MZT393266:MZV393266 NJP393266:NJR393266 NTL393266:NTN393266 ODH393266:ODJ393266 OND393266:ONF393266 OWZ393266:OXB393266 PGV393266:PGX393266 PQR393266:PQT393266 QAN393266:QAP393266 QKJ393266:QKL393266 QUF393266:QUH393266 REB393266:RED393266 RNX393266:RNZ393266 RXT393266:RXV393266 SHP393266:SHR393266 SRL393266:SRN393266 TBH393266:TBJ393266 TLD393266:TLF393266 TUZ393266:TVB393266 UEV393266:UEX393266 UOR393266:UOT393266 UYN393266:UYP393266 VIJ393266:VIL393266 VSF393266:VSH393266 WCB393266:WCD393266 WLX393266:WLZ393266 WVT393266:WVV393266 JH458802:JJ458802 TD458802:TF458802 ACZ458802:ADB458802 AMV458802:AMX458802 AWR458802:AWT458802 BGN458802:BGP458802 BQJ458802:BQL458802 CAF458802:CAH458802 CKB458802:CKD458802 CTX458802:CTZ458802 DDT458802:DDV458802 DNP458802:DNR458802 DXL458802:DXN458802 EHH458802:EHJ458802 ERD458802:ERF458802 FAZ458802:FBB458802 FKV458802:FKX458802 FUR458802:FUT458802 GEN458802:GEP458802 GOJ458802:GOL458802 GYF458802:GYH458802 HIB458802:HID458802 HRX458802:HRZ458802 IBT458802:IBV458802 ILP458802:ILR458802 IVL458802:IVN458802 JFH458802:JFJ458802 JPD458802:JPF458802 JYZ458802:JZB458802 KIV458802:KIX458802 KSR458802:KST458802 LCN458802:LCP458802 LMJ458802:LML458802 LWF458802:LWH458802 MGB458802:MGD458802 MPX458802:MPZ458802 MZT458802:MZV458802 NJP458802:NJR458802 NTL458802:NTN458802 ODH458802:ODJ458802 OND458802:ONF458802 OWZ458802:OXB458802 PGV458802:PGX458802 PQR458802:PQT458802 QAN458802:QAP458802 QKJ458802:QKL458802 QUF458802:QUH458802 REB458802:RED458802 RNX458802:RNZ458802 RXT458802:RXV458802 SHP458802:SHR458802 SRL458802:SRN458802 TBH458802:TBJ458802 TLD458802:TLF458802 TUZ458802:TVB458802 UEV458802:UEX458802 UOR458802:UOT458802 UYN458802:UYP458802 VIJ458802:VIL458802 VSF458802:VSH458802 WCB458802:WCD458802 WLX458802:WLZ458802 WVT458802:WVV458802 JH524338:JJ524338 TD524338:TF524338 ACZ524338:ADB524338 AMV524338:AMX524338 AWR524338:AWT524338 BGN524338:BGP524338 BQJ524338:BQL524338 CAF524338:CAH524338 CKB524338:CKD524338 CTX524338:CTZ524338 DDT524338:DDV524338 DNP524338:DNR524338 DXL524338:DXN524338 EHH524338:EHJ524338 ERD524338:ERF524338 FAZ524338:FBB524338 FKV524338:FKX524338 FUR524338:FUT524338 GEN524338:GEP524338 GOJ524338:GOL524338 GYF524338:GYH524338 HIB524338:HID524338 HRX524338:HRZ524338 IBT524338:IBV524338 ILP524338:ILR524338 IVL524338:IVN524338 JFH524338:JFJ524338 JPD524338:JPF524338 JYZ524338:JZB524338 KIV524338:KIX524338 KSR524338:KST524338 LCN524338:LCP524338 LMJ524338:LML524338 LWF524338:LWH524338 MGB524338:MGD524338 MPX524338:MPZ524338 MZT524338:MZV524338 NJP524338:NJR524338 NTL524338:NTN524338 ODH524338:ODJ524338 OND524338:ONF524338 OWZ524338:OXB524338 PGV524338:PGX524338 PQR524338:PQT524338 QAN524338:QAP524338 QKJ524338:QKL524338 QUF524338:QUH524338 REB524338:RED524338 RNX524338:RNZ524338 RXT524338:RXV524338 SHP524338:SHR524338 SRL524338:SRN524338 TBH524338:TBJ524338 TLD524338:TLF524338 TUZ524338:TVB524338 UEV524338:UEX524338 UOR524338:UOT524338 UYN524338:UYP524338 VIJ524338:VIL524338 VSF524338:VSH524338 WCB524338:WCD524338 WLX524338:WLZ524338 WVT524338:WVV524338 JH589874:JJ589874 TD589874:TF589874 ACZ589874:ADB589874 AMV589874:AMX589874 AWR589874:AWT589874 BGN589874:BGP589874 BQJ589874:BQL589874 CAF589874:CAH589874 CKB589874:CKD589874 CTX589874:CTZ589874 DDT589874:DDV589874 DNP589874:DNR589874 DXL589874:DXN589874 EHH589874:EHJ589874 ERD589874:ERF589874 FAZ589874:FBB589874 FKV589874:FKX589874 FUR589874:FUT589874 GEN589874:GEP589874 GOJ589874:GOL589874 GYF589874:GYH589874 HIB589874:HID589874 HRX589874:HRZ589874 IBT589874:IBV589874 ILP589874:ILR589874 IVL589874:IVN589874 JFH589874:JFJ589874 JPD589874:JPF589874 JYZ589874:JZB589874 KIV589874:KIX589874 KSR589874:KST589874 LCN589874:LCP589874 LMJ589874:LML589874 LWF589874:LWH589874 MGB589874:MGD589874 MPX589874:MPZ589874 MZT589874:MZV589874 NJP589874:NJR589874 NTL589874:NTN589874 ODH589874:ODJ589874 OND589874:ONF589874 OWZ589874:OXB589874 PGV589874:PGX589874 PQR589874:PQT589874 QAN589874:QAP589874 QKJ589874:QKL589874 QUF589874:QUH589874 REB589874:RED589874 RNX589874:RNZ589874 RXT589874:RXV589874 SHP589874:SHR589874 SRL589874:SRN589874 TBH589874:TBJ589874 TLD589874:TLF589874 TUZ589874:TVB589874 UEV589874:UEX589874 UOR589874:UOT589874 UYN589874:UYP589874 VIJ589874:VIL589874 VSF589874:VSH589874 WCB589874:WCD589874 WLX589874:WLZ589874 WVT589874:WVV589874 JH655410:JJ655410 TD655410:TF655410 ACZ655410:ADB655410 AMV655410:AMX655410 AWR655410:AWT655410 BGN655410:BGP655410 BQJ655410:BQL655410 CAF655410:CAH655410 CKB655410:CKD655410 CTX655410:CTZ655410 DDT655410:DDV655410 DNP655410:DNR655410 DXL655410:DXN655410 EHH655410:EHJ655410 ERD655410:ERF655410 FAZ655410:FBB655410 FKV655410:FKX655410 FUR655410:FUT655410 GEN655410:GEP655410 GOJ655410:GOL655410 GYF655410:GYH655410 HIB655410:HID655410 HRX655410:HRZ655410 IBT655410:IBV655410 ILP655410:ILR655410 IVL655410:IVN655410 JFH655410:JFJ655410 JPD655410:JPF655410 JYZ655410:JZB655410 KIV655410:KIX655410 KSR655410:KST655410 LCN655410:LCP655410 LMJ655410:LML655410 LWF655410:LWH655410 MGB655410:MGD655410 MPX655410:MPZ655410 MZT655410:MZV655410 NJP655410:NJR655410 NTL655410:NTN655410 ODH655410:ODJ655410 OND655410:ONF655410 OWZ655410:OXB655410 PGV655410:PGX655410 PQR655410:PQT655410 QAN655410:QAP655410 QKJ655410:QKL655410 QUF655410:QUH655410 REB655410:RED655410 RNX655410:RNZ655410 RXT655410:RXV655410 SHP655410:SHR655410 SRL655410:SRN655410 TBH655410:TBJ655410 TLD655410:TLF655410 TUZ655410:TVB655410 UEV655410:UEX655410 UOR655410:UOT655410 UYN655410:UYP655410 VIJ655410:VIL655410 VSF655410:VSH655410 WCB655410:WCD655410 WLX655410:WLZ655410 WVT655410:WVV655410 JH720946:JJ720946 TD720946:TF720946 ACZ720946:ADB720946 AMV720946:AMX720946 AWR720946:AWT720946 BGN720946:BGP720946 BQJ720946:BQL720946 CAF720946:CAH720946 CKB720946:CKD720946 CTX720946:CTZ720946 DDT720946:DDV720946 DNP720946:DNR720946 DXL720946:DXN720946 EHH720946:EHJ720946 ERD720946:ERF720946 FAZ720946:FBB720946 FKV720946:FKX720946 FUR720946:FUT720946 GEN720946:GEP720946 GOJ720946:GOL720946 GYF720946:GYH720946 HIB720946:HID720946 HRX720946:HRZ720946 IBT720946:IBV720946 ILP720946:ILR720946 IVL720946:IVN720946 JFH720946:JFJ720946 JPD720946:JPF720946 JYZ720946:JZB720946 KIV720946:KIX720946 KSR720946:KST720946 LCN720946:LCP720946 LMJ720946:LML720946 LWF720946:LWH720946 MGB720946:MGD720946 MPX720946:MPZ720946 MZT720946:MZV720946 NJP720946:NJR720946 NTL720946:NTN720946 ODH720946:ODJ720946 OND720946:ONF720946 OWZ720946:OXB720946 PGV720946:PGX720946 PQR720946:PQT720946 QAN720946:QAP720946 QKJ720946:QKL720946 QUF720946:QUH720946 REB720946:RED720946 RNX720946:RNZ720946 RXT720946:RXV720946 SHP720946:SHR720946 SRL720946:SRN720946 TBH720946:TBJ720946 TLD720946:TLF720946 TUZ720946:TVB720946 UEV720946:UEX720946 UOR720946:UOT720946 UYN720946:UYP720946 VIJ720946:VIL720946 VSF720946:VSH720946 WCB720946:WCD720946 WLX720946:WLZ720946 WVT720946:WVV720946 JH786482:JJ786482 TD786482:TF786482 ACZ786482:ADB786482 AMV786482:AMX786482 AWR786482:AWT786482 BGN786482:BGP786482 BQJ786482:BQL786482 CAF786482:CAH786482 CKB786482:CKD786482 CTX786482:CTZ786482 DDT786482:DDV786482 DNP786482:DNR786482 DXL786482:DXN786482 EHH786482:EHJ786482 ERD786482:ERF786482 FAZ786482:FBB786482 FKV786482:FKX786482 FUR786482:FUT786482 GEN786482:GEP786482 GOJ786482:GOL786482 GYF786482:GYH786482 HIB786482:HID786482 HRX786482:HRZ786482 IBT786482:IBV786482 ILP786482:ILR786482 IVL786482:IVN786482 JFH786482:JFJ786482 JPD786482:JPF786482 JYZ786482:JZB786482 KIV786482:KIX786482 KSR786482:KST786482 LCN786482:LCP786482 LMJ786482:LML786482 LWF786482:LWH786482 MGB786482:MGD786482 MPX786482:MPZ786482 MZT786482:MZV786482 NJP786482:NJR786482 NTL786482:NTN786482 ODH786482:ODJ786482 OND786482:ONF786482 OWZ786482:OXB786482 PGV786482:PGX786482 PQR786482:PQT786482 QAN786482:QAP786482 QKJ786482:QKL786482 QUF786482:QUH786482 REB786482:RED786482 RNX786482:RNZ786482 RXT786482:RXV786482 SHP786482:SHR786482 SRL786482:SRN786482 TBH786482:TBJ786482 TLD786482:TLF786482 TUZ786482:TVB786482 UEV786482:UEX786482 UOR786482:UOT786482 UYN786482:UYP786482 VIJ786482:VIL786482 VSF786482:VSH786482 WCB786482:WCD786482 WLX786482:WLZ786482 WVT786482:WVV786482 JH852018:JJ852018 TD852018:TF852018 ACZ852018:ADB852018 AMV852018:AMX852018 AWR852018:AWT852018 BGN852018:BGP852018 BQJ852018:BQL852018 CAF852018:CAH852018 CKB852018:CKD852018 CTX852018:CTZ852018 DDT852018:DDV852018 DNP852018:DNR852018 DXL852018:DXN852018 EHH852018:EHJ852018 ERD852018:ERF852018 FAZ852018:FBB852018 FKV852018:FKX852018 FUR852018:FUT852018 GEN852018:GEP852018 GOJ852018:GOL852018 GYF852018:GYH852018 HIB852018:HID852018 HRX852018:HRZ852018 IBT852018:IBV852018 ILP852018:ILR852018 IVL852018:IVN852018 JFH852018:JFJ852018 JPD852018:JPF852018 JYZ852018:JZB852018 KIV852018:KIX852018 KSR852018:KST852018 LCN852018:LCP852018 LMJ852018:LML852018 LWF852018:LWH852018 MGB852018:MGD852018 MPX852018:MPZ852018 MZT852018:MZV852018 NJP852018:NJR852018 NTL852018:NTN852018 ODH852018:ODJ852018 OND852018:ONF852018 OWZ852018:OXB852018 PGV852018:PGX852018 PQR852018:PQT852018 QAN852018:QAP852018 QKJ852018:QKL852018 QUF852018:QUH852018 REB852018:RED852018 RNX852018:RNZ852018 RXT852018:RXV852018 SHP852018:SHR852018 SRL852018:SRN852018 TBH852018:TBJ852018 TLD852018:TLF852018 TUZ852018:TVB852018 UEV852018:UEX852018 UOR852018:UOT852018 UYN852018:UYP852018 VIJ852018:VIL852018 VSF852018:VSH852018 WCB852018:WCD852018 WLX852018:WLZ852018 WVT852018:WVV852018 JH917554:JJ917554 TD917554:TF917554 ACZ917554:ADB917554 AMV917554:AMX917554 AWR917554:AWT917554 BGN917554:BGP917554 BQJ917554:BQL917554 CAF917554:CAH917554 CKB917554:CKD917554 CTX917554:CTZ917554 DDT917554:DDV917554 DNP917554:DNR917554 DXL917554:DXN917554 EHH917554:EHJ917554 ERD917554:ERF917554 FAZ917554:FBB917554 FKV917554:FKX917554 FUR917554:FUT917554 GEN917554:GEP917554 GOJ917554:GOL917554 GYF917554:GYH917554 HIB917554:HID917554 HRX917554:HRZ917554 IBT917554:IBV917554 ILP917554:ILR917554 IVL917554:IVN917554 JFH917554:JFJ917554 JPD917554:JPF917554 JYZ917554:JZB917554 KIV917554:KIX917554 KSR917554:KST917554 LCN917554:LCP917554 LMJ917554:LML917554 LWF917554:LWH917554 MGB917554:MGD917554 MPX917554:MPZ917554 MZT917554:MZV917554 NJP917554:NJR917554 NTL917554:NTN917554 ODH917554:ODJ917554 OND917554:ONF917554 OWZ917554:OXB917554 PGV917554:PGX917554 PQR917554:PQT917554 QAN917554:QAP917554 QKJ917554:QKL917554 QUF917554:QUH917554 REB917554:RED917554 RNX917554:RNZ917554 RXT917554:RXV917554 SHP917554:SHR917554 SRL917554:SRN917554 TBH917554:TBJ917554 TLD917554:TLF917554 TUZ917554:TVB917554 UEV917554:UEX917554 UOR917554:UOT917554 UYN917554:UYP917554 VIJ917554:VIL917554 VSF917554:VSH917554 WCB917554:WCD917554 WLX917554:WLZ917554 WVT917554:WVV917554 JH983090:JJ983090 TD983090:TF983090 ACZ983090:ADB983090 AMV983090:AMX983090 AWR983090:AWT983090 BGN983090:BGP983090 BQJ983090:BQL983090 CAF983090:CAH983090 CKB983090:CKD983090 CTX983090:CTZ983090 DDT983090:DDV983090 DNP983090:DNR983090 DXL983090:DXN983090 EHH983090:EHJ983090 ERD983090:ERF983090 FAZ983090:FBB983090 FKV983090:FKX983090 FUR983090:FUT983090 GEN983090:GEP983090 GOJ983090:GOL983090 GYF983090:GYH983090 HIB983090:HID983090 HRX983090:HRZ983090 IBT983090:IBV983090 ILP983090:ILR983090 IVL983090:IVN983090 JFH983090:JFJ983090 JPD983090:JPF983090 JYZ983090:JZB983090 KIV983090:KIX983090 KSR983090:KST983090 LCN983090:LCP983090 LMJ983090:LML983090 LWF983090:LWH983090 MGB983090:MGD983090 MPX983090:MPZ983090 MZT983090:MZV983090 NJP983090:NJR983090 NTL983090:NTN983090 ODH983090:ODJ983090 OND983090:ONF983090 OWZ983090:OXB983090 PGV983090:PGX983090 PQR983090:PQT983090 QAN983090:QAP983090 QKJ983090:QKL983090 QUF983090:QUH983090 REB983090:RED983090 RNX983090:RNZ983090 RXT983090:RXV983090 SHP983090:SHR983090 SRL983090:SRN983090 TBH983090:TBJ983090 TLD983090:TLF983090 TUZ983090:TVB983090 UEV983090:UEX983090 UOR983090:UOT983090 UYN983090:UYP983090 VIJ983090:VIL983090 VSF983090:VSH983090 WCB983090:WCD983090 WLX983090:WLZ983090 WVT983090:WVV983090 WVU28:WVU38 WLY28:WLY38 WCC28:WCC38 VSG28:VSG38 VIK28:VIK38 UYO28:UYO38 UOS28:UOS38 UEW28:UEW38 TVA28:TVA38 TLE28:TLE38 TBI28:TBI38 SRM28:SRM38 SHQ28:SHQ38 RXU28:RXU38 RNY28:RNY38 REC28:REC38 QUG28:QUG38 QKK28:QKK38 QAO28:QAO38 PQS28:PQS38 PGW28:PGW38 OXA28:OXA38 ONE28:ONE38 ODI28:ODI38 NTM28:NTM38 NJQ28:NJQ38 MZU28:MZU38 MPY28:MPY38 MGC28:MGC38 LWG28:LWG38 LMK28:LMK38 LCO28:LCO38 KSS28:KSS38 KIW28:KIW38 JZA28:JZA38 JPE28:JPE38 JFI28:JFI38 IVM28:IVM38 ILQ28:ILQ38 IBU28:IBU38 HRY28:HRY38 HIC28:HIC38 GYG28:GYG38 GOK28:GOK38 GEO28:GEO38 FUS28:FUS38 FKW28:FKW38 FBA28:FBA38 ERE28:ERE38 EHI28:EHI38 DXM28:DXM38 DNQ28:DNQ38 DDU28:DDU38 CTY28:CTY38 CKC28:CKC38 CAG28:CAG38 BQK28:BQK38 BGO28:BGO38 AWS28:AWS38 AMW28:AMW38 ADA28:ADA38 TE28:TE38 JI28:JI38 JH27:JH38 WVV24:WVV38 WLZ24:WLZ38 WCD24:WCD38 VSH24:VSH38 VIL24:VIL38 UYP24:UYP38 UOT24:UOT38 UEX24:UEX38 TVB24:TVB38 TLF24:TLF38 TBJ24:TBJ38 SRN24:SRN38 SHR24:SHR38 RXV24:RXV38 RNZ24:RNZ38 RED24:RED38 QUH24:QUH38 QKL24:QKL38 QAP24:QAP38 PQT24:PQT38 PGX24:PGX38 OXB24:OXB38 ONF24:ONF38 ODJ24:ODJ38 NTN24:NTN38 NJR24:NJR38 MZV24:MZV38 MPZ24:MPZ38 MGD24:MGD38 LWH24:LWH38 LML24:LML38 LCP24:LCP38 KST24:KST38 KIX24:KIX38 JZB24:JZB38 JPF24:JPF38 JFJ24:JFJ38 IVN24:IVN38 ILR24:ILR38 IBV24:IBV38 HRZ24:HRZ38 HID24:HID38 GYH24:GYH38 GOL24:GOL38 GEP24:GEP38 FUT24:FUT38 FKX24:FKX38 FBB24:FBB38 ERF24:ERF38 EHJ24:EHJ38 DXN24:DXN38 DNR24:DNR38 DDV24:DDV38 CTZ24:CTZ38 CKD24:CKD38 CAH24:CAH38 BQL24:BQL38 BGP24:BGP38 AWT24:AWT38 AMX24:AMX38 ADB24:ADB38 TF24:TF38 JJ24:JJ38 WVT27:WVT38 WLX27:WLX38 WCB27:WCB38 VSF27:VSF38 VIJ27:VIJ38 UYN27:UYN38 UOR27:UOR38 UEV27:UEV38 TUZ27:TUZ38 TLD27:TLD38 TBH27:TBH38 SRL27:SRL38 SHP27:SHP38 RXT27:RXT38 RNX27:RNX38 REB27:REB38 QUF27:QUF38 QKJ27:QKJ38 QAN27:QAN38 PQR27:PQR38 PGV27:PGV38 OWZ27:OWZ38 OND27:OND38 ODH27:ODH38 NTL27:NTL38 NJP27:NJP38 MZT27:MZT38 MPX27:MPX38 MGB27:MGB38 LWF27:LWF38 LMJ27:LMJ38 LCN27:LCN38 KSR27:KSR38 KIV27:KIV38 JYZ27:JYZ38 JPD27:JPD38 JFH27:JFH38 IVL27:IVL38 ILP27:ILP38 IBT27:IBT38 HRX27:HRX38 HIB27:HIB38 GYF27:GYF38 GOJ27:GOJ38 GEN27:GEN38 FUR27:FUR38 FKV27:FKV38 FAZ27:FAZ38 ERD27:ERD38 EHH27:EHH38 DXL27:DXL38 DNP27:DNP38 DDT27:DDT38 CTX27:CTX38 CKB27:CKB38 CAF27:CAF38 BQJ27:BQJ38 BGN27:BGN38 AWR27:AWR38 AMV27:AMV38 ACZ27:ACZ38 TD27:TD38 N983090 N917554 N852018 N786482 N720946 N655410 N589874 N524338 N458802 N393266 N327730 N262194 N196658 N131122 N65586 M28:M38" xr:uid="{6DFC02B1-2C98-4765-AD3A-E87524D35CA6}">
      <formula1>0</formula1>
      <formula2>31</formula2>
    </dataValidation>
  </dataValidations>
  <pageMargins left="0.27559055118110237" right="0.27559055118110237" top="0.23622047244094491" bottom="0.43307086614173229" header="0.23622047244094491" footer="0.23622047244094491"/>
  <pageSetup paperSize="9" scale="70" orientation="portrait" r:id="rId1"/>
  <headerFooter alignWithMargins="0">
    <oddFooter>&amp;L&amp;Z&amp;F</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DB6E2-9FC5-4294-A697-08DF36C0881A}">
  <sheetPr codeName="Sheet1"/>
  <dimension ref="A1:D69"/>
  <sheetViews>
    <sheetView zoomScale="70" zoomScaleNormal="70" workbookViewId="0">
      <selection activeCell="P12" sqref="P12"/>
    </sheetView>
  </sheetViews>
  <sheetFormatPr defaultColWidth="9.21875" defaultRowHeight="14.4"/>
  <cols>
    <col min="1" max="2" width="12.77734375" style="86" bestFit="1" customWidth="1"/>
    <col min="3" max="16384" width="9.21875" style="88"/>
  </cols>
  <sheetData>
    <row r="1" spans="1:4">
      <c r="A1" s="351" t="s">
        <v>120</v>
      </c>
      <c r="B1" s="351"/>
      <c r="C1" s="351" t="s">
        <v>119</v>
      </c>
      <c r="D1" s="351"/>
    </row>
    <row r="2" spans="1:4" ht="15.6">
      <c r="A2" s="86" t="s">
        <v>118</v>
      </c>
      <c r="B2" s="87" t="s">
        <v>115</v>
      </c>
      <c r="C2" s="86" t="s">
        <v>118</v>
      </c>
      <c r="D2" s="87" t="s">
        <v>115</v>
      </c>
    </row>
    <row r="3" spans="1:4">
      <c r="A3" s="89">
        <v>0</v>
      </c>
      <c r="B3" s="89">
        <v>1.0001</v>
      </c>
      <c r="C3" s="88">
        <v>0</v>
      </c>
      <c r="D3" s="88">
        <f>266.98*C3^6-599.45*C3^5+524.06*C3^4-226.65*C3^3+52.691*C3^2-7.654*C3+0.9881</f>
        <v>0.98809999999999998</v>
      </c>
    </row>
    <row r="4" spans="1:4">
      <c r="A4" s="89">
        <v>7.0000000000000001E-3</v>
      </c>
      <c r="B4" s="89">
        <v>0.93969999999999998</v>
      </c>
      <c r="C4" s="88">
        <f>C3+0.005</f>
        <v>5.0000000000000001E-3</v>
      </c>
      <c r="D4" s="88">
        <f t="shared" ref="D4:D67" si="0">266.98*C4^6-599.45*C4^5+524.06*C4^4-226.65*C4^3+52.691*C4^2-7.654*C4+0.9881</f>
        <v>0.95111926941839031</v>
      </c>
    </row>
    <row r="5" spans="1:4">
      <c r="A5" s="89">
        <v>1.2999999999999999E-2</v>
      </c>
      <c r="B5" s="89">
        <v>0.90010000000000001</v>
      </c>
      <c r="C5" s="88">
        <f t="shared" ref="C5" si="1">C4+0.005</f>
        <v>0.01</v>
      </c>
      <c r="D5" s="88">
        <f t="shared" si="0"/>
        <v>0.91660763092197994</v>
      </c>
    </row>
    <row r="6" spans="1:4">
      <c r="A6" s="89">
        <v>2.23E-2</v>
      </c>
      <c r="B6" s="89">
        <v>0.84319999999999995</v>
      </c>
      <c r="C6" s="88">
        <f>C5+0.01</f>
        <v>0.02</v>
      </c>
      <c r="D6" s="88">
        <f t="shared" si="0"/>
        <v>0.85436514844671996</v>
      </c>
    </row>
    <row r="7" spans="1:4">
      <c r="A7" s="89">
        <v>3.2599999999999997E-2</v>
      </c>
      <c r="B7" s="89">
        <v>0.79610000000000003</v>
      </c>
      <c r="C7" s="88">
        <f t="shared" ref="C7:C14" si="2">C6+0.01</f>
        <v>0.03</v>
      </c>
      <c r="D7" s="88">
        <f t="shared" si="0"/>
        <v>0.80019246659342003</v>
      </c>
    </row>
    <row r="8" spans="1:4">
      <c r="A8" s="89">
        <v>4.4699999999999997E-2</v>
      </c>
      <c r="B8" s="89">
        <v>0.74590000000000001</v>
      </c>
      <c r="C8" s="88">
        <f t="shared" si="2"/>
        <v>0.04</v>
      </c>
      <c r="D8" s="88">
        <f t="shared" si="0"/>
        <v>0.75302130347008001</v>
      </c>
    </row>
    <row r="9" spans="1:4">
      <c r="A9" s="89">
        <v>5.57E-2</v>
      </c>
      <c r="B9" s="89">
        <v>0.70479999999999998</v>
      </c>
      <c r="C9" s="88">
        <f t="shared" si="2"/>
        <v>0.05</v>
      </c>
      <c r="D9" s="88">
        <f t="shared" si="0"/>
        <v>0.71188846843749998</v>
      </c>
    </row>
    <row r="10" spans="1:4">
      <c r="A10" s="89">
        <v>6.93E-2</v>
      </c>
      <c r="B10" s="89">
        <v>0.66359999999999997</v>
      </c>
      <c r="C10" s="88">
        <f t="shared" si="2"/>
        <v>6.0000000000000005E-2</v>
      </c>
      <c r="D10" s="88">
        <f t="shared" si="0"/>
        <v>0.67592934149887995</v>
      </c>
    </row>
    <row r="11" spans="1:4">
      <c r="A11" s="89">
        <v>8.7800000000000003E-2</v>
      </c>
      <c r="B11" s="89">
        <v>0.61199999999999999</v>
      </c>
      <c r="C11" s="88">
        <f t="shared" si="2"/>
        <v>7.0000000000000007E-2</v>
      </c>
      <c r="D11" s="88">
        <f t="shared" si="0"/>
        <v>0.64437154491501991</v>
      </c>
    </row>
    <row r="12" spans="1:4">
      <c r="A12" s="89">
        <v>0.10929999999999999</v>
      </c>
      <c r="B12" s="89">
        <v>0.55830000000000002</v>
      </c>
      <c r="C12" s="88">
        <f t="shared" si="2"/>
        <v>0.08</v>
      </c>
      <c r="D12" s="88">
        <f t="shared" si="0"/>
        <v>0.61652880704512003</v>
      </c>
    </row>
    <row r="13" spans="1:4">
      <c r="A13" s="89">
        <v>0.12230000000000001</v>
      </c>
      <c r="B13" s="89">
        <v>0.52929999999999999</v>
      </c>
      <c r="C13" s="88">
        <f>C12+0.01</f>
        <v>0.09</v>
      </c>
      <c r="D13" s="88">
        <f t="shared" si="0"/>
        <v>0.59179501841318005</v>
      </c>
    </row>
    <row r="14" spans="1:4">
      <c r="A14" s="89">
        <v>0.13689999999999999</v>
      </c>
      <c r="B14" s="89">
        <v>0.50009999999999999</v>
      </c>
      <c r="C14" s="88">
        <f t="shared" si="2"/>
        <v>9.9999999999999992E-2</v>
      </c>
      <c r="D14" s="88">
        <f t="shared" si="0"/>
        <v>0.56963848000000006</v>
      </c>
    </row>
    <row r="15" spans="1:4">
      <c r="A15" s="89">
        <v>0.16239999999999999</v>
      </c>
      <c r="B15" s="89">
        <v>0.45619999999999999</v>
      </c>
      <c r="C15" s="88">
        <f>C14+0.01</f>
        <v>0.10999999999999999</v>
      </c>
      <c r="D15" s="88">
        <f t="shared" si="0"/>
        <v>0.54959634376078004</v>
      </c>
    </row>
    <row r="16" spans="1:4">
      <c r="A16" s="89">
        <v>0.18870000000000001</v>
      </c>
      <c r="B16" s="89">
        <v>0.41620000000000001</v>
      </c>
      <c r="C16" s="88">
        <f t="shared" ref="C16:C69" si="3">C15+0.01</f>
        <v>0.11999999999999998</v>
      </c>
      <c r="D16" s="88">
        <f t="shared" si="0"/>
        <v>0.53126924536831999</v>
      </c>
    </row>
    <row r="17" spans="1:4">
      <c r="A17" s="89">
        <v>0.21379999999999999</v>
      </c>
      <c r="B17" s="89">
        <v>0.38279999999999997</v>
      </c>
      <c r="C17" s="88">
        <f t="shared" si="3"/>
        <v>0.12999999999999998</v>
      </c>
      <c r="D17" s="88">
        <f t="shared" si="0"/>
        <v>0.51431612918182013</v>
      </c>
    </row>
    <row r="18" spans="1:4">
      <c r="A18" s="89">
        <v>0.23710000000000001</v>
      </c>
      <c r="B18" s="89">
        <v>0.35449999999999998</v>
      </c>
      <c r="C18" s="88">
        <f t="shared" si="3"/>
        <v>0.13999999999999999</v>
      </c>
      <c r="D18" s="88">
        <f t="shared" si="0"/>
        <v>0.4984492654412801</v>
      </c>
    </row>
    <row r="19" spans="1:4">
      <c r="A19" s="89">
        <v>0.2621</v>
      </c>
      <c r="B19" s="89">
        <v>0.32700000000000001</v>
      </c>
      <c r="C19" s="88">
        <f t="shared" si="3"/>
        <v>0.15</v>
      </c>
      <c r="D19" s="88">
        <f t="shared" si="0"/>
        <v>0.48342945968749995</v>
      </c>
    </row>
    <row r="20" spans="1:4">
      <c r="A20" s="89">
        <v>0.29039999999999999</v>
      </c>
      <c r="B20" s="89">
        <v>0.30009999999999998</v>
      </c>
      <c r="C20" s="88">
        <f t="shared" si="3"/>
        <v>0.16</v>
      </c>
      <c r="D20" s="88">
        <f t="shared" si="0"/>
        <v>0.46906145440767999</v>
      </c>
    </row>
    <row r="21" spans="1:4">
      <c r="A21" s="89">
        <v>0.32819999999999999</v>
      </c>
      <c r="B21" s="89">
        <v>0.26829999999999998</v>
      </c>
      <c r="C21" s="88">
        <f t="shared" si="3"/>
        <v>0.17</v>
      </c>
      <c r="D21" s="88">
        <f t="shared" si="0"/>
        <v>0.45518952290661996</v>
      </c>
    </row>
    <row r="22" spans="1:4">
      <c r="A22" s="89">
        <v>0.3548</v>
      </c>
      <c r="B22" s="89">
        <v>0.2482</v>
      </c>
      <c r="C22" s="88">
        <f t="shared" si="3"/>
        <v>0.18000000000000002</v>
      </c>
      <c r="D22" s="88">
        <f t="shared" si="0"/>
        <v>0.44169325540352</v>
      </c>
    </row>
    <row r="23" spans="1:4">
      <c r="A23" s="89">
        <v>0.38390000000000002</v>
      </c>
      <c r="B23" s="89">
        <v>0.22850000000000001</v>
      </c>
      <c r="C23" s="88">
        <f t="shared" si="3"/>
        <v>0.19000000000000003</v>
      </c>
      <c r="D23" s="88">
        <f t="shared" si="0"/>
        <v>0.42848353735438005</v>
      </c>
    </row>
    <row r="24" spans="1:4">
      <c r="A24" s="89">
        <v>0.41410000000000002</v>
      </c>
      <c r="B24" s="89">
        <v>0.2114</v>
      </c>
      <c r="C24" s="88">
        <f t="shared" si="3"/>
        <v>0.20000000000000004</v>
      </c>
      <c r="D24" s="88">
        <f t="shared" si="0"/>
        <v>0.41549871999999999</v>
      </c>
    </row>
    <row r="25" spans="1:4">
      <c r="A25" s="89">
        <v>0.43769999999999998</v>
      </c>
      <c r="B25" s="89">
        <v>0.2001</v>
      </c>
      <c r="C25" s="88">
        <f t="shared" si="3"/>
        <v>0.21000000000000005</v>
      </c>
      <c r="D25" s="88">
        <f t="shared" si="0"/>
        <v>0.40270098313957936</v>
      </c>
    </row>
    <row r="26" spans="1:4">
      <c r="A26" s="89">
        <v>0.46360000000000001</v>
      </c>
      <c r="B26" s="89">
        <v>0.18770000000000001</v>
      </c>
      <c r="C26" s="88">
        <f t="shared" si="3"/>
        <v>0.22000000000000006</v>
      </c>
      <c r="D26" s="88">
        <f t="shared" si="0"/>
        <v>0.39007289012991975</v>
      </c>
    </row>
    <row r="27" spans="1:4">
      <c r="A27" s="89">
        <v>0.5</v>
      </c>
      <c r="B27" s="89">
        <v>0.1736</v>
      </c>
      <c r="C27" s="88">
        <f t="shared" si="3"/>
        <v>0.23000000000000007</v>
      </c>
      <c r="D27" s="88">
        <f t="shared" si="0"/>
        <v>0.37761413511021935</v>
      </c>
    </row>
    <row r="28" spans="1:4">
      <c r="A28" s="89">
        <v>0.54620000000000002</v>
      </c>
      <c r="B28" s="89">
        <v>0.16039999999999999</v>
      </c>
      <c r="C28" s="88">
        <f t="shared" si="3"/>
        <v>0.24000000000000007</v>
      </c>
      <c r="D28" s="88">
        <f t="shared" si="0"/>
        <v>0.36533848245247968</v>
      </c>
    </row>
    <row r="29" spans="1:4">
      <c r="A29" s="89">
        <v>0.57999999999999996</v>
      </c>
      <c r="B29" s="89">
        <v>0.15329999999999999</v>
      </c>
      <c r="C29" s="88">
        <f t="shared" si="3"/>
        <v>0.25000000000000006</v>
      </c>
      <c r="D29" s="88">
        <f t="shared" si="0"/>
        <v>0.35327089843749948</v>
      </c>
    </row>
    <row r="30" spans="1:4">
      <c r="A30" s="89">
        <v>0.5978</v>
      </c>
      <c r="B30" s="89">
        <v>0.151</v>
      </c>
      <c r="C30" s="88">
        <f t="shared" si="3"/>
        <v>0.26000000000000006</v>
      </c>
      <c r="D30" s="88">
        <f t="shared" si="0"/>
        <v>0.34144487515648003</v>
      </c>
    </row>
    <row r="31" spans="1:4">
      <c r="A31" s="89">
        <v>0.63029999999999997</v>
      </c>
      <c r="B31" s="89">
        <v>0.14990000000000001</v>
      </c>
      <c r="C31" s="88">
        <f t="shared" si="3"/>
        <v>0.27000000000000007</v>
      </c>
      <c r="D31" s="88">
        <f t="shared" si="0"/>
        <v>0.32989994663821975</v>
      </c>
    </row>
    <row r="32" spans="1:4">
      <c r="A32" s="89">
        <v>0.64839999999999998</v>
      </c>
      <c r="B32" s="89">
        <v>0.14910000000000001</v>
      </c>
      <c r="C32" s="88">
        <f t="shared" si="3"/>
        <v>0.28000000000000008</v>
      </c>
      <c r="D32" s="88">
        <f t="shared" si="0"/>
        <v>0.31867939720191951</v>
      </c>
    </row>
    <row r="33" spans="3:4">
      <c r="C33" s="88">
        <f t="shared" si="3"/>
        <v>0.29000000000000009</v>
      </c>
      <c r="D33" s="88">
        <f t="shared" si="0"/>
        <v>0.30782816203557961</v>
      </c>
    </row>
    <row r="34" spans="3:4">
      <c r="C34" s="88">
        <f t="shared" si="3"/>
        <v>0.3000000000000001</v>
      </c>
      <c r="D34" s="88">
        <f t="shared" si="0"/>
        <v>0.29739091999999956</v>
      </c>
    </row>
    <row r="35" spans="3:4">
      <c r="C35" s="88">
        <f t="shared" si="3"/>
        <v>0.31000000000000011</v>
      </c>
      <c r="D35" s="88">
        <f t="shared" si="0"/>
        <v>0.28741037865837993</v>
      </c>
    </row>
    <row r="36" spans="3:4">
      <c r="C36" s="88">
        <f t="shared" si="3"/>
        <v>0.32000000000000012</v>
      </c>
      <c r="D36" s="88">
        <f t="shared" si="0"/>
        <v>0.2779257515315201</v>
      </c>
    </row>
    <row r="37" spans="3:4">
      <c r="C37" s="88">
        <f t="shared" si="3"/>
        <v>0.33000000000000013</v>
      </c>
      <c r="D37" s="88">
        <f t="shared" si="0"/>
        <v>0.26897142757862036</v>
      </c>
    </row>
    <row r="38" spans="3:4">
      <c r="C38" s="88">
        <f>C37+0.01</f>
        <v>0.34000000000000014</v>
      </c>
      <c r="D38" s="88">
        <f t="shared" si="0"/>
        <v>0.26057583290367936</v>
      </c>
    </row>
    <row r="39" spans="3:4">
      <c r="C39" s="88">
        <f t="shared" si="3"/>
        <v>0.35000000000000014</v>
      </c>
      <c r="D39" s="88">
        <f t="shared" si="0"/>
        <v>0.25276048468749779</v>
      </c>
    </row>
    <row r="40" spans="3:4">
      <c r="C40" s="88">
        <f t="shared" si="3"/>
        <v>0.36000000000000015</v>
      </c>
      <c r="D40" s="88">
        <f t="shared" si="0"/>
        <v>0.24553923734527916</v>
      </c>
    </row>
    <row r="41" spans="3:4">
      <c r="C41" s="88">
        <f t="shared" si="3"/>
        <v>0.37000000000000016</v>
      </c>
      <c r="D41" s="88">
        <f t="shared" si="0"/>
        <v>0.23891772090981989</v>
      </c>
    </row>
    <row r="42" spans="3:4">
      <c r="C42" s="88">
        <f t="shared" si="3"/>
        <v>0.38000000000000017</v>
      </c>
      <c r="D42" s="88">
        <f t="shared" si="0"/>
        <v>0.23289297164031963</v>
      </c>
    </row>
    <row r="43" spans="3:4">
      <c r="C43" s="88">
        <f t="shared" si="3"/>
        <v>0.39000000000000018</v>
      </c>
      <c r="D43" s="88">
        <f t="shared" si="0"/>
        <v>0.22745325485677825</v>
      </c>
    </row>
    <row r="44" spans="3:4">
      <c r="C44" s="88">
        <f t="shared" si="3"/>
        <v>0.40000000000000019</v>
      </c>
      <c r="D44" s="88">
        <f t="shared" si="0"/>
        <v>0.22257807999999968</v>
      </c>
    </row>
    <row r="45" spans="3:4">
      <c r="C45" s="88">
        <f t="shared" si="3"/>
        <v>0.4100000000000002</v>
      </c>
      <c r="D45" s="88">
        <f t="shared" si="0"/>
        <v>0.21823840791717619</v>
      </c>
    </row>
    <row r="46" spans="3:4">
      <c r="C46" s="88">
        <f t="shared" si="3"/>
        <v>0.42000000000000021</v>
      </c>
      <c r="D46" s="88">
        <f t="shared" si="0"/>
        <v>0.2143970503731174</v>
      </c>
    </row>
    <row r="47" spans="3:4">
      <c r="C47" s="88">
        <f t="shared" si="3"/>
        <v>0.43000000000000022</v>
      </c>
      <c r="D47" s="88">
        <f t="shared" si="0"/>
        <v>0.21100926178701562</v>
      </c>
    </row>
    <row r="48" spans="3:4">
      <c r="C48" s="88">
        <f t="shared" si="3"/>
        <v>0.44000000000000022</v>
      </c>
      <c r="D48" s="88">
        <f t="shared" si="0"/>
        <v>0.20802352319487594</v>
      </c>
    </row>
    <row r="49" spans="3:4">
      <c r="C49" s="88">
        <f t="shared" si="3"/>
        <v>0.45000000000000023</v>
      </c>
      <c r="D49" s="88">
        <f t="shared" si="0"/>
        <v>0.20538251843749644</v>
      </c>
    </row>
    <row r="50" spans="3:4">
      <c r="C50" s="88">
        <f t="shared" si="3"/>
        <v>0.46000000000000024</v>
      </c>
      <c r="D50" s="88">
        <f t="shared" si="0"/>
        <v>0.20302430257407722</v>
      </c>
    </row>
    <row r="51" spans="3:4">
      <c r="C51" s="88">
        <f>C50+0.01</f>
        <v>0.47000000000000025</v>
      </c>
      <c r="D51" s="88">
        <f t="shared" si="0"/>
        <v>0.20088366252142342</v>
      </c>
    </row>
    <row r="52" spans="3:4">
      <c r="C52" s="88">
        <f t="shared" si="3"/>
        <v>0.48000000000000026</v>
      </c>
      <c r="D52" s="88">
        <f t="shared" si="0"/>
        <v>0.19889366991871538</v>
      </c>
    </row>
    <row r="53" spans="3:4">
      <c r="C53" s="88">
        <f t="shared" si="3"/>
        <v>0.49000000000000027</v>
      </c>
      <c r="D53" s="88">
        <f t="shared" si="0"/>
        <v>0.19698742621797538</v>
      </c>
    </row>
    <row r="54" spans="3:4">
      <c r="C54" s="88">
        <f t="shared" si="3"/>
        <v>0.50000000000000022</v>
      </c>
      <c r="D54" s="88">
        <f t="shared" si="0"/>
        <v>0.19509999999999184</v>
      </c>
    </row>
    <row r="55" spans="3:4">
      <c r="C55" s="88">
        <f t="shared" si="3"/>
        <v>0.51000000000000023</v>
      </c>
      <c r="D55" s="88">
        <f t="shared" si="0"/>
        <v>0.19317055651596804</v>
      </c>
    </row>
    <row r="56" spans="3:4">
      <c r="C56" s="88">
        <f t="shared" si="3"/>
        <v>0.52000000000000024</v>
      </c>
      <c r="D56" s="88">
        <f t="shared" si="0"/>
        <v>0.19114467945471048</v>
      </c>
    </row>
    <row r="57" spans="3:4">
      <c r="C57" s="88">
        <f t="shared" si="3"/>
        <v>0.53000000000000025</v>
      </c>
      <c r="D57" s="88">
        <f t="shared" si="0"/>
        <v>0.18897688493540854</v>
      </c>
    </row>
    <row r="58" spans="3:4">
      <c r="C58" s="88">
        <f t="shared" si="3"/>
        <v>0.54000000000000026</v>
      </c>
      <c r="D58" s="88">
        <f t="shared" si="0"/>
        <v>0.18663332772607855</v>
      </c>
    </row>
    <row r="59" spans="3:4">
      <c r="C59" s="88">
        <f t="shared" si="3"/>
        <v>0.55000000000000027</v>
      </c>
      <c r="D59" s="88">
        <f t="shared" si="0"/>
        <v>0.18409469968749081</v>
      </c>
    </row>
    <row r="60" spans="3:4">
      <c r="C60" s="88">
        <f t="shared" si="3"/>
        <v>0.56000000000000028</v>
      </c>
      <c r="D60" s="88">
        <f t="shared" si="0"/>
        <v>0.18135932044286718</v>
      </c>
    </row>
    <row r="61" spans="3:4">
      <c r="C61" s="88">
        <f t="shared" si="3"/>
        <v>0.57000000000000028</v>
      </c>
      <c r="D61" s="88">
        <f t="shared" si="0"/>
        <v>0.17844642027300384</v>
      </c>
    </row>
    <row r="62" spans="3:4">
      <c r="C62" s="88">
        <f t="shared" si="3"/>
        <v>0.58000000000000029</v>
      </c>
      <c r="D62" s="88">
        <f t="shared" si="0"/>
        <v>0.17539961523711223</v>
      </c>
    </row>
    <row r="63" spans="3:4">
      <c r="C63" s="88">
        <f>C62+0.01</f>
        <v>0.5900000000000003</v>
      </c>
      <c r="D63" s="88">
        <f t="shared" si="0"/>
        <v>0.1722905745191754</v>
      </c>
    </row>
    <row r="64" spans="3:4">
      <c r="C64" s="88">
        <f t="shared" si="3"/>
        <v>0.60000000000000031</v>
      </c>
      <c r="D64" s="88">
        <f t="shared" si="0"/>
        <v>0.16922287999998864</v>
      </c>
    </row>
    <row r="65" spans="3:4">
      <c r="C65" s="88">
        <f t="shared" si="3"/>
        <v>0.61000000000000032</v>
      </c>
      <c r="D65" s="88">
        <f t="shared" si="0"/>
        <v>0.16633607805476625</v>
      </c>
    </row>
    <row r="66" spans="3:4">
      <c r="C66" s="88">
        <f t="shared" si="3"/>
        <v>0.62000000000000033</v>
      </c>
      <c r="D66" s="88">
        <f t="shared" si="0"/>
        <v>0.16380992357631885</v>
      </c>
    </row>
    <row r="67" spans="3:4">
      <c r="C67" s="88">
        <f t="shared" si="3"/>
        <v>0.63000000000000034</v>
      </c>
      <c r="D67" s="88">
        <f t="shared" si="0"/>
        <v>0.16186881622379423</v>
      </c>
    </row>
    <row r="68" spans="3:4">
      <c r="C68" s="88">
        <f t="shared" si="3"/>
        <v>0.64000000000000035</v>
      </c>
      <c r="D68" s="88">
        <f t="shared" ref="D68:D69" si="4">266.98*C68^6-599.45*C68^5+524.06*C68^4-226.65*C68^3+52.691*C68^2-7.654*C68+0.9881</f>
        <v>0.16078642889725514</v>
      </c>
    </row>
    <row r="69" spans="3:4">
      <c r="C69" s="88">
        <f t="shared" si="3"/>
        <v>0.65000000000000036</v>
      </c>
      <c r="D69" s="88">
        <f t="shared" si="4"/>
        <v>0.16089052843749019</v>
      </c>
    </row>
  </sheetData>
  <mergeCells count="2">
    <mergeCell ref="C1:D1"/>
    <mergeCell ref="A1:B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Misc</vt:lpstr>
      <vt:lpstr>Design Criteria</vt:lpstr>
      <vt:lpstr>Input</vt:lpstr>
      <vt:lpstr>Design of Crump</vt:lpstr>
      <vt:lpstr>Stilling Basin</vt:lpstr>
      <vt:lpstr>MRCurve</vt:lpstr>
      <vt:lpstr>Backwater</vt:lpstr>
      <vt:lpstr>Charact. CDG</vt:lpstr>
      <vt:lpstr>Backwater!Print_Area</vt:lpstr>
      <vt:lpstr>'Design Criteria'!Print_Area</vt:lpstr>
      <vt:lpstr>'Design of Crump'!Print_Area</vt:lpstr>
      <vt:lpstr>Input!Print_Area</vt:lpstr>
      <vt:lpstr>MRCurve!Print_Area</vt:lpstr>
      <vt:lpstr>'Stilling Basin'!Print_Area</vt:lpstr>
      <vt:lpstr>Backwater!Print_Titles</vt:lpstr>
      <vt:lpstr>'Design Criteria'!Print_Titles</vt:lpstr>
      <vt:lpstr>'Design of Crump'!Print_Titles</vt:lpstr>
      <vt:lpstr>Input!Print_Titles</vt:lpstr>
      <vt:lpstr>MRCurve!Print_Titles</vt:lpstr>
      <vt:lpstr>'Stilling Basin'!Print_Titles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dc:creator>
  <cp:lastModifiedBy>Heri Purnama</cp:lastModifiedBy>
  <cp:lastPrinted>2023-09-02T15:04:58Z</cp:lastPrinted>
  <dcterms:created xsi:type="dcterms:W3CDTF">2006-08-06T19:52:04Z</dcterms:created>
  <dcterms:modified xsi:type="dcterms:W3CDTF">2024-09-10T03:50:54Z</dcterms:modified>
</cp:coreProperties>
</file>