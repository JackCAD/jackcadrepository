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5BA85F46-528A-4086-815D-1E6398C52F7D}" xr6:coauthVersionLast="47" xr6:coauthVersionMax="47" xr10:uidLastSave="{00000000-0000-0000-0000-000000000000}"/>
  <bookViews>
    <workbookView xWindow="-28920" yWindow="-120" windowWidth="29040" windowHeight="15840" tabRatio="683" activeTab="1" xr2:uid="{40B5AE11-0664-44B9-9B40-F7A9D9F686DC}"/>
  </bookViews>
  <sheets>
    <sheet name="InitailInput" sheetId="15" r:id="rId1"/>
    <sheet name="Slide Gate" sheetId="4" r:id="rId2"/>
    <sheet name="MRCurve" sheetId="3" r:id="rId3"/>
    <sheet name="Input_SB" sheetId="5" r:id="rId4"/>
    <sheet name="Condition 1" sheetId="6" r:id="rId5"/>
    <sheet name="Condition 2" sheetId="7" r:id="rId6"/>
    <sheet name="Condition 3" sheetId="8" r:id="rId7"/>
    <sheet name="Outputs" sheetId="9" r:id="rId8"/>
    <sheet name="Jump Lookup" sheetId="10" state="hidden" r:id="rId9"/>
    <sheet name="Calc" sheetId="11" r:id="rId10"/>
    <sheet name="Type III Lookup" sheetId="13" state="hidden" r:id="rId11"/>
    <sheet name="Type IV Lookup" sheetId="14" state="hidden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acr">#REF!</definedName>
    <definedName name="ag">[1]Variables!$F$20</definedName>
    <definedName name="As">#REF!</definedName>
    <definedName name="Asm">#REF!</definedName>
    <definedName name="b" localSheetId="0">#REF!</definedName>
    <definedName name="b" localSheetId="1">'Slide Gate'!$F$28</definedName>
    <definedName name="b">#REF!</definedName>
    <definedName name="cmin">#REF!</definedName>
    <definedName name="cw">#REF!</definedName>
    <definedName name="d">#REF!</definedName>
    <definedName name="Dc">[1]Variables!$F$25</definedName>
    <definedName name="diam">#REF!</definedName>
    <definedName name="Ec">#REF!</definedName>
    <definedName name="Es">#REF!</definedName>
    <definedName name="fc">#REF!</definedName>
    <definedName name="fcu">#REF!</definedName>
    <definedName name="fs">#REF!</definedName>
    <definedName name="fy">#REF!</definedName>
    <definedName name="g">[2]Constants!$D$4</definedName>
    <definedName name="h">[2]Constants!$C$6</definedName>
    <definedName name="hh">#REF!</definedName>
    <definedName name="Ia">[2]Constants!$C$3</definedName>
    <definedName name="Iv">[2]Constants!$C$2</definedName>
    <definedName name="L">[1]Variables!$L$15</definedName>
    <definedName name="Lm">[1]Variables!$L$15</definedName>
    <definedName name="M">#REF!</definedName>
    <definedName name="n">[1]Variables!$F$15</definedName>
    <definedName name="_xlnm.Print_Area" localSheetId="9">Calc!$A$1:$Q$124</definedName>
    <definedName name="_xlnm.Print_Area" localSheetId="4">'Condition 1'!$A$1:$Q$47</definedName>
    <definedName name="_xlnm.Print_Area" localSheetId="5">'Condition 2'!$A$1:$Q$47</definedName>
    <definedName name="_xlnm.Print_Area" localSheetId="6">'Condition 3'!$A$1:$Q$47</definedName>
    <definedName name="_xlnm.Print_Area" localSheetId="0">InitailInput!$A$1:$Q$48</definedName>
    <definedName name="_xlnm.Print_Area" localSheetId="3">Input_SB!$A$1:$Q$103</definedName>
    <definedName name="_xlnm.Print_Area" localSheetId="2">MRCurve!$A$1:$Q$47</definedName>
    <definedName name="_xlnm.Print_Area" localSheetId="7">Outputs!$A$1:$Q$43</definedName>
    <definedName name="_xlnm.Print_Area" localSheetId="1">'Slide Gate'!$A$1:$Q$84</definedName>
    <definedName name="_xlnm.Print_Titles" localSheetId="9">Calc!$1:$7</definedName>
    <definedName name="_xlnm.Print_Titles" localSheetId="4">'Condition 1'!$1:$7</definedName>
    <definedName name="_xlnm.Print_Titles" localSheetId="5">'Condition 2'!$1:$7</definedName>
    <definedName name="_xlnm.Print_Titles" localSheetId="6">'Condition 3'!$1:$7</definedName>
    <definedName name="_xlnm.Print_Titles" localSheetId="0">InitailInput!$1:$7</definedName>
    <definedName name="_xlnm.Print_Titles" localSheetId="3">Input_SB!$1:$7</definedName>
    <definedName name="_xlnm.Print_Titles" localSheetId="2">MRCurve!$1:$7</definedName>
    <definedName name="_xlnm.Print_Titles" localSheetId="7">Outputs!$1:$7</definedName>
    <definedName name="_xlnm.Print_Titles" localSheetId="1">'Slide Gate'!$1:$7</definedName>
    <definedName name="Q" localSheetId="1">'Slide Gate'!$F$28</definedName>
    <definedName name="Q">#REF!</definedName>
    <definedName name="rho">#REF!</definedName>
    <definedName name="Sc">[1]Variables!$F$29</definedName>
    <definedName name="sg">[1]Variables!#REF!</definedName>
    <definedName name="sp">#REF!</definedName>
    <definedName name="T">#REF!</definedName>
    <definedName name="Tl">[1]Variables!$F$19</definedName>
    <definedName name="w">[1]Variables!#REF!</definedName>
    <definedName name="x">[2]Constants!$C$7</definedName>
    <definedName name="xx">#REF!</definedName>
    <definedName name="y">[2]Constants!$C$8</definedName>
    <definedName name="z">#REF!</definedName>
  </definedNames>
  <calcPr calcId="191029" iterate="1" iterateDelta="1E-4"/>
</workbook>
</file>

<file path=xl/calcChain.xml><?xml version="1.0" encoding="utf-8"?>
<calcChain xmlns="http://schemas.openxmlformats.org/spreadsheetml/2006/main">
  <c r="F18" i="15" l="1"/>
  <c r="F29" i="15"/>
  <c r="F28" i="4" l="1"/>
  <c r="F29" i="4"/>
  <c r="F30" i="4"/>
  <c r="F16" i="5"/>
  <c r="L4" i="9"/>
  <c r="L4" i="11" l="1"/>
  <c r="F104" i="11"/>
  <c r="F102" i="11"/>
  <c r="F100" i="11"/>
  <c r="F101" i="11" s="1"/>
  <c r="F97" i="11"/>
  <c r="F89" i="11"/>
  <c r="F87" i="11"/>
  <c r="F85" i="11"/>
  <c r="F79" i="11"/>
  <c r="F77" i="11"/>
  <c r="F75" i="11"/>
  <c r="F73" i="11"/>
  <c r="F70" i="11"/>
  <c r="F64" i="11"/>
  <c r="F18" i="11"/>
  <c r="F16" i="11"/>
  <c r="F15" i="11"/>
  <c r="F32" i="15"/>
  <c r="H15" i="3" s="1"/>
  <c r="F26" i="15"/>
  <c r="F21" i="15"/>
  <c r="F15" i="15"/>
  <c r="F18" i="5" s="1"/>
  <c r="F52" i="5"/>
  <c r="S52" i="5" s="1"/>
  <c r="F42" i="5"/>
  <c r="S42" i="5" s="1"/>
  <c r="I26" i="5"/>
  <c r="I30" i="11" s="1"/>
  <c r="F21" i="5"/>
  <c r="F19" i="11" s="1"/>
  <c r="F13" i="7"/>
  <c r="F14" i="5"/>
  <c r="F87" i="5" s="1"/>
  <c r="H17" i="3"/>
  <c r="E26" i="3" s="1"/>
  <c r="H14" i="3"/>
  <c r="H13" i="3"/>
  <c r="H12" i="3"/>
  <c r="F33" i="4"/>
  <c r="F32" i="4"/>
  <c r="F48" i="4"/>
  <c r="F60" i="4" s="1"/>
  <c r="I6" i="5"/>
  <c r="I6" i="7" s="1"/>
  <c r="L5" i="5"/>
  <c r="L5" i="7" s="1"/>
  <c r="I5" i="5"/>
  <c r="I5" i="7" s="1"/>
  <c r="L4" i="5"/>
  <c r="L4" i="6" s="1"/>
  <c r="L4" i="7" s="1"/>
  <c r="B2" i="5"/>
  <c r="B2" i="6" s="1"/>
  <c r="B2" i="7" s="1"/>
  <c r="B2" i="8" s="1"/>
  <c r="B2" i="9" s="1"/>
  <c r="B2" i="11" s="1"/>
  <c r="B2" i="4"/>
  <c r="L4" i="3"/>
  <c r="L5" i="3"/>
  <c r="I6" i="3"/>
  <c r="I5" i="3"/>
  <c r="B2" i="3"/>
  <c r="F11" i="14"/>
  <c r="F12" i="14" s="1"/>
  <c r="S15" i="11"/>
  <c r="R18" i="11"/>
  <c r="S21" i="11"/>
  <c r="S22" i="11"/>
  <c r="F58" i="11"/>
  <c r="F74" i="11"/>
  <c r="F76" i="11"/>
  <c r="F78" i="11"/>
  <c r="F80" i="11"/>
  <c r="D13" i="9"/>
  <c r="L4" i="8"/>
  <c r="F31" i="8"/>
  <c r="F14" i="7"/>
  <c r="F31" i="7"/>
  <c r="F31" i="6"/>
  <c r="L6" i="7"/>
  <c r="F62" i="5"/>
  <c r="S62" i="5" s="1"/>
  <c r="D68" i="5"/>
  <c r="D12" i="9" s="1"/>
  <c r="D70" i="5"/>
  <c r="D14" i="9" s="1"/>
  <c r="D26" i="3"/>
  <c r="D27" i="3" s="1"/>
  <c r="D28" i="3" s="1"/>
  <c r="D29" i="3" s="1"/>
  <c r="D30" i="3" s="1"/>
  <c r="D31" i="3" s="1"/>
  <c r="D32" i="3" s="1"/>
  <c r="D33" i="3" s="1"/>
  <c r="D34" i="3" s="1"/>
  <c r="D35" i="3" s="1"/>
  <c r="F68" i="11"/>
  <c r="F71" i="11"/>
  <c r="H16" i="3" l="1"/>
  <c r="I25" i="3" s="1"/>
  <c r="F26" i="5" s="1"/>
  <c r="F30" i="11" s="1"/>
  <c r="T30" i="11" s="1"/>
  <c r="I5" i="11"/>
  <c r="L5" i="11"/>
  <c r="I6" i="11"/>
  <c r="F69" i="11"/>
  <c r="F54" i="5"/>
  <c r="F47" i="11"/>
  <c r="F37" i="15"/>
  <c r="F19" i="5"/>
  <c r="V43" i="5"/>
  <c r="V53" i="5" s="1"/>
  <c r="W53" i="5" s="1"/>
  <c r="V63" i="5"/>
  <c r="W63" i="5" s="1"/>
  <c r="G25" i="3"/>
  <c r="T43" i="5"/>
  <c r="T53" i="5" s="1"/>
  <c r="T63" i="5" s="1"/>
  <c r="F82" i="5"/>
  <c r="F74" i="5"/>
  <c r="F81" i="5" s="1"/>
  <c r="F12" i="7" s="1"/>
  <c r="F25" i="3"/>
  <c r="N25" i="3"/>
  <c r="F47" i="4"/>
  <c r="F13" i="8"/>
  <c r="L6" i="8"/>
  <c r="F91" i="11"/>
  <c r="T22" i="11" s="1"/>
  <c r="F106" i="11"/>
  <c r="F14" i="8"/>
  <c r="F14" i="6"/>
  <c r="F13" i="6"/>
  <c r="I6" i="8"/>
  <c r="L6" i="6"/>
  <c r="L5" i="8"/>
  <c r="I6" i="6"/>
  <c r="I5" i="8"/>
  <c r="L5" i="6"/>
  <c r="I5" i="6"/>
  <c r="I6" i="9"/>
  <c r="L5" i="9"/>
  <c r="I5" i="9"/>
  <c r="F26" i="3"/>
  <c r="E27" i="3"/>
  <c r="I26" i="3"/>
  <c r="F27" i="5" s="1"/>
  <c r="F31" i="11" s="1"/>
  <c r="G26" i="3"/>
  <c r="N26" i="3"/>
  <c r="F46" i="4"/>
  <c r="F31" i="4" l="1"/>
  <c r="F55" i="4" s="1"/>
  <c r="S55" i="4" s="1"/>
  <c r="F76" i="5"/>
  <c r="F12" i="6" s="1"/>
  <c r="F86" i="5"/>
  <c r="F50" i="4"/>
  <c r="F49" i="4"/>
  <c r="F51" i="4" s="1"/>
  <c r="W43" i="5"/>
  <c r="F77" i="5"/>
  <c r="H25" i="3"/>
  <c r="G26" i="5" s="1"/>
  <c r="G30" i="11" s="1"/>
  <c r="F22" i="6"/>
  <c r="F23" i="6" s="1"/>
  <c r="X53" i="5"/>
  <c r="Y53" i="5" s="1"/>
  <c r="X63" i="5"/>
  <c r="Y63" i="5" s="1"/>
  <c r="F63" i="5" s="1"/>
  <c r="F15" i="8" s="1"/>
  <c r="F24" i="8" s="1"/>
  <c r="F26" i="8" s="1"/>
  <c r="X43" i="5"/>
  <c r="Y43" i="5" s="1"/>
  <c r="F43" i="5" s="1"/>
  <c r="F15" i="6" s="1"/>
  <c r="F24" i="6" s="1"/>
  <c r="F26" i="6" s="1"/>
  <c r="F12" i="8"/>
  <c r="R15" i="11"/>
  <c r="U15" i="11"/>
  <c r="T15" i="11" s="1"/>
  <c r="V15" i="11" s="1"/>
  <c r="F22" i="7"/>
  <c r="I27" i="3"/>
  <c r="F28" i="5" s="1"/>
  <c r="F32" i="11" s="1"/>
  <c r="N27" i="3"/>
  <c r="E28" i="3"/>
  <c r="G27" i="3"/>
  <c r="F27" i="3"/>
  <c r="H26" i="3"/>
  <c r="F53" i="5" l="1"/>
  <c r="R53" i="5" s="1"/>
  <c r="F64" i="5"/>
  <c r="F58" i="4"/>
  <c r="F62" i="4"/>
  <c r="F22" i="8"/>
  <c r="F15" i="7"/>
  <c r="F24" i="7" s="1"/>
  <c r="F26" i="7" s="1"/>
  <c r="K26" i="3"/>
  <c r="G27" i="5"/>
  <c r="G31" i="11" s="1"/>
  <c r="F46" i="11"/>
  <c r="F23" i="7"/>
  <c r="F23" i="8"/>
  <c r="H27" i="3"/>
  <c r="F28" i="3"/>
  <c r="N28" i="3"/>
  <c r="G28" i="3"/>
  <c r="E29" i="3"/>
  <c r="I28" i="3"/>
  <c r="F29" i="5" s="1"/>
  <c r="F33" i="11" s="1"/>
  <c r="F59" i="4" l="1"/>
  <c r="F61" i="4" s="1"/>
  <c r="F44" i="5"/>
  <c r="K27" i="3"/>
  <c r="G28" i="5"/>
  <c r="G32" i="11" s="1"/>
  <c r="M26" i="3"/>
  <c r="I27" i="5"/>
  <c r="I31" i="11" s="1"/>
  <c r="H28" i="3"/>
  <c r="F29" i="3"/>
  <c r="G29" i="3"/>
  <c r="N29" i="3"/>
  <c r="E30" i="3"/>
  <c r="I29" i="3"/>
  <c r="F30" i="5" s="1"/>
  <c r="F34" i="11" s="1"/>
  <c r="K28" i="3" l="1"/>
  <c r="G29" i="5"/>
  <c r="G33" i="11" s="1"/>
  <c r="M27" i="3"/>
  <c r="I28" i="5"/>
  <c r="I32" i="11" s="1"/>
  <c r="G30" i="3"/>
  <c r="I30" i="3"/>
  <c r="F31" i="5" s="1"/>
  <c r="F35" i="11" s="1"/>
  <c r="F30" i="3"/>
  <c r="N30" i="3"/>
  <c r="E31" i="3"/>
  <c r="H29" i="3"/>
  <c r="K29" i="3" l="1"/>
  <c r="G30" i="5"/>
  <c r="G34" i="11" s="1"/>
  <c r="H30" i="3"/>
  <c r="M28" i="3"/>
  <c r="I29" i="5"/>
  <c r="I33" i="11" s="1"/>
  <c r="G31" i="3"/>
  <c r="N31" i="3"/>
  <c r="I31" i="3"/>
  <c r="F32" i="5" s="1"/>
  <c r="F36" i="11" s="1"/>
  <c r="E32" i="3"/>
  <c r="F31" i="3"/>
  <c r="M29" i="3" l="1"/>
  <c r="I30" i="5"/>
  <c r="I34" i="11" s="1"/>
  <c r="K30" i="3"/>
  <c r="G31" i="5"/>
  <c r="G35" i="11" s="1"/>
  <c r="H31" i="3"/>
  <c r="E33" i="3"/>
  <c r="N32" i="3"/>
  <c r="G32" i="3"/>
  <c r="F32" i="3"/>
  <c r="I32" i="3"/>
  <c r="F33" i="5" s="1"/>
  <c r="F37" i="11" s="1"/>
  <c r="M30" i="3" l="1"/>
  <c r="I31" i="5"/>
  <c r="I35" i="11" s="1"/>
  <c r="K31" i="3"/>
  <c r="G32" i="5"/>
  <c r="G36" i="11" s="1"/>
  <c r="H32" i="3"/>
  <c r="N33" i="3"/>
  <c r="F33" i="3"/>
  <c r="G33" i="3"/>
  <c r="E34" i="3"/>
  <c r="I33" i="3"/>
  <c r="F34" i="5" s="1"/>
  <c r="F38" i="11" s="1"/>
  <c r="K32" i="3" l="1"/>
  <c r="G33" i="5"/>
  <c r="G37" i="11" s="1"/>
  <c r="M31" i="3"/>
  <c r="I32" i="5"/>
  <c r="I36" i="11" s="1"/>
  <c r="G34" i="3"/>
  <c r="F34" i="3"/>
  <c r="E35" i="3"/>
  <c r="I34" i="3"/>
  <c r="F35" i="5" s="1"/>
  <c r="F39" i="11" s="1"/>
  <c r="N34" i="3"/>
  <c r="H33" i="3"/>
  <c r="K33" i="3" l="1"/>
  <c r="G34" i="5"/>
  <c r="G38" i="11" s="1"/>
  <c r="M32" i="3"/>
  <c r="I33" i="5"/>
  <c r="I37" i="11" s="1"/>
  <c r="H34" i="3"/>
  <c r="N35" i="3"/>
  <c r="F35" i="3"/>
  <c r="G35" i="3"/>
  <c r="I35" i="3"/>
  <c r="F36" i="5" s="1"/>
  <c r="F40" i="11" s="1"/>
  <c r="K34" i="3" l="1"/>
  <c r="G35" i="5"/>
  <c r="G39" i="11" s="1"/>
  <c r="M33" i="3"/>
  <c r="I34" i="5"/>
  <c r="I38" i="11" s="1"/>
  <c r="H35" i="3"/>
  <c r="K35" i="3" l="1"/>
  <c r="G36" i="5"/>
  <c r="M34" i="3"/>
  <c r="I35" i="5"/>
  <c r="I39" i="11" s="1"/>
  <c r="F78" i="5"/>
  <c r="F88" i="5"/>
  <c r="F79" i="5"/>
  <c r="F89" i="5"/>
  <c r="F84" i="5"/>
  <c r="F83" i="5"/>
  <c r="F93" i="5" l="1"/>
  <c r="F95" i="5" s="1"/>
  <c r="F17" i="7"/>
  <c r="F25" i="7" s="1"/>
  <c r="F17" i="6"/>
  <c r="F25" i="6" s="1"/>
  <c r="F16" i="6"/>
  <c r="F94" i="5"/>
  <c r="F96" i="5" s="1"/>
  <c r="F17" i="8"/>
  <c r="F25" i="8" s="1"/>
  <c r="G40" i="11"/>
  <c r="M35" i="3"/>
  <c r="I36" i="5"/>
  <c r="I40" i="11" s="1"/>
  <c r="F27" i="6" l="1"/>
  <c r="F28" i="6" s="1"/>
  <c r="F32" i="6" s="1"/>
  <c r="F98" i="5"/>
  <c r="F16" i="8" s="1"/>
  <c r="F27" i="8" s="1"/>
  <c r="F28" i="8" s="1"/>
  <c r="F32" i="8" s="1"/>
  <c r="F97" i="5"/>
  <c r="F16" i="7" s="1"/>
  <c r="F27" i="7" s="1"/>
  <c r="F28" i="7" s="1"/>
  <c r="F29" i="6" l="1"/>
  <c r="S31" i="6" s="1"/>
  <c r="F29" i="8"/>
  <c r="S31" i="8" s="1"/>
  <c r="F29" i="7"/>
  <c r="S31" i="7" s="1"/>
  <c r="F32" i="7"/>
  <c r="F26" i="9" s="1"/>
  <c r="F34" i="6"/>
  <c r="F38" i="6"/>
  <c r="F39" i="6" s="1"/>
  <c r="F33" i="6"/>
  <c r="F33" i="8"/>
  <c r="F38" i="8"/>
  <c r="F39" i="8" s="1"/>
  <c r="F34" i="8"/>
  <c r="F34" i="9" l="1"/>
  <c r="F27" i="9"/>
  <c r="F40" i="6"/>
  <c r="F35" i="6"/>
  <c r="F36" i="6" s="1"/>
  <c r="F37" i="6" s="1"/>
  <c r="F34" i="7"/>
  <c r="F38" i="7"/>
  <c r="F39" i="7" s="1"/>
  <c r="F40" i="7" s="1"/>
  <c r="F33" i="7"/>
  <c r="F35" i="8"/>
  <c r="F36" i="8" s="1"/>
  <c r="F37" i="8" s="1"/>
  <c r="F40" i="8"/>
  <c r="F42" i="8"/>
  <c r="F41" i="8"/>
  <c r="F41" i="6"/>
  <c r="F42" i="6"/>
  <c r="F18" i="9" l="1"/>
  <c r="F20" i="9" s="1"/>
  <c r="F21" i="9" s="1"/>
  <c r="F43" i="6"/>
  <c r="F35" i="7"/>
  <c r="F36" i="7" s="1"/>
  <c r="F37" i="7" s="1"/>
  <c r="F45" i="6"/>
  <c r="F44" i="6"/>
  <c r="F43" i="8"/>
  <c r="F44" i="8"/>
  <c r="F45" i="8"/>
  <c r="F46" i="8"/>
  <c r="F41" i="7"/>
  <c r="F42" i="7"/>
  <c r="F46" i="6"/>
  <c r="F17" i="11" l="1"/>
  <c r="F23" i="9"/>
  <c r="F24" i="9" s="1"/>
  <c r="F19" i="9"/>
  <c r="F47" i="6"/>
  <c r="F43" i="7"/>
  <c r="F32" i="9" s="1"/>
  <c r="F44" i="7"/>
  <c r="F45" i="7"/>
  <c r="F47" i="8"/>
  <c r="F46" i="7"/>
  <c r="F13" i="11" l="1"/>
  <c r="T19" i="9"/>
  <c r="T18" i="9"/>
  <c r="F48" i="11"/>
  <c r="F95" i="11" s="1"/>
  <c r="F47" i="7"/>
  <c r="F29" i="9" s="1"/>
  <c r="F30" i="9" l="1"/>
  <c r="F36" i="9"/>
  <c r="F49" i="11"/>
  <c r="F50" i="11" s="1"/>
  <c r="F51" i="11" s="1"/>
  <c r="F98" i="11"/>
  <c r="F62" i="11"/>
  <c r="F55" i="11"/>
  <c r="F84" i="11" l="1"/>
  <c r="F86" i="11" s="1"/>
  <c r="F88" i="11" s="1"/>
  <c r="F72" i="11"/>
  <c r="F90" i="11"/>
  <c r="F99" i="11"/>
  <c r="F52" i="11"/>
  <c r="F53" i="11" l="1"/>
  <c r="F57" i="11"/>
  <c r="F96" i="11"/>
  <c r="F63" i="11"/>
  <c r="T21" i="11"/>
  <c r="R23" i="11"/>
  <c r="F103" i="11"/>
  <c r="F105" i="11"/>
  <c r="F56" i="11"/>
  <c r="F54" i="11"/>
  <c r="S54" i="11" l="1"/>
  <c r="R17" i="11" s="1"/>
  <c r="G4" i="11" l="1"/>
  <c r="G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Brauders, Neill M</author>
  </authors>
  <commentList>
    <comment ref="F20" authorId="0" shapeId="0" xr:uid="{60AAA77C-9A01-4B2C-8896-36A25F822AC3}">
      <text>
        <r>
          <rPr>
            <b/>
            <sz val="9"/>
            <color indexed="81"/>
            <rFont val="Tahoma"/>
            <family val="2"/>
          </rPr>
          <t>Brauders, Neill M:</t>
        </r>
        <r>
          <rPr>
            <sz val="9"/>
            <color indexed="81"/>
            <rFont val="Tahoma"/>
            <family val="2"/>
          </rPr>
          <t xml:space="preserve">
Change the first number in this formula to equal the value  in L18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HAR34379</author>
    <author>har34379</author>
    <author>Brauders, Neill M</author>
  </authors>
  <commentList>
    <comment ref="R23" authorId="0" shapeId="0" xr:uid="{8BEB9B4A-7D92-4B40-9E31-E51B68E8EB80}">
      <text>
        <r>
          <rPr>
            <b/>
            <sz val="8"/>
            <color indexed="81"/>
            <rFont val="Tahoma"/>
            <family val="2"/>
          </rPr>
          <t>Must be between 0.375 and 0.5</t>
        </r>
      </text>
    </comment>
    <comment ref="F24" authorId="0" shapeId="0" xr:uid="{2A1D0C1D-CB3E-42D2-81E9-8E10A0BE38A0}">
      <text>
        <r>
          <rPr>
            <b/>
            <sz val="8"/>
            <color indexed="81"/>
            <rFont val="Tahoma"/>
            <family val="2"/>
          </rPr>
          <t>USBR Recommends 0.15 however use to allow Nes as round number</t>
        </r>
      </text>
    </comment>
    <comment ref="R24" authorId="0" shapeId="0" xr:uid="{7BCB7D71-8480-44A6-8BA8-7393D853FD09}">
      <text>
        <r>
          <rPr>
            <b/>
            <sz val="8"/>
            <color indexed="81"/>
            <rFont val="Tahoma"/>
            <family val="2"/>
          </rPr>
          <t>Must be between 0.375 and 0.5</t>
        </r>
      </text>
    </comment>
    <comment ref="F25" authorId="1" shapeId="0" xr:uid="{E7EB4B1F-5F3C-4560-A17F-3E44683103FE}">
      <text>
        <r>
          <rPr>
            <b/>
            <sz val="8"/>
            <color indexed="81"/>
            <rFont val="Tahoma"/>
            <family val="2"/>
          </rPr>
          <t>For use only in Type II Basins</t>
        </r>
      </text>
    </comment>
    <comment ref="R25" authorId="0" shapeId="0" xr:uid="{42CA6534-3E13-48B6-9DC6-086242CFD864}">
      <text>
        <r>
          <rPr>
            <b/>
            <sz val="8"/>
            <color indexed="81"/>
            <rFont val="Tahoma"/>
            <family val="2"/>
          </rPr>
          <t>Must be between 0.375 and 0.5</t>
        </r>
      </text>
    </comment>
    <comment ref="M64" authorId="2" shapeId="0" xr:uid="{CA4D78A2-94FC-48E3-8A81-DA388699B410}">
      <text>
        <r>
          <rPr>
            <b/>
            <sz val="9"/>
            <color indexed="81"/>
            <rFont val="Tahoma"/>
            <family val="2"/>
          </rPr>
          <t>Brauders, Neill M:</t>
        </r>
        <r>
          <rPr>
            <sz val="9"/>
            <color indexed="81"/>
            <rFont val="Tahoma"/>
            <family val="2"/>
          </rPr>
          <t xml:space="preserve">
change this to make sure L equalls Lp
</t>
        </r>
      </text>
    </comment>
    <comment ref="M73" authorId="2" shapeId="0" xr:uid="{DEEFCDE2-5798-4142-8828-04190C4DB038}">
      <text>
        <r>
          <rPr>
            <b/>
            <sz val="9"/>
            <color indexed="81"/>
            <rFont val="Tahoma"/>
            <family val="2"/>
          </rPr>
          <t>Brauders, Neill M:</t>
        </r>
        <r>
          <rPr>
            <sz val="9"/>
            <color indexed="81"/>
            <rFont val="Tahoma"/>
            <family val="2"/>
          </rPr>
          <t xml:space="preserve">
.5ft minimum</t>
        </r>
      </text>
    </comment>
    <comment ref="F90" authorId="0" shapeId="0" xr:uid="{753D99C6-4CB9-4283-B4AA-2F24F31A9F7A}">
      <text>
        <r>
          <rPr>
            <b/>
            <sz val="8"/>
            <color indexed="81"/>
            <rFont val="Tahoma"/>
            <family val="2"/>
          </rPr>
          <t>Must be between 0.375 and 0.5</t>
        </r>
      </text>
    </comment>
  </commentList>
</comments>
</file>

<file path=xl/sharedStrings.xml><?xml version="1.0" encoding="utf-8"?>
<sst xmlns="http://schemas.openxmlformats.org/spreadsheetml/2006/main" count="1421" uniqueCount="565">
  <si>
    <t>Project</t>
  </si>
  <si>
    <t>Division</t>
  </si>
  <si>
    <t>Calc by</t>
  </si>
  <si>
    <t>Date</t>
  </si>
  <si>
    <t>Number of sheets</t>
  </si>
  <si>
    <t>Checked by</t>
  </si>
  <si>
    <t>of</t>
  </si>
  <si>
    <t>is to be provided</t>
  </si>
  <si>
    <t>Calculations for</t>
  </si>
  <si>
    <t>File No.</t>
  </si>
  <si>
    <t>EVT</t>
  </si>
  <si>
    <t>Comments:</t>
  </si>
  <si>
    <t>Bed Width</t>
  </si>
  <si>
    <t>Side Slope</t>
  </si>
  <si>
    <t>Bed Slope</t>
  </si>
  <si>
    <t>Bed Level</t>
  </si>
  <si>
    <t>Manning's Coefficient</t>
  </si>
  <si>
    <t>B</t>
  </si>
  <si>
    <t>s</t>
  </si>
  <si>
    <t>i</t>
  </si>
  <si>
    <t>n</t>
  </si>
  <si>
    <t>Zb</t>
  </si>
  <si>
    <t>Q</t>
  </si>
  <si>
    <t>Discharge</t>
  </si>
  <si>
    <t>Max Depth</t>
  </si>
  <si>
    <t>Dmax</t>
  </si>
  <si>
    <t>m</t>
  </si>
  <si>
    <t>m/m</t>
  </si>
  <si>
    <t>mAD</t>
  </si>
  <si>
    <t>Depth of Flow</t>
  </si>
  <si>
    <t>Flow Area</t>
  </si>
  <si>
    <t>H:1V</t>
  </si>
  <si>
    <t>Hydraulic Radius</t>
  </si>
  <si>
    <t>Water Level</t>
  </si>
  <si>
    <t>D</t>
  </si>
  <si>
    <t>A</t>
  </si>
  <si>
    <t>P</t>
  </si>
  <si>
    <t>Zwl</t>
  </si>
  <si>
    <t>#</t>
  </si>
  <si>
    <r>
      <t>m</t>
    </r>
    <r>
      <rPr>
        <vertAlign val="superscript"/>
        <sz val="8"/>
        <rFont val="Arial"/>
        <family val="2"/>
      </rPr>
      <t>2</t>
    </r>
  </si>
  <si>
    <r>
      <t>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s</t>
    </r>
    <r>
      <rPr>
        <vertAlign val="superscript"/>
        <sz val="8"/>
        <rFont val="Arial"/>
        <family val="2"/>
      </rPr>
      <t>-1</t>
    </r>
  </si>
  <si>
    <t>D*(B+D*s)</t>
  </si>
  <si>
    <r>
      <t>B+2*D*√(1+s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</si>
  <si>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r>
      <t>A(A/P)</t>
    </r>
    <r>
      <rPr>
        <vertAlign val="superscript"/>
        <sz val="8"/>
        <rFont val="Arial"/>
        <family val="2"/>
      </rPr>
      <t>2/3</t>
    </r>
    <r>
      <rPr>
        <sz val="8"/>
        <rFont val="Arial"/>
        <family val="2"/>
      </rPr>
      <t>*√(i) / n</t>
    </r>
  </si>
  <si>
    <r>
      <t>D+Z</t>
    </r>
    <r>
      <rPr>
        <vertAlign val="subscript"/>
        <sz val="8"/>
        <rFont val="Arial"/>
        <family val="2"/>
      </rPr>
      <t>b</t>
    </r>
  </si>
  <si>
    <t>-</t>
  </si>
  <si>
    <t>v</t>
  </si>
  <si>
    <t>ms-1</t>
  </si>
  <si>
    <t>Q/A</t>
  </si>
  <si>
    <t>Average Velocity</t>
  </si>
  <si>
    <t>Froude</t>
  </si>
  <si>
    <t>Fr</t>
  </si>
  <si>
    <t>v/√(g*D)</t>
  </si>
  <si>
    <t>Ven Te Chow</t>
  </si>
  <si>
    <t>1. INPUTS</t>
  </si>
  <si>
    <t>2. OUTPUTS</t>
  </si>
  <si>
    <t>Water Surface</t>
  </si>
  <si>
    <t>B+2*D*s</t>
  </si>
  <si>
    <t>increament in depth of flow = Dmax /</t>
  </si>
  <si>
    <t>Hydraulic Design of Canal Structures - MMP August 1985</t>
  </si>
  <si>
    <t>USBR - Design of Small Small Dams</t>
  </si>
  <si>
    <t>&lt;IMAGE&gt;</t>
  </si>
  <si>
    <t>2. Design of Small Dams - USBR</t>
  </si>
  <si>
    <t>1.1 GENERAL</t>
  </si>
  <si>
    <t>Rectangular</t>
  </si>
  <si>
    <t>Design Discharge</t>
  </si>
  <si>
    <t>Number of Gates</t>
  </si>
  <si>
    <r>
      <t>N</t>
    </r>
    <r>
      <rPr>
        <vertAlign val="subscript"/>
        <sz val="8"/>
        <rFont val="Arial"/>
        <family val="2"/>
      </rPr>
      <t>g</t>
    </r>
  </si>
  <si>
    <t>Gate Width</t>
  </si>
  <si>
    <t>w</t>
  </si>
  <si>
    <t>Cill Level</t>
  </si>
  <si>
    <r>
      <t>Z</t>
    </r>
    <r>
      <rPr>
        <vertAlign val="subscript"/>
        <sz val="8"/>
        <rFont val="Arial"/>
        <family val="2"/>
      </rPr>
      <t>c</t>
    </r>
  </si>
  <si>
    <t>Max Upstream Water Level</t>
  </si>
  <si>
    <r>
      <t>Z</t>
    </r>
    <r>
      <rPr>
        <vertAlign val="subscript"/>
        <sz val="8"/>
        <rFont val="Arial"/>
        <family val="2"/>
      </rPr>
      <t>uswl</t>
    </r>
  </si>
  <si>
    <t>Design Downstream Water Level</t>
  </si>
  <si>
    <r>
      <t>Z</t>
    </r>
    <r>
      <rPr>
        <vertAlign val="subscript"/>
        <sz val="8"/>
        <rFont val="Arial"/>
        <family val="2"/>
      </rPr>
      <t>dswl</t>
    </r>
  </si>
  <si>
    <t>Structure Flow Saftey Factor</t>
  </si>
  <si>
    <r>
      <t>S</t>
    </r>
    <r>
      <rPr>
        <vertAlign val="subscript"/>
        <sz val="8"/>
        <rFont val="Arial"/>
        <family val="2"/>
      </rPr>
      <t>f</t>
    </r>
  </si>
  <si>
    <t>Minimum Head Loss to Ensure Correct Gate Operation</t>
  </si>
  <si>
    <t>hmin</t>
  </si>
  <si>
    <t>1.2 Effective Crest Coefficients</t>
  </si>
  <si>
    <t>Pier Contraction Coefficient</t>
  </si>
  <si>
    <r>
      <t>k</t>
    </r>
    <r>
      <rPr>
        <vertAlign val="subscript"/>
        <sz val="8"/>
        <rFont val="Arial"/>
        <family val="2"/>
      </rPr>
      <t>p</t>
    </r>
  </si>
  <si>
    <t>USBR Design of Small Dams</t>
  </si>
  <si>
    <t>Abutment Contraction Coefficient</t>
  </si>
  <si>
    <r>
      <t>k</t>
    </r>
    <r>
      <rPr>
        <vertAlign val="subscript"/>
        <sz val="8"/>
        <rFont val="Arial"/>
        <family val="2"/>
      </rPr>
      <t>a</t>
    </r>
  </si>
  <si>
    <t>2.1 GENERAL</t>
  </si>
  <si>
    <t>Number of Piers</t>
  </si>
  <si>
    <t>N</t>
  </si>
  <si>
    <r>
      <t>N</t>
    </r>
    <r>
      <rPr>
        <i/>
        <vertAlign val="subscript"/>
        <sz val="8"/>
        <rFont val="Arial"/>
        <family val="2"/>
      </rPr>
      <t>g</t>
    </r>
    <r>
      <rPr>
        <i/>
        <sz val="8"/>
        <rFont val="Arial"/>
        <family val="2"/>
      </rPr>
      <t>-1</t>
    </r>
  </si>
  <si>
    <t>Sum of Gates Width</t>
  </si>
  <si>
    <t>b'</t>
  </si>
  <si>
    <r>
      <t>N</t>
    </r>
    <r>
      <rPr>
        <i/>
        <vertAlign val="subscript"/>
        <sz val="8"/>
        <rFont val="Arial"/>
        <family val="2"/>
      </rPr>
      <t>g</t>
    </r>
    <r>
      <rPr>
        <i/>
        <sz val="8"/>
        <rFont val="Arial"/>
        <family val="2"/>
      </rPr>
      <t>*w</t>
    </r>
  </si>
  <si>
    <t>Design Factored Discharge</t>
  </si>
  <si>
    <r>
      <t>Q</t>
    </r>
    <r>
      <rPr>
        <vertAlign val="subscript"/>
        <sz val="8"/>
        <rFont val="Arial"/>
        <family val="2"/>
      </rPr>
      <t>f</t>
    </r>
  </si>
  <si>
    <r>
      <t>S</t>
    </r>
    <r>
      <rPr>
        <i/>
        <vertAlign val="subscript"/>
        <sz val="8"/>
        <rFont val="Arial"/>
        <family val="2"/>
      </rPr>
      <t>f</t>
    </r>
    <r>
      <rPr>
        <i/>
        <sz val="8"/>
        <rFont val="Arial"/>
        <family val="2"/>
      </rPr>
      <t>*Q</t>
    </r>
  </si>
  <si>
    <t>Upstream Head Over Cill</t>
  </si>
  <si>
    <r>
      <t>h</t>
    </r>
    <r>
      <rPr>
        <vertAlign val="subscript"/>
        <sz val="8"/>
        <rFont val="Arial"/>
        <family val="2"/>
      </rPr>
      <t>1</t>
    </r>
  </si>
  <si>
    <r>
      <t>Z</t>
    </r>
    <r>
      <rPr>
        <i/>
        <vertAlign val="subscript"/>
        <sz val="8"/>
        <rFont val="Arial"/>
        <family val="2"/>
      </rPr>
      <t>uswl</t>
    </r>
    <r>
      <rPr>
        <i/>
        <sz val="8"/>
        <rFont val="Arial"/>
        <family val="2"/>
      </rPr>
      <t xml:space="preserve"> - Z</t>
    </r>
    <r>
      <rPr>
        <i/>
        <vertAlign val="subscript"/>
        <sz val="8"/>
        <rFont val="Arial"/>
        <family val="2"/>
      </rPr>
      <t>c</t>
    </r>
  </si>
  <si>
    <t>Downstream Head Over Cill</t>
  </si>
  <si>
    <r>
      <t>h</t>
    </r>
    <r>
      <rPr>
        <vertAlign val="subscript"/>
        <sz val="8"/>
        <rFont val="Arial"/>
        <family val="2"/>
      </rPr>
      <t>2</t>
    </r>
  </si>
  <si>
    <r>
      <t>Z</t>
    </r>
    <r>
      <rPr>
        <i/>
        <vertAlign val="subscript"/>
        <sz val="8"/>
        <rFont val="Arial"/>
        <family val="2"/>
      </rPr>
      <t>dswl</t>
    </r>
    <r>
      <rPr>
        <i/>
        <sz val="8"/>
        <rFont val="Arial"/>
        <family val="2"/>
      </rPr>
      <t xml:space="preserve"> - Z</t>
    </r>
    <r>
      <rPr>
        <i/>
        <vertAlign val="subscript"/>
        <sz val="8"/>
        <rFont val="Arial"/>
        <family val="2"/>
      </rPr>
      <t>c</t>
    </r>
  </si>
  <si>
    <t>Effective Crest Width</t>
  </si>
  <si>
    <t>b</t>
  </si>
  <si>
    <r>
      <t>b'-2*(N*K</t>
    </r>
    <r>
      <rPr>
        <i/>
        <vertAlign val="subscript"/>
        <sz val="8"/>
        <rFont val="Arial"/>
        <family val="2"/>
      </rPr>
      <t>p</t>
    </r>
    <r>
      <rPr>
        <i/>
        <sz val="8"/>
        <rFont val="Arial"/>
        <family val="2"/>
      </rPr>
      <t>+k</t>
    </r>
    <r>
      <rPr>
        <i/>
        <vertAlign val="subscript"/>
        <sz val="8"/>
        <rFont val="Arial"/>
        <family val="2"/>
      </rPr>
      <t>a</t>
    </r>
    <r>
      <rPr>
        <i/>
        <sz val="8"/>
        <rFont val="Arial"/>
        <family val="2"/>
      </rPr>
      <t>)*h</t>
    </r>
    <r>
      <rPr>
        <i/>
        <vertAlign val="subscript"/>
        <sz val="8"/>
        <rFont val="Arial"/>
        <family val="2"/>
      </rPr>
      <t>1</t>
    </r>
  </si>
  <si>
    <t>Max Height of Gate Opening</t>
  </si>
  <si>
    <t xml:space="preserve">Taken as 3/4 of Head over crest </t>
  </si>
  <si>
    <t>Max Unit Discharge</t>
  </si>
  <si>
    <r>
      <t>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perscript"/>
        <sz val="8"/>
        <rFont val="Arial"/>
        <family val="2"/>
      </rPr>
      <t>-1</t>
    </r>
  </si>
  <si>
    <t>q</t>
  </si>
  <si>
    <t>H</t>
  </si>
  <si>
    <r>
      <t>Q</t>
    </r>
    <r>
      <rPr>
        <i/>
        <vertAlign val="subscript"/>
        <sz val="8"/>
        <rFont val="Arial"/>
        <family val="2"/>
      </rPr>
      <t>f</t>
    </r>
    <r>
      <rPr>
        <i/>
        <sz val="8"/>
        <rFont val="Arial"/>
        <family val="2"/>
      </rPr>
      <t>/b'</t>
    </r>
  </si>
  <si>
    <t>Minimum Head Loss Check</t>
  </si>
  <si>
    <r>
      <t>Z</t>
    </r>
    <r>
      <rPr>
        <i/>
        <vertAlign val="subscript"/>
        <sz val="8"/>
        <rFont val="Arial"/>
        <family val="2"/>
      </rPr>
      <t>dswl,70</t>
    </r>
    <r>
      <rPr>
        <i/>
        <sz val="8"/>
        <rFont val="Arial"/>
        <family val="2"/>
      </rPr>
      <t>-r</t>
    </r>
    <r>
      <rPr>
        <i/>
        <vertAlign val="subscript"/>
        <sz val="8"/>
        <rFont val="Arial"/>
        <family val="2"/>
      </rPr>
      <t>70</t>
    </r>
  </si>
  <si>
    <r>
      <t>Z</t>
    </r>
    <r>
      <rPr>
        <vertAlign val="subscript"/>
        <sz val="8"/>
        <rFont val="Arial"/>
        <family val="2"/>
      </rPr>
      <t>dsl,70,r</t>
    </r>
  </si>
  <si>
    <r>
      <t>Water Level Condition 3</t>
    </r>
    <r>
      <rPr>
        <sz val="8"/>
        <rFont val="Arial"/>
        <family val="2"/>
      </rPr>
      <t xml:space="preserve"> with Retrogression</t>
    </r>
  </si>
  <si>
    <r>
      <t>Z</t>
    </r>
    <r>
      <rPr>
        <i/>
        <vertAlign val="subscript"/>
        <sz val="8"/>
        <rFont val="Arial"/>
        <family val="2"/>
      </rPr>
      <t>dswl</t>
    </r>
    <r>
      <rPr>
        <i/>
        <sz val="8"/>
        <rFont val="Arial"/>
        <family val="2"/>
      </rPr>
      <t>-r</t>
    </r>
  </si>
  <si>
    <r>
      <t>Z</t>
    </r>
    <r>
      <rPr>
        <vertAlign val="subscript"/>
        <sz val="8"/>
        <rFont val="Arial"/>
        <family val="2"/>
      </rPr>
      <t>dsl,r</t>
    </r>
  </si>
  <si>
    <t>Water Level Condition 2 with Retrogression</t>
  </si>
  <si>
    <r>
      <t>m*D</t>
    </r>
    <r>
      <rPr>
        <i/>
        <vertAlign val="subscript"/>
        <sz val="8"/>
        <rFont val="Arial"/>
        <family val="2"/>
      </rPr>
      <t>ds,70%</t>
    </r>
  </si>
  <si>
    <r>
      <t>r</t>
    </r>
    <r>
      <rPr>
        <vertAlign val="subscript"/>
        <sz val="8"/>
        <rFont val="Arial"/>
        <family val="2"/>
      </rPr>
      <t>c3</t>
    </r>
  </si>
  <si>
    <t>Retrogression @ Condition 3</t>
  </si>
  <si>
    <r>
      <t>m*D</t>
    </r>
    <r>
      <rPr>
        <i/>
        <vertAlign val="subscript"/>
        <sz val="8"/>
        <rFont val="Arial"/>
        <family val="2"/>
      </rPr>
      <t>ds</t>
    </r>
  </si>
  <si>
    <r>
      <t>r</t>
    </r>
    <r>
      <rPr>
        <vertAlign val="subscript"/>
        <sz val="8"/>
        <rFont val="Arial"/>
        <family val="2"/>
      </rPr>
      <t>c2</t>
    </r>
  </si>
  <si>
    <t>Retrogression @ Condition 2</t>
  </si>
  <si>
    <r>
      <t>Z</t>
    </r>
    <r>
      <rPr>
        <i/>
        <vertAlign val="subscript"/>
        <sz val="8"/>
        <rFont val="Arial"/>
        <family val="2"/>
      </rPr>
      <t>dswl,70</t>
    </r>
    <r>
      <rPr>
        <i/>
        <sz val="8"/>
        <rFont val="Arial"/>
        <family val="2"/>
      </rPr>
      <t>-Z</t>
    </r>
    <r>
      <rPr>
        <i/>
        <vertAlign val="subscript"/>
        <sz val="8"/>
        <rFont val="Arial"/>
        <family val="2"/>
      </rPr>
      <t>bl</t>
    </r>
  </si>
  <si>
    <r>
      <t>D</t>
    </r>
    <r>
      <rPr>
        <vertAlign val="subscript"/>
        <sz val="8"/>
        <rFont val="Arial"/>
        <family val="2"/>
      </rPr>
      <t>ds,c3</t>
    </r>
  </si>
  <si>
    <t>Water Depth DS Condition 3</t>
  </si>
  <si>
    <r>
      <t>Z</t>
    </r>
    <r>
      <rPr>
        <i/>
        <vertAlign val="subscript"/>
        <sz val="8"/>
        <rFont val="Arial"/>
        <family val="2"/>
      </rPr>
      <t>dswl</t>
    </r>
    <r>
      <rPr>
        <i/>
        <sz val="8"/>
        <rFont val="Arial"/>
        <family val="2"/>
      </rPr>
      <t>-Z</t>
    </r>
    <r>
      <rPr>
        <i/>
        <vertAlign val="subscript"/>
        <sz val="8"/>
        <rFont val="Arial"/>
        <family val="2"/>
      </rPr>
      <t>bl</t>
    </r>
  </si>
  <si>
    <r>
      <t>D</t>
    </r>
    <r>
      <rPr>
        <vertAlign val="subscript"/>
        <sz val="8"/>
        <rFont val="Arial"/>
        <family val="2"/>
      </rPr>
      <t>ds,c2</t>
    </r>
  </si>
  <si>
    <t>Water Depth DS Condition 2</t>
  </si>
  <si>
    <t>2.2 DOWNSTREAM CONDITION</t>
  </si>
  <si>
    <r>
      <t>ms</t>
    </r>
    <r>
      <rPr>
        <vertAlign val="superscript"/>
        <sz val="8"/>
        <rFont val="Arial"/>
        <family val="2"/>
      </rPr>
      <t>-1</t>
    </r>
  </si>
  <si>
    <r>
      <t>v</t>
    </r>
    <r>
      <rPr>
        <vertAlign val="subscript"/>
        <sz val="8"/>
        <rFont val="Arial"/>
        <family val="2"/>
      </rPr>
      <t>ds,C2</t>
    </r>
  </si>
  <si>
    <t>Velocity @ Q DS</t>
  </si>
  <si>
    <t>Interpolate (Table 1.1)</t>
  </si>
  <si>
    <r>
      <t>Z</t>
    </r>
    <r>
      <rPr>
        <vertAlign val="subscript"/>
        <sz val="8"/>
        <rFont val="Arial"/>
        <family val="2"/>
      </rPr>
      <t>dswl,C3</t>
    </r>
  </si>
  <si>
    <t>DS Water Level</t>
  </si>
  <si>
    <r>
      <t>Q</t>
    </r>
    <r>
      <rPr>
        <vertAlign val="subscript"/>
        <sz val="8"/>
        <rFont val="Arial"/>
        <family val="2"/>
      </rPr>
      <t>us,C3</t>
    </r>
  </si>
  <si>
    <t>Discharge DS</t>
  </si>
  <si>
    <t>Factored Discharge US</t>
  </si>
  <si>
    <t>2.1.3 Condition 3</t>
  </si>
  <si>
    <r>
      <t>v</t>
    </r>
    <r>
      <rPr>
        <vertAlign val="subscript"/>
        <sz val="8"/>
        <rFont val="Arial"/>
        <family val="2"/>
      </rPr>
      <t>ds,C1</t>
    </r>
  </si>
  <si>
    <r>
      <t>Z</t>
    </r>
    <r>
      <rPr>
        <vertAlign val="subscript"/>
        <sz val="8"/>
        <rFont val="Arial"/>
        <family val="2"/>
      </rPr>
      <t>dswl,C1</t>
    </r>
  </si>
  <si>
    <r>
      <t>Q</t>
    </r>
    <r>
      <rPr>
        <vertAlign val="subscript"/>
        <sz val="8"/>
        <rFont val="Arial"/>
        <family val="2"/>
      </rPr>
      <t>ds,C2</t>
    </r>
  </si>
  <si>
    <r>
      <t>Q</t>
    </r>
    <r>
      <rPr>
        <vertAlign val="subscript"/>
        <sz val="8"/>
        <rFont val="Arial"/>
        <family val="2"/>
      </rPr>
      <t>us,C2</t>
    </r>
  </si>
  <si>
    <t>2.1.2 Condition 2</t>
  </si>
  <si>
    <t>Bed Level (dry downstream)</t>
  </si>
  <si>
    <r>
      <t>Q</t>
    </r>
    <r>
      <rPr>
        <vertAlign val="subscript"/>
        <sz val="8"/>
        <rFont val="Arial"/>
        <family val="2"/>
      </rPr>
      <t>ds,C1</t>
    </r>
  </si>
  <si>
    <r>
      <t>Q</t>
    </r>
    <r>
      <rPr>
        <vertAlign val="subscript"/>
        <sz val="8"/>
        <rFont val="Arial"/>
        <family val="2"/>
      </rPr>
      <t>us,C1</t>
    </r>
  </si>
  <si>
    <t>2.1.1 Condition 1</t>
  </si>
  <si>
    <r>
      <t>Q</t>
    </r>
    <r>
      <rPr>
        <i/>
        <vertAlign val="subscript"/>
        <sz val="8"/>
        <rFont val="Arial"/>
        <family val="2"/>
      </rPr>
      <t>d</t>
    </r>
    <r>
      <rPr>
        <i/>
        <sz val="8"/>
        <rFont val="Arial"/>
        <family val="2"/>
      </rPr>
      <t>*S</t>
    </r>
    <r>
      <rPr>
        <i/>
        <vertAlign val="subscript"/>
        <sz val="8"/>
        <rFont val="Arial"/>
        <family val="2"/>
      </rPr>
      <t>ff</t>
    </r>
  </si>
  <si>
    <t>Factored Design Flow</t>
  </si>
  <si>
    <t>Condition 2 - Design Flow</t>
  </si>
  <si>
    <r>
      <t>q</t>
    </r>
    <r>
      <rPr>
        <vertAlign val="subscript"/>
        <sz val="8"/>
        <rFont val="Arial"/>
        <family val="2"/>
      </rPr>
      <t>max,c1</t>
    </r>
  </si>
  <si>
    <t>Maximum Unit Discharge</t>
  </si>
  <si>
    <r>
      <t>v</t>
    </r>
    <r>
      <rPr>
        <vertAlign val="subscript"/>
        <sz val="8"/>
        <rFont val="Arial"/>
        <family val="2"/>
      </rPr>
      <t>us,C2</t>
    </r>
  </si>
  <si>
    <t>Velocity</t>
  </si>
  <si>
    <t>Depth</t>
  </si>
  <si>
    <t>Width</t>
  </si>
  <si>
    <r>
      <t>Z</t>
    </r>
    <r>
      <rPr>
        <vertAlign val="subscript"/>
        <sz val="8"/>
        <rFont val="Arial"/>
        <family val="2"/>
      </rPr>
      <t>uswl,C3</t>
    </r>
  </si>
  <si>
    <t>1.4.2 Upstream Conditions</t>
  </si>
  <si>
    <t>Percentage of Flow DS (existing)</t>
  </si>
  <si>
    <t>Percentage of Flow US (passing through gate)</t>
  </si>
  <si>
    <t>1.4.1 General</t>
  </si>
  <si>
    <t>1.4 CONDITION 3</t>
  </si>
  <si>
    <r>
      <t>v</t>
    </r>
    <r>
      <rPr>
        <vertAlign val="subscript"/>
        <sz val="8"/>
        <rFont val="Arial"/>
        <family val="2"/>
      </rPr>
      <t>us,C1</t>
    </r>
  </si>
  <si>
    <r>
      <t>Z</t>
    </r>
    <r>
      <rPr>
        <vertAlign val="subscript"/>
        <sz val="8"/>
        <rFont val="Arial"/>
        <family val="2"/>
      </rPr>
      <t>uswl,C1</t>
    </r>
  </si>
  <si>
    <t>1.3.2 Upstream Conditions</t>
  </si>
  <si>
    <t>1.3.1 General</t>
  </si>
  <si>
    <t>1.3 CONDITION 2</t>
  </si>
  <si>
    <r>
      <t>m</t>
    </r>
    <r>
      <rPr>
        <vertAlign val="subscript"/>
        <sz val="8"/>
        <rFont val="Arial"/>
        <family val="2"/>
      </rPr>
      <t>dsC1</t>
    </r>
  </si>
  <si>
    <t>CHANGE THE WIDTH???</t>
  </si>
  <si>
    <r>
      <t>m</t>
    </r>
    <r>
      <rPr>
        <vertAlign val="subscript"/>
        <sz val="8"/>
        <rFont val="Arial"/>
        <family val="2"/>
      </rPr>
      <t>usC1</t>
    </r>
  </si>
  <si>
    <t>1.2.1 General</t>
  </si>
  <si>
    <t>1.2 CONDITION 1</t>
  </si>
  <si>
    <r>
      <t>m</t>
    </r>
    <r>
      <rPr>
        <sz val="8"/>
        <rFont val="Arial"/>
        <family val="2"/>
      </rPr>
      <t>s</t>
    </r>
    <r>
      <rPr>
        <vertAlign val="superscript"/>
        <sz val="8"/>
        <rFont val="Arial"/>
        <family val="2"/>
      </rPr>
      <t>-1</t>
    </r>
  </si>
  <si>
    <t>Velcocity</t>
  </si>
  <si>
    <t>Flow</t>
  </si>
  <si>
    <t>Level</t>
  </si>
  <si>
    <t>Downstream Rating Curve (Table 1.1)</t>
  </si>
  <si>
    <r>
      <t>w</t>
    </r>
    <r>
      <rPr>
        <vertAlign val="subscript"/>
        <sz val="8"/>
        <rFont val="Arial"/>
        <family val="2"/>
      </rPr>
      <t>g</t>
    </r>
  </si>
  <si>
    <t>%</t>
  </si>
  <si>
    <t>r</t>
  </si>
  <si>
    <t>Allowance For Retrogression (Percentage of D/S Depth)</t>
  </si>
  <si>
    <r>
      <t>Z</t>
    </r>
    <r>
      <rPr>
        <vertAlign val="subscript"/>
        <sz val="8"/>
        <rFont val="Arial"/>
        <family val="2"/>
      </rPr>
      <t>dsbl</t>
    </r>
  </si>
  <si>
    <t>Bed Level DS</t>
  </si>
  <si>
    <r>
      <t>Z</t>
    </r>
    <r>
      <rPr>
        <vertAlign val="subscript"/>
        <sz val="8"/>
        <rFont val="Arial"/>
        <family val="2"/>
      </rPr>
      <t>usbl</t>
    </r>
  </si>
  <si>
    <t>Bed Level US</t>
  </si>
  <si>
    <t>Basin Safety Factor</t>
  </si>
  <si>
    <t>Width of Stilling Basin</t>
  </si>
  <si>
    <r>
      <t>S</t>
    </r>
    <r>
      <rPr>
        <vertAlign val="subscript"/>
        <sz val="8"/>
        <rFont val="Arial"/>
        <family val="2"/>
      </rPr>
      <t>ff</t>
    </r>
  </si>
  <si>
    <t>Flow Safety Factor</t>
  </si>
  <si>
    <r>
      <t>Q</t>
    </r>
    <r>
      <rPr>
        <vertAlign val="subscript"/>
        <sz val="8"/>
        <rFont val="Arial"/>
        <family val="2"/>
      </rPr>
      <t>d</t>
    </r>
  </si>
  <si>
    <t>Design Flow</t>
  </si>
  <si>
    <t>MM Hydraulic Structures, 1985</t>
  </si>
  <si>
    <t>Stilling Basin Check - Inputs</t>
  </si>
  <si>
    <r>
      <t>L</t>
    </r>
    <r>
      <rPr>
        <vertAlign val="subscript"/>
        <sz val="8"/>
        <rFont val="Arial"/>
        <family val="2"/>
      </rPr>
      <t>B</t>
    </r>
    <r>
      <rPr>
        <sz val="10"/>
        <rFont val="Arial"/>
        <family val="2"/>
      </rPr>
      <t/>
    </r>
  </si>
  <si>
    <t>Basin Jump Length</t>
  </si>
  <si>
    <r>
      <t>L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>/y</t>
    </r>
    <r>
      <rPr>
        <vertAlign val="subscript"/>
        <sz val="8"/>
        <rFont val="Arial"/>
        <family val="2"/>
      </rPr>
      <t>2</t>
    </r>
  </si>
  <si>
    <t>Basin Jump Length Factor</t>
  </si>
  <si>
    <t>Basin Type</t>
  </si>
  <si>
    <t>Free Jump Performance</t>
  </si>
  <si>
    <r>
      <t>L/y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2</t>
    </r>
  </si>
  <si>
    <t>L</t>
  </si>
  <si>
    <t>Jump Length</t>
  </si>
  <si>
    <t>INTERPOLATE</t>
  </si>
  <si>
    <r>
      <t>L/y</t>
    </r>
    <r>
      <rPr>
        <vertAlign val="subscript"/>
        <sz val="8"/>
        <rFont val="Arial"/>
        <family val="2"/>
      </rPr>
      <t>2</t>
    </r>
  </si>
  <si>
    <t>Where the Fr number is off the scale we get a situation where the interpolation for the jump level does not work</t>
  </si>
  <si>
    <t>Figure 12 EM25 USBR</t>
  </si>
  <si>
    <r>
      <t>Z</t>
    </r>
    <r>
      <rPr>
        <i/>
        <vertAlign val="subscript"/>
        <sz val="8"/>
        <rFont val="Arial"/>
        <family val="2"/>
      </rPr>
      <t>dsbs</t>
    </r>
    <r>
      <rPr>
        <i/>
        <sz val="8"/>
        <rFont val="Arial"/>
        <family val="2"/>
      </rPr>
      <t xml:space="preserve"> + y</t>
    </r>
    <r>
      <rPr>
        <i/>
        <vertAlign val="subscript"/>
        <sz val="8"/>
        <rFont val="Arial"/>
        <family val="2"/>
      </rPr>
      <t>2</t>
    </r>
  </si>
  <si>
    <r>
      <t>Z</t>
    </r>
    <r>
      <rPr>
        <vertAlign val="subscript"/>
        <sz val="8"/>
        <rFont val="Arial"/>
        <family val="2"/>
      </rPr>
      <t>dsjl</t>
    </r>
  </si>
  <si>
    <t>Downstream Jump Level</t>
  </si>
  <si>
    <r>
      <t>E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>-F</t>
    </r>
    <r>
      <rPr>
        <i/>
        <vertAlign val="subscript"/>
        <sz val="8"/>
        <rFont val="Arial"/>
        <family val="2"/>
      </rPr>
      <t>s</t>
    </r>
    <r>
      <rPr>
        <i/>
        <sz val="8"/>
        <rFont val="Arial"/>
        <family val="2"/>
      </rPr>
      <t>*E</t>
    </r>
    <r>
      <rPr>
        <i/>
        <vertAlign val="subscript"/>
        <sz val="8"/>
        <rFont val="Arial"/>
        <family val="2"/>
      </rPr>
      <t>1a</t>
    </r>
  </si>
  <si>
    <r>
      <t>Z</t>
    </r>
    <r>
      <rPr>
        <b/>
        <vertAlign val="subscript"/>
        <sz val="8"/>
        <rFont val="Arial"/>
        <family val="2"/>
      </rPr>
      <t>dsbs</t>
    </r>
  </si>
  <si>
    <t>Basin Level</t>
  </si>
  <si>
    <r>
      <t>y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>+d</t>
    </r>
    <r>
      <rPr>
        <i/>
        <vertAlign val="subscript"/>
        <sz val="8"/>
        <rFont val="Arial"/>
        <family val="2"/>
      </rPr>
      <t>c</t>
    </r>
    <r>
      <rPr>
        <i/>
        <vertAlign val="superscript"/>
        <sz val="8"/>
        <rFont val="Arial"/>
        <family val="2"/>
      </rPr>
      <t>3</t>
    </r>
    <r>
      <rPr>
        <i/>
        <sz val="8"/>
        <rFont val="Arial"/>
        <family val="2"/>
      </rPr>
      <t>/(2*y</t>
    </r>
    <r>
      <rPr>
        <i/>
        <vertAlign val="subscript"/>
        <sz val="8"/>
        <rFont val="Arial"/>
        <family val="2"/>
      </rPr>
      <t>2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)</t>
    </r>
  </si>
  <si>
    <r>
      <t>E</t>
    </r>
    <r>
      <rPr>
        <vertAlign val="subscript"/>
        <sz val="8"/>
        <rFont val="Arial"/>
        <family val="2"/>
      </rPr>
      <t>1a</t>
    </r>
  </si>
  <si>
    <t>Total Energy at Congugate Depth</t>
  </si>
  <si>
    <r>
      <t>y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/2*</t>
    </r>
    <r>
      <rPr>
        <sz val="8"/>
        <rFont val="Arial"/>
        <family val="2"/>
      </rPr>
      <t>√(</t>
    </r>
    <r>
      <rPr>
        <i/>
        <sz val="8"/>
        <rFont val="Arial"/>
        <family val="2"/>
      </rPr>
      <t>(1+8Fr</t>
    </r>
    <r>
      <rPr>
        <i/>
        <vertAlign val="subscript"/>
        <sz val="8"/>
        <rFont val="Arial"/>
        <family val="2"/>
      </rPr>
      <t>1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)-1)</t>
    </r>
  </si>
  <si>
    <r>
      <t>y</t>
    </r>
    <r>
      <rPr>
        <vertAlign val="subscript"/>
        <sz val="8"/>
        <rFont val="Arial"/>
        <family val="2"/>
      </rPr>
      <t>2</t>
    </r>
  </si>
  <si>
    <t>Conjugate Depth Check Calc</t>
  </si>
  <si>
    <t>The Froude number is high meaning that the outcome suggests a type III, expensive stilling basin.  However, if we provide a Type I then ww will get a longer basin but it should be sufficient.</t>
  </si>
  <si>
    <r>
      <t>v</t>
    </r>
    <r>
      <rPr>
        <i/>
        <vertAlign val="subscript"/>
        <sz val="10"/>
        <rFont val="Arial"/>
        <family val="2"/>
      </rPr>
      <t>1</t>
    </r>
    <r>
      <rPr>
        <i/>
        <sz val="10"/>
        <rFont val="Arial"/>
        <family val="2"/>
      </rPr>
      <t>/</t>
    </r>
    <r>
      <rPr>
        <sz val="10"/>
        <rFont val="Arial"/>
        <family val="2"/>
      </rPr>
      <t>√</t>
    </r>
    <r>
      <rPr>
        <i/>
        <sz val="10"/>
        <rFont val="Arial"/>
        <family val="2"/>
      </rPr>
      <t>(gy</t>
    </r>
    <r>
      <rPr>
        <i/>
        <vertAlign val="subscript"/>
        <sz val="10"/>
        <rFont val="Arial"/>
        <family val="2"/>
      </rPr>
      <t>1</t>
    </r>
    <r>
      <rPr>
        <i/>
        <sz val="10"/>
        <rFont val="Arial"/>
        <family val="2"/>
      </rPr>
      <t>)</t>
    </r>
  </si>
  <si>
    <r>
      <t>Fr</t>
    </r>
    <r>
      <rPr>
        <vertAlign val="subscript"/>
        <sz val="10"/>
        <rFont val="Arial"/>
        <family val="2"/>
      </rPr>
      <t>1</t>
    </r>
  </si>
  <si>
    <t>Froude Number</t>
  </si>
  <si>
    <r>
      <t>q/y</t>
    </r>
    <r>
      <rPr>
        <i/>
        <vertAlign val="subscript"/>
        <sz val="8"/>
        <rFont val="Arial"/>
        <family val="2"/>
      </rPr>
      <t>1</t>
    </r>
  </si>
  <si>
    <r>
      <t>v</t>
    </r>
    <r>
      <rPr>
        <vertAlign val="subscript"/>
        <sz val="8"/>
        <rFont val="Arial"/>
        <family val="2"/>
      </rPr>
      <t>1</t>
    </r>
  </si>
  <si>
    <t>Velocity @ Toe of Glasis</t>
  </si>
  <si>
    <r>
      <t>a*y</t>
    </r>
    <r>
      <rPr>
        <i/>
        <vertAlign val="subscript"/>
        <sz val="8"/>
        <rFont val="Arial"/>
        <family val="2"/>
      </rPr>
      <t>2</t>
    </r>
  </si>
  <si>
    <r>
      <t>y</t>
    </r>
    <r>
      <rPr>
        <vertAlign val="subscript"/>
        <sz val="8"/>
        <rFont val="Arial"/>
        <family val="2"/>
      </rPr>
      <t>1</t>
    </r>
  </si>
  <si>
    <t>Depth of Flow at Bottom of Glasis</t>
  </si>
  <si>
    <r>
      <t>q/y</t>
    </r>
    <r>
      <rPr>
        <i/>
        <vertAlign val="subscript"/>
        <sz val="8"/>
        <rFont val="Arial"/>
        <family val="2"/>
      </rPr>
      <t>2</t>
    </r>
  </si>
  <si>
    <r>
      <t>ms</t>
    </r>
    <r>
      <rPr>
        <vertAlign val="superscript"/>
        <sz val="10"/>
        <rFont val="Arial"/>
        <family val="2"/>
      </rPr>
      <t>-1</t>
    </r>
  </si>
  <si>
    <r>
      <t>v</t>
    </r>
    <r>
      <rPr>
        <vertAlign val="subscript"/>
        <sz val="8"/>
        <rFont val="Arial"/>
        <family val="2"/>
      </rPr>
      <t>2</t>
    </r>
  </si>
  <si>
    <t>Velcoity @ Congugate Depth</t>
  </si>
  <si>
    <r>
      <t>4*H</t>
    </r>
    <r>
      <rPr>
        <i/>
        <vertAlign val="subscript"/>
        <sz val="8"/>
        <rFont val="Arial"/>
        <family val="2"/>
      </rPr>
      <t>L</t>
    </r>
    <r>
      <rPr>
        <i/>
        <sz val="8"/>
        <rFont val="Arial"/>
        <family val="2"/>
      </rPr>
      <t>*a/(1-a)</t>
    </r>
    <r>
      <rPr>
        <i/>
        <vertAlign val="superscript"/>
        <sz val="8"/>
        <rFont val="Arial"/>
        <family val="2"/>
      </rPr>
      <t>3</t>
    </r>
  </si>
  <si>
    <t>Congugate Depth</t>
  </si>
  <si>
    <r>
      <t>(1-a)</t>
    </r>
    <r>
      <rPr>
        <i/>
        <vertAlign val="superscript"/>
        <sz val="8"/>
        <rFont val="Arial"/>
        <family val="2"/>
      </rPr>
      <t>3</t>
    </r>
    <r>
      <rPr>
        <i/>
        <sz val="8"/>
        <rFont val="Arial"/>
        <family val="2"/>
      </rPr>
      <t>/(2a)*((1+2a)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-1)</t>
    </r>
    <r>
      <rPr>
        <i/>
        <vertAlign val="superscript"/>
        <sz val="8"/>
        <rFont val="Arial"/>
        <family val="2"/>
      </rPr>
      <t>-1/3</t>
    </r>
    <r>
      <rPr>
        <i/>
        <sz val="8"/>
        <rFont val="Arial"/>
        <family val="2"/>
      </rPr>
      <t>)</t>
    </r>
  </si>
  <si>
    <r>
      <t>H</t>
    </r>
    <r>
      <rPr>
        <vertAlign val="subscript"/>
        <sz val="8"/>
        <rFont val="Arial"/>
        <family val="2"/>
      </rPr>
      <t>L</t>
    </r>
    <r>
      <rPr>
        <sz val="8"/>
        <rFont val="Arial"/>
        <family val="2"/>
      </rPr>
      <t>/d</t>
    </r>
    <r>
      <rPr>
        <vertAlign val="subscript"/>
        <sz val="8"/>
        <rFont val="Arial"/>
        <family val="2"/>
      </rPr>
      <t>c</t>
    </r>
  </si>
  <si>
    <t>GOAL SEEK</t>
  </si>
  <si>
    <t>a</t>
  </si>
  <si>
    <r>
      <t>E</t>
    </r>
    <r>
      <rPr>
        <i/>
        <vertAlign val="subscript"/>
        <sz val="8"/>
        <rFont val="Arial"/>
        <family val="2"/>
      </rPr>
      <t>0</t>
    </r>
    <r>
      <rPr>
        <i/>
        <sz val="8"/>
        <rFont val="Arial"/>
        <family val="2"/>
      </rPr>
      <t>-E</t>
    </r>
    <r>
      <rPr>
        <i/>
        <vertAlign val="subscript"/>
        <sz val="8"/>
        <rFont val="Arial"/>
        <family val="2"/>
      </rPr>
      <t>2</t>
    </r>
  </si>
  <si>
    <r>
      <t>H</t>
    </r>
    <r>
      <rPr>
        <vertAlign val="subscript"/>
        <sz val="8"/>
        <rFont val="Arial"/>
        <family val="2"/>
      </rPr>
      <t>L</t>
    </r>
  </si>
  <si>
    <t>Head Difference Across Gate</t>
  </si>
  <si>
    <r>
      <t>Z</t>
    </r>
    <r>
      <rPr>
        <i/>
        <vertAlign val="subscript"/>
        <sz val="8"/>
        <rFont val="Arial"/>
        <family val="2"/>
      </rPr>
      <t>dswl</t>
    </r>
    <r>
      <rPr>
        <i/>
        <sz val="8"/>
        <rFont val="Arial"/>
        <family val="2"/>
      </rPr>
      <t xml:space="preserve"> + h</t>
    </r>
    <r>
      <rPr>
        <i/>
        <vertAlign val="subscript"/>
        <sz val="8"/>
        <rFont val="Arial"/>
        <family val="2"/>
      </rPr>
      <t>2v</t>
    </r>
  </si>
  <si>
    <r>
      <t>E</t>
    </r>
    <r>
      <rPr>
        <vertAlign val="subscript"/>
        <sz val="8"/>
        <rFont val="Arial"/>
        <family val="2"/>
      </rPr>
      <t>2</t>
    </r>
  </si>
  <si>
    <t>Downstream Total Head</t>
  </si>
  <si>
    <r>
      <t>Z</t>
    </r>
    <r>
      <rPr>
        <i/>
        <vertAlign val="subscript"/>
        <sz val="8"/>
        <rFont val="Arial"/>
        <family val="2"/>
      </rPr>
      <t>uswl</t>
    </r>
    <r>
      <rPr>
        <i/>
        <sz val="8"/>
        <rFont val="Arial"/>
        <family val="2"/>
      </rPr>
      <t xml:space="preserve"> + h</t>
    </r>
    <r>
      <rPr>
        <i/>
        <vertAlign val="subscript"/>
        <sz val="8"/>
        <rFont val="Arial"/>
        <family val="2"/>
      </rPr>
      <t>1v</t>
    </r>
  </si>
  <si>
    <r>
      <t>E</t>
    </r>
    <r>
      <rPr>
        <vertAlign val="subscript"/>
        <sz val="8"/>
        <rFont val="Arial"/>
        <family val="2"/>
      </rPr>
      <t>o</t>
    </r>
  </si>
  <si>
    <t>Upstream Total Head</t>
  </si>
  <si>
    <r>
      <t>v</t>
    </r>
    <r>
      <rPr>
        <i/>
        <vertAlign val="subscript"/>
        <sz val="8"/>
        <rFont val="Arial"/>
        <family val="2"/>
      </rPr>
      <t>2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/2g</t>
    </r>
  </si>
  <si>
    <r>
      <t>h</t>
    </r>
    <r>
      <rPr>
        <vertAlign val="subscript"/>
        <sz val="8"/>
        <rFont val="Arial"/>
        <family val="2"/>
      </rPr>
      <t>v2</t>
    </r>
  </si>
  <si>
    <t>Downstream Velocity Head</t>
  </si>
  <si>
    <r>
      <t>v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/2g</t>
    </r>
  </si>
  <si>
    <r>
      <t>h</t>
    </r>
    <r>
      <rPr>
        <vertAlign val="subscript"/>
        <sz val="8"/>
        <rFont val="Arial"/>
        <family val="2"/>
      </rPr>
      <t>v</t>
    </r>
  </si>
  <si>
    <t>Upstream Velocity Head</t>
  </si>
  <si>
    <r>
      <t>(q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/g)</t>
    </r>
    <r>
      <rPr>
        <i/>
        <vertAlign val="superscript"/>
        <sz val="8"/>
        <rFont val="Arial"/>
        <family val="2"/>
      </rPr>
      <t>1/3</t>
    </r>
  </si>
  <si>
    <r>
      <t>d</t>
    </r>
    <r>
      <rPr>
        <vertAlign val="subscript"/>
        <sz val="8"/>
        <rFont val="Arial"/>
        <family val="2"/>
      </rPr>
      <t>c</t>
    </r>
  </si>
  <si>
    <t>Critical Depth</t>
  </si>
  <si>
    <t>Q/B</t>
  </si>
  <si>
    <t>Flow Intensity</t>
  </si>
  <si>
    <r>
      <t>S</t>
    </r>
    <r>
      <rPr>
        <i/>
        <vertAlign val="subscript"/>
        <sz val="8"/>
        <rFont val="Arial"/>
        <family val="2"/>
      </rPr>
      <t>f</t>
    </r>
  </si>
  <si>
    <t>Downstream Velocity</t>
  </si>
  <si>
    <r>
      <t>Z</t>
    </r>
    <r>
      <rPr>
        <i/>
        <vertAlign val="subscript"/>
        <sz val="8"/>
        <rFont val="Arial"/>
        <family val="2"/>
      </rPr>
      <t>bl</t>
    </r>
  </si>
  <si>
    <t>Downstream Water Level</t>
  </si>
  <si>
    <r>
      <t>v</t>
    </r>
    <r>
      <rPr>
        <i/>
        <vertAlign val="subscript"/>
        <sz val="8"/>
        <rFont val="Arial"/>
        <family val="2"/>
      </rPr>
      <t>10</t>
    </r>
  </si>
  <si>
    <t>Approach velcoity</t>
  </si>
  <si>
    <r>
      <t>Z</t>
    </r>
    <r>
      <rPr>
        <i/>
        <vertAlign val="subscript"/>
        <sz val="8"/>
        <rFont val="Arial"/>
        <family val="2"/>
      </rPr>
      <t>uswl,C1</t>
    </r>
  </si>
  <si>
    <t>Upstream Water Level</t>
  </si>
  <si>
    <r>
      <t>Q</t>
    </r>
    <r>
      <rPr>
        <i/>
        <vertAlign val="subscript"/>
        <sz val="8"/>
        <rFont val="Arial"/>
        <family val="2"/>
      </rPr>
      <t>us,C1</t>
    </r>
  </si>
  <si>
    <t>Stilling Basin General Design - Condition 1</t>
  </si>
  <si>
    <r>
      <t>L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/>
    </r>
  </si>
  <si>
    <r>
      <t>L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/y</t>
    </r>
    <r>
      <rPr>
        <vertAlign val="subscript"/>
        <sz val="10"/>
        <rFont val="Arial"/>
        <family val="2"/>
      </rPr>
      <t>2</t>
    </r>
  </si>
  <si>
    <r>
      <t>L/y</t>
    </r>
    <r>
      <rPr>
        <vertAlign val="subscript"/>
        <sz val="10"/>
        <rFont val="Arial"/>
        <family val="2"/>
      </rPr>
      <t>2</t>
    </r>
  </si>
  <si>
    <r>
      <t>Z</t>
    </r>
    <r>
      <rPr>
        <i/>
        <vertAlign val="subscript"/>
        <sz val="10"/>
        <rFont val="Arial"/>
        <family val="2"/>
      </rPr>
      <t>dsbs</t>
    </r>
    <r>
      <rPr>
        <i/>
        <sz val="10"/>
        <rFont val="Arial"/>
        <family val="2"/>
      </rPr>
      <t xml:space="preserve"> + y</t>
    </r>
    <r>
      <rPr>
        <i/>
        <vertAlign val="subscript"/>
        <sz val="10"/>
        <rFont val="Arial"/>
        <family val="2"/>
      </rPr>
      <t>2</t>
    </r>
  </si>
  <si>
    <r>
      <t>Z</t>
    </r>
    <r>
      <rPr>
        <vertAlign val="subscript"/>
        <sz val="10"/>
        <rFont val="Arial"/>
        <family val="2"/>
      </rPr>
      <t>dsjl</t>
    </r>
  </si>
  <si>
    <r>
      <t>E</t>
    </r>
    <r>
      <rPr>
        <i/>
        <vertAlign val="subscript"/>
        <sz val="10"/>
        <rFont val="Arial"/>
        <family val="2"/>
      </rPr>
      <t>2</t>
    </r>
    <r>
      <rPr>
        <i/>
        <sz val="10"/>
        <rFont val="Arial"/>
        <family val="2"/>
      </rPr>
      <t>-F</t>
    </r>
    <r>
      <rPr>
        <i/>
        <vertAlign val="subscript"/>
        <sz val="10"/>
        <rFont val="Arial"/>
        <family val="2"/>
      </rPr>
      <t>s</t>
    </r>
    <r>
      <rPr>
        <i/>
        <sz val="10"/>
        <rFont val="Arial"/>
        <family val="2"/>
      </rPr>
      <t>*E</t>
    </r>
    <r>
      <rPr>
        <i/>
        <vertAlign val="subscript"/>
        <sz val="10"/>
        <rFont val="Arial"/>
        <family val="2"/>
      </rPr>
      <t>1a</t>
    </r>
  </si>
  <si>
    <r>
      <t>E</t>
    </r>
    <r>
      <rPr>
        <vertAlign val="subscript"/>
        <sz val="10"/>
        <rFont val="Arial"/>
        <family val="2"/>
      </rPr>
      <t>1a</t>
    </r>
  </si>
  <si>
    <r>
      <t>q/y</t>
    </r>
    <r>
      <rPr>
        <i/>
        <vertAlign val="subscript"/>
        <sz val="10"/>
        <rFont val="Arial"/>
        <family val="2"/>
      </rPr>
      <t>1</t>
    </r>
  </si>
  <si>
    <r>
      <t>v</t>
    </r>
    <r>
      <rPr>
        <vertAlign val="subscript"/>
        <sz val="10"/>
        <rFont val="Arial"/>
        <family val="2"/>
      </rPr>
      <t>1</t>
    </r>
  </si>
  <si>
    <r>
      <t>a*y</t>
    </r>
    <r>
      <rPr>
        <i/>
        <vertAlign val="subscript"/>
        <sz val="10"/>
        <rFont val="Arial"/>
        <family val="2"/>
      </rPr>
      <t>2</t>
    </r>
  </si>
  <si>
    <r>
      <t>y</t>
    </r>
    <r>
      <rPr>
        <vertAlign val="subscript"/>
        <sz val="10"/>
        <rFont val="Arial"/>
        <family val="2"/>
      </rPr>
      <t>1</t>
    </r>
  </si>
  <si>
    <r>
      <t>v</t>
    </r>
    <r>
      <rPr>
        <vertAlign val="subscript"/>
        <sz val="10"/>
        <rFont val="Arial"/>
        <family val="2"/>
      </rPr>
      <t>2</t>
    </r>
  </si>
  <si>
    <r>
      <t>4*H</t>
    </r>
    <r>
      <rPr>
        <i/>
        <vertAlign val="subscript"/>
        <sz val="10"/>
        <rFont val="Arial"/>
        <family val="2"/>
      </rPr>
      <t>L</t>
    </r>
    <r>
      <rPr>
        <i/>
        <sz val="10"/>
        <rFont val="Arial"/>
        <family val="2"/>
      </rPr>
      <t>*a/(1-a)</t>
    </r>
    <r>
      <rPr>
        <i/>
        <vertAlign val="superscript"/>
        <sz val="10"/>
        <rFont val="Arial"/>
        <family val="2"/>
      </rPr>
      <t>3</t>
    </r>
  </si>
  <si>
    <r>
      <t>y</t>
    </r>
    <r>
      <rPr>
        <vertAlign val="subscript"/>
        <sz val="10"/>
        <rFont val="Arial"/>
        <family val="2"/>
      </rPr>
      <t>2</t>
    </r>
  </si>
  <si>
    <r>
      <t>(1-a)</t>
    </r>
    <r>
      <rPr>
        <i/>
        <vertAlign val="superscript"/>
        <sz val="10"/>
        <rFont val="Arial"/>
        <family val="2"/>
      </rPr>
      <t>3</t>
    </r>
    <r>
      <rPr>
        <i/>
        <sz val="10"/>
        <rFont val="Arial"/>
        <family val="2"/>
      </rPr>
      <t>/(2a)*((1+2a)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-1)</t>
    </r>
    <r>
      <rPr>
        <i/>
        <vertAlign val="superscript"/>
        <sz val="10"/>
        <rFont val="Arial"/>
        <family val="2"/>
      </rPr>
      <t>-1/3</t>
    </r>
    <r>
      <rPr>
        <i/>
        <sz val="10"/>
        <rFont val="Arial"/>
        <family val="2"/>
      </rPr>
      <t>)</t>
    </r>
  </si>
  <si>
    <r>
      <t>H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/d</t>
    </r>
    <r>
      <rPr>
        <vertAlign val="subscript"/>
        <sz val="10"/>
        <rFont val="Arial"/>
        <family val="2"/>
      </rPr>
      <t>c</t>
    </r>
  </si>
  <si>
    <r>
      <t>E</t>
    </r>
    <r>
      <rPr>
        <i/>
        <vertAlign val="subscript"/>
        <sz val="10"/>
        <rFont val="Arial"/>
        <family val="2"/>
      </rPr>
      <t>0</t>
    </r>
    <r>
      <rPr>
        <i/>
        <sz val="10"/>
        <rFont val="Arial"/>
        <family val="2"/>
      </rPr>
      <t>-E</t>
    </r>
    <r>
      <rPr>
        <i/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</si>
  <si>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L</t>
    </r>
  </si>
  <si>
    <r>
      <t>Z</t>
    </r>
    <r>
      <rPr>
        <i/>
        <vertAlign val="subscript"/>
        <sz val="10"/>
        <rFont val="Arial"/>
        <family val="2"/>
      </rPr>
      <t>dswl</t>
    </r>
    <r>
      <rPr>
        <i/>
        <sz val="10"/>
        <rFont val="Arial"/>
        <family val="2"/>
      </rPr>
      <t xml:space="preserve"> + h</t>
    </r>
    <r>
      <rPr>
        <i/>
        <vertAlign val="subscript"/>
        <sz val="10"/>
        <rFont val="Arial"/>
        <family val="2"/>
      </rPr>
      <t>v</t>
    </r>
  </si>
  <si>
    <r>
      <t>E</t>
    </r>
    <r>
      <rPr>
        <vertAlign val="subscript"/>
        <sz val="10"/>
        <rFont val="Arial"/>
        <family val="2"/>
      </rPr>
      <t>2</t>
    </r>
  </si>
  <si>
    <r>
      <t>Z</t>
    </r>
    <r>
      <rPr>
        <i/>
        <vertAlign val="subscript"/>
        <sz val="10"/>
        <rFont val="Arial"/>
        <family val="2"/>
      </rPr>
      <t>uswl</t>
    </r>
    <r>
      <rPr>
        <i/>
        <sz val="10"/>
        <rFont val="Arial"/>
        <family val="2"/>
      </rPr>
      <t xml:space="preserve"> + h</t>
    </r>
    <r>
      <rPr>
        <i/>
        <vertAlign val="subscript"/>
        <sz val="10"/>
        <rFont val="Arial"/>
        <family val="2"/>
      </rPr>
      <t>v</t>
    </r>
  </si>
  <si>
    <r>
      <t>E</t>
    </r>
    <r>
      <rPr>
        <vertAlign val="subscript"/>
        <sz val="10"/>
        <rFont val="Arial"/>
        <family val="2"/>
      </rPr>
      <t>o</t>
    </r>
  </si>
  <si>
    <r>
      <t>v</t>
    </r>
    <r>
      <rPr>
        <i/>
        <vertAlign val="subscript"/>
        <sz val="10"/>
        <rFont val="Arial"/>
        <family val="2"/>
      </rPr>
      <t>2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/2g</t>
    </r>
  </si>
  <si>
    <r>
      <t>h</t>
    </r>
    <r>
      <rPr>
        <vertAlign val="subscript"/>
        <sz val="10"/>
        <rFont val="Arial"/>
        <family val="2"/>
      </rPr>
      <t>v2</t>
    </r>
  </si>
  <si>
    <r>
      <t>v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/2g</t>
    </r>
  </si>
  <si>
    <r>
      <t>h</t>
    </r>
    <r>
      <rPr>
        <vertAlign val="subscript"/>
        <sz val="10"/>
        <rFont val="Arial"/>
        <family val="2"/>
      </rPr>
      <t>v</t>
    </r>
  </si>
  <si>
    <r>
      <t>(q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/g)</t>
    </r>
    <r>
      <rPr>
        <i/>
        <vertAlign val="superscript"/>
        <sz val="10"/>
        <rFont val="Arial"/>
        <family val="2"/>
      </rPr>
      <t>1/3</t>
    </r>
  </si>
  <si>
    <r>
      <t>d</t>
    </r>
    <r>
      <rPr>
        <vertAlign val="subscript"/>
        <sz val="10"/>
        <rFont val="Arial"/>
        <family val="2"/>
      </rPr>
      <t>c</t>
    </r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</si>
  <si>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perscript"/>
        <sz val="10"/>
        <rFont val="Arial"/>
        <family val="2"/>
      </rPr>
      <t>-1</t>
    </r>
  </si>
  <si>
    <t>1.0 can be allowed however not critical</t>
  </si>
  <si>
    <r>
      <t>v</t>
    </r>
    <r>
      <rPr>
        <i/>
        <vertAlign val="subscript"/>
        <sz val="8"/>
        <rFont val="Arial"/>
        <family val="2"/>
      </rPr>
      <t>2</t>
    </r>
  </si>
  <si>
    <t>With retrogression</t>
  </si>
  <si>
    <r>
      <t>Z</t>
    </r>
    <r>
      <rPr>
        <i/>
        <vertAlign val="subscript"/>
        <sz val="8"/>
        <rFont val="Arial"/>
        <family val="2"/>
      </rPr>
      <t>dswl</t>
    </r>
  </si>
  <si>
    <r>
      <t>Z</t>
    </r>
    <r>
      <rPr>
        <i/>
        <vertAlign val="subscript"/>
        <sz val="8"/>
        <rFont val="Arial"/>
        <family val="2"/>
      </rPr>
      <t>uswl</t>
    </r>
  </si>
  <si>
    <t>Stilling Basin General Design - Condition 2</t>
  </si>
  <si>
    <t>Water Level Condition 3 with Retrogression</t>
  </si>
  <si>
    <r>
      <t>Z</t>
    </r>
    <r>
      <rPr>
        <i/>
        <vertAlign val="subscript"/>
        <sz val="10"/>
        <rFont val="Arial"/>
        <family val="2"/>
      </rPr>
      <t>uswl</t>
    </r>
    <r>
      <rPr>
        <i/>
        <sz val="10"/>
        <rFont val="Arial"/>
        <family val="2"/>
      </rPr>
      <t xml:space="preserve"> + h</t>
    </r>
    <r>
      <rPr>
        <i/>
        <vertAlign val="subscript"/>
        <sz val="10"/>
        <rFont val="Arial"/>
        <family val="2"/>
      </rPr>
      <t>v2</t>
    </r>
  </si>
  <si>
    <r>
      <t>S</t>
    </r>
    <r>
      <rPr>
        <i/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</si>
  <si>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f</t>
    </r>
  </si>
  <si>
    <r>
      <t>v</t>
    </r>
    <r>
      <rPr>
        <i/>
        <vertAlign val="subscript"/>
        <sz val="10"/>
        <rFont val="Arial"/>
        <family val="2"/>
      </rPr>
      <t>2,70</t>
    </r>
  </si>
  <si>
    <r>
      <t>Z</t>
    </r>
    <r>
      <rPr>
        <i/>
        <vertAlign val="subscript"/>
        <sz val="10"/>
        <rFont val="Arial"/>
        <family val="2"/>
      </rPr>
      <t>dswl,120</t>
    </r>
  </si>
  <si>
    <r>
      <t>Z</t>
    </r>
    <r>
      <rPr>
        <vertAlign val="subscript"/>
        <sz val="10"/>
        <rFont val="Arial"/>
        <family val="2"/>
      </rPr>
      <t>dswl</t>
    </r>
  </si>
  <si>
    <r>
      <t>v</t>
    </r>
    <r>
      <rPr>
        <i/>
        <vertAlign val="subscript"/>
        <sz val="10"/>
        <rFont val="Arial"/>
        <family val="2"/>
      </rPr>
      <t>120</t>
    </r>
  </si>
  <si>
    <r>
      <t>Z</t>
    </r>
    <r>
      <rPr>
        <i/>
        <vertAlign val="subscript"/>
        <sz val="10"/>
        <rFont val="Arial"/>
        <family val="2"/>
      </rPr>
      <t>uswl,120</t>
    </r>
  </si>
  <si>
    <r>
      <t>Z</t>
    </r>
    <r>
      <rPr>
        <vertAlign val="subscript"/>
        <sz val="10"/>
        <rFont val="Arial"/>
        <family val="2"/>
      </rPr>
      <t>uswl</t>
    </r>
  </si>
  <si>
    <r>
      <t>Q</t>
    </r>
    <r>
      <rPr>
        <i/>
        <vertAlign val="subscript"/>
        <sz val="10"/>
        <rFont val="Arial"/>
        <family val="2"/>
      </rPr>
      <t>120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</si>
  <si>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s</t>
    </r>
    <r>
      <rPr>
        <vertAlign val="superscript"/>
        <sz val="10"/>
        <rFont val="Arial"/>
        <family val="2"/>
      </rPr>
      <t>-1</t>
    </r>
  </si>
  <si>
    <t>Stilling Basin General Design - Condition 3</t>
  </si>
  <si>
    <t>Minimum Basin Length (from 2.24 and 2.26)</t>
  </si>
  <si>
    <t>2.2.6 General</t>
  </si>
  <si>
    <t>6*y2,crit</t>
  </si>
  <si>
    <t>Minimum Basin Length</t>
  </si>
  <si>
    <t>MAX(C1,C2,C3)</t>
  </si>
  <si>
    <t>Max Free Jump Length</t>
  </si>
  <si>
    <t>2.2.5 Free Jump Length</t>
  </si>
  <si>
    <t>Max Designed Basin Length Condition</t>
  </si>
  <si>
    <t>Max Designed Basin Length</t>
  </si>
  <si>
    <t>2.2.4 Designed Basin Length</t>
  </si>
  <si>
    <t>Max Conjugate Depth Condition</t>
  </si>
  <si>
    <t>Conjugate Depth</t>
  </si>
  <si>
    <t>2.2.3 Conjugate Depth</t>
  </si>
  <si>
    <t>Critical Froude Condition</t>
  </si>
  <si>
    <t>2.2.2 Froude Number</t>
  </si>
  <si>
    <t>USER DEFINED</t>
  </si>
  <si>
    <r>
      <t>Z</t>
    </r>
    <r>
      <rPr>
        <vertAlign val="subscript"/>
        <sz val="8"/>
        <rFont val="Arial"/>
        <family val="2"/>
      </rPr>
      <t>bs</t>
    </r>
  </si>
  <si>
    <t>Basin Level Selected</t>
  </si>
  <si>
    <t>Critical Condition</t>
  </si>
  <si>
    <t>MIN(C1,C2,C3)</t>
  </si>
  <si>
    <t>2.2.1 Basin Level</t>
  </si>
  <si>
    <t>2.1 SUMMARY OF CRITICAL BASIN</t>
  </si>
  <si>
    <t>Stilling Basin Check - Outputs</t>
  </si>
  <si>
    <t>Type III</t>
  </si>
  <si>
    <t>Type IVA</t>
  </si>
  <si>
    <t>Type I</t>
  </si>
  <si>
    <t>Type</t>
  </si>
  <si>
    <t>Expensive Stilling Basin and Rough Surface Conditions</t>
  </si>
  <si>
    <t>Strong Jump</t>
  </si>
  <si>
    <t>Acceptable Performance</t>
  </si>
  <si>
    <t>Best Performance</t>
  </si>
  <si>
    <t>Steady Jump</t>
  </si>
  <si>
    <t>interpolate(F41,'Jump Lookup'!B2:B22,'Jump Lookup'!C2:C22)</t>
  </si>
  <si>
    <t>Wavy</t>
  </si>
  <si>
    <t>Oscillating Jump</t>
  </si>
  <si>
    <t>Bassin Type</t>
  </si>
  <si>
    <t>Jump Type</t>
  </si>
  <si>
    <t>Suruface Turbulance Only</t>
  </si>
  <si>
    <t>Sweep Jump</t>
  </si>
  <si>
    <t>Performance</t>
  </si>
  <si>
    <t>Free Jump Characteristics</t>
  </si>
  <si>
    <t>User Defined</t>
  </si>
  <si>
    <r>
      <t>H</t>
    </r>
    <r>
      <rPr>
        <vertAlign val="subscript"/>
        <sz val="8"/>
        <rFont val="Arial"/>
        <family val="2"/>
      </rPr>
      <t>3,min</t>
    </r>
  </si>
  <si>
    <t>Change number of blocks for gap</t>
  </si>
  <si>
    <r>
      <t>H</t>
    </r>
    <r>
      <rPr>
        <b/>
        <vertAlign val="subscript"/>
        <sz val="8"/>
        <rFont val="Arial"/>
        <family val="2"/>
      </rPr>
      <t>tb</t>
    </r>
  </si>
  <si>
    <t>Gap Size</t>
  </si>
  <si>
    <t>y1</t>
  </si>
  <si>
    <r>
      <t>y</t>
    </r>
    <r>
      <rPr>
        <i/>
        <vertAlign val="subscript"/>
        <sz val="8"/>
        <rFont val="Arial"/>
        <family val="2"/>
      </rPr>
      <t>1</t>
    </r>
  </si>
  <si>
    <r>
      <t>0.375*y</t>
    </r>
    <r>
      <rPr>
        <i/>
        <vertAlign val="subscript"/>
        <sz val="8"/>
        <rFont val="Arial"/>
        <family val="2"/>
      </rPr>
      <t>3</t>
    </r>
  </si>
  <si>
    <t>Recommended Gap At Side</t>
  </si>
  <si>
    <r>
      <t>H</t>
    </r>
    <r>
      <rPr>
        <vertAlign val="subscript"/>
        <sz val="8"/>
        <rFont val="Arial"/>
        <family val="2"/>
      </rPr>
      <t>tb,min</t>
    </r>
  </si>
  <si>
    <r>
      <t>0.75*y</t>
    </r>
    <r>
      <rPr>
        <i/>
        <vertAlign val="subscript"/>
        <sz val="8"/>
        <rFont val="Arial"/>
        <family val="2"/>
      </rPr>
      <t>1</t>
    </r>
  </si>
  <si>
    <t>Minimum Width</t>
  </si>
  <si>
    <t>Crest Thickness</t>
  </si>
  <si>
    <t>0.2*y1</t>
  </si>
  <si>
    <t>h3/d1</t>
  </si>
  <si>
    <r>
      <t>0.2*y</t>
    </r>
    <r>
      <rPr>
        <i/>
        <vertAlign val="subscript"/>
        <sz val="8"/>
        <rFont val="Arial"/>
        <family val="2"/>
      </rPr>
      <t>1</t>
    </r>
  </si>
  <si>
    <t>Minimum Crest Thickness</t>
  </si>
  <si>
    <r>
      <t>L</t>
    </r>
    <r>
      <rPr>
        <b/>
        <vertAlign val="subscript"/>
        <sz val="8"/>
        <rFont val="Arial"/>
        <family val="2"/>
      </rPr>
      <t>1</t>
    </r>
  </si>
  <si>
    <r>
      <t>H</t>
    </r>
    <r>
      <rPr>
        <b/>
        <vertAlign val="subscript"/>
        <sz val="8"/>
        <rFont val="Arial"/>
        <family val="2"/>
      </rPr>
      <t>3</t>
    </r>
  </si>
  <si>
    <t>Height</t>
  </si>
  <si>
    <r>
      <t>L</t>
    </r>
    <r>
      <rPr>
        <vertAlign val="subscript"/>
        <sz val="8"/>
        <rFont val="Arial"/>
        <family val="2"/>
      </rPr>
      <t>1.min</t>
    </r>
  </si>
  <si>
    <r>
      <t>h</t>
    </r>
    <r>
      <rPr>
        <i/>
        <vertAlign val="subscript"/>
        <sz val="8"/>
        <rFont val="Arial"/>
        <family val="2"/>
      </rPr>
      <t>3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1</t>
    </r>
  </si>
  <si>
    <t>Minimum Height</t>
  </si>
  <si>
    <r>
      <t>X/y</t>
    </r>
    <r>
      <rPr>
        <vertAlign val="subscript"/>
        <sz val="8"/>
        <rFont val="Arial"/>
        <family val="2"/>
      </rPr>
      <t>2</t>
    </r>
  </si>
  <si>
    <r>
      <t>h</t>
    </r>
    <r>
      <rPr>
        <vertAlign val="subscript"/>
        <sz val="8"/>
        <rFont val="Arial"/>
        <family val="2"/>
      </rPr>
      <t>3</t>
    </r>
  </si>
  <si>
    <t>Height Factor</t>
  </si>
  <si>
    <t>Distance From Chute Toe</t>
  </si>
  <si>
    <t>L1/y2*y2</t>
  </si>
  <si>
    <r>
      <t>X/y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2</t>
    </r>
  </si>
  <si>
    <t>Minimum Distance From Chute Toe</t>
  </si>
  <si>
    <t>k</t>
  </si>
  <si>
    <t>Distance From Chute Toe Factor</t>
  </si>
  <si>
    <t>2.5. BAFFLE BLOCKS</t>
  </si>
  <si>
    <t>(B-(N(W+S)-S))/2</t>
  </si>
  <si>
    <r>
      <t>S</t>
    </r>
    <r>
      <rPr>
        <vertAlign val="subscript"/>
        <sz val="8"/>
        <rFont val="Arial"/>
        <family val="2"/>
      </rPr>
      <t>min</t>
    </r>
  </si>
  <si>
    <t>Spacing at End of Chute Blocks</t>
  </si>
  <si>
    <t>(N(W+S)-B-S)/2/y1</t>
  </si>
  <si>
    <t>W</t>
  </si>
  <si>
    <r>
      <t>(B-(N(W+S)-S))/2/y</t>
    </r>
    <r>
      <rPr>
        <i/>
        <vertAlign val="subscript"/>
        <sz val="8"/>
        <rFont val="Arial"/>
        <family val="2"/>
      </rPr>
      <t>1</t>
    </r>
  </si>
  <si>
    <t>Spacing Factor at End of Chute Blocks</t>
  </si>
  <si>
    <r>
      <t>W</t>
    </r>
    <r>
      <rPr>
        <vertAlign val="subscript"/>
        <sz val="8"/>
        <rFont val="Arial"/>
        <family val="2"/>
      </rPr>
      <t>min</t>
    </r>
  </si>
  <si>
    <t>S</t>
  </si>
  <si>
    <t>Chute Block Spacing</t>
  </si>
  <si>
    <t>0.7*y1</t>
  </si>
  <si>
    <r>
      <t>0.7*y</t>
    </r>
    <r>
      <rPr>
        <i/>
        <vertAlign val="subscript"/>
        <sz val="8"/>
        <rFont val="Arial"/>
        <family val="2"/>
      </rPr>
      <t>1</t>
    </r>
  </si>
  <si>
    <t>Minimum Chute Block Spacing</t>
  </si>
  <si>
    <r>
      <t>H</t>
    </r>
    <r>
      <rPr>
        <vertAlign val="subscript"/>
        <sz val="8"/>
        <rFont val="Arial"/>
        <family val="2"/>
      </rPr>
      <t>min</t>
    </r>
  </si>
  <si>
    <t>Chute Block Width</t>
  </si>
  <si>
    <t>Minimum (Max if IV) Chute Block Width</t>
  </si>
  <si>
    <r>
      <t>N</t>
    </r>
    <r>
      <rPr>
        <vertAlign val="subscript"/>
        <sz val="8"/>
        <rFont val="Arial"/>
        <family val="2"/>
      </rPr>
      <t>es</t>
    </r>
  </si>
  <si>
    <t>Chute Block Height</t>
  </si>
  <si>
    <t>2*y1/s</t>
  </si>
  <si>
    <r>
      <t>S</t>
    </r>
    <r>
      <rPr>
        <b/>
        <vertAlign val="subscript"/>
        <sz val="8"/>
        <rFont val="Arial"/>
        <family val="2"/>
      </rPr>
      <t>es</t>
    </r>
  </si>
  <si>
    <t>Minimum Chute Block Height</t>
  </si>
  <si>
    <t>2.4. CHUTE BLOCKS</t>
  </si>
  <si>
    <t>(B+Ses)/(Ses+Wes)</t>
  </si>
  <si>
    <r>
      <t>W</t>
    </r>
    <r>
      <rPr>
        <b/>
        <vertAlign val="subscript"/>
        <sz val="8"/>
        <rFont val="Arial"/>
        <family val="2"/>
      </rPr>
      <t>es</t>
    </r>
  </si>
  <si>
    <r>
      <t>(B+S</t>
    </r>
    <r>
      <rPr>
        <i/>
        <vertAlign val="subscript"/>
        <sz val="8"/>
        <rFont val="Arial"/>
        <family val="2"/>
      </rPr>
      <t>es</t>
    </r>
    <r>
      <rPr>
        <i/>
        <sz val="8"/>
        <rFont val="Arial"/>
        <family val="2"/>
      </rPr>
      <t>)/(S</t>
    </r>
    <r>
      <rPr>
        <i/>
        <vertAlign val="subscript"/>
        <sz val="8"/>
        <rFont val="Arial"/>
        <family val="2"/>
      </rPr>
      <t>es</t>
    </r>
    <r>
      <rPr>
        <i/>
        <sz val="8"/>
        <rFont val="Arial"/>
        <family val="2"/>
      </rPr>
      <t>+W</t>
    </r>
    <r>
      <rPr>
        <i/>
        <vertAlign val="subscript"/>
        <sz val="8"/>
        <rFont val="Arial"/>
        <family val="2"/>
      </rPr>
      <t>es</t>
    </r>
    <r>
      <rPr>
        <i/>
        <sz val="8"/>
        <rFont val="Arial"/>
        <family val="2"/>
      </rPr>
      <t>)</t>
    </r>
  </si>
  <si>
    <t>Number of Blocks</t>
  </si>
  <si>
    <r>
      <t>W</t>
    </r>
    <r>
      <rPr>
        <vertAlign val="subscript"/>
        <sz val="8"/>
        <rFont val="Arial"/>
        <family val="2"/>
      </rPr>
      <t>es,min</t>
    </r>
  </si>
  <si>
    <t>End Sill Block Spacing</t>
  </si>
  <si>
    <t>a*y2</t>
  </si>
  <si>
    <r>
      <t>T</t>
    </r>
    <r>
      <rPr>
        <b/>
        <vertAlign val="subscript"/>
        <sz val="8"/>
        <rFont val="Arial"/>
        <family val="2"/>
      </rPr>
      <t>es</t>
    </r>
  </si>
  <si>
    <r>
      <t>a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2</t>
    </r>
  </si>
  <si>
    <r>
      <t>S</t>
    </r>
    <r>
      <rPr>
        <vertAlign val="subscript"/>
        <sz val="8"/>
        <rFont val="Arial"/>
        <family val="2"/>
      </rPr>
      <t>es,min</t>
    </r>
  </si>
  <si>
    <t>Minimum End Sill Block Spacing</t>
  </si>
  <si>
    <r>
      <t>T</t>
    </r>
    <r>
      <rPr>
        <vertAlign val="subscript"/>
        <sz val="8"/>
        <rFont val="Arial"/>
        <family val="2"/>
      </rPr>
      <t>es,min</t>
    </r>
  </si>
  <si>
    <t>End Sill Block Width</t>
  </si>
  <si>
    <r>
      <t>H</t>
    </r>
    <r>
      <rPr>
        <b/>
        <vertAlign val="subscript"/>
        <sz val="8"/>
        <rFont val="Arial"/>
        <family val="2"/>
      </rPr>
      <t>s</t>
    </r>
  </si>
  <si>
    <t>Minimum End Sill Block Width</t>
  </si>
  <si>
    <r>
      <t>H</t>
    </r>
    <r>
      <rPr>
        <vertAlign val="subscript"/>
        <sz val="8"/>
        <rFont val="Arial"/>
        <family val="2"/>
      </rPr>
      <t>s,min</t>
    </r>
  </si>
  <si>
    <t>End Sill Thickness</t>
  </si>
  <si>
    <t>0.2*Hs</t>
  </si>
  <si>
    <r>
      <t>h</t>
    </r>
    <r>
      <rPr>
        <vertAlign val="subscript"/>
        <sz val="8"/>
        <rFont val="Arial"/>
        <family val="2"/>
      </rPr>
      <t>4</t>
    </r>
    <r>
      <rPr>
        <sz val="8"/>
        <rFont val="Arial"/>
        <family val="2"/>
      </rPr>
      <t>/y</t>
    </r>
    <r>
      <rPr>
        <vertAlign val="subscript"/>
        <sz val="8"/>
        <rFont val="Arial"/>
        <family val="2"/>
      </rPr>
      <t>2</t>
    </r>
  </si>
  <si>
    <r>
      <t>0.2*H</t>
    </r>
    <r>
      <rPr>
        <i/>
        <vertAlign val="subscript"/>
        <sz val="8"/>
        <rFont val="Arial"/>
        <family val="2"/>
      </rPr>
      <t>s</t>
    </r>
  </si>
  <si>
    <t>Minimum End Sill Thickness</t>
  </si>
  <si>
    <t>End Sill Height</t>
  </si>
  <si>
    <t>0.2*y2</t>
  </si>
  <si>
    <r>
      <t>L</t>
    </r>
    <r>
      <rPr>
        <vertAlign val="subscript"/>
        <sz val="8"/>
        <rFont val="Arial"/>
        <family val="2"/>
      </rPr>
      <t>1,min</t>
    </r>
  </si>
  <si>
    <r>
      <t>h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1</t>
    </r>
  </si>
  <si>
    <t>Minimum End Sill Height</t>
  </si>
  <si>
    <r>
      <t>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/y</t>
    </r>
    <r>
      <rPr>
        <vertAlign val="subscript"/>
        <sz val="8"/>
        <rFont val="Arial"/>
        <family val="2"/>
      </rPr>
      <t>2</t>
    </r>
  </si>
  <si>
    <r>
      <t>h</t>
    </r>
    <r>
      <rPr>
        <vertAlign val="subscript"/>
        <sz val="8"/>
        <rFont val="Arial"/>
        <family val="2"/>
      </rPr>
      <t>4</t>
    </r>
    <r>
      <rPr>
        <sz val="8"/>
        <rFont val="Arial"/>
        <family val="2"/>
      </rPr>
      <t/>
    </r>
  </si>
  <si>
    <t>Height Ratio</t>
  </si>
  <si>
    <t>Toe Baffle Distance From Chute Toe</t>
  </si>
  <si>
    <r>
      <t>L</t>
    </r>
    <r>
      <rPr>
        <vertAlign val="subscript"/>
        <sz val="8"/>
        <rFont val="Arial"/>
        <family val="2"/>
      </rPr>
      <t>B</t>
    </r>
  </si>
  <si>
    <r>
      <t>L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/y</t>
    </r>
    <r>
      <rPr>
        <i/>
        <vertAlign val="subscript"/>
        <sz val="8"/>
        <rFont val="Arial"/>
        <family val="2"/>
      </rPr>
      <t>2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2</t>
    </r>
  </si>
  <si>
    <t>Minimum Toe Baffle Distance From Chute Toe</t>
  </si>
  <si>
    <r>
      <t>F</t>
    </r>
    <r>
      <rPr>
        <vertAlign val="subscript"/>
        <sz val="8"/>
        <rFont val="Arial"/>
        <family val="2"/>
      </rPr>
      <t>L</t>
    </r>
  </si>
  <si>
    <t>Toe Baffle Distance From Chute Toe Factor</t>
  </si>
  <si>
    <t>2.3 END SILL</t>
  </si>
  <si>
    <r>
      <t>F</t>
    </r>
    <r>
      <rPr>
        <i/>
        <vertAlign val="subscript"/>
        <sz val="8"/>
        <rFont val="Arial"/>
        <family val="2"/>
      </rPr>
      <t>L</t>
    </r>
    <r>
      <rPr>
        <i/>
        <sz val="8"/>
        <rFont val="Arial"/>
        <family val="2"/>
      </rPr>
      <t>*y</t>
    </r>
    <r>
      <rPr>
        <i/>
        <vertAlign val="subscript"/>
        <sz val="8"/>
        <rFont val="Arial"/>
        <family val="2"/>
      </rPr>
      <t>2</t>
    </r>
  </si>
  <si>
    <t>Basin Length</t>
  </si>
  <si>
    <t>2.2.1 Basin</t>
  </si>
  <si>
    <t>2.2 BASIN DIMENSIONS</t>
  </si>
  <si>
    <t>This is for the whole structure</t>
  </si>
  <si>
    <t>Minimum length of structure to accommodate road bridge</t>
  </si>
  <si>
    <r>
      <t>6*y</t>
    </r>
    <r>
      <rPr>
        <i/>
        <vertAlign val="subscript"/>
        <sz val="8"/>
        <rFont val="Arial"/>
        <family val="2"/>
      </rPr>
      <t>2,design</t>
    </r>
  </si>
  <si>
    <t>Minimum Basin Length (Type I)</t>
  </si>
  <si>
    <t>This is without any blocks</t>
  </si>
  <si>
    <t>Free Jump Length</t>
  </si>
  <si>
    <t>Free Jump Length Factor</t>
  </si>
  <si>
    <t>Flow downstream required for jump to appear in stilling basin</t>
  </si>
  <si>
    <t>Qi</t>
  </si>
  <si>
    <t>Initial Design Flow</t>
  </si>
  <si>
    <t>y2+Zb</t>
  </si>
  <si>
    <t>Zc</t>
  </si>
  <si>
    <t>Conjugate Level</t>
  </si>
  <si>
    <r>
      <t>y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/2*(</t>
    </r>
    <r>
      <rPr>
        <sz val="8"/>
        <rFont val="Arial"/>
        <family val="2"/>
      </rPr>
      <t>√</t>
    </r>
    <r>
      <rPr>
        <i/>
        <sz val="8"/>
        <rFont val="Arial"/>
        <family val="2"/>
      </rPr>
      <t>(1+8Fr</t>
    </r>
    <r>
      <rPr>
        <i/>
        <vertAlign val="subscript"/>
        <sz val="8"/>
        <rFont val="Arial"/>
        <family val="2"/>
      </rPr>
      <t>1</t>
    </r>
    <r>
      <rPr>
        <i/>
        <vertAlign val="superscript"/>
        <sz val="8"/>
        <rFont val="Arial"/>
        <family val="2"/>
      </rPr>
      <t>2</t>
    </r>
    <r>
      <rPr>
        <i/>
        <sz val="8"/>
        <rFont val="Arial"/>
        <family val="2"/>
      </rPr>
      <t>)-1)</t>
    </r>
  </si>
  <si>
    <r>
      <t>v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/</t>
    </r>
    <r>
      <rPr>
        <sz val="8"/>
        <rFont val="Arial"/>
        <family val="2"/>
      </rPr>
      <t>√</t>
    </r>
    <r>
      <rPr>
        <i/>
        <sz val="8"/>
        <rFont val="Arial"/>
        <family val="2"/>
      </rPr>
      <t>(gy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)</t>
    </r>
  </si>
  <si>
    <r>
      <t>Fr</t>
    </r>
    <r>
      <rPr>
        <b/>
        <vertAlign val="subscript"/>
        <sz val="8"/>
        <rFont val="Arial"/>
        <family val="2"/>
      </rPr>
      <t>1</t>
    </r>
  </si>
  <si>
    <t>Upstream Froude Number</t>
  </si>
  <si>
    <t>for circular reference</t>
  </si>
  <si>
    <t>q/v</t>
  </si>
  <si>
    <r>
      <t>√(2g*(E</t>
    </r>
    <r>
      <rPr>
        <vertAlign val="subscript"/>
        <sz val="8"/>
        <rFont val="Arial"/>
        <family val="2"/>
      </rPr>
      <t>0</t>
    </r>
    <r>
      <rPr>
        <sz val="8"/>
        <rFont val="Arial"/>
        <family val="2"/>
      </rPr>
      <t>-y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))</t>
    </r>
  </si>
  <si>
    <r>
      <t>Z</t>
    </r>
    <r>
      <rPr>
        <vertAlign val="subscript"/>
        <sz val="8"/>
        <rFont val="Arial"/>
        <family val="2"/>
      </rPr>
      <t>uswl</t>
    </r>
    <r>
      <rPr>
        <sz val="8"/>
        <rFont val="Arial"/>
        <family val="2"/>
      </rPr>
      <t>+h</t>
    </r>
    <r>
      <rPr>
        <vertAlign val="subscript"/>
        <sz val="8"/>
        <rFont val="Arial"/>
        <family val="2"/>
      </rPr>
      <t>v</t>
    </r>
    <r>
      <rPr>
        <sz val="8"/>
        <rFont val="Arial"/>
        <family val="2"/>
      </rPr>
      <t>-Z</t>
    </r>
    <r>
      <rPr>
        <vertAlign val="subscript"/>
        <sz val="8"/>
        <rFont val="Arial"/>
        <family val="2"/>
      </rPr>
      <t>b</t>
    </r>
  </si>
  <si>
    <r>
      <t>E</t>
    </r>
    <r>
      <rPr>
        <vertAlign val="subscript"/>
        <sz val="8"/>
        <rFont val="Arial"/>
        <family val="2"/>
      </rPr>
      <t>0</t>
    </r>
  </si>
  <si>
    <t>Total Energy</t>
  </si>
  <si>
    <r>
      <t>v</t>
    </r>
    <r>
      <rPr>
        <vertAlign val="subscript"/>
        <sz val="8"/>
        <rFont val="Arial"/>
        <family val="2"/>
      </rPr>
      <t>0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/(2g)</t>
    </r>
  </si>
  <si>
    <t>Unit Flow</t>
  </si>
  <si>
    <t>Glasis Slope</t>
  </si>
  <si>
    <t>Type IV</t>
  </si>
  <si>
    <t>End Sill Width Multiple</t>
  </si>
  <si>
    <t>Nb</t>
  </si>
  <si>
    <t>Number of Baffle Blocks</t>
  </si>
  <si>
    <t>Type II</t>
  </si>
  <si>
    <t>Nc</t>
  </si>
  <si>
    <t>Number of Chute Blocks</t>
  </si>
  <si>
    <t>Number of Stilling Basins</t>
  </si>
  <si>
    <t>Stilling Basin Width</t>
  </si>
  <si>
    <t>Total Flow</t>
  </si>
  <si>
    <r>
      <t>Z</t>
    </r>
    <r>
      <rPr>
        <vertAlign val="subscript"/>
        <sz val="8"/>
        <rFont val="Arial"/>
        <family val="2"/>
      </rPr>
      <t>b</t>
    </r>
  </si>
  <si>
    <r>
      <t>v</t>
    </r>
    <r>
      <rPr>
        <vertAlign val="subscript"/>
        <sz val="8"/>
        <rFont val="Arial"/>
        <family val="2"/>
      </rPr>
      <t>0</t>
    </r>
  </si>
  <si>
    <t>Upstream Velocity</t>
  </si>
  <si>
    <t>Condition 3</t>
  </si>
  <si>
    <t>Condition 2</t>
  </si>
  <si>
    <t>The condition for which the velocities and levels should be taken from for further design</t>
  </si>
  <si>
    <t>Condition chosen for further design</t>
  </si>
  <si>
    <t>Condition 1</t>
  </si>
  <si>
    <t>The condition for which the level was designed</t>
  </si>
  <si>
    <t>Basin Level designed for:</t>
  </si>
  <si>
    <t>USBR Low Froude Stilling Basins</t>
  </si>
  <si>
    <t>USBR Small Dams</t>
  </si>
  <si>
    <t>Stilling Basin Design</t>
  </si>
  <si>
    <t>L/D2</t>
  </si>
  <si>
    <t>End Sill</t>
  </si>
  <si>
    <t>Baffle Piers</t>
  </si>
  <si>
    <t>h3/D1</t>
  </si>
  <si>
    <t>X/y2</t>
  </si>
  <si>
    <t>X</t>
  </si>
  <si>
    <t>L1/D2</t>
  </si>
  <si>
    <t>D/S WL = End Sill Level</t>
  </si>
  <si>
    <t>Width of Pier</t>
  </si>
  <si>
    <t>Nos</t>
  </si>
  <si>
    <t>Ng</t>
  </si>
  <si>
    <t>Number of gates</t>
  </si>
  <si>
    <t>Gw</t>
  </si>
  <si>
    <t>Width of gates</t>
  </si>
  <si>
    <t>Offtaking Canal</t>
  </si>
  <si>
    <t>D/S WL = D/S Bed Level</t>
  </si>
  <si>
    <t>Parent Canal</t>
  </si>
  <si>
    <t>HM</t>
  </si>
  <si>
    <t>Station</t>
  </si>
  <si>
    <t>Upstream Canal</t>
  </si>
  <si>
    <t>Downstream Canal</t>
  </si>
  <si>
    <t>Longitudinal Slope</t>
  </si>
  <si>
    <t>WL</t>
  </si>
  <si>
    <t>h</t>
  </si>
  <si>
    <t xml:space="preserve">BL </t>
  </si>
  <si>
    <t>I</t>
  </si>
  <si>
    <t>Check Structure / Division Structure</t>
  </si>
  <si>
    <t>Structure Data</t>
  </si>
  <si>
    <t>Sill Level</t>
  </si>
  <si>
    <t>SL</t>
  </si>
  <si>
    <t>Wp</t>
  </si>
  <si>
    <t>Manning's Rating Curve - D/S canal</t>
  </si>
  <si>
    <t>Manning's Rating Curve of d/s canal for design of Stilling Basin Design</t>
  </si>
  <si>
    <t>Basic Input required for Stilling Basin General Design</t>
  </si>
  <si>
    <t>Capacity Check of Slide gate</t>
  </si>
  <si>
    <t>Manning's N</t>
  </si>
  <si>
    <t>Lempuing II</t>
  </si>
  <si>
    <t>Commemts</t>
  </si>
  <si>
    <t xml:space="preserve">m </t>
  </si>
  <si>
    <t>cumec</t>
  </si>
  <si>
    <t>m/s</t>
  </si>
  <si>
    <r>
      <t xml:space="preserve">K  x </t>
    </r>
    <r>
      <rPr>
        <i/>
        <sz val="8"/>
        <rFont val="Symbol"/>
        <family val="1"/>
        <charset val="2"/>
      </rPr>
      <t>m</t>
    </r>
    <r>
      <rPr>
        <i/>
        <sz val="8"/>
        <rFont val="Arial"/>
        <family val="2"/>
      </rPr>
      <t xml:space="preserve"> x a x b  x </t>
    </r>
    <r>
      <rPr>
        <sz val="8"/>
        <rFont val="Arial"/>
        <family val="2"/>
      </rPr>
      <t>√</t>
    </r>
    <r>
      <rPr>
        <i/>
        <sz val="8"/>
        <rFont val="Arial"/>
        <family val="2"/>
      </rPr>
      <t>(2 x g x h</t>
    </r>
    <r>
      <rPr>
        <i/>
        <vertAlign val="subscript"/>
        <sz val="8"/>
        <rFont val="Arial"/>
        <family val="2"/>
      </rPr>
      <t>1</t>
    </r>
    <r>
      <rPr>
        <i/>
        <sz val="8"/>
        <rFont val="Arial"/>
        <family val="2"/>
      </rPr>
      <t>)</t>
    </r>
  </si>
  <si>
    <t>Submergence Flow ratio</t>
  </si>
  <si>
    <t>K</t>
  </si>
  <si>
    <t>Discharge Coefficient</t>
  </si>
  <si>
    <t>Depth of water u/s of gate</t>
  </si>
  <si>
    <t>h1</t>
  </si>
  <si>
    <t>Total Factored design discharge</t>
  </si>
  <si>
    <r>
      <t>Q &lt; Q</t>
    </r>
    <r>
      <rPr>
        <i/>
        <vertAlign val="subscript"/>
        <sz val="8"/>
        <rFont val="Arial"/>
        <family val="2"/>
      </rPr>
      <t>max</t>
    </r>
  </si>
  <si>
    <r>
      <rPr>
        <sz val="8"/>
        <rFont val="Arial"/>
        <family val="2"/>
      </rPr>
      <t>Q</t>
    </r>
    <r>
      <rPr>
        <vertAlign val="subscript"/>
        <sz val="8"/>
        <rFont val="Arial"/>
        <family val="2"/>
      </rPr>
      <t>max</t>
    </r>
  </si>
  <si>
    <t>Stilling Basin General Design - Check Basin Level and Minimum Length</t>
  </si>
  <si>
    <t>Stilling Basin Design - Detailed Design</t>
  </si>
  <si>
    <t>1. Standar Perencanaan Irigasi - Kriteria Perencanaan Bagian Bangunan KP-04</t>
  </si>
  <si>
    <t>2.2 Capacity of Structure</t>
  </si>
  <si>
    <t>2.1 General</t>
  </si>
  <si>
    <t>US Water Level</t>
  </si>
  <si>
    <t>Energy Head</t>
  </si>
  <si>
    <r>
      <t>E</t>
    </r>
    <r>
      <rPr>
        <vertAlign val="subscript"/>
        <sz val="8"/>
        <rFont val="Arial"/>
        <family val="2"/>
      </rPr>
      <t>1</t>
    </r>
  </si>
  <si>
    <t>Discharge Capacity Check</t>
  </si>
  <si>
    <t>Name of The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</si>
</sst>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"/>
    <numFmt numFmtId="166" formatCode="0.000"/>
    <numFmt numFmtId="167" formatCode="0.0"/>
    <numFmt numFmtId="168" formatCode="000\ &quot;pl&quot;"/>
  </numFmts>
  <fonts count="42">
    <font>
      <sz val="10"/>
      <name val="Arial"/>
    </font>
    <font>
      <u/>
      <sz val="10"/>
      <color indexed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sz val="36"/>
      <name val="Mott MacDonald Logo"/>
      <family val="1"/>
      <charset val="2"/>
    </font>
    <font>
      <sz val="9"/>
      <color indexed="8"/>
      <name val="Arial"/>
      <family val="2"/>
    </font>
    <font>
      <sz val="7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i/>
      <u/>
      <sz val="8"/>
      <name val="Arial"/>
      <family val="2"/>
    </font>
    <font>
      <vertAlign val="superscript"/>
      <sz val="8"/>
      <name val="Arial"/>
      <family val="2"/>
    </font>
    <font>
      <sz val="8"/>
      <name val="Arial"/>
      <family val="2"/>
    </font>
    <font>
      <sz val="8"/>
      <name val="Symbol"/>
      <family val="1"/>
      <charset val="2"/>
    </font>
    <font>
      <vertAlign val="subscript"/>
      <sz val="8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i/>
      <vertAlign val="subscript"/>
      <sz val="8"/>
      <name val="Arial"/>
      <family val="2"/>
    </font>
    <font>
      <i/>
      <sz val="8"/>
      <name val="Symbol"/>
      <family val="1"/>
      <charset val="2"/>
    </font>
    <font>
      <sz val="9"/>
      <name val="Arial"/>
      <family val="2"/>
    </font>
    <font>
      <i/>
      <sz val="6"/>
      <name val="Arial"/>
      <family val="2"/>
    </font>
    <font>
      <i/>
      <u/>
      <sz val="10"/>
      <name val="Arial"/>
      <family val="2"/>
    </font>
    <font>
      <b/>
      <vertAlign val="subscript"/>
      <sz val="8"/>
      <name val="Arial"/>
      <family val="2"/>
    </font>
    <font>
      <i/>
      <vertAlign val="superscript"/>
      <sz val="8"/>
      <name val="Arial"/>
      <family val="2"/>
    </font>
    <font>
      <i/>
      <vertAlign val="subscript"/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i/>
      <vertAlign val="superscript"/>
      <sz val="10"/>
      <name val="Arial"/>
      <family val="2"/>
    </font>
    <font>
      <b/>
      <sz val="7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8"/>
      <name val="Arial"/>
      <family val="2"/>
    </font>
    <font>
      <b/>
      <sz val="8"/>
      <color indexed="81"/>
      <name val="Tahoma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0" fillId="0" borderId="0"/>
    <xf numFmtId="9" fontId="10" fillId="0" borderId="0" applyFont="0" applyFill="0" applyBorder="0" applyAlignment="0" applyProtection="0"/>
  </cellStyleXfs>
  <cellXfs count="343">
    <xf numFmtId="0" fontId="0" fillId="0" borderId="0" xfId="0"/>
    <xf numFmtId="0" fontId="4" fillId="0" borderId="0" xfId="2" applyFont="1"/>
    <xf numFmtId="0" fontId="3" fillId="0" borderId="0" xfId="0" applyFont="1"/>
    <xf numFmtId="0" fontId="8" fillId="0" borderId="0" xfId="2" applyFont="1" applyAlignment="1">
      <alignment horizontal="center" vertical="center" wrapText="1"/>
    </xf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left" vertical="center"/>
    </xf>
    <xf numFmtId="0" fontId="7" fillId="0" borderId="5" xfId="2" applyFont="1" applyBorder="1" applyAlignment="1">
      <alignment horizontal="left" vertical="center"/>
    </xf>
    <xf numFmtId="0" fontId="4" fillId="0" borderId="6" xfId="2" applyFont="1" applyBorder="1" applyAlignment="1">
      <alignment vertical="center"/>
    </xf>
    <xf numFmtId="0" fontId="5" fillId="0" borderId="2" xfId="2" applyFont="1" applyBorder="1" applyAlignment="1">
      <alignment horizontal="center" vertical="center"/>
    </xf>
    <xf numFmtId="0" fontId="4" fillId="0" borderId="2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left" vertical="center"/>
    </xf>
    <xf numFmtId="14" fontId="7" fillId="0" borderId="0" xfId="2" applyNumberFormat="1" applyFont="1" applyAlignment="1">
      <alignment horizontal="left" vertical="center"/>
    </xf>
    <xf numFmtId="0" fontId="5" fillId="0" borderId="0" xfId="2" applyFont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0" fillId="0" borderId="2" xfId="0" applyFont="1" applyBorder="1" applyAlignment="1">
      <alignment horizontal="left" vertical="center"/>
    </xf>
    <xf numFmtId="0" fontId="13" fillId="0" borderId="2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indent="1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vertical="top"/>
    </xf>
    <xf numFmtId="0" fontId="3" fillId="0" borderId="1" xfId="0" applyFont="1" applyBorder="1"/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8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166" fontId="3" fillId="0" borderId="1" xfId="0" applyNumberFormat="1" applyFont="1" applyBorder="1" applyAlignment="1">
      <alignment horizontal="center" vertical="center" wrapText="1"/>
    </xf>
    <xf numFmtId="166" fontId="3" fillId="0" borderId="5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18" fillId="0" borderId="9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166" fontId="3" fillId="0" borderId="7" xfId="0" applyNumberFormat="1" applyFont="1" applyBorder="1" applyAlignment="1">
      <alignment horizontal="center" vertical="center" wrapText="1"/>
    </xf>
    <xf numFmtId="2" fontId="3" fillId="0" borderId="7" xfId="0" applyNumberFormat="1" applyFont="1" applyBorder="1" applyAlignment="1">
      <alignment horizontal="center" vertical="center"/>
    </xf>
    <xf numFmtId="2" fontId="18" fillId="0" borderId="7" xfId="0" applyNumberFormat="1" applyFont="1" applyBorder="1" applyAlignment="1">
      <alignment horizontal="center" vertical="center"/>
    </xf>
    <xf numFmtId="167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166" fontId="3" fillId="0" borderId="8" xfId="0" applyNumberFormat="1" applyFont="1" applyBorder="1" applyAlignment="1">
      <alignment vertical="center" wrapText="1"/>
    </xf>
    <xf numFmtId="164" fontId="3" fillId="0" borderId="5" xfId="0" applyNumberFormat="1" applyFont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4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8" xfId="0" applyFont="1" applyBorder="1"/>
    <xf numFmtId="0" fontId="3" fillId="0" borderId="8" xfId="0" applyFont="1" applyBorder="1" applyAlignment="1">
      <alignment horizontal="left" vertical="center" wrapText="1"/>
    </xf>
    <xf numFmtId="0" fontId="6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8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0" fillId="0" borderId="11" xfId="0" applyBorder="1"/>
    <xf numFmtId="0" fontId="0" fillId="0" borderId="12" xfId="0" applyBorder="1"/>
    <xf numFmtId="14" fontId="7" fillId="0" borderId="5" xfId="2" applyNumberFormat="1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7" fillId="0" borderId="13" xfId="2" applyFont="1" applyBorder="1" applyAlignment="1">
      <alignment horizontal="center" vertical="center"/>
    </xf>
    <xf numFmtId="0" fontId="7" fillId="0" borderId="14" xfId="2" applyFont="1" applyBorder="1" applyAlignment="1">
      <alignment horizontal="center" vertical="center"/>
    </xf>
    <xf numFmtId="0" fontId="7" fillId="0" borderId="13" xfId="2" applyFont="1" applyBorder="1" applyAlignment="1">
      <alignment vertical="center"/>
    </xf>
    <xf numFmtId="0" fontId="7" fillId="0" borderId="14" xfId="2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4" xfId="0" applyBorder="1" applyAlignment="1">
      <alignment vertical="center"/>
    </xf>
    <xf numFmtId="0" fontId="10" fillId="0" borderId="9" xfId="3" applyBorder="1"/>
    <xf numFmtId="0" fontId="10" fillId="0" borderId="3" xfId="3" applyBorder="1" applyAlignment="1">
      <alignment vertical="center"/>
    </xf>
    <xf numFmtId="0" fontId="10" fillId="0" borderId="0" xfId="3"/>
    <xf numFmtId="0" fontId="10" fillId="0" borderId="1" xfId="3" applyBorder="1"/>
    <xf numFmtId="0" fontId="10" fillId="0" borderId="0" xfId="3" applyAlignment="1">
      <alignment vertical="center"/>
    </xf>
    <xf numFmtId="0" fontId="10" fillId="0" borderId="8" xfId="3" applyBorder="1" applyAlignment="1">
      <alignment vertical="center"/>
    </xf>
    <xf numFmtId="0" fontId="10" fillId="0" borderId="2" xfId="3" applyBorder="1" applyAlignment="1">
      <alignment vertical="center"/>
    </xf>
    <xf numFmtId="0" fontId="10" fillId="0" borderId="10" xfId="3" applyBorder="1" applyAlignment="1">
      <alignment vertical="center"/>
    </xf>
    <xf numFmtId="0" fontId="10" fillId="0" borderId="0" xfId="3" applyAlignment="1">
      <alignment horizontal="left" vertical="center"/>
    </xf>
    <xf numFmtId="0" fontId="3" fillId="0" borderId="0" xfId="3" applyFont="1" applyAlignment="1">
      <alignment vertical="center" wrapText="1"/>
    </xf>
    <xf numFmtId="0" fontId="3" fillId="0" borderId="8" xfId="3" applyFont="1" applyBorder="1" applyAlignment="1">
      <alignment vertical="center" wrapText="1"/>
    </xf>
    <xf numFmtId="0" fontId="8" fillId="0" borderId="1" xfId="2" applyFont="1" applyBorder="1" applyAlignment="1">
      <alignment horizontal="center" vertical="center" wrapText="1"/>
    </xf>
    <xf numFmtId="0" fontId="4" fillId="0" borderId="1" xfId="2" applyFont="1" applyBorder="1"/>
    <xf numFmtId="0" fontId="10" fillId="0" borderId="0" xfId="3" applyAlignment="1">
      <alignment vertical="center" wrapText="1"/>
    </xf>
    <xf numFmtId="0" fontId="4" fillId="0" borderId="0" xfId="2" applyFont="1" applyAlignment="1">
      <alignment vertical="center"/>
    </xf>
    <xf numFmtId="0" fontId="4" fillId="0" borderId="0" xfId="2" applyFont="1" applyAlignment="1">
      <alignment horizontal="center" vertical="center"/>
    </xf>
    <xf numFmtId="0" fontId="10" fillId="0" borderId="1" xfId="3" applyBorder="1" applyAlignment="1">
      <alignment vertical="center"/>
    </xf>
    <xf numFmtId="0" fontId="11" fillId="0" borderId="0" xfId="3" applyFont="1" applyAlignment="1">
      <alignment vertical="center"/>
    </xf>
    <xf numFmtId="0" fontId="12" fillId="0" borderId="0" xfId="3" applyFont="1" applyAlignment="1">
      <alignment vertical="center"/>
    </xf>
    <xf numFmtId="0" fontId="10" fillId="0" borderId="12" xfId="3" applyBorder="1"/>
    <xf numFmtId="0" fontId="14" fillId="0" borderId="2" xfId="3" applyFont="1" applyBorder="1" applyAlignment="1">
      <alignment vertical="center"/>
    </xf>
    <xf numFmtId="0" fontId="10" fillId="0" borderId="2" xfId="3" applyBorder="1" applyAlignment="1">
      <alignment vertical="center" wrapText="1"/>
    </xf>
    <xf numFmtId="0" fontId="9" fillId="0" borderId="3" xfId="3" applyFont="1" applyBorder="1" applyAlignment="1">
      <alignment vertical="center"/>
    </xf>
    <xf numFmtId="0" fontId="10" fillId="0" borderId="3" xfId="3" applyBorder="1" applyAlignment="1">
      <alignment vertical="center" wrapText="1"/>
    </xf>
    <xf numFmtId="0" fontId="10" fillId="0" borderId="8" xfId="3" applyBorder="1"/>
    <xf numFmtId="0" fontId="21" fillId="0" borderId="0" xfId="3" applyFont="1" applyAlignment="1">
      <alignment horizontal="left" vertical="center"/>
    </xf>
    <xf numFmtId="0" fontId="9" fillId="0" borderId="0" xfId="3" applyFont="1" applyAlignment="1">
      <alignment horizontal="left" vertical="center"/>
    </xf>
    <xf numFmtId="0" fontId="10" fillId="0" borderId="12" xfId="3" applyBorder="1" applyAlignment="1">
      <alignment vertical="center"/>
    </xf>
    <xf numFmtId="0" fontId="3" fillId="0" borderId="1" xfId="3" applyFont="1" applyBorder="1" applyAlignment="1">
      <alignment vertical="center"/>
    </xf>
    <xf numFmtId="0" fontId="3" fillId="0" borderId="0" xfId="3" applyFont="1" applyAlignment="1">
      <alignment vertical="center"/>
    </xf>
    <xf numFmtId="0" fontId="16" fillId="0" borderId="0" xfId="3" applyFont="1" applyAlignment="1">
      <alignment horizontal="left" vertical="center" indent="1"/>
    </xf>
    <xf numFmtId="2" fontId="3" fillId="0" borderId="0" xfId="3" applyNumberFormat="1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14" fillId="0" borderId="0" xfId="3" applyFont="1" applyAlignment="1">
      <alignment vertical="top"/>
    </xf>
    <xf numFmtId="0" fontId="3" fillId="0" borderId="1" xfId="3" applyFont="1" applyBorder="1"/>
    <xf numFmtId="0" fontId="3" fillId="0" borderId="0" xfId="3" applyFont="1"/>
    <xf numFmtId="0" fontId="3" fillId="0" borderId="0" xfId="3" applyFont="1" applyAlignment="1">
      <alignment horizontal="left" vertical="center"/>
    </xf>
    <xf numFmtId="166" fontId="3" fillId="0" borderId="5" xfId="3" applyNumberFormat="1" applyFont="1" applyBorder="1" applyAlignment="1">
      <alignment horizontal="center" vertical="center"/>
    </xf>
    <xf numFmtId="0" fontId="14" fillId="0" borderId="0" xfId="3" applyFont="1" applyAlignment="1">
      <alignment horizontal="left" vertical="center"/>
    </xf>
    <xf numFmtId="2" fontId="3" fillId="0" borderId="5" xfId="3" applyNumberFormat="1" applyFont="1" applyBorder="1" applyAlignment="1">
      <alignment horizontal="center" vertical="center"/>
    </xf>
    <xf numFmtId="0" fontId="14" fillId="0" borderId="0" xfId="3" applyFont="1" applyAlignment="1">
      <alignment horizontal="left" vertical="center" wrapText="1"/>
    </xf>
    <xf numFmtId="0" fontId="3" fillId="0" borderId="0" xfId="3" applyFont="1" applyAlignment="1">
      <alignment wrapText="1"/>
    </xf>
    <xf numFmtId="2" fontId="3" fillId="0" borderId="0" xfId="3" applyNumberFormat="1" applyFont="1"/>
    <xf numFmtId="0" fontId="3" fillId="0" borderId="5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167" fontId="3" fillId="0" borderId="5" xfId="3" applyNumberFormat="1" applyFont="1" applyBorder="1" applyAlignment="1">
      <alignment horizontal="center" vertical="center"/>
    </xf>
    <xf numFmtId="0" fontId="3" fillId="0" borderId="7" xfId="3" applyFont="1" applyBorder="1"/>
    <xf numFmtId="0" fontId="3" fillId="0" borderId="2" xfId="3" applyFont="1" applyBorder="1"/>
    <xf numFmtId="0" fontId="3" fillId="0" borderId="2" xfId="3" applyFont="1" applyBorder="1" applyAlignment="1">
      <alignment vertical="center"/>
    </xf>
    <xf numFmtId="0" fontId="19" fillId="0" borderId="2" xfId="3" applyFont="1" applyBorder="1" applyAlignment="1">
      <alignment horizontal="left" vertical="center"/>
    </xf>
    <xf numFmtId="0" fontId="3" fillId="0" borderId="2" xfId="3" applyFont="1" applyBorder="1" applyAlignment="1">
      <alignment horizontal="left" vertical="center"/>
    </xf>
    <xf numFmtId="0" fontId="14" fillId="0" borderId="2" xfId="3" applyFont="1" applyBorder="1" applyAlignment="1">
      <alignment horizontal="left" vertical="center"/>
    </xf>
    <xf numFmtId="0" fontId="1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/>
    </xf>
    <xf numFmtId="0" fontId="3" fillId="0" borderId="0" xfId="3" applyFont="1" applyAlignment="1">
      <alignment horizontal="left" vertical="center" wrapText="1"/>
    </xf>
    <xf numFmtId="0" fontId="14" fillId="0" borderId="0" xfId="3" applyFont="1" applyAlignment="1">
      <alignment vertical="center" wrapText="1"/>
    </xf>
    <xf numFmtId="0" fontId="10" fillId="0" borderId="0" xfId="3" applyAlignment="1">
      <alignment horizontal="center" vertical="center"/>
    </xf>
    <xf numFmtId="0" fontId="25" fillId="0" borderId="0" xfId="3" applyFont="1" applyAlignment="1">
      <alignment vertical="center"/>
    </xf>
    <xf numFmtId="0" fontId="10" fillId="0" borderId="7" xfId="3" applyBorder="1"/>
    <xf numFmtId="0" fontId="10" fillId="0" borderId="2" xfId="3" applyBorder="1"/>
    <xf numFmtId="0" fontId="10" fillId="0" borderId="10" xfId="3" applyBorder="1"/>
    <xf numFmtId="0" fontId="26" fillId="0" borderId="0" xfId="3" applyFont="1" applyAlignment="1">
      <alignment vertical="center"/>
    </xf>
    <xf numFmtId="0" fontId="13" fillId="0" borderId="0" xfId="3" applyFont="1" applyAlignment="1">
      <alignment vertical="center"/>
    </xf>
    <xf numFmtId="0" fontId="13" fillId="0" borderId="0" xfId="1" applyFont="1" applyBorder="1" applyAlignment="1" applyProtection="1">
      <alignment vertical="center"/>
    </xf>
    <xf numFmtId="0" fontId="12" fillId="0" borderId="0" xfId="1" applyFont="1" applyBorder="1" applyAlignment="1" applyProtection="1">
      <alignment vertical="center"/>
    </xf>
    <xf numFmtId="167" fontId="3" fillId="0" borderId="0" xfId="3" applyNumberFormat="1" applyFont="1" applyAlignment="1">
      <alignment vertical="center"/>
    </xf>
    <xf numFmtId="166" fontId="3" fillId="0" borderId="0" xfId="3" applyNumberFormat="1" applyFont="1" applyAlignment="1">
      <alignment horizontal="left" vertical="center"/>
    </xf>
    <xf numFmtId="167" fontId="3" fillId="0" borderId="0" xfId="3" applyNumberFormat="1" applyFont="1" applyAlignment="1">
      <alignment horizontal="left" vertical="center"/>
    </xf>
    <xf numFmtId="2" fontId="3" fillId="2" borderId="0" xfId="3" applyNumberFormat="1" applyFont="1" applyFill="1" applyAlignment="1">
      <alignment horizontal="left" vertical="center"/>
    </xf>
    <xf numFmtId="2" fontId="3" fillId="0" borderId="0" xfId="3" applyNumberFormat="1" applyFont="1" applyAlignment="1">
      <alignment vertical="center"/>
    </xf>
    <xf numFmtId="9" fontId="3" fillId="0" borderId="5" xfId="4" applyFont="1" applyFill="1" applyBorder="1" applyAlignment="1">
      <alignment horizontal="center" vertical="center"/>
    </xf>
    <xf numFmtId="0" fontId="9" fillId="0" borderId="0" xfId="3" applyFont="1" applyAlignment="1">
      <alignment vertical="top"/>
    </xf>
    <xf numFmtId="2" fontId="10" fillId="0" borderId="0" xfId="3" applyNumberFormat="1" applyAlignment="1">
      <alignment horizontal="center" vertical="center"/>
    </xf>
    <xf numFmtId="0" fontId="27" fillId="0" borderId="0" xfId="3" applyFont="1" applyAlignment="1">
      <alignment horizontal="left" vertical="center" indent="1"/>
    </xf>
    <xf numFmtId="166" fontId="3" fillId="3" borderId="5" xfId="3" applyNumberFormat="1" applyFont="1" applyFill="1" applyBorder="1" applyAlignment="1">
      <alignment horizontal="center" vertical="center"/>
    </xf>
    <xf numFmtId="0" fontId="19" fillId="0" borderId="0" xfId="3" applyFont="1" applyAlignment="1">
      <alignment vertical="center"/>
    </xf>
    <xf numFmtId="2" fontId="3" fillId="3" borderId="5" xfId="3" applyNumberFormat="1" applyFont="1" applyFill="1" applyBorder="1" applyAlignment="1">
      <alignment horizontal="center" vertical="center"/>
    </xf>
    <xf numFmtId="0" fontId="10" fillId="0" borderId="10" xfId="3" applyBorder="1" applyAlignment="1">
      <alignment vertical="center" wrapText="1"/>
    </xf>
    <xf numFmtId="0" fontId="10" fillId="0" borderId="6" xfId="3" applyBorder="1" applyAlignment="1">
      <alignment vertical="center" wrapText="1"/>
    </xf>
    <xf numFmtId="0" fontId="10" fillId="0" borderId="8" xfId="3" applyBorder="1" applyAlignment="1">
      <alignment vertical="center" wrapText="1"/>
    </xf>
    <xf numFmtId="0" fontId="10" fillId="0" borderId="14" xfId="3" applyBorder="1" applyAlignment="1">
      <alignment vertical="center" wrapText="1"/>
    </xf>
    <xf numFmtId="0" fontId="10" fillId="0" borderId="15" xfId="3" applyBorder="1" applyAlignment="1">
      <alignment vertical="center" wrapText="1"/>
    </xf>
    <xf numFmtId="0" fontId="10" fillId="0" borderId="13" xfId="3" applyBorder="1" applyAlignment="1">
      <alignment vertical="center" wrapText="1"/>
    </xf>
    <xf numFmtId="0" fontId="6" fillId="0" borderId="10" xfId="3" applyFont="1" applyBorder="1" applyAlignment="1">
      <alignment vertical="center"/>
    </xf>
    <xf numFmtId="0" fontId="6" fillId="0" borderId="2" xfId="3" applyFont="1" applyBorder="1" applyAlignment="1">
      <alignment vertical="center"/>
    </xf>
    <xf numFmtId="0" fontId="10" fillId="0" borderId="2" xfId="3" applyBorder="1" applyAlignment="1">
      <alignment horizontal="left" vertical="center"/>
    </xf>
    <xf numFmtId="0" fontId="6" fillId="0" borderId="8" xfId="3" applyFont="1" applyBorder="1" applyAlignment="1">
      <alignment vertical="center"/>
    </xf>
    <xf numFmtId="0" fontId="6" fillId="0" borderId="0" xfId="3" applyFont="1" applyAlignment="1">
      <alignment vertical="center"/>
    </xf>
    <xf numFmtId="0" fontId="6" fillId="0" borderId="4" xfId="3" applyFont="1" applyBorder="1" applyAlignment="1">
      <alignment vertical="center"/>
    </xf>
    <xf numFmtId="0" fontId="6" fillId="0" borderId="3" xfId="3" applyFont="1" applyBorder="1" applyAlignment="1">
      <alignment vertical="center"/>
    </xf>
    <xf numFmtId="0" fontId="10" fillId="0" borderId="3" xfId="3" applyBorder="1" applyAlignment="1">
      <alignment horizontal="left" vertical="center"/>
    </xf>
    <xf numFmtId="166" fontId="3" fillId="0" borderId="0" xfId="3" applyNumberFormat="1" applyFont="1" applyAlignment="1">
      <alignment vertical="center"/>
    </xf>
    <xf numFmtId="2" fontId="14" fillId="0" borderId="5" xfId="3" applyNumberFormat="1" applyFont="1" applyBorder="1" applyAlignment="1">
      <alignment horizontal="center" vertical="center"/>
    </xf>
    <xf numFmtId="0" fontId="10" fillId="0" borderId="7" xfId="3" applyBorder="1" applyAlignment="1">
      <alignment vertical="center"/>
    </xf>
    <xf numFmtId="0" fontId="9" fillId="0" borderId="2" xfId="3" applyFont="1" applyBorder="1" applyAlignment="1">
      <alignment horizontal="left" vertical="center"/>
    </xf>
    <xf numFmtId="0" fontId="13" fillId="0" borderId="2" xfId="3" applyFont="1" applyBorder="1" applyAlignment="1">
      <alignment vertical="center"/>
    </xf>
    <xf numFmtId="166" fontId="3" fillId="0" borderId="0" xfId="3" applyNumberFormat="1" applyFont="1" applyAlignment="1">
      <alignment horizontal="center" vertical="center"/>
    </xf>
    <xf numFmtId="166" fontId="3" fillId="0" borderId="0" xfId="3" applyNumberFormat="1" applyFont="1" applyAlignment="1">
      <alignment horizontal="right" vertical="center"/>
    </xf>
    <xf numFmtId="166" fontId="10" fillId="0" borderId="0" xfId="3" applyNumberFormat="1"/>
    <xf numFmtId="0" fontId="3" fillId="0" borderId="0" xfId="3" applyFont="1" applyAlignment="1">
      <alignment horizontal="right" vertical="center"/>
    </xf>
    <xf numFmtId="14" fontId="7" fillId="0" borderId="5" xfId="2" applyNumberFormat="1" applyFont="1" applyBorder="1" applyAlignment="1">
      <alignment horizontal="left" vertical="center"/>
    </xf>
    <xf numFmtId="0" fontId="10" fillId="0" borderId="0" xfId="3" applyAlignment="1">
      <alignment wrapText="1"/>
    </xf>
    <xf numFmtId="0" fontId="14" fillId="0" borderId="0" xfId="3" applyFont="1"/>
    <xf numFmtId="0" fontId="14" fillId="0" borderId="5" xfId="3" applyFont="1" applyBorder="1" applyAlignment="1">
      <alignment vertical="center"/>
    </xf>
    <xf numFmtId="0" fontId="37" fillId="0" borderId="0" xfId="3" applyFont="1" applyAlignment="1">
      <alignment horizontal="left" vertical="center"/>
    </xf>
    <xf numFmtId="0" fontId="24" fillId="0" borderId="0" xfId="3" applyFont="1" applyAlignment="1">
      <alignment horizontal="left" vertical="center"/>
    </xf>
    <xf numFmtId="0" fontId="14" fillId="0" borderId="1" xfId="3" applyFont="1" applyBorder="1"/>
    <xf numFmtId="0" fontId="14" fillId="4" borderId="5" xfId="3" applyFont="1" applyFill="1" applyBorder="1" applyAlignment="1">
      <alignment vertical="center"/>
    </xf>
    <xf numFmtId="0" fontId="24" fillId="0" borderId="0" xfId="3" applyFont="1" applyAlignment="1">
      <alignment vertical="center"/>
    </xf>
    <xf numFmtId="2" fontId="3" fillId="0" borderId="5" xfId="3" applyNumberFormat="1" applyFont="1" applyBorder="1" applyAlignment="1">
      <alignment horizontal="center" vertical="center" wrapText="1"/>
    </xf>
    <xf numFmtId="166" fontId="14" fillId="0" borderId="5" xfId="3" applyNumberFormat="1" applyFont="1" applyBorder="1" applyAlignment="1">
      <alignment horizontal="center" vertical="center"/>
    </xf>
    <xf numFmtId="166" fontId="3" fillId="2" borderId="0" xfId="3" applyNumberFormat="1" applyFont="1" applyFill="1"/>
    <xf numFmtId="166" fontId="3" fillId="0" borderId="9" xfId="3" applyNumberFormat="1" applyFont="1" applyBorder="1" applyAlignment="1">
      <alignment horizontal="center" vertical="center"/>
    </xf>
    <xf numFmtId="1" fontId="3" fillId="0" borderId="5" xfId="3" applyNumberFormat="1" applyFont="1" applyBorder="1" applyAlignment="1">
      <alignment horizontal="center" vertical="center"/>
    </xf>
    <xf numFmtId="166" fontId="3" fillId="0" borderId="0" xfId="3" applyNumberFormat="1" applyFont="1"/>
    <xf numFmtId="168" fontId="14" fillId="0" borderId="0" xfId="3" applyNumberFormat="1" applyFont="1" applyAlignment="1">
      <alignment horizontal="left" vertical="center"/>
    </xf>
    <xf numFmtId="1" fontId="3" fillId="2" borderId="5" xfId="3" applyNumberFormat="1" applyFont="1" applyFill="1" applyBorder="1" applyAlignment="1">
      <alignment horizontal="center" vertical="center"/>
    </xf>
    <xf numFmtId="2" fontId="3" fillId="0" borderId="7" xfId="3" applyNumberFormat="1" applyFont="1" applyBorder="1" applyAlignment="1">
      <alignment horizontal="center" vertical="center"/>
    </xf>
    <xf numFmtId="0" fontId="3" fillId="0" borderId="9" xfId="3" applyFont="1" applyBorder="1" applyAlignment="1">
      <alignment horizontal="center" vertical="center"/>
    </xf>
    <xf numFmtId="0" fontId="10" fillId="0" borderId="0" xfId="3" applyAlignment="1">
      <alignment horizontal="center"/>
    </xf>
    <xf numFmtId="2" fontId="39" fillId="0" borderId="5" xfId="3" applyNumberFormat="1" applyFont="1" applyBorder="1" applyAlignment="1">
      <alignment horizontal="center" vertical="center"/>
    </xf>
    <xf numFmtId="2" fontId="39" fillId="0" borderId="9" xfId="3" applyNumberFormat="1" applyFont="1" applyBorder="1" applyAlignment="1">
      <alignment horizontal="center" vertical="center"/>
    </xf>
    <xf numFmtId="0" fontId="10" fillId="0" borderId="6" xfId="3" applyBorder="1"/>
    <xf numFmtId="0" fontId="14" fillId="0" borderId="8" xfId="3" applyFont="1" applyBorder="1" applyAlignment="1">
      <alignment horizontal="left" vertical="center" wrapText="1"/>
    </xf>
    <xf numFmtId="2" fontId="14" fillId="0" borderId="0" xfId="3" applyNumberFormat="1" applyFont="1" applyAlignment="1">
      <alignment horizontal="left" vertical="center"/>
    </xf>
    <xf numFmtId="2" fontId="10" fillId="0" borderId="1" xfId="3" applyNumberFormat="1" applyBorder="1"/>
    <xf numFmtId="0" fontId="10" fillId="0" borderId="4" xfId="3" applyBorder="1"/>
    <xf numFmtId="0" fontId="25" fillId="0" borderId="2" xfId="3" applyFont="1" applyBorder="1" applyAlignment="1">
      <alignment vertical="center"/>
    </xf>
    <xf numFmtId="0" fontId="10" fillId="0" borderId="4" xfId="3" applyBorder="1" applyAlignment="1">
      <alignment vertical="center"/>
    </xf>
    <xf numFmtId="0" fontId="9" fillId="0" borderId="3" xfId="3" applyFont="1" applyBorder="1" applyAlignment="1">
      <alignment vertical="top"/>
    </xf>
    <xf numFmtId="0" fontId="10" fillId="0" borderId="3" xfId="3" applyBorder="1" applyAlignment="1">
      <alignment horizontal="center" vertical="center"/>
    </xf>
    <xf numFmtId="2" fontId="10" fillId="0" borderId="3" xfId="3" applyNumberFormat="1" applyBorder="1" applyAlignment="1">
      <alignment horizontal="center" vertical="center"/>
    </xf>
    <xf numFmtId="0" fontId="10" fillId="0" borderId="3" xfId="3" applyBorder="1"/>
    <xf numFmtId="2" fontId="40" fillId="0" borderId="3" xfId="3" applyNumberFormat="1" applyFont="1" applyBorder="1" applyAlignment="1">
      <alignment horizontal="left" vertical="center"/>
    </xf>
    <xf numFmtId="0" fontId="3" fillId="0" borderId="3" xfId="3" applyFont="1" applyBorder="1" applyAlignment="1">
      <alignment vertical="center" wrapText="1"/>
    </xf>
    <xf numFmtId="0" fontId="21" fillId="0" borderId="3" xfId="3" applyFont="1" applyBorder="1" applyAlignment="1">
      <alignment horizontal="left" vertical="center"/>
    </xf>
    <xf numFmtId="0" fontId="22" fillId="0" borderId="3" xfId="3" applyFont="1" applyBorder="1" applyAlignment="1">
      <alignment vertical="center"/>
    </xf>
    <xf numFmtId="0" fontId="9" fillId="0" borderId="0" xfId="3" applyFont="1" applyAlignment="1">
      <alignment vertical="center"/>
    </xf>
    <xf numFmtId="0" fontId="25" fillId="0" borderId="0" xfId="3" applyFont="1" applyAlignment="1">
      <alignment horizontal="left" vertical="center"/>
    </xf>
    <xf numFmtId="14" fontId="7" fillId="0" borderId="13" xfId="2" applyNumberFormat="1" applyFont="1" applyBorder="1" applyAlignment="1">
      <alignment vertical="center"/>
    </xf>
    <xf numFmtId="0" fontId="10" fillId="0" borderId="6" xfId="3" applyBorder="1" applyAlignment="1">
      <alignment vertical="center"/>
    </xf>
    <xf numFmtId="0" fontId="10" fillId="0" borderId="11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10" fillId="0" borderId="12" xfId="0" applyFont="1" applyBorder="1" applyAlignment="1">
      <alignment vertical="center"/>
    </xf>
    <xf numFmtId="0" fontId="0" fillId="0" borderId="6" xfId="0" applyBorder="1" applyAlignment="1">
      <alignment vertical="center"/>
    </xf>
    <xf numFmtId="14" fontId="7" fillId="0" borderId="13" xfId="2" applyNumberFormat="1" applyFont="1" applyBorder="1" applyAlignment="1">
      <alignment horizontal="left" vertical="center"/>
    </xf>
    <xf numFmtId="2" fontId="40" fillId="0" borderId="15" xfId="3" applyNumberFormat="1" applyFont="1" applyBorder="1" applyAlignment="1">
      <alignment horizontal="center" vertical="center"/>
    </xf>
    <xf numFmtId="0" fontId="3" fillId="0" borderId="0" xfId="3" applyFont="1" applyAlignment="1">
      <alignment horizontal="left"/>
    </xf>
    <xf numFmtId="1" fontId="14" fillId="0" borderId="0" xfId="3" applyNumberFormat="1" applyFont="1" applyAlignment="1">
      <alignment vertical="center" wrapText="1"/>
    </xf>
    <xf numFmtId="166" fontId="3" fillId="0" borderId="5" xfId="3" applyNumberFormat="1" applyFont="1" applyBorder="1" applyAlignment="1">
      <alignment horizontal="center" vertical="center" wrapText="1"/>
    </xf>
    <xf numFmtId="0" fontId="12" fillId="0" borderId="0" xfId="3" applyFont="1" applyAlignment="1">
      <alignment vertical="center" wrapText="1"/>
    </xf>
    <xf numFmtId="0" fontId="3" fillId="0" borderId="1" xfId="3" applyFont="1" applyBorder="1" applyAlignment="1">
      <alignment vertical="center" wrapText="1"/>
    </xf>
    <xf numFmtId="0" fontId="10" fillId="0" borderId="1" xfId="3" applyBorder="1" applyAlignment="1">
      <alignment vertical="center" wrapText="1"/>
    </xf>
    <xf numFmtId="0" fontId="10" fillId="0" borderId="0" xfId="3" applyAlignment="1">
      <alignment horizontal="center" vertical="center" wrapText="1"/>
    </xf>
    <xf numFmtId="0" fontId="10" fillId="0" borderId="1" xfId="3" applyBorder="1" applyAlignment="1">
      <alignment wrapText="1"/>
    </xf>
    <xf numFmtId="165" fontId="39" fillId="0" borderId="5" xfId="3" applyNumberFormat="1" applyFont="1" applyBorder="1" applyAlignment="1">
      <alignment horizontal="center" vertical="center"/>
    </xf>
    <xf numFmtId="164" fontId="39" fillId="0" borderId="5" xfId="3" applyNumberFormat="1" applyFont="1" applyBorder="1" applyAlignment="1">
      <alignment horizontal="center" vertical="center"/>
    </xf>
    <xf numFmtId="0" fontId="20" fillId="0" borderId="0" xfId="3" applyFont="1" applyAlignment="1">
      <alignment vertical="center"/>
    </xf>
    <xf numFmtId="0" fontId="10" fillId="0" borderId="2" xfId="3" applyBorder="1" applyAlignment="1">
      <alignment horizontal="center" vertical="center"/>
    </xf>
    <xf numFmtId="0" fontId="2" fillId="0" borderId="0" xfId="3" applyFont="1" applyAlignment="1">
      <alignment vertical="center"/>
    </xf>
    <xf numFmtId="0" fontId="2" fillId="0" borderId="12" xfId="3" applyFont="1" applyBorder="1" applyAlignment="1">
      <alignment vertical="center"/>
    </xf>
    <xf numFmtId="1" fontId="14" fillId="0" borderId="0" xfId="3" applyNumberFormat="1" applyFont="1" applyAlignment="1">
      <alignment vertical="center"/>
    </xf>
    <xf numFmtId="1" fontId="3" fillId="0" borderId="0" xfId="3" applyNumberFormat="1" applyFont="1"/>
    <xf numFmtId="2" fontId="3" fillId="5" borderId="5" xfId="3" applyNumberFormat="1" applyFont="1" applyFill="1" applyBorder="1" applyAlignment="1">
      <alignment horizontal="center" vertical="center"/>
    </xf>
    <xf numFmtId="166" fontId="14" fillId="0" borderId="0" xfId="3" applyNumberFormat="1" applyFont="1" applyAlignment="1">
      <alignment horizontal="left" vertical="center"/>
    </xf>
    <xf numFmtId="0" fontId="14" fillId="0" borderId="3" xfId="3" applyFont="1" applyBorder="1" applyAlignment="1">
      <alignment horizontal="left" vertical="center"/>
    </xf>
    <xf numFmtId="0" fontId="7" fillId="0" borderId="13" xfId="2" applyFont="1" applyBorder="1" applyAlignment="1">
      <alignment vertical="center"/>
    </xf>
    <xf numFmtId="0" fontId="7" fillId="0" borderId="14" xfId="2" applyFont="1" applyBorder="1" applyAlignment="1">
      <alignment vertical="center"/>
    </xf>
    <xf numFmtId="0" fontId="8" fillId="0" borderId="11" xfId="2" applyFont="1" applyBorder="1" applyAlignment="1">
      <alignment horizontal="center" vertical="center" wrapText="1"/>
    </xf>
    <xf numFmtId="0" fontId="8" fillId="0" borderId="3" xfId="2" applyFont="1" applyBorder="1" applyAlignment="1">
      <alignment horizontal="center" vertical="center" wrapText="1"/>
    </xf>
    <xf numFmtId="0" fontId="14" fillId="0" borderId="0" xfId="3" applyFont="1" applyAlignment="1">
      <alignment horizontal="left" vertical="center"/>
    </xf>
    <xf numFmtId="0" fontId="3" fillId="0" borderId="0" xfId="3" applyFont="1"/>
    <xf numFmtId="0" fontId="10" fillId="0" borderId="11" xfId="3" applyBorder="1" applyAlignment="1">
      <alignment horizontal="left" vertical="center"/>
    </xf>
    <xf numFmtId="0" fontId="10" fillId="0" borderId="3" xfId="3" applyBorder="1" applyAlignment="1">
      <alignment horizontal="left" vertical="center"/>
    </xf>
    <xf numFmtId="0" fontId="10" fillId="0" borderId="4" xfId="3" applyBorder="1" applyAlignment="1">
      <alignment horizontal="left" vertical="center"/>
    </xf>
    <xf numFmtId="0" fontId="10" fillId="0" borderId="13" xfId="3" applyBorder="1" applyAlignment="1">
      <alignment horizontal="center" vertical="center"/>
    </xf>
    <xf numFmtId="0" fontId="10" fillId="0" borderId="15" xfId="3" applyBorder="1" applyAlignment="1">
      <alignment horizontal="center" vertical="center"/>
    </xf>
    <xf numFmtId="0" fontId="10" fillId="0" borderId="14" xfId="3" applyBorder="1" applyAlignment="1">
      <alignment horizontal="center" vertical="center"/>
    </xf>
    <xf numFmtId="0" fontId="10" fillId="0" borderId="12" xfId="3" applyBorder="1" applyAlignment="1">
      <alignment vertical="center" wrapText="1"/>
    </xf>
    <xf numFmtId="0" fontId="10" fillId="0" borderId="0" xfId="3" applyAlignment="1">
      <alignment vertical="center" wrapText="1"/>
    </xf>
    <xf numFmtId="0" fontId="10" fillId="0" borderId="8" xfId="3" applyBorder="1" applyAlignment="1">
      <alignment vertical="center" wrapText="1"/>
    </xf>
    <xf numFmtId="0" fontId="10" fillId="0" borderId="6" xfId="3" applyBorder="1" applyAlignment="1">
      <alignment vertical="center" wrapText="1"/>
    </xf>
    <xf numFmtId="0" fontId="10" fillId="0" borderId="2" xfId="3" applyBorder="1" applyAlignment="1">
      <alignment vertical="center" wrapText="1"/>
    </xf>
    <xf numFmtId="0" fontId="10" fillId="0" borderId="10" xfId="3" applyBorder="1" applyAlignment="1">
      <alignment vertical="center" wrapText="1"/>
    </xf>
    <xf numFmtId="0" fontId="10" fillId="0" borderId="0" xfId="3" applyAlignment="1">
      <alignment horizontal="left" vertical="center" wrapText="1"/>
    </xf>
    <xf numFmtId="0" fontId="10" fillId="0" borderId="9" xfId="3" applyBorder="1" applyAlignment="1">
      <alignment horizontal="center" vertical="center" textRotation="90"/>
    </xf>
    <xf numFmtId="0" fontId="10" fillId="0" borderId="1" xfId="3" applyBorder="1" applyAlignment="1">
      <alignment horizontal="center" vertical="center" textRotation="90"/>
    </xf>
    <xf numFmtId="0" fontId="10" fillId="0" borderId="7" xfId="3" applyBorder="1" applyAlignment="1">
      <alignment horizontal="center" vertical="center" textRotation="90"/>
    </xf>
    <xf numFmtId="0" fontId="3" fillId="0" borderId="0" xfId="3" applyFont="1" applyAlignment="1">
      <alignment vertical="center" wrapText="1"/>
    </xf>
    <xf numFmtId="2" fontId="14" fillId="0" borderId="2" xfId="3" applyNumberFormat="1" applyFont="1" applyBorder="1" applyAlignment="1">
      <alignment horizontal="left" vertical="center"/>
    </xf>
    <xf numFmtId="0" fontId="3" fillId="0" borderId="2" xfId="3" applyFont="1" applyBorder="1"/>
    <xf numFmtId="0" fontId="10" fillId="0" borderId="12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8" fillId="0" borderId="11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4" xfId="2" applyFont="1" applyBorder="1" applyAlignment="1">
      <alignment horizontal="center" vertical="center"/>
    </xf>
    <xf numFmtId="0" fontId="14" fillId="0" borderId="0" xfId="3" applyFont="1" applyAlignment="1">
      <alignment horizontal="left" vertical="center" wrapText="1"/>
    </xf>
    <xf numFmtId="0" fontId="22" fillId="0" borderId="2" xfId="3" applyFont="1" applyBorder="1" applyAlignment="1">
      <alignment vertical="center" wrapText="1"/>
    </xf>
    <xf numFmtId="0" fontId="3" fillId="0" borderId="5" xfId="0" applyFont="1" applyBorder="1" applyAlignment="1">
      <alignment horizontal="center" vertical="center"/>
    </xf>
    <xf numFmtId="166" fontId="3" fillId="0" borderId="7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3" fillId="0" borderId="0" xfId="0" applyFont="1"/>
    <xf numFmtId="0" fontId="3" fillId="0" borderId="8" xfId="0" applyFont="1" applyBorder="1"/>
    <xf numFmtId="0" fontId="3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0" fontId="10" fillId="0" borderId="6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3" fillId="0" borderId="0" xfId="0" applyFont="1" applyAlignment="1">
      <alignment vertical="center" wrapText="1"/>
    </xf>
    <xf numFmtId="0" fontId="18" fillId="0" borderId="15" xfId="0" applyFont="1" applyBorder="1" applyAlignment="1">
      <alignment horizontal="right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2" fontId="3" fillId="0" borderId="13" xfId="3" applyNumberFormat="1" applyFont="1" applyBorder="1" applyAlignment="1">
      <alignment horizontal="center" vertical="center"/>
    </xf>
    <xf numFmtId="0" fontId="10" fillId="0" borderId="14" xfId="3" applyBorder="1"/>
    <xf numFmtId="0" fontId="7" fillId="0" borderId="13" xfId="2" applyFont="1" applyBorder="1" applyAlignment="1">
      <alignment horizontal="center" vertical="center"/>
    </xf>
    <xf numFmtId="0" fontId="7" fillId="0" borderId="14" xfId="2" applyFont="1" applyBorder="1" applyAlignment="1">
      <alignment horizontal="center" vertical="center"/>
    </xf>
    <xf numFmtId="0" fontId="3" fillId="0" borderId="0" xfId="3" applyFont="1" applyAlignment="1">
      <alignment wrapText="1"/>
    </xf>
    <xf numFmtId="0" fontId="3" fillId="0" borderId="0" xfId="3" applyFont="1" applyAlignment="1">
      <alignment horizontal="left" vertical="center" wrapText="1"/>
    </xf>
    <xf numFmtId="0" fontId="14" fillId="0" borderId="0" xfId="3" applyFont="1" applyAlignment="1">
      <alignment vertical="center" wrapText="1"/>
    </xf>
    <xf numFmtId="0" fontId="3" fillId="0" borderId="13" xfId="3" applyFont="1" applyBorder="1" applyAlignment="1">
      <alignment horizontal="center" vertical="center"/>
    </xf>
    <xf numFmtId="0" fontId="3" fillId="0" borderId="15" xfId="3" applyFont="1" applyBorder="1" applyAlignment="1">
      <alignment vertical="center"/>
    </xf>
    <xf numFmtId="0" fontId="3" fillId="0" borderId="14" xfId="3" applyFont="1" applyBorder="1" applyAlignment="1">
      <alignment vertical="center"/>
    </xf>
    <xf numFmtId="0" fontId="3" fillId="0" borderId="13" xfId="3" applyFont="1" applyBorder="1" applyAlignment="1">
      <alignment horizontal="center" vertical="center" wrapText="1"/>
    </xf>
    <xf numFmtId="0" fontId="3" fillId="0" borderId="15" xfId="3" applyFont="1" applyBorder="1" applyAlignment="1">
      <alignment horizontal="center" vertical="center" wrapText="1"/>
    </xf>
    <xf numFmtId="0" fontId="3" fillId="0" borderId="14" xfId="3" applyFont="1" applyBorder="1" applyAlignment="1">
      <alignment horizontal="center" vertical="center" wrapText="1"/>
    </xf>
    <xf numFmtId="166" fontId="3" fillId="0" borderId="0" xfId="3" applyNumberFormat="1" applyFont="1" applyAlignment="1">
      <alignment vertical="center" wrapText="1"/>
    </xf>
    <xf numFmtId="0" fontId="10" fillId="0" borderId="13" xfId="3" applyBorder="1" applyAlignment="1">
      <alignment vertical="center" wrapText="1"/>
    </xf>
    <xf numFmtId="0" fontId="10" fillId="0" borderId="15" xfId="3" applyBorder="1" applyAlignment="1">
      <alignment vertical="center" wrapText="1"/>
    </xf>
    <xf numFmtId="0" fontId="10" fillId="0" borderId="14" xfId="3" applyBorder="1" applyAlignment="1">
      <alignment vertical="center" wrapText="1"/>
    </xf>
    <xf numFmtId="0" fontId="10" fillId="0" borderId="2" xfId="3" applyBorder="1" applyAlignment="1">
      <alignment horizontal="left" vertical="center" wrapText="1"/>
    </xf>
    <xf numFmtId="0" fontId="34" fillId="0" borderId="0" xfId="3" applyFont="1" applyAlignment="1">
      <alignment wrapText="1"/>
    </xf>
    <xf numFmtId="0" fontId="10" fillId="0" borderId="13" xfId="3" applyBorder="1" applyAlignment="1">
      <alignment horizontal="center" vertical="center" wrapText="1"/>
    </xf>
    <xf numFmtId="0" fontId="10" fillId="0" borderId="15" xfId="3" applyBorder="1" applyAlignment="1">
      <alignment horizontal="center" vertical="center" wrapText="1"/>
    </xf>
    <xf numFmtId="0" fontId="10" fillId="0" borderId="14" xfId="3" applyBorder="1" applyAlignment="1">
      <alignment horizontal="center" vertical="center" wrapText="1"/>
    </xf>
    <xf numFmtId="2" fontId="3" fillId="0" borderId="14" xfId="3" applyNumberFormat="1" applyFont="1" applyBorder="1" applyAlignment="1">
      <alignment horizontal="center" vertical="center"/>
    </xf>
    <xf numFmtId="166" fontId="3" fillId="0" borderId="13" xfId="3" applyNumberFormat="1" applyFont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Alignment="1">
      <alignment wrapText="1"/>
    </xf>
    <xf numFmtId="0" fontId="10" fillId="0" borderId="0" xfId="3"/>
  </cellXfs>
  <cellStyles count="5">
    <cellStyle name="Hyperlink" xfId="1" builtinId="8"/>
    <cellStyle name="Normal" xfId="0" builtinId="0"/>
    <cellStyle name="Normal 2" xfId="3" xr:uid="{CAE844D7-A1F1-460C-93C6-80F661B68501}"/>
    <cellStyle name="Normal_Camden Strut Design" xfId="2" xr:uid="{8C628BCD-7828-4FD1-B65C-081BB703B6C5}"/>
    <cellStyle name="Percent 2" xfId="4" xr:uid="{3E7D12D2-D0CF-4A08-AC1A-2ECC8867E788}"/>
  </cellStyles>
  <dxfs count="2">
    <dxf>
      <fill>
        <patternFill>
          <bgColor indexed="11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188821165425357"/>
          <c:y val="0.10882368569578024"/>
          <c:w val="0.82230036979250298"/>
          <c:h val="0.74117753500909789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MRCurve!$H$25:$H$35</c:f>
              <c:numCache>
                <c:formatCode>0.00</c:formatCode>
                <c:ptCount val="11"/>
                <c:pt idx="0">
                  <c:v>0</c:v>
                </c:pt>
                <c:pt idx="1">
                  <c:v>0.41507959438348691</c:v>
                </c:pt>
                <c:pt idx="2">
                  <c:v>1.3480174296317831</c:v>
                </c:pt>
                <c:pt idx="3">
                  <c:v>2.7255557041959579</c:v>
                </c:pt>
                <c:pt idx="4">
                  <c:v>4.5429448918475357</c:v>
                </c:pt>
                <c:pt idx="5">
                  <c:v>6.8116861867651988</c:v>
                </c:pt>
                <c:pt idx="6">
                  <c:v>9.5495733667549914</c:v>
                </c:pt>
                <c:pt idx="7">
                  <c:v>12.777193939127722</c:v>
                </c:pt>
                <c:pt idx="8">
                  <c:v>16.516420343732907</c:v>
                </c:pt>
                <c:pt idx="9">
                  <c:v>20.789680745616707</c:v>
                </c:pt>
                <c:pt idx="10">
                  <c:v>25.619580581612414</c:v>
                </c:pt>
              </c:numCache>
            </c:numRef>
          </c:xVal>
          <c:yVal>
            <c:numRef>
              <c:f>MRCurve!$I$25:$I$35</c:f>
              <c:numCache>
                <c:formatCode>0.000</c:formatCode>
                <c:ptCount val="11"/>
                <c:pt idx="0">
                  <c:v>26.08</c:v>
                </c:pt>
                <c:pt idx="1">
                  <c:v>26.316999999999997</c:v>
                </c:pt>
                <c:pt idx="2">
                  <c:v>26.553999999999998</c:v>
                </c:pt>
                <c:pt idx="3">
                  <c:v>26.790999999999997</c:v>
                </c:pt>
                <c:pt idx="4">
                  <c:v>27.027999999999999</c:v>
                </c:pt>
                <c:pt idx="5">
                  <c:v>27.264999999999997</c:v>
                </c:pt>
                <c:pt idx="6">
                  <c:v>27.501999999999999</c:v>
                </c:pt>
                <c:pt idx="7">
                  <c:v>27.738999999999997</c:v>
                </c:pt>
                <c:pt idx="8">
                  <c:v>27.975999999999999</c:v>
                </c:pt>
                <c:pt idx="9">
                  <c:v>28.212999999999997</c:v>
                </c:pt>
                <c:pt idx="10">
                  <c:v>28.45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F-4366-8922-BF77366A0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423840"/>
        <c:axId val="1"/>
      </c:scatterChart>
      <c:valAx>
        <c:axId val="8254238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D" sz="8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Discharge (m</a:t>
                </a:r>
                <a:r>
                  <a:rPr lang="en-ID" sz="825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3</a:t>
                </a:r>
                <a:r>
                  <a:rPr lang="en-ID" sz="8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en-ID" sz="825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-1</a:t>
                </a:r>
                <a:r>
                  <a:rPr lang="en-ID" sz="825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5942413415113753"/>
              <c:y val="0.92647173453666309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D"/>
                  <a:t>Water Level (mAD)</a:t>
                </a:r>
              </a:p>
            </c:rich>
          </c:tx>
          <c:layout>
            <c:manualLayout>
              <c:xMode val="edge"/>
              <c:yMode val="edge"/>
              <c:x val="9.1623642687597099E-3"/>
              <c:y val="0.323530092381143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254238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D"/>
              <a:t>Downstream Rating Curve</a:t>
            </a:r>
          </a:p>
        </c:rich>
      </c:tx>
      <c:layout>
        <c:manualLayout>
          <c:xMode val="edge"/>
          <c:yMode val="edge"/>
          <c:x val="0.22388105079240464"/>
          <c:y val="3.55988040154774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64210376724245"/>
          <c:y val="0.17475783385743407"/>
          <c:w val="0.746270016379315"/>
          <c:h val="0.67961379833446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Input_SB!$F$26:$F$36</c:f>
              <c:numCache>
                <c:formatCode>0.00</c:formatCode>
                <c:ptCount val="11"/>
                <c:pt idx="0">
                  <c:v>26.08</c:v>
                </c:pt>
                <c:pt idx="1">
                  <c:v>26.316999999999997</c:v>
                </c:pt>
                <c:pt idx="2">
                  <c:v>26.553999999999998</c:v>
                </c:pt>
                <c:pt idx="3">
                  <c:v>26.790999999999997</c:v>
                </c:pt>
                <c:pt idx="4">
                  <c:v>27.027999999999999</c:v>
                </c:pt>
                <c:pt idx="5">
                  <c:v>27.264999999999997</c:v>
                </c:pt>
                <c:pt idx="6">
                  <c:v>27.501999999999999</c:v>
                </c:pt>
                <c:pt idx="7">
                  <c:v>27.738999999999997</c:v>
                </c:pt>
                <c:pt idx="8">
                  <c:v>27.975999999999999</c:v>
                </c:pt>
                <c:pt idx="9">
                  <c:v>28.212999999999997</c:v>
                </c:pt>
                <c:pt idx="10">
                  <c:v>28.45</c:v>
                </c:pt>
              </c:numCache>
            </c:numRef>
          </c:xVal>
          <c:yVal>
            <c:numRef>
              <c:f>Input_SB!$G$26:$G$36</c:f>
              <c:numCache>
                <c:formatCode>0.00</c:formatCode>
                <c:ptCount val="11"/>
                <c:pt idx="0">
                  <c:v>0</c:v>
                </c:pt>
                <c:pt idx="1">
                  <c:v>0.41507959438348691</c:v>
                </c:pt>
                <c:pt idx="2">
                  <c:v>1.3480174296317831</c:v>
                </c:pt>
                <c:pt idx="3">
                  <c:v>2.7255557041959579</c:v>
                </c:pt>
                <c:pt idx="4">
                  <c:v>4.5429448918475357</c:v>
                </c:pt>
                <c:pt idx="5">
                  <c:v>6.8116861867651988</c:v>
                </c:pt>
                <c:pt idx="6">
                  <c:v>9.5495733667549914</c:v>
                </c:pt>
                <c:pt idx="7">
                  <c:v>12.777193939127722</c:v>
                </c:pt>
                <c:pt idx="8">
                  <c:v>16.516420343732907</c:v>
                </c:pt>
                <c:pt idx="9">
                  <c:v>20.789680745616707</c:v>
                </c:pt>
                <c:pt idx="10">
                  <c:v>25.619580581612414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1D3-BA61-E543C6F4FC4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Input_SB!$F$26:$F$36</c:f>
              <c:numCache>
                <c:formatCode>0.00</c:formatCode>
                <c:ptCount val="11"/>
                <c:pt idx="0">
                  <c:v>26.08</c:v>
                </c:pt>
                <c:pt idx="1">
                  <c:v>26.316999999999997</c:v>
                </c:pt>
                <c:pt idx="2">
                  <c:v>26.553999999999998</c:v>
                </c:pt>
                <c:pt idx="3">
                  <c:v>26.790999999999997</c:v>
                </c:pt>
                <c:pt idx="4">
                  <c:v>27.027999999999999</c:v>
                </c:pt>
                <c:pt idx="5">
                  <c:v>27.264999999999997</c:v>
                </c:pt>
                <c:pt idx="6">
                  <c:v>27.501999999999999</c:v>
                </c:pt>
                <c:pt idx="7">
                  <c:v>27.738999999999997</c:v>
                </c:pt>
                <c:pt idx="8">
                  <c:v>27.975999999999999</c:v>
                </c:pt>
                <c:pt idx="9">
                  <c:v>28.212999999999997</c:v>
                </c:pt>
                <c:pt idx="10">
                  <c:v>28.45</c:v>
                </c:pt>
              </c:numCache>
            </c:numRef>
          </c:xVal>
          <c:yVal>
            <c:numRef>
              <c:f>Input_SB!$H$26:$H$36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EF-41D3-BA61-E543C6F4F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917536"/>
        <c:axId val="1"/>
      </c:scatterChart>
      <c:valAx>
        <c:axId val="1472917536"/>
        <c:scaling>
          <c:orientation val="minMax"/>
        </c:scaling>
        <c:delete val="0"/>
        <c:axPos val="b"/>
        <c:majorGridlines>
          <c:spPr>
            <a:ln w="12700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4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D"/>
                  <a:t>Level (mAD)</a:t>
                </a:r>
              </a:p>
            </c:rich>
          </c:tx>
          <c:layout>
            <c:manualLayout>
              <c:xMode val="edge"/>
              <c:yMode val="edge"/>
              <c:x val="0.46268732537465074"/>
              <c:y val="0.9093879373325757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ID" sz="4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Flow (m</a:t>
                </a:r>
                <a:r>
                  <a:rPr lang="en-ID" sz="450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3</a:t>
                </a:r>
                <a:r>
                  <a:rPr lang="en-ID" sz="4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s-</a:t>
                </a:r>
                <a:r>
                  <a:rPr lang="en-ID" sz="450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1</a:t>
                </a:r>
                <a:r>
                  <a:rPr lang="en-ID" sz="4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5.9701664857875168E-2"/>
              <c:y val="0.436894566658549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29175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387824246476645E-2"/>
          <c:y val="0.101562693715465"/>
          <c:w val="0.71020478934629039"/>
          <c:h val="0.7226576283600394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'Jump Lookup'!$C$1</c:f>
              <c:strCache>
                <c:ptCount val="1"/>
                <c:pt idx="0">
                  <c:v>L/y2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'Jump Lookup'!$B$2:$B$25</c:f>
              <c:numCache>
                <c:formatCode>General</c:formatCode>
                <c:ptCount val="24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7.5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12</c:v>
                </c:pt>
                <c:pt idx="16">
                  <c:v>15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'Jump Lookup'!$C$2:$C$25</c:f>
              <c:numCache>
                <c:formatCode>General</c:formatCode>
                <c:ptCount val="24"/>
                <c:pt idx="0">
                  <c:v>0</c:v>
                </c:pt>
                <c:pt idx="1">
                  <c:v>2.5</c:v>
                </c:pt>
                <c:pt idx="2">
                  <c:v>4.3</c:v>
                </c:pt>
                <c:pt idx="3">
                  <c:v>4.8499999999999996</c:v>
                </c:pt>
                <c:pt idx="4">
                  <c:v>5.2667000000000002</c:v>
                </c:pt>
                <c:pt idx="5">
                  <c:v>5.58</c:v>
                </c:pt>
                <c:pt idx="6">
                  <c:v>5.8</c:v>
                </c:pt>
                <c:pt idx="7">
                  <c:v>6</c:v>
                </c:pt>
                <c:pt idx="8">
                  <c:v>6.0734000000000004</c:v>
                </c:pt>
                <c:pt idx="9">
                  <c:v>6.1070000000000002</c:v>
                </c:pt>
                <c:pt idx="10">
                  <c:v>6.1669999999999998</c:v>
                </c:pt>
                <c:pt idx="11">
                  <c:v>6.133</c:v>
                </c:pt>
                <c:pt idx="12">
                  <c:v>6.1</c:v>
                </c:pt>
                <c:pt idx="13">
                  <c:v>6.08</c:v>
                </c:pt>
                <c:pt idx="14">
                  <c:v>6.06</c:v>
                </c:pt>
                <c:pt idx="15">
                  <c:v>6.04</c:v>
                </c:pt>
                <c:pt idx="16">
                  <c:v>5.9</c:v>
                </c:pt>
                <c:pt idx="17">
                  <c:v>5.8</c:v>
                </c:pt>
                <c:pt idx="18">
                  <c:v>5.7</c:v>
                </c:pt>
                <c:pt idx="19">
                  <c:v>5.6</c:v>
                </c:pt>
                <c:pt idx="20">
                  <c:v>5.45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8-4824-BB9A-61CB38C3493D}"/>
            </c:ext>
          </c:extLst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'Jump Lookup'!$E$2:$E$15</c:f>
              <c:numCache>
                <c:formatCode>General</c:formatCode>
                <c:ptCount val="14"/>
                <c:pt idx="0">
                  <c:v>4.5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16.5</c:v>
                </c:pt>
              </c:numCache>
            </c:numRef>
          </c:xVal>
          <c:yVal>
            <c:numRef>
              <c:f>'Jump Lookup'!$F$2:$F$15</c:f>
              <c:numCache>
                <c:formatCode>General</c:formatCode>
                <c:ptCount val="14"/>
                <c:pt idx="0">
                  <c:v>2.21</c:v>
                </c:pt>
                <c:pt idx="1">
                  <c:v>2.38</c:v>
                </c:pt>
                <c:pt idx="2">
                  <c:v>2.4500000000000002</c:v>
                </c:pt>
                <c:pt idx="3">
                  <c:v>2.58</c:v>
                </c:pt>
                <c:pt idx="4">
                  <c:v>2.65</c:v>
                </c:pt>
                <c:pt idx="5">
                  <c:v>2.7</c:v>
                </c:pt>
                <c:pt idx="6">
                  <c:v>2.72</c:v>
                </c:pt>
                <c:pt idx="7">
                  <c:v>2.75</c:v>
                </c:pt>
                <c:pt idx="8">
                  <c:v>2.78</c:v>
                </c:pt>
                <c:pt idx="9">
                  <c:v>2.78</c:v>
                </c:pt>
                <c:pt idx="10">
                  <c:v>2.77</c:v>
                </c:pt>
                <c:pt idx="11">
                  <c:v>2.76</c:v>
                </c:pt>
                <c:pt idx="12">
                  <c:v>2.74</c:v>
                </c:pt>
                <c:pt idx="13">
                  <c:v>2.72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F8-4824-BB9A-61CB38C3493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'Jump Lookup'!$G$2:$G$9</c:f>
              <c:numCache>
                <c:formatCode>General</c:formatCode>
                <c:ptCount val="8"/>
                <c:pt idx="0">
                  <c:v>2.5</c:v>
                </c:pt>
                <c:pt idx="1">
                  <c:v>3</c:v>
                </c:pt>
                <c:pt idx="2">
                  <c:v>3.5</c:v>
                </c:pt>
                <c:pt idx="3">
                  <c:v>4</c:v>
                </c:pt>
                <c:pt idx="4">
                  <c:v>4.5</c:v>
                </c:pt>
                <c:pt idx="5">
                  <c:v>5</c:v>
                </c:pt>
                <c:pt idx="6">
                  <c:v>5.5</c:v>
                </c:pt>
                <c:pt idx="7">
                  <c:v>6</c:v>
                </c:pt>
              </c:numCache>
            </c:numRef>
          </c:xVal>
          <c:yVal>
            <c:numRef>
              <c:f>'Jump Lookup'!$H$2:$H$9</c:f>
              <c:numCache>
                <c:formatCode>General</c:formatCode>
                <c:ptCount val="8"/>
                <c:pt idx="0">
                  <c:v>3.2</c:v>
                </c:pt>
                <c:pt idx="1">
                  <c:v>3.17</c:v>
                </c:pt>
                <c:pt idx="2">
                  <c:v>3.15</c:v>
                </c:pt>
                <c:pt idx="3">
                  <c:v>3.1</c:v>
                </c:pt>
                <c:pt idx="4">
                  <c:v>3.02</c:v>
                </c:pt>
                <c:pt idx="5">
                  <c:v>2.9</c:v>
                </c:pt>
                <c:pt idx="6">
                  <c:v>2.7</c:v>
                </c:pt>
                <c:pt idx="7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F8-4824-BB9A-61CB38C3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908896"/>
        <c:axId val="1"/>
      </c:scatterChart>
      <c:valAx>
        <c:axId val="147290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729088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8545175785065702"/>
          <c:y val="0.30997258848561088"/>
          <c:w val="0.20243589090198677"/>
          <c:h val="0.291521843793194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D"/>
              <a:t>Downstream Rating Curve</a:t>
            </a:r>
          </a:p>
        </c:rich>
      </c:tx>
      <c:layout>
        <c:manualLayout>
          <c:xMode val="edge"/>
          <c:yMode val="edge"/>
          <c:x val="0.2574630783092412"/>
          <c:y val="3.54838709677419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373180556896713"/>
          <c:y val="0.18709706889029248"/>
          <c:w val="0.63806086400431439"/>
          <c:h val="0.60967837965974614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Calc!$F$30:$F$40</c:f>
              <c:numCache>
                <c:formatCode>0.00</c:formatCode>
                <c:ptCount val="11"/>
                <c:pt idx="0">
                  <c:v>26.08</c:v>
                </c:pt>
                <c:pt idx="1">
                  <c:v>26.316999999999997</c:v>
                </c:pt>
                <c:pt idx="2">
                  <c:v>26.553999999999998</c:v>
                </c:pt>
                <c:pt idx="3">
                  <c:v>26.790999999999997</c:v>
                </c:pt>
                <c:pt idx="4">
                  <c:v>27.027999999999999</c:v>
                </c:pt>
                <c:pt idx="5">
                  <c:v>27.264999999999997</c:v>
                </c:pt>
                <c:pt idx="6">
                  <c:v>27.501999999999999</c:v>
                </c:pt>
                <c:pt idx="7">
                  <c:v>27.738999999999997</c:v>
                </c:pt>
                <c:pt idx="8">
                  <c:v>27.975999999999999</c:v>
                </c:pt>
                <c:pt idx="9">
                  <c:v>28.212999999999997</c:v>
                </c:pt>
                <c:pt idx="10">
                  <c:v>28.45</c:v>
                </c:pt>
              </c:numCache>
            </c:numRef>
          </c:xVal>
          <c:yVal>
            <c:numRef>
              <c:f>Calc!$G$30:$G$40</c:f>
              <c:numCache>
                <c:formatCode>0.00</c:formatCode>
                <c:ptCount val="11"/>
                <c:pt idx="0">
                  <c:v>0</c:v>
                </c:pt>
                <c:pt idx="1">
                  <c:v>0.41507959438348691</c:v>
                </c:pt>
                <c:pt idx="2">
                  <c:v>1.3480174296317831</c:v>
                </c:pt>
                <c:pt idx="3">
                  <c:v>2.7255557041959579</c:v>
                </c:pt>
                <c:pt idx="4">
                  <c:v>4.5429448918475357</c:v>
                </c:pt>
                <c:pt idx="5">
                  <c:v>6.8116861867651988</c:v>
                </c:pt>
                <c:pt idx="6">
                  <c:v>9.5495733667549914</c:v>
                </c:pt>
                <c:pt idx="7">
                  <c:v>12.777193939127722</c:v>
                </c:pt>
                <c:pt idx="8">
                  <c:v>16.516420343732907</c:v>
                </c:pt>
                <c:pt idx="9">
                  <c:v>20.789680745616707</c:v>
                </c:pt>
                <c:pt idx="10">
                  <c:v>25.619580581612414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C5-4DD4-9F5A-6B1C14B6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461648"/>
        <c:axId val="1"/>
      </c:scatterChart>
      <c:valAx>
        <c:axId val="1028461648"/>
        <c:scaling>
          <c:orientation val="minMax"/>
        </c:scaling>
        <c:delete val="0"/>
        <c:axPos val="b"/>
        <c:majorGridlines>
          <c:spPr>
            <a:ln w="12700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D"/>
                  <a:t>Level (mAD)</a:t>
                </a:r>
              </a:p>
            </c:rich>
          </c:tx>
          <c:layout>
            <c:manualLayout>
              <c:xMode val="edge"/>
              <c:yMode val="edge"/>
              <c:x val="0.45149332079758686"/>
              <c:y val="0.88387232241131142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D"/>
                  <a:t>Flow (m3s-1)</a:t>
                </a:r>
              </a:p>
            </c:rich>
          </c:tx>
          <c:layout>
            <c:manualLayout>
              <c:xMode val="edge"/>
              <c:yMode val="edge"/>
              <c:x val="5.9701492537313432E-2"/>
              <c:y val="0.380645838625010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84616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125132454990739E-2"/>
          <c:y val="6.2650676123254104E-2"/>
          <c:w val="0.74132070129513428"/>
          <c:h val="0.8289166379384388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'Type IV Lookup'!$E$3:$E$10</c:f>
              <c:numCache>
                <c:formatCode>General</c:formatCode>
                <c:ptCount val="8"/>
                <c:pt idx="0">
                  <c:v>2.5</c:v>
                </c:pt>
                <c:pt idx="1">
                  <c:v>2.75</c:v>
                </c:pt>
                <c:pt idx="2">
                  <c:v>3</c:v>
                </c:pt>
                <c:pt idx="3">
                  <c:v>3.5</c:v>
                </c:pt>
                <c:pt idx="4">
                  <c:v>4</c:v>
                </c:pt>
                <c:pt idx="5">
                  <c:v>4.5</c:v>
                </c:pt>
                <c:pt idx="6">
                  <c:v>5</c:v>
                </c:pt>
                <c:pt idx="7">
                  <c:v>5.5</c:v>
                </c:pt>
              </c:numCache>
            </c:numRef>
          </c:xVal>
          <c:yVal>
            <c:numRef>
              <c:f>'Type IV Lookup'!$F$3:$F$10</c:f>
              <c:numCache>
                <c:formatCode>General</c:formatCode>
                <c:ptCount val="8"/>
                <c:pt idx="0">
                  <c:v>1.45</c:v>
                </c:pt>
                <c:pt idx="1">
                  <c:v>1.325</c:v>
                </c:pt>
                <c:pt idx="2">
                  <c:v>1.25</c:v>
                </c:pt>
                <c:pt idx="3">
                  <c:v>1.125</c:v>
                </c:pt>
                <c:pt idx="4">
                  <c:v>1.0249999999999999</c:v>
                </c:pt>
                <c:pt idx="5">
                  <c:v>0.9</c:v>
                </c:pt>
                <c:pt idx="6">
                  <c:v>0.8</c:v>
                </c:pt>
                <c:pt idx="7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87-4673-8EED-9E5997A61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873136"/>
        <c:axId val="1"/>
      </c:scatterChart>
      <c:valAx>
        <c:axId val="9988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8873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663495307271616"/>
          <c:y val="0.44293755833725623"/>
          <c:w val="0.17301587988828734"/>
          <c:h val="6.392913213115038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png"/><Relationship Id="rId1" Type="http://schemas.openxmlformats.org/officeDocument/2006/relationships/image" Target="../media/image5.emf"/><Relationship Id="rId6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110964</xdr:colOff>
      <xdr:row>0</xdr:row>
      <xdr:rowOff>87156</xdr:rowOff>
    </xdr:from>
    <xdr:ext cx="1181100" cy="933450"/>
    <xdr:pic>
      <xdr:nvPicPr>
        <xdr:cNvPr id="2" name="Picture 2">
          <a:extLst>
            <a:ext uri="{FF2B5EF4-FFF2-40B4-BE49-F238E27FC236}">
              <a16:creationId xmlns:a16="http://schemas.microsoft.com/office/drawing/2014/main" id="{9D5200B1-7E24-4EE3-BAB5-B1B62E2F5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6152" y="87156"/>
          <a:ext cx="1181100" cy="93345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669774</xdr:colOff>
      <xdr:row>11</xdr:row>
      <xdr:rowOff>86511</xdr:rowOff>
    </xdr:from>
    <xdr:to>
      <xdr:col>11</xdr:col>
      <xdr:colOff>400686</xdr:colOff>
      <xdr:row>11</xdr:row>
      <xdr:rowOff>2516058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31DB33-55DD-C7E9-1686-335EA3F9C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7245" y="3851687"/>
          <a:ext cx="4852000" cy="2429547"/>
        </a:xfrm>
        <a:prstGeom prst="rect">
          <a:avLst/>
        </a:prstGeom>
      </xdr:spPr>
    </xdr:pic>
    <xdr:clientData/>
  </xdr:twoCellAnchor>
  <xdr:twoCellAnchor>
    <xdr:from>
      <xdr:col>23</xdr:col>
      <xdr:colOff>710864</xdr:colOff>
      <xdr:row>37</xdr:row>
      <xdr:rowOff>237106</xdr:rowOff>
    </xdr:from>
    <xdr:to>
      <xdr:col>23</xdr:col>
      <xdr:colOff>1086315</xdr:colOff>
      <xdr:row>38</xdr:row>
      <xdr:rowOff>123042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1F2F466E-42DF-466D-847C-9DB8D375D485}"/>
            </a:ext>
          </a:extLst>
        </xdr:cNvPr>
        <xdr:cNvSpPr txBox="1"/>
      </xdr:nvSpPr>
      <xdr:spPr>
        <a:xfrm>
          <a:off x="3202604" y="4801486"/>
          <a:ext cx="375451" cy="24788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rtlCol="0" anchor="ctr"/>
        <a:lstStyle/>
        <a:p>
          <a:pPr algn="ctr"/>
          <a:r>
            <a:rPr lang="en-GB" sz="800"/>
            <a:t> =</a:t>
          </a:r>
          <a:endParaRPr lang="en-GB" sz="1100"/>
        </a:p>
      </xdr:txBody>
    </xdr:sp>
    <xdr:clientData/>
  </xdr:twoCellAnchor>
  <xdr:twoCellAnchor>
    <xdr:from>
      <xdr:col>10</xdr:col>
      <xdr:colOff>417635</xdr:colOff>
      <xdr:row>21</xdr:row>
      <xdr:rowOff>197827</xdr:rowOff>
    </xdr:from>
    <xdr:to>
      <xdr:col>11</xdr:col>
      <xdr:colOff>186160</xdr:colOff>
      <xdr:row>22</xdr:row>
      <xdr:rowOff>87096</xdr:rowOff>
    </xdr:to>
    <xdr:sp macro="" textlink="$T$21">
      <xdr:nvSpPr>
        <xdr:cNvPr id="87" name="Rectangle 86">
          <a:extLst>
            <a:ext uri="{FF2B5EF4-FFF2-40B4-BE49-F238E27FC236}">
              <a16:creationId xmlns:a16="http://schemas.microsoft.com/office/drawing/2014/main" id="{301BD105-DF67-4827-B2E5-67AD8D89AE7E}"/>
            </a:ext>
          </a:extLst>
        </xdr:cNvPr>
        <xdr:cNvSpPr/>
      </xdr:nvSpPr>
      <xdr:spPr>
        <a:xfrm>
          <a:off x="6037385" y="9334500"/>
          <a:ext cx="530525" cy="1676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B652ACD-03A1-4CB6-8432-2C65BCFD4C8A}" type="TxLink">
            <a:rPr lang="en-US" sz="1000" b="0" i="0" u="none" strike="noStrike">
              <a:ln>
                <a:noFill/>
              </a:ln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ID" sz="1100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478887</xdr:colOff>
      <xdr:row>12</xdr:row>
      <xdr:rowOff>135445</xdr:rowOff>
    </xdr:from>
    <xdr:to>
      <xdr:col>12</xdr:col>
      <xdr:colOff>256680</xdr:colOff>
      <xdr:row>22</xdr:row>
      <xdr:rowOff>59501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2263FEEB-A3DD-E26F-93B7-920E3C6038C7}"/>
            </a:ext>
          </a:extLst>
        </xdr:cNvPr>
        <xdr:cNvGrpSpPr/>
      </xdr:nvGrpSpPr>
      <xdr:grpSpPr>
        <a:xfrm>
          <a:off x="1237077" y="6452771"/>
          <a:ext cx="6152789" cy="2694965"/>
          <a:chOff x="1166299" y="6685719"/>
          <a:chExt cx="6144889" cy="2752102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8A987237-8637-5E0E-088A-CBAE9254F1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104" b="18104"/>
          <a:stretch/>
        </xdr:blipFill>
        <xdr:spPr>
          <a:xfrm>
            <a:off x="1166299" y="6685719"/>
            <a:ext cx="6144889" cy="2752102"/>
          </a:xfrm>
          <a:prstGeom prst="rect">
            <a:avLst/>
          </a:prstGeom>
        </xdr:spPr>
      </xdr:pic>
      <xdr:sp macro="" textlink="$F$49">
        <xdr:nvSpPr>
          <xdr:cNvPr id="77" name="Rectangle 76">
            <a:extLst>
              <a:ext uri="{FF2B5EF4-FFF2-40B4-BE49-F238E27FC236}">
                <a16:creationId xmlns:a16="http://schemas.microsoft.com/office/drawing/2014/main" id="{79FB78E8-A8E7-2ADC-99E5-21902CC3148B}"/>
              </a:ext>
            </a:extLst>
          </xdr:cNvPr>
          <xdr:cNvSpPr/>
        </xdr:nvSpPr>
        <xdr:spPr>
          <a:xfrm>
            <a:off x="1797350" y="7799866"/>
            <a:ext cx="526568" cy="1610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24A247-1611-47F4-9860-B5465EE24B07}" type="TxLink">
              <a:rPr lang="en-US" sz="800" b="0" i="0" u="none" strike="noStrike">
                <a:ln>
                  <a:noFill/>
                </a:ln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1.580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$F$31">
        <xdr:nvSpPr>
          <xdr:cNvPr id="79" name="Rectangle 78">
            <a:extLst>
              <a:ext uri="{FF2B5EF4-FFF2-40B4-BE49-F238E27FC236}">
                <a16:creationId xmlns:a16="http://schemas.microsoft.com/office/drawing/2014/main" id="{8C68A1B9-A088-4A92-9EB4-CE4D79DB4DE3}"/>
              </a:ext>
            </a:extLst>
          </xdr:cNvPr>
          <xdr:cNvSpPr/>
        </xdr:nvSpPr>
        <xdr:spPr>
          <a:xfrm>
            <a:off x="1932932" y="8121452"/>
            <a:ext cx="545765" cy="16930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C9891E6-5C99-41C1-8879-B8F21D9632CF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26.18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$F$55">
        <xdr:nvSpPr>
          <xdr:cNvPr id="80" name="Rectangle 79">
            <a:extLst>
              <a:ext uri="{FF2B5EF4-FFF2-40B4-BE49-F238E27FC236}">
                <a16:creationId xmlns:a16="http://schemas.microsoft.com/office/drawing/2014/main" id="{7B4C5158-558E-4C0B-8CD5-1FCC40253C52}"/>
              </a:ext>
            </a:extLst>
          </xdr:cNvPr>
          <xdr:cNvSpPr/>
        </xdr:nvSpPr>
        <xdr:spPr>
          <a:xfrm>
            <a:off x="2158748" y="8047882"/>
            <a:ext cx="517190" cy="1524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4D8E8E3-6CBC-4B88-B319-310FCDF17510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1.185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Outputs!F36">
        <xdr:nvSpPr>
          <xdr:cNvPr id="82" name="Rectangle 81">
            <a:extLst>
              <a:ext uri="{FF2B5EF4-FFF2-40B4-BE49-F238E27FC236}">
                <a16:creationId xmlns:a16="http://schemas.microsoft.com/office/drawing/2014/main" id="{3D4A1145-C116-44BD-8CCE-CBB6A5C3A632}"/>
              </a:ext>
            </a:extLst>
          </xdr:cNvPr>
          <xdr:cNvSpPr/>
        </xdr:nvSpPr>
        <xdr:spPr>
          <a:xfrm>
            <a:off x="4759807" y="9073721"/>
            <a:ext cx="500045" cy="1595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C1982B3-6752-444B-8922-46441300C19C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0.50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InitailInput!F13">
        <xdr:nvSpPr>
          <xdr:cNvPr id="83" name="Rectangle 82">
            <a:extLst>
              <a:ext uri="{FF2B5EF4-FFF2-40B4-BE49-F238E27FC236}">
                <a16:creationId xmlns:a16="http://schemas.microsoft.com/office/drawing/2014/main" id="{CE2AFBAC-E9C0-477E-BFB3-FDEDAE3935A0}"/>
              </a:ext>
            </a:extLst>
          </xdr:cNvPr>
          <xdr:cNvSpPr/>
        </xdr:nvSpPr>
        <xdr:spPr>
          <a:xfrm>
            <a:off x="1493724" y="7224336"/>
            <a:ext cx="530525" cy="15435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0C667FF-F050-44EF-AA8D-C854207BE097}" type="TxLink">
              <a:rPr lang="en-US" sz="800" b="0" i="0" u="none" strike="noStrike">
                <a:ln>
                  <a:noFill/>
                </a:ln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27.76</a:t>
            </a:fld>
            <a:endParaRPr lang="en-US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$S$55">
        <xdr:nvSpPr>
          <xdr:cNvPr id="84" name="Rectangle 83">
            <a:extLst>
              <a:ext uri="{FF2B5EF4-FFF2-40B4-BE49-F238E27FC236}">
                <a16:creationId xmlns:a16="http://schemas.microsoft.com/office/drawing/2014/main" id="{5A4E6239-A4B3-4ACC-B0E1-976218578D4D}"/>
              </a:ext>
            </a:extLst>
          </xdr:cNvPr>
          <xdr:cNvSpPr/>
        </xdr:nvSpPr>
        <xdr:spPr>
          <a:xfrm>
            <a:off x="2615655" y="8480590"/>
            <a:ext cx="561005" cy="15435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66D13D4-4130-42C0-8E55-E07717829D98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1.20</a:t>
            </a:fld>
            <a:endParaRPr lang="en-ID" sz="1100">
              <a:ln>
                <a:noFill/>
              </a:ln>
              <a:solidFill>
                <a:srgbClr val="00B0F0"/>
              </a:solidFill>
            </a:endParaRPr>
          </a:p>
        </xdr:txBody>
      </xdr:sp>
      <xdr:sp macro="" textlink="Outputs!F20">
        <xdr:nvSpPr>
          <xdr:cNvPr id="85" name="Rectangle 84">
            <a:extLst>
              <a:ext uri="{FF2B5EF4-FFF2-40B4-BE49-F238E27FC236}">
                <a16:creationId xmlns:a16="http://schemas.microsoft.com/office/drawing/2014/main" id="{4D7AEB6E-9F28-46A8-9E7E-7B6CE59C5AF6}"/>
              </a:ext>
            </a:extLst>
          </xdr:cNvPr>
          <xdr:cNvSpPr/>
        </xdr:nvSpPr>
        <xdr:spPr>
          <a:xfrm>
            <a:off x="5081313" y="8668178"/>
            <a:ext cx="522905" cy="20960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FA832B9-CB2C-477D-86F8-6F99189DDA25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-1876.80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InitailInput!F26">
        <xdr:nvSpPr>
          <xdr:cNvPr id="86" name="Rectangle 85">
            <a:extLst>
              <a:ext uri="{FF2B5EF4-FFF2-40B4-BE49-F238E27FC236}">
                <a16:creationId xmlns:a16="http://schemas.microsoft.com/office/drawing/2014/main" id="{A14BC3E8-7BCE-4734-B5E0-AFA78ED563B2}"/>
              </a:ext>
            </a:extLst>
          </xdr:cNvPr>
          <xdr:cNvSpPr/>
        </xdr:nvSpPr>
        <xdr:spPr>
          <a:xfrm>
            <a:off x="6266955" y="8533363"/>
            <a:ext cx="534335" cy="1638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A369E17-73AF-49F0-A1B0-348F3A08A08E}" type="TxLink">
              <a:rPr lang="en-US" sz="800" b="0" i="0" u="none" strike="noStrike">
                <a:ln>
                  <a:noFill/>
                </a:ln>
                <a:solidFill>
                  <a:schemeClr val="tx1"/>
                </a:solidFill>
                <a:latin typeface="Arial"/>
                <a:cs typeface="Arial"/>
              </a:rPr>
              <a:pPr algn="ctr"/>
              <a:t>26.08</a:t>
            </a:fld>
            <a:endParaRPr lang="en-ID" sz="1100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Outputs!F21">
        <xdr:nvSpPr>
          <xdr:cNvPr id="88" name="Rectangle 87">
            <a:extLst>
              <a:ext uri="{FF2B5EF4-FFF2-40B4-BE49-F238E27FC236}">
                <a16:creationId xmlns:a16="http://schemas.microsoft.com/office/drawing/2014/main" id="{F5E83687-B807-419E-899C-BB0C70AAA707}"/>
              </a:ext>
            </a:extLst>
          </xdr:cNvPr>
          <xdr:cNvSpPr/>
        </xdr:nvSpPr>
        <xdr:spPr>
          <a:xfrm>
            <a:off x="6056379" y="8762110"/>
            <a:ext cx="536240" cy="16388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7344B09-844F-4F4F-8D57-30290285EA82}" type="TxLink">
              <a:rPr lang="en-US" sz="800" b="0" i="0" u="none" strike="noStrike">
                <a:ln>
                  <a:noFill/>
                </a:ln>
                <a:solidFill>
                  <a:srgbClr val="000000"/>
                </a:solidFill>
                <a:latin typeface="Arial"/>
                <a:cs typeface="Arial"/>
              </a:rPr>
              <a:pPr algn="ctr"/>
              <a:t>1902.88</a:t>
            </a:fld>
            <a:endParaRPr lang="en-ID" sz="1100">
              <a:ln>
                <a:noFill/>
              </a:ln>
              <a:solidFill>
                <a:srgbClr val="00B0F0"/>
              </a:solidFill>
            </a:endParaRPr>
          </a:p>
        </xdr:txBody>
      </xdr:sp>
      <xdr:sp macro="" textlink="InitailInput!F25">
        <xdr:nvSpPr>
          <xdr:cNvPr id="89" name="Rectangle 88">
            <a:extLst>
              <a:ext uri="{FF2B5EF4-FFF2-40B4-BE49-F238E27FC236}">
                <a16:creationId xmlns:a16="http://schemas.microsoft.com/office/drawing/2014/main" id="{FB28807D-33E3-434C-A0D0-BC3BC30732FE}"/>
              </a:ext>
            </a:extLst>
          </xdr:cNvPr>
          <xdr:cNvSpPr/>
        </xdr:nvSpPr>
        <xdr:spPr>
          <a:xfrm>
            <a:off x="6590658" y="8432691"/>
            <a:ext cx="545765" cy="16959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B43EEFD-DE93-4D20-B09C-5FF3E841B10C}" type="TxLink">
              <a:rPr lang="en-US" sz="800" b="0" i="0" u="none" strike="noStrike">
                <a:ln>
                  <a:noFill/>
                </a:ln>
                <a:solidFill>
                  <a:schemeClr val="tx1"/>
                </a:solidFill>
                <a:latin typeface="Arial"/>
                <a:cs typeface="Arial"/>
              </a:rPr>
              <a:pPr algn="ctr"/>
              <a:t>1.58</a:t>
            </a:fld>
            <a:endParaRPr lang="en-ID" sz="1100">
              <a:ln>
                <a:noFill/>
              </a:ln>
              <a:solidFill>
                <a:schemeClr val="tx1"/>
              </a:solidFill>
            </a:endParaRPr>
          </a:p>
        </xdr:txBody>
      </xdr:sp>
      <xdr:sp macro="" textlink="InitailInput!F24">
        <xdr:nvSpPr>
          <xdr:cNvPr id="90" name="Rectangle 89">
            <a:extLst>
              <a:ext uri="{FF2B5EF4-FFF2-40B4-BE49-F238E27FC236}">
                <a16:creationId xmlns:a16="http://schemas.microsoft.com/office/drawing/2014/main" id="{67EA300F-E38B-416B-8492-ADFAE549927C}"/>
              </a:ext>
            </a:extLst>
          </xdr:cNvPr>
          <xdr:cNvSpPr/>
        </xdr:nvSpPr>
        <xdr:spPr>
          <a:xfrm>
            <a:off x="6132546" y="8079716"/>
            <a:ext cx="495466" cy="1524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C287B21-B248-4A54-880A-C0B9C8C2D791}" type="TxLink">
              <a:rPr lang="en-US" sz="800" b="0" i="0" u="none" strike="noStrike">
                <a:ln>
                  <a:noFill/>
                </a:ln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27.66</a:t>
            </a:fld>
            <a:endParaRPr lang="en-ID" sz="1100">
              <a:ln>
                <a:noFill/>
              </a:ln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E6A0B828-0D57-4CEB-81E8-5FD6B368AB02}"/>
              </a:ext>
            </a:extLst>
          </xdr:cNvPr>
          <xdr:cNvSpPr/>
        </xdr:nvSpPr>
        <xdr:spPr>
          <a:xfrm rot="1978715">
            <a:off x="3363294" y="8424047"/>
            <a:ext cx="559100" cy="18483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i="0" u="none" strike="noStrike">
                <a:ln>
                  <a:noFill/>
                </a:ln>
                <a:solidFill>
                  <a:sysClr val="windowText" lastClr="000000"/>
                </a:solidFill>
                <a:latin typeface="Arial"/>
                <a:cs typeface="Arial"/>
              </a:rPr>
              <a:t>1:1</a:t>
            </a:r>
          </a:p>
        </xdr:txBody>
      </xdr:sp>
    </xdr:grpSp>
    <xdr:clientData/>
  </xdr:twoCellAnchor>
  <xdr:oneCellAnchor>
    <xdr:from>
      <xdr:col>12</xdr:col>
      <xdr:colOff>100099</xdr:colOff>
      <xdr:row>0</xdr:row>
      <xdr:rowOff>55765</xdr:rowOff>
    </xdr:from>
    <xdr:ext cx="1181100" cy="933450"/>
    <xdr:pic>
      <xdr:nvPicPr>
        <xdr:cNvPr id="2" name="Picture 2">
          <a:extLst>
            <a:ext uri="{FF2B5EF4-FFF2-40B4-BE49-F238E27FC236}">
              <a16:creationId xmlns:a16="http://schemas.microsoft.com/office/drawing/2014/main" id="{6CC0AE91-B043-40E9-9E8D-69CC5FE97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5190" y="55765"/>
          <a:ext cx="1181100" cy="93345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446329</xdr:colOff>
      <xdr:row>35</xdr:row>
      <xdr:rowOff>100965</xdr:rowOff>
    </xdr:from>
    <xdr:to>
      <xdr:col>13</xdr:col>
      <xdr:colOff>429633</xdr:colOff>
      <xdr:row>46</xdr:row>
      <xdr:rowOff>112059</xdr:rowOff>
    </xdr:to>
    <xdr:graphicFrame macro="">
      <xdr:nvGraphicFramePr>
        <xdr:cNvPr id="1131" name="Chart 2">
          <a:extLst>
            <a:ext uri="{FF2B5EF4-FFF2-40B4-BE49-F238E27FC236}">
              <a16:creationId xmlns:a16="http://schemas.microsoft.com/office/drawing/2014/main" id="{02014ED4-3EA8-0720-6BB7-A402F0B3F7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227703</xdr:colOff>
      <xdr:row>0</xdr:row>
      <xdr:rowOff>22860</xdr:rowOff>
    </xdr:from>
    <xdr:to>
      <xdr:col>15</xdr:col>
      <xdr:colOff>13447</xdr:colOff>
      <xdr:row>2</xdr:row>
      <xdr:rowOff>281940</xdr:rowOff>
    </xdr:to>
    <xdr:pic>
      <xdr:nvPicPr>
        <xdr:cNvPr id="1132" name="Picture 2">
          <a:extLst>
            <a:ext uri="{FF2B5EF4-FFF2-40B4-BE49-F238E27FC236}">
              <a16:creationId xmlns:a16="http://schemas.microsoft.com/office/drawing/2014/main" id="{15AB20EE-0E9D-2179-2AEA-C1656B564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4691" y="22860"/>
          <a:ext cx="1211132" cy="958327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198120</xdr:colOff>
      <xdr:row>10</xdr:row>
      <xdr:rowOff>45720</xdr:rowOff>
    </xdr:from>
    <xdr:ext cx="7143750" cy="2200275"/>
    <xdr:pic>
      <xdr:nvPicPr>
        <xdr:cNvPr id="2" name="Picture 7">
          <a:extLst>
            <a:ext uri="{FF2B5EF4-FFF2-40B4-BE49-F238E27FC236}">
              <a16:creationId xmlns:a16="http://schemas.microsoft.com/office/drawing/2014/main" id="{CC6AA610-D122-47A2-A846-E1D68BBC7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" y="1762125"/>
          <a:ext cx="7143750" cy="2200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121920</xdr:colOff>
      <xdr:row>22</xdr:row>
      <xdr:rowOff>91440</xdr:rowOff>
    </xdr:from>
    <xdr:to>
      <xdr:col>15</xdr:col>
      <xdr:colOff>114300</xdr:colOff>
      <xdr:row>33</xdr:row>
      <xdr:rowOff>15240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3DF9FB11-7A2D-4231-8AD9-8D65952C4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83820</xdr:colOff>
      <xdr:row>0</xdr:row>
      <xdr:rowOff>15240</xdr:rowOff>
    </xdr:from>
    <xdr:ext cx="1181100" cy="933450"/>
    <xdr:pic>
      <xdr:nvPicPr>
        <xdr:cNvPr id="4" name="Picture 2">
          <a:extLst>
            <a:ext uri="{FF2B5EF4-FFF2-40B4-BE49-F238E27FC236}">
              <a16:creationId xmlns:a16="http://schemas.microsoft.com/office/drawing/2014/main" id="{C6B58C7C-CBEA-4F5B-885E-D88D2501A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181100" cy="93345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28</xdr:row>
          <xdr:rowOff>83820</xdr:rowOff>
        </xdr:from>
        <xdr:to>
          <xdr:col>16</xdr:col>
          <xdr:colOff>289560</xdr:colOff>
          <xdr:row>28</xdr:row>
          <xdr:rowOff>190500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4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D"/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83820</xdr:colOff>
      <xdr:row>0</xdr:row>
      <xdr:rowOff>15240</xdr:rowOff>
    </xdr:from>
    <xdr:ext cx="1190625" cy="923925"/>
    <xdr:pic>
      <xdr:nvPicPr>
        <xdr:cNvPr id="2" name="Picture 2">
          <a:extLst>
            <a:ext uri="{FF2B5EF4-FFF2-40B4-BE49-F238E27FC236}">
              <a16:creationId xmlns:a16="http://schemas.microsoft.com/office/drawing/2014/main" id="{260F594C-6B6A-4413-8317-7F68AAD7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190625" cy="923925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28</xdr:row>
          <xdr:rowOff>83820</xdr:rowOff>
        </xdr:from>
        <xdr:to>
          <xdr:col>16</xdr:col>
          <xdr:colOff>289560</xdr:colOff>
          <xdr:row>28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D"/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83820</xdr:colOff>
      <xdr:row>0</xdr:row>
      <xdr:rowOff>15240</xdr:rowOff>
    </xdr:from>
    <xdr:ext cx="1190625" cy="933450"/>
    <xdr:pic>
      <xdr:nvPicPr>
        <xdr:cNvPr id="2" name="Picture 2">
          <a:extLst>
            <a:ext uri="{FF2B5EF4-FFF2-40B4-BE49-F238E27FC236}">
              <a16:creationId xmlns:a16="http://schemas.microsoft.com/office/drawing/2014/main" id="{B8E62935-B8F1-48D2-AE71-445AD2341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190625" cy="93345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28</xdr:row>
          <xdr:rowOff>83820</xdr:rowOff>
        </xdr:from>
        <xdr:to>
          <xdr:col>16</xdr:col>
          <xdr:colOff>289560</xdr:colOff>
          <xdr:row>28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ID"/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83820</xdr:colOff>
      <xdr:row>0</xdr:row>
      <xdr:rowOff>15240</xdr:rowOff>
    </xdr:from>
    <xdr:ext cx="1190625" cy="933450"/>
    <xdr:pic>
      <xdr:nvPicPr>
        <xdr:cNvPr id="2" name="Picture 2">
          <a:extLst>
            <a:ext uri="{FF2B5EF4-FFF2-40B4-BE49-F238E27FC236}">
              <a16:creationId xmlns:a16="http://schemas.microsoft.com/office/drawing/2014/main" id="{562239B0-AF0E-4EFE-8312-F38761C2F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190625" cy="93345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83820</xdr:colOff>
      <xdr:row>0</xdr:row>
      <xdr:rowOff>15240</xdr:rowOff>
    </xdr:from>
    <xdr:ext cx="1276350" cy="923925"/>
    <xdr:pic>
      <xdr:nvPicPr>
        <xdr:cNvPr id="2" name="Picture 2">
          <a:extLst>
            <a:ext uri="{FF2B5EF4-FFF2-40B4-BE49-F238E27FC236}">
              <a16:creationId xmlns:a16="http://schemas.microsoft.com/office/drawing/2014/main" id="{AF792A87-253E-47E4-82D7-EC8B51F78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276350" cy="923925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205740</xdr:colOff>
      <xdr:row>0</xdr:row>
      <xdr:rowOff>114300</xdr:rowOff>
    </xdr:from>
    <xdr:to>
      <xdr:col>21</xdr:col>
      <xdr:colOff>38100</xdr:colOff>
      <xdr:row>15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7A6EFA-B1EF-4557-B4FD-5EFDAD63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251460</xdr:colOff>
      <xdr:row>1</xdr:row>
      <xdr:rowOff>205740</xdr:rowOff>
    </xdr:from>
    <xdr:ext cx="3668805" cy="2603127"/>
    <xdr:pic>
      <xdr:nvPicPr>
        <xdr:cNvPr id="2" name="Picture 3">
          <a:extLst>
            <a:ext uri="{FF2B5EF4-FFF2-40B4-BE49-F238E27FC236}">
              <a16:creationId xmlns:a16="http://schemas.microsoft.com/office/drawing/2014/main" id="{1510EFC9-99CB-4683-875B-A1155BC80B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18"/>
        <a:stretch>
          <a:fillRect/>
        </a:stretch>
      </xdr:blipFill>
      <xdr:spPr bwMode="auto">
        <a:xfrm>
          <a:off x="10610850" y="342900"/>
          <a:ext cx="3668805" cy="26031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19</xdr:col>
      <xdr:colOff>266700</xdr:colOff>
      <xdr:row>14</xdr:row>
      <xdr:rowOff>213360</xdr:rowOff>
    </xdr:from>
    <xdr:ext cx="4945716" cy="2164977"/>
    <xdr:pic>
      <xdr:nvPicPr>
        <xdr:cNvPr id="3" name="Picture 32">
          <a:extLst>
            <a:ext uri="{FF2B5EF4-FFF2-40B4-BE49-F238E27FC236}">
              <a16:creationId xmlns:a16="http://schemas.microsoft.com/office/drawing/2014/main" id="{A952A568-1ADB-4A3C-AE08-50A19026F4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49100" y="2571750"/>
          <a:ext cx="4945716" cy="21649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21</xdr:col>
      <xdr:colOff>426720</xdr:colOff>
      <xdr:row>9</xdr:row>
      <xdr:rowOff>30480</xdr:rowOff>
    </xdr:from>
    <xdr:ext cx="4102474" cy="2005292"/>
    <xdr:pic>
      <xdr:nvPicPr>
        <xdr:cNvPr id="4" name="Picture 42">
          <a:extLst>
            <a:ext uri="{FF2B5EF4-FFF2-40B4-BE49-F238E27FC236}">
              <a16:creationId xmlns:a16="http://schemas.microsoft.com/office/drawing/2014/main" id="{A5D9EF3F-90F2-4BE5-9946-D780DE8B4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0225" y="1571625"/>
          <a:ext cx="4102474" cy="20052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114300</xdr:colOff>
      <xdr:row>26</xdr:row>
      <xdr:rowOff>91440</xdr:rowOff>
    </xdr:from>
    <xdr:to>
      <xdr:col>15</xdr:col>
      <xdr:colOff>121920</xdr:colOff>
      <xdr:row>38</xdr:row>
      <xdr:rowOff>144780</xdr:rowOff>
    </xdr:to>
    <xdr:graphicFrame macro="">
      <xdr:nvGraphicFramePr>
        <xdr:cNvPr id="5" name="Chart 65">
          <a:extLst>
            <a:ext uri="{FF2B5EF4-FFF2-40B4-BE49-F238E27FC236}">
              <a16:creationId xmlns:a16="http://schemas.microsoft.com/office/drawing/2014/main" id="{70D1BB1F-F6D3-48EE-8CB8-F2C035A01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3</xdr:col>
      <xdr:colOff>1496209</xdr:colOff>
      <xdr:row>11</xdr:row>
      <xdr:rowOff>143884</xdr:rowOff>
    </xdr:from>
    <xdr:ext cx="3816163" cy="1905000"/>
    <xdr:pic>
      <xdr:nvPicPr>
        <xdr:cNvPr id="6" name="Picture 76">
          <a:extLst>
            <a:ext uri="{FF2B5EF4-FFF2-40B4-BE49-F238E27FC236}">
              <a16:creationId xmlns:a16="http://schemas.microsoft.com/office/drawing/2014/main" id="{F1BDFE8D-FB8F-4A52-972B-DB4302F398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8162" y="3922508"/>
          <a:ext cx="3816163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12</xdr:col>
      <xdr:colOff>83820</xdr:colOff>
      <xdr:row>0</xdr:row>
      <xdr:rowOff>15240</xdr:rowOff>
    </xdr:from>
    <xdr:ext cx="1225363" cy="913840"/>
    <xdr:pic>
      <xdr:nvPicPr>
        <xdr:cNvPr id="7" name="Picture 2">
          <a:extLst>
            <a:ext uri="{FF2B5EF4-FFF2-40B4-BE49-F238E27FC236}">
              <a16:creationId xmlns:a16="http://schemas.microsoft.com/office/drawing/2014/main" id="{663600DE-3F9D-46BB-8F77-7B558FF75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19050"/>
          <a:ext cx="1225363" cy="913840"/>
        </a:xfrm>
        <a:prstGeom prst="rect">
          <a:avLst/>
        </a:prstGeom>
        <a:noFill/>
        <a:ln w="9525">
          <a:solidFill>
            <a:srgbClr val="7F7F7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12</xdr:row>
      <xdr:rowOff>22860</xdr:rowOff>
    </xdr:from>
    <xdr:to>
      <xdr:col>11</xdr:col>
      <xdr:colOff>411480</xdr:colOff>
      <xdr:row>36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730F16-5944-405E-862B-CD31FA422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ackcad%20Komering%20Supervisi\Data\Long&amp;Cross\Lundi%20Wah%20Head%20Regulator\LUNWHR-002\Hydraulic%20Jump%20-%20RC%20v.%2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Witton\Technical\Upper%20Res\1%201000\Lower%20Reservoir%20stage%20storage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Jackcad%20Komering%20Supervisi\Data\Long&amp;Cross\Check%20Structure%20Lempuing%20II\Hydraulic%20Sizing%20Calculation%20for%20Check%20Structure%20-%20BL%2016%20-%20BL%2016%20-%20BL%2017.xlsm" TargetMode="External"/><Relationship Id="rId1" Type="http://schemas.openxmlformats.org/officeDocument/2006/relationships/externalLinkPath" Target="file:///D:\Jackcad%20Komering%20Supervisi\Data\Long&amp;Cross\Check%20Structure%20Lempuing%20II\Hydraulic%20Sizing%20Calculation%20for%20Check%20Structure%20-%20BL%2016%20-%20BL%2016%20-%20BL%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Hp\Desktop\Lundi%20Wah%20Head%20Regulator\LUNWHR-001\LUNWHR-001%20-%202.%20Input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Hp\Desktop\Lundi%20Wah%20Head%20Regulator\LUNWHR-001\LUNWHR-001%20-%206.%20Vertical%20Lift%20Gate%20with%20Raised%20Cil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Hp\Desktop\Lundi%20Wah%20Head%20Regulator\LUNWHR-DESIGN%20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iables"/>
      <sheetName val="Run"/>
      <sheetName val="Calculation"/>
      <sheetName val="Jump Lookup"/>
      <sheetName val="Audit - Model"/>
    </sheetNames>
    <sheetDataSet>
      <sheetData sheetId="0" refreshError="1">
        <row r="15">
          <cell r="F15">
            <v>34.747622531089974</v>
          </cell>
        </row>
        <row r="19">
          <cell r="F19">
            <v>100</v>
          </cell>
        </row>
        <row r="20">
          <cell r="F20">
            <v>9.81</v>
          </cell>
        </row>
        <row r="25">
          <cell r="F25">
            <v>0.2</v>
          </cell>
        </row>
        <row r="29">
          <cell r="F29">
            <v>0.1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Constants"/>
      <sheetName val="Sheet3"/>
      <sheetName val="DN Water Levels_populated"/>
      <sheetName val="Summary"/>
      <sheetName val="Rate Analysis"/>
    </sheetNames>
    <sheetDataSet>
      <sheetData sheetId="0"/>
      <sheetData sheetId="1" refreshError="1">
        <row r="2">
          <cell r="C2">
            <v>0</v>
          </cell>
        </row>
        <row r="3">
          <cell r="C3">
            <v>49750</v>
          </cell>
        </row>
        <row r="4">
          <cell r="D4">
            <v>2</v>
          </cell>
        </row>
        <row r="6">
          <cell r="C6">
            <v>0.5</v>
          </cell>
        </row>
        <row r="7">
          <cell r="C7">
            <v>250</v>
          </cell>
        </row>
        <row r="8">
          <cell r="C8">
            <v>199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Sheet"/>
      <sheetName val="Calc"/>
      <sheetName val="Jump USBR"/>
      <sheetName val="Jump KP-04"/>
    </sheetNames>
    <sheetDataSet>
      <sheetData sheetId="0"/>
      <sheetData sheetId="1">
        <row r="28">
          <cell r="F28">
            <v>27.762420700000028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tailInput"/>
      <sheetName val="Titles"/>
      <sheetName val="LUNWHR-001 - 2. Inputs"/>
    </sheetNames>
    <sheetDataSet>
      <sheetData sheetId="0" refreshError="1"/>
      <sheetData sheetId="1" refreshError="1">
        <row r="14">
          <cell r="D14" t="str">
            <v>LUNWHR - 002 - Stilling Basin Design - 2. Manning's Rating Curve</v>
          </cell>
        </row>
        <row r="15">
          <cell r="K15" t="str">
            <v>356151/LUNWHR002</v>
          </cell>
        </row>
      </sheetData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 (Design)"/>
      <sheetName val="Q (Peak)"/>
      <sheetName val="Q (Revised DS)"/>
      <sheetName val="Q"/>
      <sheetName val="LUNWHR-001 - 6"/>
    </sheetNames>
    <definedNames>
      <definedName name="b"/>
    </definedNames>
    <sheetDataSet>
      <sheetData sheetId="0">
        <row r="17">
          <cell r="F17">
            <v>5.8700822985216012</v>
          </cell>
        </row>
      </sheetData>
      <sheetData sheetId="1">
        <row r="17">
          <cell r="F17">
            <v>5.8700822985216012</v>
          </cell>
        </row>
      </sheetData>
      <sheetData sheetId="2">
        <row r="17">
          <cell r="F17">
            <v>5.8700822985216012</v>
          </cell>
        </row>
      </sheetData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sign Dwg"/>
      <sheetName val="Abutment"/>
      <sheetName val="Pier"/>
      <sheetName val="Vertical Lift Gate"/>
      <sheetName val="Water Profile"/>
      <sheetName val="Misc Lines"/>
      <sheetName val="Pitching"/>
      <sheetName val="For AutoCAD"/>
      <sheetName val="Wing Walls"/>
      <sheetName val="Concrete Areas"/>
      <sheetName val="Foundation Excavation"/>
    </sheetNames>
    <sheetDataSet>
      <sheetData sheetId="0">
        <row r="2">
          <cell r="U2">
            <v>-1.3215233348926823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74B7-BFCA-4A9E-9A01-BB66A5FBD12B}">
  <sheetPr codeName="Sheet11"/>
  <dimension ref="A1:Z49"/>
  <sheetViews>
    <sheetView showGridLines="0" view="pageBreakPreview" topLeftCell="A22" zoomScale="80" zoomScaleNormal="100" zoomScaleSheetLayoutView="80" workbookViewId="0">
      <selection activeCell="T6" sqref="T6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7.88671875" style="90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88671875" style="90" customWidth="1"/>
    <col min="11" max="11" width="11.109375" style="90" bestFit="1" customWidth="1"/>
    <col min="12" max="12" width="11" style="90" customWidth="1"/>
    <col min="13" max="13" width="6.88671875" style="90" customWidth="1"/>
    <col min="14" max="14" width="4.44140625" style="90" customWidth="1"/>
    <col min="15" max="15" width="4.88671875" style="90" customWidth="1"/>
    <col min="16" max="16" width="4.109375" style="90" customWidth="1"/>
    <col min="17" max="17" width="7.6640625" style="90" customWidth="1"/>
    <col min="18" max="21" width="8.88671875" style="90"/>
    <col min="22" max="22" width="15.6640625" style="90" customWidth="1"/>
    <col min="23" max="16384" width="8.88671875" style="90"/>
  </cols>
  <sheetData>
    <row r="1" spans="1:26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  <c r="T1" s="90" t="s">
        <v>520</v>
      </c>
    </row>
    <row r="2" spans="1:26" ht="27.75" customHeight="1">
      <c r="A2" s="91"/>
      <c r="B2" s="115"/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  <c r="R2" s="92"/>
      <c r="S2" s="92"/>
      <c r="T2" s="90" t="s">
        <v>512</v>
      </c>
      <c r="U2" s="92"/>
      <c r="V2" s="92"/>
      <c r="W2" s="92"/>
      <c r="X2" s="92"/>
      <c r="Y2" s="92"/>
      <c r="Z2" s="92"/>
    </row>
    <row r="3" spans="1:26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  <c r="R3" s="92"/>
      <c r="S3" s="92"/>
      <c r="T3" s="92"/>
      <c r="U3" s="92"/>
      <c r="V3" s="92"/>
      <c r="W3" s="92"/>
      <c r="X3" s="92"/>
      <c r="Y3" s="92"/>
      <c r="Z3" s="92"/>
    </row>
    <row r="4" spans="1:26" ht="27.75" customHeight="1">
      <c r="A4" s="91"/>
      <c r="B4" s="92" t="s">
        <v>8</v>
      </c>
      <c r="C4" s="92"/>
      <c r="D4" s="92"/>
      <c r="E4" s="92"/>
      <c r="F4" s="96"/>
      <c r="G4" s="254" t="s">
        <v>1</v>
      </c>
      <c r="H4" s="255"/>
      <c r="I4" s="254" t="s">
        <v>10</v>
      </c>
      <c r="J4" s="255"/>
      <c r="K4" s="13" t="s">
        <v>9</v>
      </c>
      <c r="L4" s="263"/>
      <c r="M4" s="264"/>
      <c r="N4" s="264"/>
      <c r="O4" s="264"/>
      <c r="P4" s="265"/>
      <c r="Q4" s="91"/>
      <c r="R4" s="92"/>
      <c r="S4" s="92"/>
      <c r="T4" s="92"/>
      <c r="U4" s="92"/>
      <c r="V4" s="92"/>
      <c r="W4" s="92"/>
      <c r="X4" s="92"/>
      <c r="Y4" s="92"/>
      <c r="Z4" s="92"/>
    </row>
    <row r="5" spans="1:26" ht="27.75" customHeight="1">
      <c r="A5" s="91"/>
      <c r="B5" s="266"/>
      <c r="C5" s="267"/>
      <c r="D5" s="267"/>
      <c r="E5" s="267"/>
      <c r="F5" s="268"/>
      <c r="G5" s="254" t="s">
        <v>2</v>
      </c>
      <c r="H5" s="255"/>
      <c r="I5" s="254"/>
      <c r="J5" s="255"/>
      <c r="K5" s="13" t="s">
        <v>3</v>
      </c>
      <c r="L5" s="188"/>
      <c r="M5" s="256" t="s">
        <v>4</v>
      </c>
      <c r="N5" s="257"/>
      <c r="O5" s="257"/>
      <c r="P5" s="257"/>
      <c r="Q5" s="99"/>
      <c r="R5" s="92"/>
      <c r="S5" s="92"/>
      <c r="T5" s="92"/>
      <c r="U5" s="92"/>
      <c r="V5" s="92"/>
      <c r="W5" s="92"/>
      <c r="X5" s="92"/>
      <c r="Y5" s="92"/>
      <c r="Z5" s="92"/>
    </row>
    <row r="6" spans="1:26" ht="27.75" customHeight="1">
      <c r="A6" s="91"/>
      <c r="B6" s="269"/>
      <c r="C6" s="270"/>
      <c r="D6" s="270"/>
      <c r="E6" s="270"/>
      <c r="F6" s="271"/>
      <c r="G6" s="254" t="s">
        <v>5</v>
      </c>
      <c r="H6" s="255"/>
      <c r="I6" s="254"/>
      <c r="J6" s="255"/>
      <c r="K6" s="13" t="s">
        <v>3</v>
      </c>
      <c r="L6" s="188"/>
      <c r="M6" s="14"/>
      <c r="N6" s="15" t="s">
        <v>6</v>
      </c>
      <c r="O6" s="16"/>
      <c r="P6" s="94"/>
      <c r="Q6" s="100"/>
      <c r="R6" s="92"/>
      <c r="S6" s="92"/>
      <c r="T6" s="92"/>
      <c r="U6" s="92"/>
      <c r="V6" s="92"/>
      <c r="W6" s="92"/>
      <c r="X6" s="92"/>
      <c r="Y6" s="92"/>
      <c r="Z6" s="92"/>
    </row>
    <row r="7" spans="1:26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92"/>
      <c r="S7" s="92"/>
      <c r="T7" s="92"/>
      <c r="U7" s="92"/>
      <c r="V7" s="92"/>
      <c r="W7" s="92"/>
      <c r="X7" s="92"/>
      <c r="Y7" s="92"/>
      <c r="Z7" s="92"/>
    </row>
    <row r="8" spans="1:26" s="92" customFormat="1" ht="23.25" customHeight="1">
      <c r="A8" s="104"/>
      <c r="B8" s="115"/>
      <c r="C8" s="108" t="s">
        <v>54</v>
      </c>
      <c r="D8" s="94"/>
      <c r="E8" s="94"/>
      <c r="F8" s="94"/>
      <c r="G8" s="94"/>
      <c r="H8" s="94"/>
      <c r="I8" s="109"/>
      <c r="J8" s="109"/>
      <c r="K8" s="109"/>
      <c r="N8" s="94"/>
      <c r="O8" s="94"/>
      <c r="P8" s="93"/>
      <c r="Q8" s="104"/>
    </row>
    <row r="9" spans="1:26" ht="28.5" customHeight="1">
      <c r="A9" s="104"/>
      <c r="C9" s="276" t="s">
        <v>564</v>
      </c>
      <c r="D9" s="276"/>
      <c r="E9" s="223"/>
      <c r="F9" s="234"/>
      <c r="G9" s="178"/>
      <c r="H9" s="96"/>
      <c r="I9" s="222"/>
      <c r="J9" s="222"/>
      <c r="K9" s="222" t="s">
        <v>519</v>
      </c>
      <c r="L9" s="221" t="s">
        <v>541</v>
      </c>
      <c r="M9" s="221"/>
      <c r="N9" s="220"/>
      <c r="Q9" s="104"/>
      <c r="R9" s="92"/>
      <c r="S9" s="92"/>
      <c r="T9" s="92"/>
      <c r="U9" s="92"/>
      <c r="V9" s="92"/>
      <c r="W9" s="92"/>
      <c r="X9" s="92"/>
      <c r="Y9" s="92"/>
      <c r="Z9" s="92"/>
    </row>
    <row r="10" spans="1:26" s="92" customFormat="1" ht="22.5" customHeight="1">
      <c r="A10" s="104"/>
      <c r="B10" s="115"/>
      <c r="C10" s="276" t="s">
        <v>523</v>
      </c>
      <c r="D10" s="276"/>
      <c r="F10" s="209"/>
      <c r="G10" s="92" t="s">
        <v>522</v>
      </c>
      <c r="I10" s="101"/>
      <c r="J10" s="101"/>
      <c r="K10" s="101"/>
      <c r="P10" s="93"/>
      <c r="Q10" s="104"/>
    </row>
    <row r="11" spans="1:26" s="92" customFormat="1" ht="22.05" customHeight="1">
      <c r="A11" s="273" t="s">
        <v>521</v>
      </c>
      <c r="B11" s="89"/>
      <c r="C11" s="224" t="s">
        <v>524</v>
      </c>
      <c r="D11" s="89"/>
      <c r="E11" s="89"/>
      <c r="F11" s="219"/>
      <c r="G11" s="218"/>
      <c r="H11" s="218"/>
      <c r="I11" s="253" t="s">
        <v>11</v>
      </c>
      <c r="J11" s="89"/>
      <c r="K11" s="217"/>
      <c r="L11" s="89"/>
      <c r="M11" s="89"/>
      <c r="N11" s="89"/>
      <c r="O11" s="89"/>
      <c r="P11" s="216"/>
      <c r="Q11" s="104"/>
    </row>
    <row r="12" spans="1:26" s="92" customFormat="1" ht="22.05" customHeight="1">
      <c r="A12" s="274"/>
      <c r="C12" s="145" t="s">
        <v>65</v>
      </c>
      <c r="D12" s="145"/>
      <c r="E12" s="124" t="s">
        <v>22</v>
      </c>
      <c r="F12" s="208">
        <v>11.62</v>
      </c>
      <c r="G12" s="96" t="s">
        <v>28</v>
      </c>
      <c r="H12" s="96"/>
      <c r="I12" s="126"/>
      <c r="J12" s="90"/>
      <c r="K12" s="258"/>
      <c r="L12" s="259"/>
      <c r="M12" s="259"/>
      <c r="N12" s="259"/>
      <c r="O12" s="259"/>
      <c r="P12" s="93"/>
      <c r="Q12" s="104"/>
    </row>
    <row r="13" spans="1:26" ht="22.05" customHeight="1">
      <c r="A13" s="274"/>
      <c r="C13" s="145" t="s">
        <v>33</v>
      </c>
      <c r="D13" s="145"/>
      <c r="E13" s="124" t="s">
        <v>527</v>
      </c>
      <c r="F13" s="208">
        <v>27.76</v>
      </c>
      <c r="G13" s="96" t="s">
        <v>28</v>
      </c>
      <c r="H13" s="96"/>
      <c r="I13" s="126"/>
      <c r="K13" s="258"/>
      <c r="L13" s="259"/>
      <c r="M13" s="259"/>
      <c r="N13" s="259"/>
      <c r="O13" s="259"/>
      <c r="P13" s="112"/>
      <c r="Q13" s="91"/>
      <c r="R13" s="92"/>
      <c r="S13" s="92"/>
      <c r="T13" s="92"/>
      <c r="U13" s="92"/>
      <c r="V13" s="92"/>
      <c r="W13" s="92"/>
      <c r="X13" s="92"/>
      <c r="Y13" s="92"/>
      <c r="Z13" s="92"/>
    </row>
    <row r="14" spans="1:26" ht="22.05" customHeight="1">
      <c r="A14" s="274"/>
      <c r="B14" s="107"/>
      <c r="C14" s="145" t="s">
        <v>29</v>
      </c>
      <c r="D14" s="145"/>
      <c r="E14" s="124" t="s">
        <v>528</v>
      </c>
      <c r="F14" s="208">
        <v>1.58</v>
      </c>
      <c r="G14" s="96" t="s">
        <v>28</v>
      </c>
      <c r="H14" s="96"/>
      <c r="I14" s="126"/>
      <c r="K14" s="258"/>
      <c r="L14" s="259"/>
      <c r="M14" s="259"/>
      <c r="N14" s="259"/>
      <c r="O14" s="259"/>
      <c r="P14" s="112"/>
      <c r="Q14" s="91"/>
      <c r="R14" s="92"/>
      <c r="S14" s="92"/>
      <c r="T14" s="92"/>
      <c r="U14" s="92"/>
      <c r="V14" s="92"/>
      <c r="W14" s="92"/>
      <c r="X14" s="92"/>
      <c r="Y14" s="92"/>
      <c r="Z14" s="92"/>
    </row>
    <row r="15" spans="1:26" ht="22.05" customHeight="1">
      <c r="A15" s="274"/>
      <c r="B15" s="107"/>
      <c r="C15" s="145" t="s">
        <v>15</v>
      </c>
      <c r="D15" s="145"/>
      <c r="E15" s="124" t="s">
        <v>529</v>
      </c>
      <c r="F15" s="208">
        <f>F13-F14</f>
        <v>26.18</v>
      </c>
      <c r="G15" s="96" t="s">
        <v>28</v>
      </c>
      <c r="H15" s="96"/>
      <c r="I15" s="126"/>
      <c r="K15" s="126"/>
      <c r="L15" s="123"/>
      <c r="M15" s="123"/>
      <c r="N15" s="123"/>
      <c r="O15" s="123"/>
      <c r="P15" s="112"/>
      <c r="Q15" s="91"/>
      <c r="R15" s="92"/>
      <c r="S15" s="92"/>
      <c r="T15" s="92"/>
      <c r="U15" s="92"/>
      <c r="V15" s="92"/>
      <c r="W15" s="92"/>
      <c r="X15" s="92"/>
      <c r="Y15" s="92"/>
      <c r="Z15" s="92"/>
    </row>
    <row r="16" spans="1:26" ht="22.05" customHeight="1">
      <c r="A16" s="274"/>
      <c r="B16" s="107"/>
      <c r="C16" s="145" t="s">
        <v>12</v>
      </c>
      <c r="D16" s="145"/>
      <c r="E16" s="124" t="s">
        <v>103</v>
      </c>
      <c r="F16" s="208">
        <v>4</v>
      </c>
      <c r="G16" s="96" t="s">
        <v>543</v>
      </c>
      <c r="H16" s="96"/>
      <c r="I16" s="126"/>
      <c r="K16" s="126"/>
      <c r="L16" s="123"/>
      <c r="M16" s="123"/>
      <c r="N16" s="123"/>
      <c r="O16" s="123"/>
      <c r="P16" s="112"/>
      <c r="Q16" s="91"/>
      <c r="R16" s="92"/>
      <c r="S16" s="92"/>
      <c r="T16" s="92"/>
      <c r="U16" s="92"/>
      <c r="V16" s="92"/>
      <c r="W16" s="92"/>
      <c r="X16" s="92"/>
      <c r="Y16" s="92"/>
      <c r="Z16" s="92"/>
    </row>
    <row r="17" spans="1:26" ht="22.05" customHeight="1">
      <c r="A17" s="274"/>
      <c r="B17" s="107"/>
      <c r="C17" s="145" t="s">
        <v>157</v>
      </c>
      <c r="D17" s="145"/>
      <c r="E17" s="124" t="s">
        <v>46</v>
      </c>
      <c r="F17" s="208">
        <v>1.1499999999999999</v>
      </c>
      <c r="G17" s="96" t="s">
        <v>545</v>
      </c>
      <c r="H17" s="96"/>
      <c r="I17" s="126"/>
      <c r="K17" s="212"/>
      <c r="L17" s="123"/>
      <c r="M17" s="123"/>
      <c r="N17" s="123"/>
      <c r="O17" s="123"/>
      <c r="P17" s="211"/>
      <c r="Q17" s="91"/>
      <c r="R17" s="92"/>
      <c r="S17" s="92"/>
      <c r="T17" s="92"/>
      <c r="U17" s="92"/>
      <c r="V17" s="92"/>
      <c r="W17" s="92"/>
      <c r="X17" s="92"/>
      <c r="Y17" s="92"/>
      <c r="Z17" s="92"/>
    </row>
    <row r="18" spans="1:26" ht="22.05" customHeight="1">
      <c r="A18" s="274"/>
      <c r="B18" s="107"/>
      <c r="C18" s="145" t="s">
        <v>561</v>
      </c>
      <c r="D18" s="145"/>
      <c r="E18" s="124" t="s">
        <v>562</v>
      </c>
      <c r="F18" s="208">
        <f>F15+F14+F17^2/(2*9.81)</f>
        <v>27.827405708460752</v>
      </c>
      <c r="G18" s="96" t="s">
        <v>28</v>
      </c>
      <c r="H18" s="96"/>
      <c r="I18" s="126"/>
      <c r="K18" s="212"/>
      <c r="L18" s="123"/>
      <c r="M18" s="123"/>
      <c r="N18" s="123"/>
      <c r="O18" s="123"/>
      <c r="P18" s="211"/>
      <c r="Q18" s="91"/>
      <c r="R18" s="92"/>
      <c r="S18" s="92"/>
      <c r="T18" s="92"/>
      <c r="U18" s="92"/>
      <c r="V18" s="92"/>
      <c r="W18" s="92"/>
      <c r="X18" s="92"/>
      <c r="Y18" s="92"/>
      <c r="Z18" s="92"/>
    </row>
    <row r="19" spans="1:26" ht="22.05" customHeight="1">
      <c r="A19" s="274"/>
      <c r="B19" s="107"/>
      <c r="C19" s="226" t="s">
        <v>13</v>
      </c>
      <c r="D19" s="226"/>
      <c r="E19" s="124" t="s">
        <v>26</v>
      </c>
      <c r="F19" s="208">
        <v>1.5</v>
      </c>
      <c r="G19" s="96"/>
      <c r="H19" s="96"/>
      <c r="I19" s="126"/>
      <c r="K19" s="212"/>
      <c r="L19" s="123"/>
      <c r="M19" s="123"/>
      <c r="N19" s="123"/>
      <c r="O19" s="123"/>
      <c r="P19" s="211"/>
      <c r="Q19" s="91"/>
      <c r="R19" s="92"/>
      <c r="S19" s="92"/>
      <c r="T19" s="92"/>
      <c r="U19" s="92"/>
      <c r="V19" s="92"/>
      <c r="W19" s="92"/>
      <c r="X19" s="92"/>
      <c r="Y19" s="92"/>
      <c r="Z19" s="92"/>
    </row>
    <row r="20" spans="1:26" ht="22.05" customHeight="1">
      <c r="A20" s="274"/>
      <c r="B20" s="107"/>
      <c r="C20" s="226" t="s">
        <v>526</v>
      </c>
      <c r="D20" s="226"/>
      <c r="E20" s="124" t="s">
        <v>530</v>
      </c>
      <c r="F20" s="244">
        <v>2.5999999999999998E-4</v>
      </c>
      <c r="G20" s="96"/>
      <c r="H20" s="96"/>
      <c r="I20" s="126"/>
      <c r="K20" s="212"/>
      <c r="L20" s="123"/>
      <c r="M20" s="123"/>
      <c r="N20" s="123"/>
      <c r="O20" s="123"/>
      <c r="P20" s="211"/>
      <c r="Q20" s="91"/>
      <c r="R20" s="92"/>
      <c r="S20" s="92"/>
      <c r="T20" s="92"/>
      <c r="U20" s="92"/>
      <c r="V20" s="92"/>
      <c r="W20" s="92"/>
      <c r="X20" s="92"/>
      <c r="Y20" s="92"/>
      <c r="Z20" s="92"/>
    </row>
    <row r="21" spans="1:26" ht="22.05" customHeight="1">
      <c r="A21" s="275"/>
      <c r="B21" s="210"/>
      <c r="C21" s="215" t="s">
        <v>540</v>
      </c>
      <c r="D21" s="215"/>
      <c r="E21" s="138" t="s">
        <v>88</v>
      </c>
      <c r="F21" s="243">
        <f>1/70</f>
        <v>1.4285714285714285E-2</v>
      </c>
      <c r="G21" s="173"/>
      <c r="H21" s="173"/>
      <c r="I21" s="139"/>
      <c r="J21" s="147"/>
      <c r="K21" s="277"/>
      <c r="L21" s="278"/>
      <c r="M21" s="278"/>
      <c r="N21" s="278"/>
      <c r="O21" s="278"/>
      <c r="P21" s="148"/>
      <c r="Q21" s="91"/>
      <c r="R21" s="92"/>
      <c r="S21" s="92"/>
      <c r="T21" s="92"/>
      <c r="U21" s="92"/>
      <c r="V21" s="92"/>
      <c r="W21" s="92"/>
      <c r="X21" s="92"/>
      <c r="Y21" s="92"/>
      <c r="Z21" s="92"/>
    </row>
    <row r="22" spans="1:26" ht="22.05" customHeight="1">
      <c r="A22" s="273" t="s">
        <v>531</v>
      </c>
      <c r="C22" s="225" t="s">
        <v>525</v>
      </c>
      <c r="I22" s="126" t="s">
        <v>11</v>
      </c>
      <c r="P22" s="214"/>
      <c r="Q22" s="91"/>
      <c r="R22" s="92"/>
      <c r="S22" s="92"/>
      <c r="T22" s="92"/>
      <c r="U22" s="92"/>
      <c r="V22" s="92"/>
      <c r="W22" s="92"/>
      <c r="X22" s="92"/>
      <c r="Y22" s="92"/>
      <c r="Z22" s="92"/>
    </row>
    <row r="23" spans="1:26" ht="22.05" customHeight="1">
      <c r="A23" s="274"/>
      <c r="C23" s="145" t="s">
        <v>65</v>
      </c>
      <c r="D23" s="145"/>
      <c r="E23" s="124" t="s">
        <v>22</v>
      </c>
      <c r="F23" s="208">
        <v>11.54</v>
      </c>
      <c r="G23" s="124" t="s">
        <v>544</v>
      </c>
      <c r="H23" s="124"/>
      <c r="I23" s="126"/>
      <c r="J23" s="126"/>
      <c r="K23" s="258"/>
      <c r="L23" s="259"/>
      <c r="M23" s="259"/>
      <c r="N23" s="259"/>
      <c r="O23" s="259"/>
      <c r="P23" s="112"/>
      <c r="Q23" s="213"/>
      <c r="R23" s="92"/>
      <c r="S23" s="92"/>
      <c r="T23" s="92"/>
      <c r="U23" s="92"/>
      <c r="V23" s="92"/>
      <c r="W23" s="92"/>
      <c r="X23" s="92"/>
      <c r="Y23" s="92"/>
      <c r="Z23" s="92"/>
    </row>
    <row r="24" spans="1:26" ht="22.05" customHeight="1">
      <c r="A24" s="274"/>
      <c r="C24" s="145" t="s">
        <v>33</v>
      </c>
      <c r="D24" s="145"/>
      <c r="E24" s="124" t="s">
        <v>527</v>
      </c>
      <c r="F24" s="208">
        <v>27.66</v>
      </c>
      <c r="G24" s="96" t="s">
        <v>28</v>
      </c>
      <c r="H24" s="96"/>
      <c r="I24" s="126"/>
      <c r="J24" s="126"/>
      <c r="K24" s="126"/>
      <c r="L24" s="123"/>
      <c r="M24" s="123"/>
      <c r="N24" s="123"/>
      <c r="O24" s="123"/>
      <c r="P24" s="112"/>
      <c r="Q24" s="213"/>
      <c r="R24" s="92"/>
      <c r="S24" s="92"/>
      <c r="T24" s="92"/>
      <c r="U24" s="92"/>
      <c r="V24" s="92"/>
      <c r="W24" s="92"/>
      <c r="X24" s="92"/>
      <c r="Y24" s="92"/>
      <c r="Z24" s="92"/>
    </row>
    <row r="25" spans="1:26" ht="22.05" customHeight="1">
      <c r="A25" s="274"/>
      <c r="C25" s="145" t="s">
        <v>29</v>
      </c>
      <c r="D25" s="145"/>
      <c r="E25" s="124" t="s">
        <v>528</v>
      </c>
      <c r="F25" s="208">
        <v>1.58</v>
      </c>
      <c r="G25" s="124" t="s">
        <v>26</v>
      </c>
      <c r="H25" s="124"/>
      <c r="I25" s="126"/>
      <c r="J25" s="126"/>
      <c r="K25" s="212"/>
      <c r="L25" s="123"/>
      <c r="M25" s="123"/>
      <c r="N25" s="123"/>
      <c r="O25" s="123"/>
      <c r="P25" s="112"/>
      <c r="Q25" s="91"/>
      <c r="R25" s="92"/>
      <c r="S25" s="92"/>
      <c r="T25" s="92"/>
      <c r="U25" s="92"/>
      <c r="V25" s="92"/>
      <c r="W25" s="92"/>
      <c r="X25" s="92"/>
      <c r="Y25" s="92"/>
      <c r="Z25" s="92"/>
    </row>
    <row r="26" spans="1:26" ht="22.05" customHeight="1">
      <c r="A26" s="274"/>
      <c r="C26" s="145" t="s">
        <v>15</v>
      </c>
      <c r="D26" s="145"/>
      <c r="E26" s="124" t="s">
        <v>529</v>
      </c>
      <c r="F26" s="208">
        <f>F24-F25</f>
        <v>26.08</v>
      </c>
      <c r="G26" s="96" t="s">
        <v>28</v>
      </c>
      <c r="H26" s="124"/>
      <c r="I26" s="126"/>
      <c r="J26" s="126"/>
      <c r="K26" s="212"/>
      <c r="L26" s="123"/>
      <c r="M26" s="123"/>
      <c r="N26" s="123"/>
      <c r="O26" s="123"/>
      <c r="P26" s="112"/>
      <c r="Q26" s="91"/>
      <c r="R26" s="92"/>
      <c r="S26" s="92"/>
      <c r="T26" s="92"/>
      <c r="U26" s="92"/>
      <c r="V26" s="92"/>
      <c r="W26" s="92"/>
      <c r="X26" s="92"/>
      <c r="Y26" s="92"/>
      <c r="Z26" s="92"/>
    </row>
    <row r="27" spans="1:26" ht="22.05" customHeight="1">
      <c r="A27" s="274"/>
      <c r="C27" s="145" t="s">
        <v>12</v>
      </c>
      <c r="D27" s="145"/>
      <c r="E27" s="124" t="s">
        <v>103</v>
      </c>
      <c r="F27" s="208">
        <v>4</v>
      </c>
      <c r="G27" s="124" t="s">
        <v>26</v>
      </c>
      <c r="H27" s="124"/>
      <c r="I27" s="126"/>
      <c r="J27" s="126"/>
      <c r="K27" s="212"/>
      <c r="L27" s="123"/>
      <c r="M27" s="123"/>
      <c r="N27" s="123"/>
      <c r="O27" s="123"/>
      <c r="P27" s="211"/>
      <c r="Q27" s="91"/>
      <c r="R27" s="92"/>
      <c r="S27" s="92"/>
      <c r="T27" s="92"/>
      <c r="U27" s="92"/>
      <c r="V27" s="92"/>
      <c r="W27" s="92"/>
      <c r="X27" s="92"/>
      <c r="Y27" s="92"/>
      <c r="Z27" s="92"/>
    </row>
    <row r="28" spans="1:26" ht="22.05" customHeight="1">
      <c r="A28" s="274"/>
      <c r="C28" s="145" t="s">
        <v>157</v>
      </c>
      <c r="D28" s="145"/>
      <c r="E28" s="124" t="s">
        <v>46</v>
      </c>
      <c r="F28" s="208">
        <v>1.1499999999999999</v>
      </c>
      <c r="G28" s="124" t="s">
        <v>545</v>
      </c>
      <c r="H28" s="124"/>
      <c r="I28" s="126"/>
      <c r="J28" s="126"/>
      <c r="K28" s="212"/>
      <c r="L28" s="123"/>
      <c r="M28" s="123"/>
      <c r="N28" s="123"/>
      <c r="O28" s="123"/>
      <c r="P28" s="211"/>
      <c r="Q28" s="91"/>
      <c r="R28" s="92"/>
      <c r="S28" s="92"/>
      <c r="T28" s="92"/>
      <c r="U28" s="92"/>
      <c r="V28" s="92"/>
      <c r="W28" s="92"/>
      <c r="X28" s="92"/>
      <c r="Y28" s="92"/>
      <c r="Z28" s="92"/>
    </row>
    <row r="29" spans="1:26" ht="22.05" customHeight="1">
      <c r="A29" s="274"/>
      <c r="C29" s="145" t="s">
        <v>561</v>
      </c>
      <c r="D29" s="145"/>
      <c r="E29" s="124" t="s">
        <v>562</v>
      </c>
      <c r="F29" s="208">
        <f>F26+F25+F28^2/(2*9.81)</f>
        <v>27.727405708460751</v>
      </c>
      <c r="G29" s="96" t="s">
        <v>28</v>
      </c>
      <c r="H29" s="96"/>
      <c r="I29" s="126"/>
      <c r="J29" s="126"/>
      <c r="K29" s="212"/>
      <c r="L29" s="123"/>
      <c r="M29" s="123"/>
      <c r="N29" s="123"/>
      <c r="O29" s="123"/>
      <c r="P29" s="211"/>
      <c r="Q29" s="91"/>
      <c r="R29" s="92"/>
      <c r="S29" s="92"/>
      <c r="T29" s="92"/>
      <c r="U29" s="92"/>
      <c r="V29" s="92"/>
      <c r="W29" s="92"/>
      <c r="X29" s="92"/>
      <c r="Y29" s="92"/>
      <c r="Z29" s="92"/>
    </row>
    <row r="30" spans="1:26" ht="22.05" customHeight="1">
      <c r="A30" s="274"/>
      <c r="C30" s="226" t="s">
        <v>13</v>
      </c>
      <c r="D30" s="226"/>
      <c r="E30" s="124" t="s">
        <v>26</v>
      </c>
      <c r="F30" s="208">
        <v>1.5</v>
      </c>
      <c r="G30" s="124"/>
      <c r="H30" s="124"/>
      <c r="I30" s="126"/>
      <c r="J30" s="126"/>
      <c r="K30" s="212"/>
      <c r="L30" s="123"/>
      <c r="M30" s="123"/>
      <c r="N30" s="123"/>
      <c r="O30" s="123"/>
      <c r="P30" s="211"/>
      <c r="Q30" s="91"/>
      <c r="R30" s="92"/>
      <c r="S30" s="92"/>
      <c r="T30" s="92"/>
      <c r="U30" s="92"/>
      <c r="V30" s="92"/>
      <c r="W30" s="92"/>
      <c r="X30" s="92"/>
      <c r="Y30" s="92"/>
      <c r="Z30" s="92"/>
    </row>
    <row r="31" spans="1:26" ht="22.05" customHeight="1">
      <c r="A31" s="274"/>
      <c r="C31" s="226" t="s">
        <v>526</v>
      </c>
      <c r="D31" s="226"/>
      <c r="E31" s="124" t="s">
        <v>530</v>
      </c>
      <c r="F31" s="244">
        <v>2.5999999999999998E-4</v>
      </c>
      <c r="G31" s="124"/>
      <c r="H31" s="124"/>
      <c r="I31" s="126"/>
      <c r="J31" s="126"/>
      <c r="K31" s="212"/>
      <c r="L31" s="123"/>
      <c r="M31" s="123"/>
      <c r="N31" s="123"/>
      <c r="O31" s="123"/>
      <c r="P31" s="211"/>
      <c r="Q31" s="91"/>
      <c r="R31" s="92"/>
      <c r="S31" s="92"/>
      <c r="T31" s="92"/>
      <c r="U31" s="92"/>
      <c r="V31" s="92"/>
      <c r="W31" s="92"/>
      <c r="X31" s="92"/>
      <c r="Y31" s="92"/>
      <c r="Z31" s="92"/>
    </row>
    <row r="32" spans="1:26" ht="22.05" customHeight="1">
      <c r="A32" s="275"/>
      <c r="B32" s="210"/>
      <c r="C32" s="215" t="s">
        <v>540</v>
      </c>
      <c r="D32" s="215"/>
      <c r="E32" s="138" t="s">
        <v>88</v>
      </c>
      <c r="F32" s="243">
        <f>1/70</f>
        <v>1.4285714285714285E-2</v>
      </c>
      <c r="G32" s="173"/>
      <c r="H32" s="138"/>
      <c r="I32" s="139"/>
      <c r="J32" s="139"/>
      <c r="K32" s="277"/>
      <c r="L32" s="278"/>
      <c r="M32" s="278"/>
      <c r="N32" s="278"/>
      <c r="O32" s="278"/>
      <c r="P32" s="148"/>
      <c r="Q32" s="91"/>
      <c r="R32" s="92"/>
      <c r="S32" s="92"/>
      <c r="T32" s="92"/>
      <c r="U32" s="92"/>
      <c r="V32" s="92"/>
      <c r="W32" s="92"/>
      <c r="X32" s="92"/>
      <c r="Y32" s="92"/>
      <c r="Z32" s="92"/>
    </row>
    <row r="33" spans="1:17" s="92" customFormat="1" ht="22.05" customHeight="1">
      <c r="A33" s="274" t="s">
        <v>532</v>
      </c>
      <c r="I33" s="126" t="s">
        <v>11</v>
      </c>
      <c r="K33" s="126"/>
      <c r="L33" s="272"/>
      <c r="M33" s="272"/>
      <c r="N33" s="272"/>
      <c r="O33" s="272"/>
      <c r="P33" s="93"/>
      <c r="Q33" s="104"/>
    </row>
    <row r="34" spans="1:17" s="92" customFormat="1" ht="22.05" customHeight="1">
      <c r="A34" s="274"/>
      <c r="C34" s="117" t="s">
        <v>518</v>
      </c>
      <c r="D34" s="117"/>
      <c r="E34" s="117" t="s">
        <v>517</v>
      </c>
      <c r="F34" s="208">
        <v>1.75</v>
      </c>
      <c r="G34" s="124" t="s">
        <v>26</v>
      </c>
      <c r="H34" s="106"/>
      <c r="I34" s="126"/>
      <c r="J34" s="126"/>
      <c r="K34" s="126"/>
      <c r="L34" s="96"/>
      <c r="M34" s="96"/>
      <c r="N34" s="96"/>
      <c r="O34" s="96"/>
      <c r="P34" s="93"/>
      <c r="Q34" s="104"/>
    </row>
    <row r="35" spans="1:17" s="92" customFormat="1" ht="22.05" customHeight="1">
      <c r="A35" s="274"/>
      <c r="C35" s="117" t="s">
        <v>516</v>
      </c>
      <c r="D35" s="117"/>
      <c r="E35" s="117" t="s">
        <v>515</v>
      </c>
      <c r="F35" s="208">
        <v>2</v>
      </c>
      <c r="G35" s="124" t="s">
        <v>514</v>
      </c>
      <c r="H35" s="106"/>
      <c r="I35" s="126"/>
      <c r="J35" s="126"/>
      <c r="K35" s="212"/>
      <c r="L35" s="96"/>
      <c r="M35" s="96"/>
      <c r="N35" s="96"/>
      <c r="O35" s="96"/>
      <c r="P35" s="93"/>
      <c r="Q35" s="104"/>
    </row>
    <row r="36" spans="1:17" s="92" customFormat="1" ht="22.05" customHeight="1">
      <c r="A36" s="274"/>
      <c r="C36" s="117" t="s">
        <v>513</v>
      </c>
      <c r="D36" s="117"/>
      <c r="E36" s="117" t="s">
        <v>535</v>
      </c>
      <c r="F36" s="208">
        <v>0.8</v>
      </c>
      <c r="G36" s="124" t="s">
        <v>26</v>
      </c>
      <c r="H36" s="106"/>
      <c r="I36" s="126"/>
      <c r="J36" s="126"/>
      <c r="K36" s="126"/>
      <c r="L36" s="96"/>
      <c r="M36" s="96"/>
      <c r="N36" s="96"/>
      <c r="O36" s="96"/>
      <c r="P36" s="93"/>
      <c r="Q36" s="104"/>
    </row>
    <row r="37" spans="1:17" s="92" customFormat="1" ht="22.05" customHeight="1">
      <c r="A37" s="274"/>
      <c r="C37" s="124" t="s">
        <v>533</v>
      </c>
      <c r="D37" s="124"/>
      <c r="E37" s="117" t="s">
        <v>534</v>
      </c>
      <c r="F37" s="208">
        <f>F15</f>
        <v>26.18</v>
      </c>
      <c r="G37" s="96" t="s">
        <v>28</v>
      </c>
      <c r="H37" s="106"/>
      <c r="I37" s="126"/>
      <c r="J37" s="126"/>
      <c r="K37" s="126"/>
      <c r="L37" s="96"/>
      <c r="M37" s="96"/>
      <c r="N37" s="96"/>
      <c r="O37" s="96"/>
      <c r="P37" s="93"/>
      <c r="Q37" s="104"/>
    </row>
    <row r="38" spans="1:17" s="92" customFormat="1" ht="22.05" customHeight="1">
      <c r="A38" s="274"/>
      <c r="C38" s="117"/>
      <c r="D38" s="117"/>
      <c r="E38" s="117"/>
      <c r="F38" s="208"/>
      <c r="G38" s="124"/>
      <c r="H38" s="106"/>
      <c r="I38" s="126"/>
      <c r="J38" s="126"/>
      <c r="K38" s="126"/>
      <c r="L38" s="96"/>
      <c r="M38" s="96"/>
      <c r="N38" s="96"/>
      <c r="O38" s="96"/>
      <c r="P38" s="93"/>
      <c r="Q38" s="104"/>
    </row>
    <row r="39" spans="1:17" s="92" customFormat="1" ht="22.05" customHeight="1">
      <c r="A39" s="274"/>
      <c r="C39" s="117"/>
      <c r="D39" s="117"/>
      <c r="E39" s="117"/>
      <c r="F39" s="208"/>
      <c r="G39" s="124"/>
      <c r="H39" s="106"/>
      <c r="I39" s="126"/>
      <c r="J39" s="126"/>
      <c r="K39" s="126"/>
      <c r="L39" s="96"/>
      <c r="M39" s="96"/>
      <c r="N39" s="96"/>
      <c r="O39" s="96"/>
      <c r="P39" s="93"/>
      <c r="Q39" s="104"/>
    </row>
    <row r="40" spans="1:17" s="92" customFormat="1" ht="22.05" customHeight="1">
      <c r="A40" s="274"/>
      <c r="C40" s="117"/>
      <c r="D40" s="117"/>
      <c r="E40" s="117"/>
      <c r="F40" s="208"/>
      <c r="G40" s="124"/>
      <c r="H40" s="106"/>
      <c r="I40" s="126"/>
      <c r="J40" s="126"/>
      <c r="K40" s="126"/>
      <c r="L40" s="96"/>
      <c r="M40" s="96"/>
      <c r="N40" s="96"/>
      <c r="O40" s="96"/>
      <c r="P40" s="93"/>
      <c r="Q40" s="104"/>
    </row>
    <row r="41" spans="1:17" s="92" customFormat="1" ht="22.05" customHeight="1">
      <c r="A41" s="274"/>
      <c r="C41" s="117"/>
      <c r="D41" s="117"/>
      <c r="E41" s="117"/>
      <c r="F41" s="208"/>
      <c r="G41" s="124"/>
      <c r="H41" s="106"/>
      <c r="I41" s="126"/>
      <c r="J41" s="126"/>
      <c r="K41" s="126"/>
      <c r="L41" s="96"/>
      <c r="M41" s="96"/>
      <c r="N41" s="96"/>
      <c r="O41" s="96"/>
      <c r="P41" s="93"/>
      <c r="Q41" s="104"/>
    </row>
    <row r="42" spans="1:17" s="92" customFormat="1" ht="22.05" customHeight="1">
      <c r="A42" s="274"/>
      <c r="C42" s="117"/>
      <c r="D42" s="117"/>
      <c r="E42" s="117"/>
      <c r="F42" s="208"/>
      <c r="G42" s="124"/>
      <c r="H42" s="106"/>
      <c r="I42" s="126"/>
      <c r="J42" s="126"/>
      <c r="K42" s="126"/>
      <c r="L42" s="96"/>
      <c r="M42" s="96"/>
      <c r="N42" s="96"/>
      <c r="O42" s="96"/>
      <c r="P42" s="93"/>
      <c r="Q42" s="104"/>
    </row>
    <row r="43" spans="1:17" s="92" customFormat="1" ht="22.05" customHeight="1">
      <c r="A43" s="274"/>
      <c r="C43" s="117"/>
      <c r="D43" s="117"/>
      <c r="E43" s="117"/>
      <c r="F43" s="208"/>
      <c r="G43" s="124"/>
      <c r="H43" s="106"/>
      <c r="I43" s="126"/>
      <c r="J43" s="126"/>
      <c r="K43" s="126"/>
      <c r="L43" s="96"/>
      <c r="M43" s="96"/>
      <c r="N43" s="96"/>
      <c r="O43" s="96"/>
      <c r="P43" s="93"/>
      <c r="Q43" s="104"/>
    </row>
    <row r="44" spans="1:17" s="92" customFormat="1" ht="22.05" customHeight="1">
      <c r="A44" s="274"/>
      <c r="C44" s="117"/>
      <c r="D44" s="117"/>
      <c r="E44" s="117"/>
      <c r="F44" s="208"/>
      <c r="G44" s="124"/>
      <c r="H44" s="106"/>
      <c r="I44" s="126"/>
      <c r="J44" s="126"/>
      <c r="K44" s="126"/>
      <c r="L44" s="96"/>
      <c r="M44" s="96"/>
      <c r="N44" s="96"/>
      <c r="O44" s="96"/>
      <c r="P44" s="93"/>
      <c r="Q44" s="104"/>
    </row>
    <row r="45" spans="1:17" s="92" customFormat="1" ht="22.05" customHeight="1">
      <c r="A45" s="274"/>
      <c r="C45" s="117"/>
      <c r="D45" s="117"/>
      <c r="E45" s="117"/>
      <c r="F45" s="208"/>
      <c r="G45" s="124"/>
      <c r="H45" s="106"/>
      <c r="I45" s="126"/>
      <c r="J45" s="126"/>
      <c r="K45" s="126"/>
      <c r="L45" s="96"/>
      <c r="M45" s="96"/>
      <c r="N45" s="96"/>
      <c r="O45" s="96"/>
      <c r="P45" s="93"/>
      <c r="Q45" s="104"/>
    </row>
    <row r="46" spans="1:17" s="92" customFormat="1" ht="22.05" customHeight="1">
      <c r="A46" s="274"/>
      <c r="C46" s="117"/>
      <c r="D46" s="117"/>
      <c r="E46" s="117"/>
      <c r="F46" s="208"/>
      <c r="G46" s="124"/>
      <c r="H46" s="106"/>
      <c r="I46" s="126"/>
      <c r="J46" s="126"/>
      <c r="K46" s="126"/>
      <c r="L46" s="96"/>
      <c r="M46" s="96"/>
      <c r="N46" s="96"/>
      <c r="O46" s="96"/>
      <c r="P46" s="93"/>
      <c r="Q46" s="104"/>
    </row>
    <row r="47" spans="1:17" s="92" customFormat="1" ht="22.05" customHeight="1">
      <c r="A47" s="274"/>
      <c r="J47" s="126"/>
      <c r="K47" s="126"/>
      <c r="L47" s="96"/>
      <c r="M47" s="96"/>
      <c r="N47" s="96"/>
      <c r="O47" s="96"/>
      <c r="P47" s="93"/>
      <c r="Q47" s="104"/>
    </row>
    <row r="48" spans="1:17" s="92" customFormat="1" ht="28.5" customHeight="1">
      <c r="A48" s="181"/>
      <c r="B48" s="90"/>
      <c r="C48" s="151"/>
      <c r="D48" s="150"/>
      <c r="P48" s="94"/>
      <c r="Q48" s="181"/>
    </row>
    <row r="49" spans="2:15">
      <c r="B49" s="92"/>
      <c r="C49" s="151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</row>
  </sheetData>
  <dataConsolidate/>
  <mergeCells count="22">
    <mergeCell ref="L33:O33"/>
    <mergeCell ref="A11:A21"/>
    <mergeCell ref="A33:A47"/>
    <mergeCell ref="A22:A32"/>
    <mergeCell ref="C9:D9"/>
    <mergeCell ref="C10:D10"/>
    <mergeCell ref="K32:O32"/>
    <mergeCell ref="K23:O23"/>
    <mergeCell ref="K21:O21"/>
    <mergeCell ref="I4:J4"/>
    <mergeCell ref="I5:J5"/>
    <mergeCell ref="M5:P5"/>
    <mergeCell ref="K14:O14"/>
    <mergeCell ref="B1:L1"/>
    <mergeCell ref="G5:H5"/>
    <mergeCell ref="K12:O12"/>
    <mergeCell ref="L4:P4"/>
    <mergeCell ref="K13:O13"/>
    <mergeCell ref="I6:J6"/>
    <mergeCell ref="G4:H4"/>
    <mergeCell ref="G6:H6"/>
    <mergeCell ref="B5:F6"/>
  </mergeCells>
  <dataValidations disablePrompts="1" count="1">
    <dataValidation type="textLength" allowBlank="1" showInputMessage="1" showErrorMessage="1" sqref="L33:O33" xr:uid="{8D5E6FE9-A74D-49A8-B349-7F8812A7C67C}">
      <formula1>0</formula1>
      <formula2>31</formula2>
    </dataValidation>
  </dataValidations>
  <pageMargins left="0.27" right="0.28000000000000003" top="0.25" bottom="0.42" header="0.25" footer="0.22"/>
  <pageSetup paperSize="9" scale="73" orientation="portrait" r:id="rId1"/>
  <headerFooter alignWithMargins="0">
    <oddFooter>&amp;L&amp;Z&amp;F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83CE3-6FB3-4E4B-8747-DC5F94FAEFE3}">
  <sheetPr codeName="Sheet12">
    <tabColor theme="9"/>
  </sheetPr>
  <dimension ref="A1:AM84"/>
  <sheetViews>
    <sheetView showGridLines="0" tabSelected="1" view="pageBreakPreview" zoomScale="55" zoomScaleNormal="100" zoomScaleSheetLayoutView="55" workbookViewId="0">
      <selection activeCell="AE10" sqref="AE10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88671875" style="90" customWidth="1"/>
    <col min="11" max="11" width="11.109375" style="90" bestFit="1" customWidth="1"/>
    <col min="12" max="12" width="11" style="90" customWidth="1"/>
    <col min="13" max="13" width="6.88671875" style="90" customWidth="1"/>
    <col min="14" max="14" width="4.44140625" style="90" customWidth="1"/>
    <col min="15" max="15" width="4.88671875" style="90" customWidth="1"/>
    <col min="16" max="16" width="4.33203125" style="90" customWidth="1"/>
    <col min="17" max="17" width="7.6640625" style="90" customWidth="1"/>
    <col min="18" max="16384" width="8.88671875" style="90"/>
  </cols>
  <sheetData>
    <row r="1" spans="1:18" ht="27.75" customHeight="1">
      <c r="A1" s="88"/>
      <c r="B1" s="229" t="s">
        <v>0</v>
      </c>
      <c r="C1" s="11"/>
      <c r="D1" s="11"/>
      <c r="E1" s="11"/>
      <c r="F1" s="11"/>
      <c r="G1" s="11"/>
      <c r="H1" s="11"/>
      <c r="I1" s="11"/>
      <c r="J1" s="11"/>
      <c r="K1" s="11"/>
      <c r="L1" s="230"/>
      <c r="M1" s="71"/>
      <c r="N1" s="71"/>
      <c r="O1" s="71"/>
      <c r="P1" s="72"/>
      <c r="Q1" s="88"/>
    </row>
    <row r="2" spans="1:18" ht="27.75" customHeight="1">
      <c r="A2" s="91"/>
      <c r="B2" s="231">
        <f>InitailInput!B2</f>
        <v>0</v>
      </c>
      <c r="C2" s="7"/>
      <c r="D2" s="7"/>
      <c r="E2" s="7"/>
      <c r="F2" s="7"/>
      <c r="G2" s="7"/>
      <c r="H2" s="7"/>
      <c r="I2" s="7"/>
      <c r="J2" s="7"/>
      <c r="K2" s="7"/>
      <c r="L2" s="41"/>
      <c r="M2" s="73"/>
      <c r="N2" s="73"/>
      <c r="O2" s="73"/>
      <c r="P2" s="74"/>
      <c r="Q2" s="91"/>
    </row>
    <row r="3" spans="1:18" ht="27.75" customHeight="1">
      <c r="A3" s="91"/>
      <c r="B3" s="232"/>
      <c r="C3" s="5"/>
      <c r="D3" s="5"/>
      <c r="E3" s="5"/>
      <c r="F3" s="5"/>
      <c r="G3" s="5"/>
      <c r="H3" s="5"/>
      <c r="I3" s="5"/>
      <c r="J3" s="5"/>
      <c r="K3" s="5"/>
      <c r="L3" s="66"/>
      <c r="M3" s="75"/>
      <c r="N3" s="75"/>
      <c r="O3" s="75"/>
      <c r="P3" s="76"/>
      <c r="Q3" s="91"/>
    </row>
    <row r="4" spans="1:18" ht="27.75" customHeight="1">
      <c r="A4" s="91"/>
      <c r="B4" s="80" t="s">
        <v>8</v>
      </c>
      <c r="C4" s="11"/>
      <c r="D4" s="11"/>
      <c r="E4" s="11"/>
      <c r="F4" s="12"/>
      <c r="G4" s="83" t="s">
        <v>1</v>
      </c>
      <c r="H4" s="84"/>
      <c r="I4" s="81" t="s">
        <v>10</v>
      </c>
      <c r="J4" s="82"/>
      <c r="K4" s="13" t="s">
        <v>9</v>
      </c>
      <c r="L4" s="85"/>
      <c r="M4" s="86"/>
      <c r="N4" s="86"/>
      <c r="O4" s="86"/>
      <c r="P4" s="87"/>
      <c r="Q4" s="91"/>
    </row>
    <row r="5" spans="1:18" ht="27.75" customHeight="1">
      <c r="A5" s="91"/>
      <c r="B5" s="279" t="s">
        <v>539</v>
      </c>
      <c r="C5" s="280"/>
      <c r="D5" s="280"/>
      <c r="E5" s="280"/>
      <c r="F5" s="281"/>
      <c r="G5" s="83" t="s">
        <v>2</v>
      </c>
      <c r="H5" s="84"/>
      <c r="I5" s="81"/>
      <c r="J5" s="82"/>
      <c r="K5" s="13" t="s">
        <v>3</v>
      </c>
      <c r="L5" s="227"/>
      <c r="M5" s="285" t="s">
        <v>4</v>
      </c>
      <c r="N5" s="286"/>
      <c r="O5" s="286"/>
      <c r="P5" s="287"/>
      <c r="Q5" s="99"/>
      <c r="R5" s="3"/>
    </row>
    <row r="6" spans="1:18" ht="27.75" customHeight="1">
      <c r="A6" s="91"/>
      <c r="B6" s="282"/>
      <c r="C6" s="283"/>
      <c r="D6" s="283"/>
      <c r="E6" s="283"/>
      <c r="F6" s="284"/>
      <c r="G6" s="83" t="s">
        <v>5</v>
      </c>
      <c r="H6" s="84"/>
      <c r="I6" s="81"/>
      <c r="J6" s="82"/>
      <c r="K6" s="13" t="s">
        <v>3</v>
      </c>
      <c r="L6" s="227"/>
      <c r="M6" s="14"/>
      <c r="N6" s="15" t="s">
        <v>6</v>
      </c>
      <c r="O6" s="16"/>
      <c r="P6" s="66"/>
      <c r="Q6" s="100"/>
      <c r="R6" s="1"/>
    </row>
    <row r="7" spans="1:18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18" s="92" customFormat="1" ht="31.5" customHeight="1">
      <c r="A8" s="104"/>
      <c r="C8" s="105" t="s">
        <v>539</v>
      </c>
      <c r="Q8" s="104"/>
    </row>
    <row r="9" spans="1:18" s="92" customFormat="1" ht="24.75" customHeight="1">
      <c r="A9" s="104"/>
      <c r="C9" s="106" t="s">
        <v>59</v>
      </c>
      <c r="Q9" s="104"/>
    </row>
    <row r="10" spans="1:18" s="92" customFormat="1" ht="24.75" customHeight="1">
      <c r="A10" s="104"/>
      <c r="C10" s="106" t="s">
        <v>60</v>
      </c>
      <c r="Q10" s="104"/>
    </row>
    <row r="11" spans="1:18" s="92" customFormat="1" ht="23.25" customHeight="1">
      <c r="A11" s="104"/>
      <c r="B11" s="107"/>
      <c r="C11" s="108" t="s">
        <v>54</v>
      </c>
      <c r="D11" s="94"/>
      <c r="E11" s="94"/>
      <c r="F11" s="94"/>
      <c r="G11" s="94"/>
      <c r="H11" s="94"/>
      <c r="I11" s="109"/>
      <c r="J11" s="109"/>
      <c r="K11" s="109"/>
      <c r="L11" s="94"/>
      <c r="M11" s="94"/>
      <c r="N11" s="94"/>
      <c r="O11" s="94"/>
      <c r="P11" s="93"/>
      <c r="Q11" s="104"/>
    </row>
    <row r="12" spans="1:18" s="92" customFormat="1" ht="201.6" customHeight="1">
      <c r="A12" s="104"/>
      <c r="B12" s="107"/>
      <c r="C12" s="110"/>
      <c r="D12" s="89"/>
      <c r="E12" s="89"/>
      <c r="F12" s="89"/>
      <c r="G12" s="89" t="s">
        <v>61</v>
      </c>
      <c r="H12" s="89"/>
      <c r="I12" s="111"/>
      <c r="J12" s="111"/>
      <c r="K12" s="111"/>
      <c r="L12" s="89"/>
      <c r="M12" s="89"/>
      <c r="N12" s="89"/>
      <c r="O12" s="89"/>
      <c r="P12" s="112"/>
      <c r="Q12" s="104"/>
    </row>
    <row r="13" spans="1:18" s="92" customFormat="1" ht="21.6" customHeight="1">
      <c r="A13" s="104"/>
      <c r="B13" s="107"/>
      <c r="C13" s="225"/>
      <c r="I13" s="101"/>
      <c r="J13" s="101"/>
      <c r="K13" s="101"/>
      <c r="P13" s="112"/>
      <c r="Q13" s="104"/>
    </row>
    <row r="14" spans="1:18" s="92" customFormat="1" ht="21.6" customHeight="1">
      <c r="A14" s="104"/>
      <c r="B14" s="107"/>
      <c r="C14" s="225"/>
      <c r="I14" s="101"/>
      <c r="J14" s="101"/>
      <c r="K14" s="101"/>
      <c r="P14" s="112"/>
      <c r="Q14" s="104"/>
    </row>
    <row r="15" spans="1:18" s="92" customFormat="1" ht="21.6" customHeight="1">
      <c r="A15" s="104"/>
      <c r="B15" s="107"/>
      <c r="C15" s="225"/>
      <c r="I15" s="101"/>
      <c r="J15" s="101"/>
      <c r="K15" s="101"/>
      <c r="P15" s="112"/>
      <c r="Q15" s="104"/>
    </row>
    <row r="16" spans="1:18" s="92" customFormat="1" ht="21.6" customHeight="1">
      <c r="A16" s="104"/>
      <c r="B16" s="107"/>
      <c r="C16" s="225"/>
      <c r="I16" s="101"/>
      <c r="J16" s="101"/>
      <c r="K16" s="101"/>
      <c r="P16" s="112"/>
      <c r="Q16" s="104"/>
    </row>
    <row r="17" spans="1:39" s="92" customFormat="1" ht="21.6" customHeight="1">
      <c r="A17" s="104"/>
      <c r="B17" s="107"/>
      <c r="C17" s="225"/>
      <c r="I17" s="101"/>
      <c r="J17" s="101"/>
      <c r="K17" s="101"/>
      <c r="P17" s="112"/>
      <c r="Q17" s="104"/>
    </row>
    <row r="18" spans="1:39" s="92" customFormat="1" ht="21.6" customHeight="1">
      <c r="A18" s="104"/>
      <c r="B18" s="107"/>
      <c r="C18" s="225"/>
      <c r="I18" s="101"/>
      <c r="J18" s="101"/>
      <c r="K18" s="101"/>
      <c r="P18" s="112"/>
      <c r="Q18" s="104"/>
    </row>
    <row r="19" spans="1:39" s="92" customFormat="1" ht="21.6" customHeight="1">
      <c r="A19" s="104"/>
      <c r="B19" s="107"/>
      <c r="C19" s="225"/>
      <c r="I19" s="101"/>
      <c r="J19" s="101"/>
      <c r="K19" s="101"/>
      <c r="P19" s="112"/>
      <c r="Q19" s="104"/>
    </row>
    <row r="20" spans="1:39" s="92" customFormat="1" ht="21.6" customHeight="1">
      <c r="A20" s="104"/>
      <c r="B20" s="107"/>
      <c r="C20" s="225"/>
      <c r="I20" s="101"/>
      <c r="J20" s="101"/>
      <c r="K20" s="101"/>
      <c r="P20" s="112"/>
      <c r="Q20" s="104"/>
    </row>
    <row r="21" spans="1:39" s="92" customFormat="1" ht="21.6" customHeight="1">
      <c r="A21" s="104"/>
      <c r="B21" s="107"/>
      <c r="C21" s="225"/>
      <c r="I21" s="101"/>
      <c r="J21" s="101"/>
      <c r="K21" s="101"/>
      <c r="P21" s="112"/>
      <c r="Q21" s="104"/>
    </row>
    <row r="22" spans="1:39" s="92" customFormat="1" ht="21.6" customHeight="1">
      <c r="A22" s="104"/>
      <c r="B22" s="107"/>
      <c r="C22" s="225"/>
      <c r="I22" s="101"/>
      <c r="J22" s="101"/>
      <c r="K22" s="101"/>
      <c r="P22" s="112"/>
      <c r="Q22" s="104"/>
    </row>
    <row r="23" spans="1:39" s="92" customFormat="1" ht="21.6" customHeight="1">
      <c r="A23" s="104"/>
      <c r="B23" s="107"/>
      <c r="C23" s="225"/>
      <c r="I23" s="101"/>
      <c r="J23" s="101"/>
      <c r="K23" s="101"/>
      <c r="P23" s="112"/>
      <c r="Q23" s="104"/>
    </row>
    <row r="24" spans="1:39" ht="21.9" customHeight="1">
      <c r="A24" s="91"/>
      <c r="B24" s="107"/>
      <c r="C24" s="106" t="s">
        <v>557</v>
      </c>
      <c r="E24" s="113"/>
      <c r="F24" s="96"/>
      <c r="G24" s="96"/>
      <c r="H24" s="96"/>
      <c r="K24" s="114"/>
      <c r="P24" s="112"/>
      <c r="Q24" s="91"/>
    </row>
    <row r="25" spans="1:39" ht="21.9" customHeight="1">
      <c r="A25" s="91"/>
      <c r="B25" s="107"/>
      <c r="C25" s="106" t="s">
        <v>62</v>
      </c>
      <c r="E25" s="113"/>
      <c r="F25" s="96"/>
      <c r="G25" s="96"/>
      <c r="H25" s="96"/>
      <c r="K25" s="114"/>
      <c r="P25" s="112"/>
      <c r="Q25" s="91"/>
    </row>
    <row r="26" spans="1:39" s="92" customFormat="1" ht="21.9" customHeight="1">
      <c r="A26" s="104"/>
      <c r="B26" s="115"/>
      <c r="C26" s="108" t="s">
        <v>63</v>
      </c>
      <c r="D26" s="94"/>
      <c r="E26" s="94"/>
      <c r="F26" s="94"/>
      <c r="G26" s="94"/>
      <c r="H26" s="94"/>
      <c r="I26" s="109"/>
      <c r="J26" s="109"/>
      <c r="K26" s="289"/>
      <c r="L26" s="289"/>
      <c r="M26" s="289"/>
      <c r="N26" s="289"/>
      <c r="O26" s="289"/>
      <c r="P26" s="93"/>
      <c r="Q26" s="104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</row>
    <row r="27" spans="1:39" s="117" customFormat="1" ht="21.9" customHeight="1">
      <c r="A27" s="116"/>
      <c r="C27" s="118"/>
      <c r="F27" s="119"/>
      <c r="G27" s="120"/>
      <c r="H27" s="120"/>
      <c r="K27" s="126" t="s">
        <v>11</v>
      </c>
      <c r="Q27" s="116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</row>
    <row r="28" spans="1:39" s="123" customFormat="1" ht="21.9" customHeight="1">
      <c r="A28" s="122"/>
      <c r="C28" s="276" t="s">
        <v>65</v>
      </c>
      <c r="D28" s="276"/>
      <c r="E28" s="124" t="s">
        <v>22</v>
      </c>
      <c r="F28" s="125">
        <f>InitailInput!F23</f>
        <v>11.54</v>
      </c>
      <c r="G28" s="124" t="s">
        <v>40</v>
      </c>
      <c r="H28" s="124"/>
      <c r="J28" s="126"/>
      <c r="K28" s="258"/>
      <c r="L28" s="258"/>
      <c r="M28" s="258"/>
      <c r="N28" s="258"/>
      <c r="O28" s="258"/>
      <c r="Q28" s="122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</row>
    <row r="29" spans="1:39" s="123" customFormat="1" ht="21.9" customHeight="1">
      <c r="A29" s="122"/>
      <c r="C29" s="276" t="s">
        <v>66</v>
      </c>
      <c r="D29" s="276"/>
      <c r="E29" s="124" t="s">
        <v>67</v>
      </c>
      <c r="F29" s="127">
        <f>InitailInput!F35</f>
        <v>2</v>
      </c>
      <c r="G29" s="124" t="s">
        <v>45</v>
      </c>
      <c r="H29" s="124"/>
      <c r="I29" s="126"/>
      <c r="J29" s="126"/>
      <c r="K29" s="258"/>
      <c r="L29" s="258"/>
      <c r="M29" s="258"/>
      <c r="N29" s="258"/>
      <c r="O29" s="258"/>
      <c r="Q29" s="122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</row>
    <row r="30" spans="1:39" s="123" customFormat="1" ht="21.9" customHeight="1">
      <c r="A30" s="122"/>
      <c r="C30" s="276" t="s">
        <v>68</v>
      </c>
      <c r="D30" s="276"/>
      <c r="E30" s="124" t="s">
        <v>69</v>
      </c>
      <c r="F30" s="127">
        <f>InitailInput!F34</f>
        <v>1.75</v>
      </c>
      <c r="G30" s="124" t="s">
        <v>26</v>
      </c>
      <c r="H30" s="124"/>
      <c r="I30" s="126"/>
      <c r="J30" s="126"/>
      <c r="K30" s="258"/>
      <c r="L30" s="258"/>
      <c r="M30" s="258"/>
      <c r="N30" s="258"/>
      <c r="O30" s="258"/>
      <c r="Q30" s="122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</row>
    <row r="31" spans="1:39" s="123" customFormat="1" ht="21.9" customHeight="1">
      <c r="A31" s="122"/>
      <c r="C31" s="276" t="s">
        <v>70</v>
      </c>
      <c r="D31" s="276"/>
      <c r="E31" s="124" t="s">
        <v>71</v>
      </c>
      <c r="F31" s="127">
        <f>InitailInput!F37</f>
        <v>26.18</v>
      </c>
      <c r="G31" s="124" t="s">
        <v>28</v>
      </c>
      <c r="H31" s="124"/>
      <c r="I31" s="126"/>
      <c r="J31" s="126"/>
      <c r="K31" s="288"/>
      <c r="L31" s="288"/>
      <c r="M31" s="288"/>
      <c r="N31" s="288"/>
      <c r="O31" s="288"/>
      <c r="Q31" s="122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</row>
    <row r="32" spans="1:39" s="123" customFormat="1" ht="21.9" customHeight="1">
      <c r="A32" s="122"/>
      <c r="C32" s="276" t="s">
        <v>72</v>
      </c>
      <c r="D32" s="276"/>
      <c r="E32" s="124" t="s">
        <v>73</v>
      </c>
      <c r="F32" s="127">
        <f>InitailInput!F13</f>
        <v>27.76</v>
      </c>
      <c r="G32" s="124" t="s">
        <v>28</v>
      </c>
      <c r="H32" s="124"/>
      <c r="I32" s="126"/>
      <c r="J32" s="126"/>
      <c r="K32" s="258"/>
      <c r="L32" s="259"/>
      <c r="M32" s="259"/>
      <c r="N32" s="259"/>
      <c r="O32" s="259"/>
      <c r="Q32" s="122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</row>
    <row r="33" spans="1:39" s="123" customFormat="1" ht="21.9" customHeight="1">
      <c r="A33" s="122"/>
      <c r="C33" s="276" t="s">
        <v>74</v>
      </c>
      <c r="D33" s="276"/>
      <c r="E33" s="124" t="s">
        <v>75</v>
      </c>
      <c r="F33" s="127">
        <f>InitailInput!F24</f>
        <v>27.66</v>
      </c>
      <c r="G33" s="124" t="s">
        <v>28</v>
      </c>
      <c r="H33" s="124"/>
      <c r="I33" s="126"/>
      <c r="J33" s="126"/>
      <c r="Q33" s="122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</row>
    <row r="34" spans="1:39" s="123" customFormat="1" ht="21.9" customHeight="1">
      <c r="A34" s="122"/>
      <c r="C34" s="276" t="s">
        <v>76</v>
      </c>
      <c r="D34" s="276"/>
      <c r="E34" s="124" t="s">
        <v>77</v>
      </c>
      <c r="F34" s="131">
        <v>1.1499999999999999</v>
      </c>
      <c r="G34" s="124" t="s">
        <v>45</v>
      </c>
      <c r="H34" s="124"/>
      <c r="I34" s="126"/>
      <c r="J34" s="126"/>
      <c r="K34" s="258"/>
      <c r="L34" s="259"/>
      <c r="M34" s="259"/>
      <c r="N34" s="259"/>
      <c r="O34" s="259"/>
      <c r="Q34" s="122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</row>
    <row r="35" spans="1:39" s="123" customFormat="1" ht="21.9" customHeight="1">
      <c r="A35" s="122"/>
      <c r="C35" s="276" t="s">
        <v>78</v>
      </c>
      <c r="D35" s="276"/>
      <c r="E35" s="124" t="s">
        <v>79</v>
      </c>
      <c r="F35" s="131">
        <v>0.1</v>
      </c>
      <c r="G35" s="124" t="s">
        <v>26</v>
      </c>
      <c r="H35" s="124"/>
      <c r="I35" s="126"/>
      <c r="J35" s="126"/>
      <c r="K35" s="258"/>
      <c r="L35" s="259"/>
      <c r="M35" s="259"/>
      <c r="N35" s="259"/>
      <c r="O35" s="259"/>
      <c r="Q35" s="122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</row>
    <row r="36" spans="1:39" s="117" customFormat="1" ht="21.9" customHeight="1">
      <c r="A36" s="116"/>
      <c r="F36" s="120"/>
      <c r="Q36" s="116"/>
      <c r="S36" s="90"/>
      <c r="T36" s="90"/>
      <c r="U36" s="90"/>
      <c r="V36" s="90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</row>
    <row r="37" spans="1:39" s="92" customFormat="1" ht="21.9" customHeight="1">
      <c r="A37" s="104"/>
      <c r="B37" s="115"/>
      <c r="C37" s="108" t="s">
        <v>80</v>
      </c>
      <c r="D37" s="94"/>
      <c r="E37" s="94"/>
      <c r="F37" s="94"/>
      <c r="G37" s="94"/>
      <c r="H37" s="94"/>
      <c r="I37" s="109"/>
      <c r="J37" s="109"/>
      <c r="K37" s="109"/>
      <c r="L37" s="94"/>
      <c r="M37" s="94"/>
      <c r="N37" s="94"/>
      <c r="O37" s="94"/>
      <c r="P37" s="93"/>
      <c r="Q37" s="104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</row>
    <row r="38" spans="1:39" s="117" customFormat="1" ht="21.9" customHeight="1">
      <c r="A38" s="116"/>
      <c r="C38" s="132"/>
      <c r="F38" s="120"/>
      <c r="K38" s="126" t="s">
        <v>11</v>
      </c>
      <c r="Q38" s="116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</row>
    <row r="39" spans="1:39" s="123" customFormat="1" ht="21.9" customHeight="1">
      <c r="A39" s="122"/>
      <c r="C39" s="276" t="s">
        <v>81</v>
      </c>
      <c r="D39" s="276"/>
      <c r="E39" s="124" t="s">
        <v>82</v>
      </c>
      <c r="F39" s="125">
        <v>0.01</v>
      </c>
      <c r="G39" s="124" t="s">
        <v>45</v>
      </c>
      <c r="H39" s="124"/>
      <c r="I39" s="126"/>
      <c r="J39" s="126"/>
      <c r="K39" s="124" t="s">
        <v>83</v>
      </c>
      <c r="L39" s="235"/>
      <c r="M39" s="235"/>
      <c r="N39" s="235"/>
      <c r="O39" s="235"/>
      <c r="Q39" s="122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</row>
    <row r="40" spans="1:39" s="123" customFormat="1" ht="21.9" customHeight="1">
      <c r="A40" s="122"/>
      <c r="C40" s="276" t="s">
        <v>84</v>
      </c>
      <c r="D40" s="276"/>
      <c r="E40" s="124" t="s">
        <v>85</v>
      </c>
      <c r="F40" s="133">
        <v>0</v>
      </c>
      <c r="G40" s="124" t="s">
        <v>45</v>
      </c>
      <c r="H40" s="124"/>
      <c r="I40" s="126"/>
      <c r="J40" s="126"/>
      <c r="K40" s="124" t="s">
        <v>83</v>
      </c>
      <c r="L40" s="235"/>
      <c r="M40" s="235"/>
      <c r="N40" s="235"/>
      <c r="O40" s="235"/>
      <c r="Q40" s="122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</row>
    <row r="41" spans="1:39" s="123" customFormat="1" ht="21.9" customHeight="1">
      <c r="A41" s="134"/>
      <c r="B41" s="135"/>
      <c r="C41" s="136"/>
      <c r="D41" s="135"/>
      <c r="E41" s="137"/>
      <c r="F41" s="138"/>
      <c r="G41" s="138"/>
      <c r="H41" s="138"/>
      <c r="I41" s="135"/>
      <c r="J41" s="135"/>
      <c r="K41" s="139"/>
      <c r="L41" s="135"/>
      <c r="M41" s="135"/>
      <c r="N41" s="135"/>
      <c r="O41" s="135"/>
      <c r="P41" s="135"/>
      <c r="Q41" s="134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</row>
    <row r="42" spans="1:39" s="92" customFormat="1" ht="21.9" customHeight="1">
      <c r="A42" s="104"/>
      <c r="B42" s="115"/>
      <c r="C42" s="108" t="s">
        <v>55</v>
      </c>
      <c r="D42" s="94"/>
      <c r="E42" s="94"/>
      <c r="F42" s="94"/>
      <c r="G42" s="94"/>
      <c r="H42" s="94"/>
      <c r="I42" s="109"/>
      <c r="J42" s="109"/>
      <c r="K42" s="109"/>
      <c r="L42" s="94"/>
      <c r="M42" s="94"/>
      <c r="N42" s="94"/>
      <c r="O42" s="94"/>
      <c r="P42" s="93"/>
      <c r="Q42" s="104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</row>
    <row r="43" spans="1:39" s="123" customFormat="1" ht="21.9" customHeight="1">
      <c r="A43" s="122"/>
      <c r="C43" s="117"/>
      <c r="E43" s="140"/>
      <c r="F43" s="124"/>
      <c r="G43" s="124"/>
      <c r="H43" s="124"/>
      <c r="K43" s="126"/>
      <c r="Q43" s="122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</row>
    <row r="44" spans="1:39" s="92" customFormat="1" ht="21.9" customHeight="1">
      <c r="A44" s="104"/>
      <c r="B44" s="115"/>
      <c r="C44" s="108" t="s">
        <v>559</v>
      </c>
      <c r="D44" s="94"/>
      <c r="E44" s="94"/>
      <c r="F44" s="94"/>
      <c r="G44" s="94"/>
      <c r="H44" s="94"/>
      <c r="I44" s="109"/>
      <c r="J44" s="109"/>
      <c r="K44" s="109"/>
      <c r="L44" s="94"/>
      <c r="M44" s="94"/>
      <c r="N44" s="94"/>
      <c r="O44" s="94"/>
      <c r="P44" s="93"/>
      <c r="Q44" s="104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</row>
    <row r="45" spans="1:39" s="117" customFormat="1" ht="21.9" customHeight="1">
      <c r="A45" s="116"/>
      <c r="C45" s="132"/>
      <c r="I45" s="97"/>
      <c r="J45" s="97"/>
      <c r="K45" s="126" t="s">
        <v>11</v>
      </c>
      <c r="L45" s="126"/>
      <c r="Q45" s="116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</row>
    <row r="46" spans="1:39" s="123" customFormat="1" ht="21.9" customHeight="1">
      <c r="A46" s="122"/>
      <c r="C46" s="117" t="s">
        <v>87</v>
      </c>
      <c r="D46" s="117"/>
      <c r="E46" s="124" t="s">
        <v>88</v>
      </c>
      <c r="F46" s="125">
        <f>F29-1</f>
        <v>1</v>
      </c>
      <c r="G46" s="124"/>
      <c r="H46" s="141" t="s">
        <v>89</v>
      </c>
      <c r="I46" s="126"/>
      <c r="J46" s="126"/>
      <c r="K46" s="126"/>
      <c r="L46" s="97"/>
      <c r="M46" s="97"/>
      <c r="N46" s="97"/>
      <c r="O46" s="97"/>
      <c r="P46" s="98"/>
      <c r="Q46" s="122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</row>
    <row r="47" spans="1:39" s="123" customFormat="1" ht="21.9" customHeight="1">
      <c r="A47" s="122"/>
      <c r="C47" s="117" t="s">
        <v>90</v>
      </c>
      <c r="D47" s="117"/>
      <c r="E47" s="124" t="s">
        <v>91</v>
      </c>
      <c r="F47" s="125">
        <f>F29*F30</f>
        <v>3.5</v>
      </c>
      <c r="G47" s="124" t="s">
        <v>26</v>
      </c>
      <c r="H47" s="141" t="s">
        <v>92</v>
      </c>
      <c r="I47" s="126"/>
      <c r="J47" s="126"/>
      <c r="K47" s="126"/>
      <c r="L47" s="97"/>
      <c r="M47" s="97"/>
      <c r="N47" s="97"/>
      <c r="O47" s="97"/>
      <c r="P47" s="98"/>
      <c r="Q47" s="122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</row>
    <row r="48" spans="1:39" s="117" customFormat="1" ht="21.9" customHeight="1">
      <c r="A48" s="116"/>
      <c r="C48" s="117" t="s">
        <v>93</v>
      </c>
      <c r="E48" s="124" t="s">
        <v>94</v>
      </c>
      <c r="F48" s="125">
        <f>F34*b</f>
        <v>13.270999999999997</v>
      </c>
      <c r="G48" s="124" t="s">
        <v>40</v>
      </c>
      <c r="H48" s="106" t="s">
        <v>95</v>
      </c>
      <c r="I48" s="106"/>
      <c r="J48" s="126"/>
      <c r="K48" s="126"/>
      <c r="L48" s="97"/>
      <c r="M48" s="97"/>
      <c r="N48" s="97"/>
      <c r="O48" s="97"/>
      <c r="P48" s="98"/>
      <c r="Q48" s="116"/>
    </row>
    <row r="49" spans="1:20" s="117" customFormat="1" ht="21.9" customHeight="1">
      <c r="A49" s="116"/>
      <c r="C49" s="117" t="s">
        <v>96</v>
      </c>
      <c r="E49" s="117" t="s">
        <v>97</v>
      </c>
      <c r="F49" s="125">
        <f>F32-F31</f>
        <v>1.5800000000000018</v>
      </c>
      <c r="G49" s="124" t="s">
        <v>26</v>
      </c>
      <c r="H49" s="106" t="s">
        <v>98</v>
      </c>
      <c r="I49" s="106"/>
      <c r="J49" s="126"/>
      <c r="K49" s="126"/>
      <c r="L49" s="97"/>
      <c r="M49" s="97"/>
      <c r="N49" s="97"/>
      <c r="O49" s="97"/>
      <c r="P49" s="98"/>
      <c r="Q49" s="116"/>
      <c r="S49" s="123"/>
    </row>
    <row r="50" spans="1:20" s="117" customFormat="1" ht="21.9" customHeight="1">
      <c r="A50" s="116"/>
      <c r="C50" s="117" t="s">
        <v>99</v>
      </c>
      <c r="E50" s="117" t="s">
        <v>100</v>
      </c>
      <c r="F50" s="125">
        <f>F33-F31</f>
        <v>1.4800000000000004</v>
      </c>
      <c r="G50" s="124" t="s">
        <v>26</v>
      </c>
      <c r="H50" s="106" t="s">
        <v>101</v>
      </c>
      <c r="I50" s="106"/>
      <c r="J50" s="126"/>
      <c r="K50" s="126"/>
      <c r="L50" s="97"/>
      <c r="M50" s="97"/>
      <c r="N50" s="97"/>
      <c r="O50" s="97"/>
      <c r="P50" s="98"/>
      <c r="Q50" s="116"/>
      <c r="S50" s="123"/>
    </row>
    <row r="51" spans="1:20" s="123" customFormat="1" ht="21.9" customHeight="1">
      <c r="A51" s="122"/>
      <c r="C51" s="117" t="s">
        <v>102</v>
      </c>
      <c r="D51" s="117"/>
      <c r="E51" s="124" t="s">
        <v>103</v>
      </c>
      <c r="F51" s="125">
        <f>F47-2*(F46*F39+F40)*F49</f>
        <v>3.4683999999999999</v>
      </c>
      <c r="G51" s="124" t="s">
        <v>26</v>
      </c>
      <c r="H51" s="141" t="s">
        <v>104</v>
      </c>
      <c r="I51" s="141"/>
      <c r="J51" s="126"/>
      <c r="K51" s="126"/>
      <c r="L51" s="97"/>
      <c r="M51" s="97"/>
      <c r="N51" s="97"/>
      <c r="O51" s="97"/>
      <c r="P51" s="98"/>
      <c r="Q51" s="122"/>
      <c r="T51" s="117"/>
    </row>
    <row r="52" spans="1:20" s="123" customFormat="1" ht="21.9" customHeight="1">
      <c r="A52" s="122"/>
      <c r="C52" s="117"/>
      <c r="D52" s="117"/>
      <c r="E52" s="124"/>
      <c r="F52" s="141"/>
      <c r="G52" s="141"/>
      <c r="H52" s="141"/>
      <c r="I52" s="141"/>
      <c r="J52" s="126"/>
      <c r="K52" s="126"/>
      <c r="L52" s="97"/>
      <c r="M52" s="97"/>
      <c r="N52" s="97"/>
      <c r="O52" s="97"/>
      <c r="P52" s="98"/>
      <c r="Q52" s="122"/>
      <c r="T52" s="117"/>
    </row>
    <row r="53" spans="1:20" s="92" customFormat="1" ht="21.9" customHeight="1">
      <c r="A53" s="104"/>
      <c r="B53" s="115"/>
      <c r="C53" s="108" t="s">
        <v>558</v>
      </c>
      <c r="D53" s="94"/>
      <c r="E53" s="94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67"/>
      <c r="Q53" s="240"/>
      <c r="R53" s="101"/>
    </row>
    <row r="54" spans="1:20" s="117" customFormat="1" ht="21.9" customHeight="1">
      <c r="A54" s="116"/>
      <c r="C54" s="132"/>
      <c r="F54" s="97"/>
      <c r="G54" s="97"/>
      <c r="H54" s="97"/>
      <c r="I54" s="97"/>
      <c r="J54" s="97"/>
      <c r="K54" s="143" t="s">
        <v>542</v>
      </c>
      <c r="M54" s="97"/>
      <c r="N54" s="97"/>
      <c r="O54" s="97"/>
      <c r="P54" s="97"/>
      <c r="Q54" s="239"/>
      <c r="R54" s="97"/>
    </row>
    <row r="55" spans="1:20" s="117" customFormat="1" ht="21.9" customHeight="1">
      <c r="A55" s="116"/>
      <c r="C55" s="117" t="s">
        <v>105</v>
      </c>
      <c r="E55" s="124" t="s">
        <v>241</v>
      </c>
      <c r="F55" s="237">
        <f>(F32-F31)*3/4</f>
        <v>1.1850000000000014</v>
      </c>
      <c r="G55" s="142" t="s">
        <v>26</v>
      </c>
      <c r="H55" s="238"/>
      <c r="I55" s="238"/>
      <c r="J55" s="126"/>
      <c r="K55" s="117" t="s">
        <v>106</v>
      </c>
      <c r="M55" s="143"/>
      <c r="N55" s="143"/>
      <c r="O55" s="143"/>
      <c r="P55" s="97"/>
      <c r="Q55" s="239"/>
      <c r="R55" s="97"/>
      <c r="S55" s="130">
        <f>ROUNDUP($F$55,1)</f>
        <v>1.2000000000000002</v>
      </c>
    </row>
    <row r="56" spans="1:20" s="117" customFormat="1" ht="21.9" customHeight="1">
      <c r="A56" s="116"/>
      <c r="C56" s="117" t="s">
        <v>547</v>
      </c>
      <c r="E56" s="117" t="s">
        <v>548</v>
      </c>
      <c r="F56" s="237">
        <v>1</v>
      </c>
      <c r="G56" s="97"/>
      <c r="H56" s="238"/>
      <c r="I56" s="238"/>
      <c r="J56" s="126"/>
      <c r="K56" s="128"/>
      <c r="L56" s="97"/>
      <c r="M56" s="97"/>
      <c r="N56" s="97"/>
      <c r="O56" s="97"/>
      <c r="P56" s="97"/>
      <c r="Q56" s="239"/>
      <c r="R56" s="97"/>
      <c r="S56" s="123"/>
    </row>
    <row r="57" spans="1:20" s="117" customFormat="1" ht="21.9" customHeight="1">
      <c r="A57" s="116"/>
      <c r="C57" s="117" t="s">
        <v>549</v>
      </c>
      <c r="E57" s="163" t="s">
        <v>26</v>
      </c>
      <c r="F57" s="237">
        <v>0.67</v>
      </c>
      <c r="G57" s="97"/>
      <c r="H57" s="238"/>
      <c r="I57" s="238"/>
      <c r="J57" s="126"/>
      <c r="K57" s="128"/>
      <c r="L57" s="142"/>
      <c r="M57" s="142"/>
      <c r="N57" s="142"/>
      <c r="O57" s="142"/>
      <c r="P57" s="97"/>
      <c r="Q57" s="239"/>
      <c r="R57" s="97"/>
      <c r="S57" s="123"/>
    </row>
    <row r="58" spans="1:20" s="117" customFormat="1" ht="21.9" customHeight="1">
      <c r="A58" s="116"/>
      <c r="C58" s="117" t="s">
        <v>550</v>
      </c>
      <c r="E58" s="117" t="s">
        <v>551</v>
      </c>
      <c r="F58" s="237">
        <f>(F49)</f>
        <v>1.5800000000000018</v>
      </c>
      <c r="G58" s="142" t="s">
        <v>26</v>
      </c>
      <c r="H58" s="106"/>
      <c r="I58" s="238"/>
      <c r="J58" s="126"/>
      <c r="K58" s="97"/>
      <c r="L58" s="97"/>
      <c r="M58" s="97"/>
      <c r="N58" s="97"/>
      <c r="O58" s="97"/>
      <c r="P58" s="97"/>
      <c r="Q58" s="239"/>
      <c r="R58" s="97"/>
      <c r="S58" s="123"/>
    </row>
    <row r="59" spans="1:20" s="117" customFormat="1" ht="21.9" customHeight="1">
      <c r="A59" s="116"/>
      <c r="C59" s="117" t="s">
        <v>107</v>
      </c>
      <c r="E59" s="245" t="s">
        <v>554</v>
      </c>
      <c r="F59" s="197">
        <f>F56*F57*F55*F51*(2*9.806*F58)^0.5</f>
        <v>15.328929130223548</v>
      </c>
      <c r="G59" s="142" t="s">
        <v>108</v>
      </c>
      <c r="H59" s="106" t="s">
        <v>546</v>
      </c>
      <c r="I59" s="238"/>
      <c r="J59" s="126"/>
      <c r="K59" s="128"/>
      <c r="M59" s="97"/>
      <c r="N59" s="97"/>
      <c r="O59" s="97"/>
      <c r="P59" s="97"/>
      <c r="Q59" s="239"/>
      <c r="R59" s="97"/>
      <c r="S59" s="123"/>
    </row>
    <row r="60" spans="1:20" s="117" customFormat="1" ht="21.9" customHeight="1">
      <c r="A60" s="116"/>
      <c r="C60" s="117" t="s">
        <v>552</v>
      </c>
      <c r="E60" s="117" t="s">
        <v>22</v>
      </c>
      <c r="F60" s="237">
        <f>F48</f>
        <v>13.270999999999997</v>
      </c>
      <c r="G60" s="142" t="s">
        <v>108</v>
      </c>
      <c r="H60" s="106" t="s">
        <v>111</v>
      </c>
      <c r="I60" s="238"/>
      <c r="J60" s="126"/>
      <c r="K60" s="128"/>
      <c r="L60" s="236"/>
      <c r="M60" s="236"/>
      <c r="N60" s="236"/>
      <c r="O60" s="236"/>
      <c r="P60" s="97"/>
      <c r="Q60" s="239"/>
      <c r="R60" s="97"/>
    </row>
    <row r="61" spans="1:20" s="117" customFormat="1" ht="21.9" customHeight="1">
      <c r="A61" s="116"/>
      <c r="C61" s="117" t="s">
        <v>563</v>
      </c>
      <c r="F61" s="237" t="str">
        <f>IF(F59&gt;F60,"OK","NOT OK")</f>
        <v>OK</v>
      </c>
      <c r="G61" s="142"/>
      <c r="H61" s="106" t="s">
        <v>553</v>
      </c>
      <c r="I61" s="238"/>
      <c r="J61" s="126"/>
      <c r="K61" s="128"/>
      <c r="L61" s="143"/>
      <c r="M61" s="143"/>
      <c r="N61" s="143"/>
      <c r="O61" s="143"/>
      <c r="P61" s="97"/>
      <c r="Q61" s="239"/>
      <c r="R61" s="97"/>
    </row>
    <row r="62" spans="1:20" s="92" customFormat="1" ht="21.9" customHeight="1">
      <c r="A62" s="104"/>
      <c r="C62" s="117" t="s">
        <v>112</v>
      </c>
      <c r="E62" s="117" t="s">
        <v>79</v>
      </c>
      <c r="F62" s="237" t="str">
        <f>IF(F35&lt;F58,"OK","NOT OK")</f>
        <v>OK</v>
      </c>
      <c r="G62" s="142"/>
      <c r="H62" s="101"/>
      <c r="I62" s="101"/>
      <c r="J62" s="126"/>
      <c r="K62" s="101"/>
      <c r="L62" s="101"/>
      <c r="M62" s="101"/>
      <c r="N62" s="101"/>
      <c r="O62" s="101"/>
      <c r="P62" s="101"/>
      <c r="Q62" s="240"/>
      <c r="R62" s="101"/>
    </row>
    <row r="63" spans="1:20" s="92" customFormat="1" ht="21.9" customHeight="1">
      <c r="A63" s="104"/>
      <c r="F63" s="241"/>
      <c r="G63" s="101"/>
      <c r="H63" s="101"/>
      <c r="I63" s="101"/>
      <c r="J63" s="145"/>
      <c r="K63" s="101"/>
      <c r="L63" s="101"/>
      <c r="M63" s="101"/>
      <c r="N63" s="101"/>
      <c r="O63" s="101"/>
      <c r="P63" s="101"/>
      <c r="Q63" s="240"/>
      <c r="R63" s="101"/>
    </row>
    <row r="64" spans="1:20" s="92" customFormat="1" ht="21.9" customHeight="1">
      <c r="A64" s="104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67"/>
      <c r="Q64" s="240"/>
      <c r="R64" s="101"/>
    </row>
    <row r="65" spans="1:18" s="92" customFormat="1" ht="21.9" customHeight="1">
      <c r="A65" s="104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67"/>
      <c r="Q65" s="240"/>
      <c r="R65" s="101"/>
    </row>
    <row r="66" spans="1:18" s="92" customFormat="1" ht="21.9" customHeight="1">
      <c r="A66" s="104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93"/>
      <c r="Q66" s="240"/>
      <c r="R66" s="101"/>
    </row>
    <row r="67" spans="1:18" s="92" customFormat="1" ht="21.9" customHeight="1">
      <c r="A67" s="104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93"/>
      <c r="Q67" s="240"/>
      <c r="R67" s="101"/>
    </row>
    <row r="68" spans="1:18" s="92" customFormat="1" ht="21.9" customHeight="1">
      <c r="A68" s="104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93"/>
      <c r="Q68" s="240"/>
      <c r="R68" s="101"/>
    </row>
    <row r="69" spans="1:18" s="92" customFormat="1" ht="21.9" customHeight="1">
      <c r="A69" s="104"/>
      <c r="F69" s="126"/>
      <c r="G69" s="123"/>
      <c r="H69" s="123"/>
      <c r="I69" s="123"/>
      <c r="J69" s="123"/>
      <c r="P69" s="93"/>
      <c r="Q69" s="240"/>
      <c r="R69" s="101"/>
    </row>
    <row r="70" spans="1:18" s="92" customFormat="1" ht="21.9" customHeight="1">
      <c r="A70" s="104"/>
      <c r="F70" s="126"/>
      <c r="G70" s="123"/>
      <c r="H70" s="123"/>
      <c r="I70" s="123"/>
      <c r="J70" s="123"/>
      <c r="P70" s="93"/>
      <c r="Q70" s="240"/>
      <c r="R70" s="101"/>
    </row>
    <row r="71" spans="1:18" s="92" customFormat="1" ht="21.9" customHeight="1">
      <c r="A71" s="104"/>
      <c r="F71" s="126"/>
      <c r="G71" s="123"/>
      <c r="H71" s="123"/>
      <c r="I71" s="123"/>
      <c r="J71" s="123"/>
      <c r="P71" s="93"/>
      <c r="Q71" s="240"/>
      <c r="R71" s="101"/>
    </row>
    <row r="72" spans="1:18" s="92" customFormat="1" ht="21.9" customHeight="1">
      <c r="A72" s="104"/>
      <c r="F72" s="126"/>
      <c r="G72" s="123"/>
      <c r="H72" s="123"/>
      <c r="I72" s="123"/>
      <c r="J72" s="123"/>
      <c r="P72" s="93"/>
      <c r="Q72" s="240"/>
      <c r="R72" s="101"/>
    </row>
    <row r="73" spans="1:18" s="92" customFormat="1" ht="21.9" customHeight="1">
      <c r="A73" s="104"/>
      <c r="F73" s="126"/>
      <c r="G73" s="123"/>
      <c r="H73" s="123"/>
      <c r="I73" s="123"/>
      <c r="J73" s="123"/>
      <c r="P73" s="93"/>
      <c r="Q73" s="240"/>
      <c r="R73" s="101"/>
    </row>
    <row r="74" spans="1:18" s="92" customFormat="1" ht="21.9" customHeight="1">
      <c r="A74" s="104"/>
      <c r="P74" s="93"/>
      <c r="Q74" s="240"/>
      <c r="R74" s="101"/>
    </row>
    <row r="75" spans="1:18" s="92" customFormat="1" ht="21.9" customHeight="1">
      <c r="A75" s="104"/>
      <c r="P75" s="93"/>
      <c r="Q75" s="240"/>
      <c r="R75" s="101"/>
    </row>
    <row r="76" spans="1:18">
      <c r="A76" s="91"/>
      <c r="P76" s="112"/>
      <c r="Q76" s="242"/>
      <c r="R76" s="189"/>
    </row>
    <row r="77" spans="1:18">
      <c r="A77" s="91"/>
      <c r="P77" s="112"/>
      <c r="Q77" s="242"/>
      <c r="R77" s="189"/>
    </row>
    <row r="78" spans="1:18">
      <c r="A78" s="91"/>
      <c r="P78" s="112"/>
      <c r="Q78" s="242"/>
      <c r="R78" s="189"/>
    </row>
    <row r="79" spans="1:18">
      <c r="A79" s="91"/>
      <c r="P79" s="112"/>
      <c r="Q79" s="242"/>
      <c r="R79" s="189"/>
    </row>
    <row r="80" spans="1:18">
      <c r="A80" s="91"/>
      <c r="P80" s="112"/>
      <c r="Q80" s="242"/>
      <c r="R80" s="189"/>
    </row>
    <row r="81" spans="1:18">
      <c r="A81" s="91"/>
      <c r="P81" s="112"/>
      <c r="Q81" s="242"/>
      <c r="R81" s="189"/>
    </row>
    <row r="82" spans="1:18">
      <c r="A82" s="91"/>
      <c r="P82" s="112"/>
      <c r="Q82" s="242"/>
      <c r="R82" s="189"/>
    </row>
    <row r="83" spans="1:18">
      <c r="A83" s="91"/>
      <c r="P83" s="112"/>
      <c r="Q83" s="242"/>
      <c r="R83" s="189"/>
    </row>
    <row r="84" spans="1:18">
      <c r="A84" s="146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8"/>
      <c r="Q84" s="146"/>
    </row>
  </sheetData>
  <mergeCells count="20">
    <mergeCell ref="C32:D32"/>
    <mergeCell ref="K32:O32"/>
    <mergeCell ref="C33:D33"/>
    <mergeCell ref="B5:F6"/>
    <mergeCell ref="M5:P5"/>
    <mergeCell ref="C30:D30"/>
    <mergeCell ref="K30:O30"/>
    <mergeCell ref="C31:D31"/>
    <mergeCell ref="K31:O31"/>
    <mergeCell ref="K26:O26"/>
    <mergeCell ref="C28:D28"/>
    <mergeCell ref="K28:O28"/>
    <mergeCell ref="C29:D29"/>
    <mergeCell ref="K29:O29"/>
    <mergeCell ref="C40:D40"/>
    <mergeCell ref="C34:D34"/>
    <mergeCell ref="K34:O34"/>
    <mergeCell ref="C35:D35"/>
    <mergeCell ref="K35:O35"/>
    <mergeCell ref="C39:D39"/>
  </mergeCells>
  <conditionalFormatting sqref="F61:F62">
    <cfRule type="cellIs" dxfId="1" priority="1" stopIfTrue="1" operator="equal">
      <formula>"NOT OK"</formula>
    </cfRule>
  </conditionalFormatting>
  <conditionalFormatting sqref="Q51:Q52">
    <cfRule type="cellIs" dxfId="0" priority="2" stopIfTrue="1" operator="equal">
      <formula>TRUE</formula>
    </cfRule>
  </conditionalFormatting>
  <dataValidations disablePrompts="1" count="1">
    <dataValidation type="textLength" allowBlank="1" showInputMessage="1" showErrorMessage="1" sqref="L46 P39:P40 K55 M55:O55 L57:O61" xr:uid="{029EB1E8-0B8E-4A7D-A2BD-090A52150E2F}">
      <formula1>0</formula1>
      <formula2>31</formula2>
    </dataValidation>
  </dataValidations>
  <pageMargins left="0.7" right="0.7" top="0.75" bottom="0.75" header="0.3" footer="0.3"/>
  <pageSetup paperSize="9" scale="48" orientation="portrait" r:id="rId1"/>
  <headerFooter alignWithMargins="0">
    <oddFooter>&amp;L&amp;Z&amp;F</oddFooter>
  </headerFooter>
  <rowBreaks count="1" manualBreakCount="1">
    <brk id="41" max="1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9647-2224-45D7-85D5-A92A2D542D69}">
  <sheetPr codeName="Sheet3">
    <tabColor rgb="FF92D050"/>
  </sheetPr>
  <dimension ref="A1:AC47"/>
  <sheetViews>
    <sheetView showGridLines="0" view="pageBreakPreview" zoomScale="85" zoomScaleNormal="100" zoomScaleSheetLayoutView="85" workbookViewId="0">
      <selection activeCell="F27" sqref="F27"/>
    </sheetView>
  </sheetViews>
  <sheetFormatPr defaultRowHeight="13.2"/>
  <cols>
    <col min="1" max="1" width="7.6640625" customWidth="1"/>
    <col min="2" max="2" width="3.44140625" customWidth="1"/>
    <col min="3" max="3" width="6.5546875" customWidth="1"/>
    <col min="4" max="4" width="5.33203125" customWidth="1"/>
    <col min="5" max="6" width="10.6640625" customWidth="1"/>
    <col min="7" max="7" width="11.33203125" customWidth="1"/>
    <col min="8" max="8" width="12.33203125" customWidth="1"/>
    <col min="9" max="10" width="5.44140625" customWidth="1"/>
    <col min="11" max="11" width="8" customWidth="1"/>
    <col min="12" max="12" width="9.5546875" customWidth="1"/>
    <col min="13" max="13" width="10" customWidth="1"/>
    <col min="14" max="14" width="6.33203125" customWidth="1"/>
    <col min="15" max="15" width="4.44140625" customWidth="1"/>
    <col min="16" max="16" width="4.88671875" customWidth="1"/>
    <col min="17" max="17" width="10.44140625" customWidth="1"/>
  </cols>
  <sheetData>
    <row r="1" spans="1:29" ht="27.75" customHeight="1">
      <c r="A1" s="77"/>
      <c r="B1" s="229" t="s">
        <v>0</v>
      </c>
      <c r="C1" s="11"/>
      <c r="D1" s="11"/>
      <c r="E1" s="11"/>
      <c r="F1" s="11"/>
      <c r="G1" s="11"/>
      <c r="H1" s="11"/>
      <c r="I1" s="11"/>
      <c r="J1" s="11"/>
      <c r="K1" s="11"/>
      <c r="L1" s="230"/>
      <c r="M1" s="71"/>
      <c r="N1" s="71"/>
      <c r="O1" s="71"/>
      <c r="P1" s="72"/>
    </row>
    <row r="2" spans="1:29" ht="27.75" customHeight="1">
      <c r="A2" s="78"/>
      <c r="B2" s="231">
        <f>InitailInput!B2</f>
        <v>0</v>
      </c>
      <c r="C2" s="7"/>
      <c r="D2" s="7"/>
      <c r="E2" s="7"/>
      <c r="F2" s="7"/>
      <c r="G2" s="7"/>
      <c r="H2" s="7"/>
      <c r="I2" s="7"/>
      <c r="J2" s="7"/>
      <c r="K2" s="7"/>
      <c r="L2" s="41"/>
      <c r="M2" s="73"/>
      <c r="N2" s="73"/>
      <c r="O2" s="73"/>
      <c r="P2" s="74"/>
    </row>
    <row r="3" spans="1:29" ht="27.75" customHeight="1">
      <c r="A3" s="78"/>
      <c r="B3" s="232"/>
      <c r="C3" s="5"/>
      <c r="D3" s="5"/>
      <c r="E3" s="5"/>
      <c r="F3" s="5"/>
      <c r="G3" s="5"/>
      <c r="H3" s="5"/>
      <c r="I3" s="5"/>
      <c r="J3" s="5"/>
      <c r="K3" s="5"/>
      <c r="L3" s="66"/>
      <c r="M3" s="75"/>
      <c r="N3" s="75"/>
      <c r="O3" s="75"/>
      <c r="P3" s="76"/>
    </row>
    <row r="4" spans="1:29" ht="27.75" customHeight="1">
      <c r="A4" s="78"/>
      <c r="B4" s="80" t="s">
        <v>8</v>
      </c>
      <c r="C4" s="11"/>
      <c r="D4" s="11"/>
      <c r="E4" s="11"/>
      <c r="F4" s="12"/>
      <c r="G4" s="83" t="s">
        <v>1</v>
      </c>
      <c r="H4" s="84"/>
      <c r="I4" s="83" t="s">
        <v>10</v>
      </c>
      <c r="J4" s="84"/>
      <c r="K4" s="13" t="s">
        <v>9</v>
      </c>
      <c r="L4" s="85">
        <f>InitailInput!L4</f>
        <v>0</v>
      </c>
      <c r="M4" s="86"/>
      <c r="N4" s="86"/>
      <c r="O4" s="86"/>
      <c r="P4" s="87"/>
    </row>
    <row r="5" spans="1:29" ht="27.75" customHeight="1">
      <c r="A5" s="78"/>
      <c r="B5" s="302" t="s">
        <v>537</v>
      </c>
      <c r="C5" s="303"/>
      <c r="D5" s="303"/>
      <c r="E5" s="303"/>
      <c r="F5" s="304"/>
      <c r="G5" s="83" t="s">
        <v>2</v>
      </c>
      <c r="H5" s="84"/>
      <c r="I5" s="83">
        <f>InitailInput!I5</f>
        <v>0</v>
      </c>
      <c r="J5" s="84"/>
      <c r="K5" s="13" t="s">
        <v>3</v>
      </c>
      <c r="L5" s="227">
        <f>InitailInput!L5</f>
        <v>0</v>
      </c>
      <c r="M5" s="285" t="s">
        <v>4</v>
      </c>
      <c r="N5" s="286"/>
      <c r="O5" s="286"/>
      <c r="P5" s="287"/>
      <c r="Q5" s="3"/>
    </row>
    <row r="6" spans="1:29" ht="27.75" customHeight="1">
      <c r="A6" s="78"/>
      <c r="B6" s="305"/>
      <c r="C6" s="306"/>
      <c r="D6" s="306"/>
      <c r="E6" s="306"/>
      <c r="F6" s="307"/>
      <c r="G6" s="83" t="s">
        <v>5</v>
      </c>
      <c r="H6" s="84"/>
      <c r="I6" s="83">
        <f>InitailInput!I6</f>
        <v>0</v>
      </c>
      <c r="J6" s="84"/>
      <c r="K6" s="13" t="s">
        <v>3</v>
      </c>
      <c r="L6" s="227"/>
      <c r="M6" s="14"/>
      <c r="N6" s="15" t="s">
        <v>6</v>
      </c>
      <c r="O6" s="16"/>
      <c r="P6" s="66"/>
      <c r="Q6" s="1"/>
    </row>
    <row r="7" spans="1:29" ht="24" customHeight="1">
      <c r="A7" s="4"/>
      <c r="B7" s="8"/>
      <c r="C7" s="8"/>
      <c r="D7" s="8"/>
      <c r="E7" s="8"/>
      <c r="F7" s="8"/>
      <c r="G7" s="8"/>
      <c r="H7" s="8"/>
      <c r="I7" s="17"/>
      <c r="J7" s="17"/>
      <c r="K7" s="17"/>
      <c r="L7" s="17"/>
      <c r="M7" s="18"/>
      <c r="N7" s="19"/>
      <c r="O7" s="20"/>
      <c r="P7" s="67"/>
      <c r="Q7" s="1"/>
    </row>
    <row r="8" spans="1:29" s="7" customFormat="1" ht="31.5" customHeight="1">
      <c r="A8" s="6"/>
      <c r="C8" s="9" t="s">
        <v>536</v>
      </c>
      <c r="D8" s="9"/>
      <c r="E8" s="9"/>
      <c r="P8" s="41"/>
    </row>
    <row r="9" spans="1:29" s="7" customFormat="1" ht="24.75" customHeight="1">
      <c r="A9" s="6"/>
      <c r="B9" s="2"/>
      <c r="C9" s="10" t="s">
        <v>53</v>
      </c>
      <c r="D9" s="10"/>
      <c r="E9" s="10"/>
      <c r="P9" s="41"/>
    </row>
    <row r="10" spans="1:29" s="7" customFormat="1" ht="23.25" customHeight="1">
      <c r="A10" s="6"/>
      <c r="B10" s="2"/>
      <c r="C10" s="52" t="s">
        <v>54</v>
      </c>
      <c r="D10" s="52"/>
      <c r="E10" s="52"/>
      <c r="F10" s="5"/>
      <c r="G10" s="5"/>
      <c r="H10" s="5"/>
      <c r="I10" s="5"/>
      <c r="J10" s="5"/>
      <c r="K10" s="42"/>
      <c r="L10" s="42"/>
      <c r="M10" s="42"/>
      <c r="N10" s="5"/>
      <c r="O10" s="5"/>
      <c r="P10" s="41"/>
      <c r="AC10" s="7" t="s">
        <v>7</v>
      </c>
    </row>
    <row r="11" spans="1:29" s="28" customFormat="1" ht="21.75" customHeight="1">
      <c r="A11" s="27"/>
      <c r="C11" s="32"/>
      <c r="D11" s="32"/>
      <c r="E11" s="32"/>
      <c r="H11" s="33"/>
      <c r="I11" s="34"/>
      <c r="J11" s="34"/>
      <c r="M11" s="35"/>
      <c r="P11" s="68"/>
    </row>
    <row r="12" spans="1:29" s="2" customFormat="1" ht="21.75" customHeight="1">
      <c r="A12" s="36"/>
      <c r="C12" s="308" t="s">
        <v>12</v>
      </c>
      <c r="D12" s="308"/>
      <c r="E12" s="308"/>
      <c r="F12" s="308"/>
      <c r="G12" s="31" t="s">
        <v>17</v>
      </c>
      <c r="H12" s="55">
        <f>InitailInput!F27</f>
        <v>4</v>
      </c>
      <c r="I12" s="31" t="s">
        <v>26</v>
      </c>
      <c r="J12" s="31"/>
      <c r="K12" s="37" t="s">
        <v>11</v>
      </c>
      <c r="L12" s="37"/>
      <c r="M12" s="297"/>
      <c r="N12" s="298"/>
      <c r="O12" s="298"/>
      <c r="P12" s="299"/>
    </row>
    <row r="13" spans="1:29" s="2" customFormat="1" ht="21.75" customHeight="1">
      <c r="A13" s="36"/>
      <c r="C13" s="308" t="s">
        <v>13</v>
      </c>
      <c r="D13" s="308"/>
      <c r="E13" s="308"/>
      <c r="F13" s="308"/>
      <c r="G13" s="31" t="s">
        <v>18</v>
      </c>
      <c r="H13" s="55">
        <f>InitailInput!F30</f>
        <v>1.5</v>
      </c>
      <c r="I13" s="31" t="s">
        <v>31</v>
      </c>
      <c r="J13" s="31"/>
      <c r="K13" s="37" t="s">
        <v>11</v>
      </c>
      <c r="L13" s="37"/>
      <c r="M13" s="297"/>
      <c r="N13" s="298"/>
      <c r="O13" s="298"/>
      <c r="P13" s="299"/>
    </row>
    <row r="14" spans="1:29" s="2" customFormat="1" ht="21.75" customHeight="1">
      <c r="A14" s="36"/>
      <c r="C14" s="308" t="s">
        <v>14</v>
      </c>
      <c r="D14" s="308"/>
      <c r="E14" s="308"/>
      <c r="F14" s="308"/>
      <c r="G14" s="31" t="s">
        <v>19</v>
      </c>
      <c r="H14" s="64">
        <f>InitailInput!F31</f>
        <v>2.5999999999999998E-4</v>
      </c>
      <c r="I14" s="31" t="s">
        <v>27</v>
      </c>
      <c r="J14" s="31"/>
      <c r="K14" s="37" t="s">
        <v>11</v>
      </c>
      <c r="L14" s="37"/>
      <c r="M14" s="297"/>
      <c r="N14" s="298"/>
      <c r="O14" s="298"/>
      <c r="P14" s="299"/>
    </row>
    <row r="15" spans="1:29" s="2" customFormat="1" ht="21.75" customHeight="1">
      <c r="A15" s="36"/>
      <c r="C15" s="308" t="s">
        <v>16</v>
      </c>
      <c r="D15" s="308"/>
      <c r="E15" s="308"/>
      <c r="F15" s="308"/>
      <c r="G15" s="31" t="s">
        <v>20</v>
      </c>
      <c r="H15" s="65">
        <f>InitailInput!F32</f>
        <v>1.4285714285714285E-2</v>
      </c>
      <c r="I15" s="31"/>
      <c r="J15" s="31"/>
      <c r="K15" s="37" t="s">
        <v>11</v>
      </c>
      <c r="L15" s="37"/>
      <c r="M15" s="297"/>
      <c r="N15" s="298"/>
      <c r="O15" s="298"/>
      <c r="P15" s="299"/>
    </row>
    <row r="16" spans="1:29" s="2" customFormat="1" ht="21.75" customHeight="1">
      <c r="A16" s="36"/>
      <c r="C16" s="308" t="s">
        <v>15</v>
      </c>
      <c r="D16" s="308"/>
      <c r="E16" s="308"/>
      <c r="F16" s="308"/>
      <c r="G16" s="31" t="s">
        <v>21</v>
      </c>
      <c r="H16" s="55">
        <f>InitailInput!F26</f>
        <v>26.08</v>
      </c>
      <c r="I16" s="31" t="s">
        <v>28</v>
      </c>
      <c r="J16" s="31"/>
      <c r="K16" s="37" t="s">
        <v>11</v>
      </c>
      <c r="L16" s="37"/>
      <c r="M16" s="297"/>
      <c r="N16" s="298"/>
      <c r="O16" s="298"/>
      <c r="P16" s="299"/>
    </row>
    <row r="17" spans="1:24" s="2" customFormat="1" ht="21.75" customHeight="1">
      <c r="A17" s="36"/>
      <c r="C17" s="308" t="s">
        <v>24</v>
      </c>
      <c r="D17" s="308"/>
      <c r="E17" s="308"/>
      <c r="F17" s="308"/>
      <c r="G17" s="31" t="s">
        <v>25</v>
      </c>
      <c r="H17" s="54">
        <f>1.2*InitailInput!F25</f>
        <v>1.8959999999999999</v>
      </c>
      <c r="I17" s="31" t="s">
        <v>26</v>
      </c>
      <c r="J17" s="31"/>
      <c r="K17" s="37" t="s">
        <v>11</v>
      </c>
      <c r="L17" s="37"/>
      <c r="M17" s="297"/>
      <c r="N17" s="298"/>
      <c r="O17" s="298"/>
      <c r="P17" s="299"/>
    </row>
    <row r="18" spans="1:24" s="2" customFormat="1" ht="15.75" customHeight="1">
      <c r="A18" s="36"/>
      <c r="C18" s="38"/>
      <c r="D18" s="38"/>
      <c r="E18" s="38"/>
      <c r="G18" s="39"/>
      <c r="H18" s="31"/>
      <c r="I18" s="31"/>
      <c r="J18" s="31"/>
      <c r="M18" s="37"/>
      <c r="P18" s="69"/>
    </row>
    <row r="19" spans="1:24" s="7" customFormat="1" ht="23.25" customHeight="1">
      <c r="A19" s="6"/>
      <c r="B19" s="2"/>
      <c r="C19" s="52" t="s">
        <v>55</v>
      </c>
      <c r="D19" s="52"/>
      <c r="E19" s="52"/>
      <c r="F19" s="5"/>
      <c r="G19" s="5"/>
      <c r="H19" s="5"/>
      <c r="I19" s="5"/>
      <c r="J19" s="5"/>
      <c r="K19" s="42"/>
      <c r="L19" s="42"/>
      <c r="M19" s="42"/>
      <c r="N19" s="5"/>
      <c r="O19" s="5"/>
      <c r="P19" s="66"/>
    </row>
    <row r="20" spans="1:24" s="28" customFormat="1" ht="21.75" customHeight="1">
      <c r="A20" s="27"/>
      <c r="C20" s="29"/>
      <c r="D20" s="309" t="s">
        <v>58</v>
      </c>
      <c r="E20" s="309"/>
      <c r="F20" s="309"/>
      <c r="G20" s="31">
        <v>8</v>
      </c>
      <c r="K20" s="30"/>
      <c r="L20" s="30"/>
      <c r="M20" s="30"/>
      <c r="P20" s="68"/>
    </row>
    <row r="21" spans="1:24" s="44" customFormat="1" ht="21.75" customHeight="1">
      <c r="A21" s="43"/>
      <c r="C21" s="46"/>
      <c r="D21" s="47" t="s">
        <v>38</v>
      </c>
      <c r="E21" s="47" t="s">
        <v>29</v>
      </c>
      <c r="F21" s="47" t="s">
        <v>30</v>
      </c>
      <c r="G21" s="47" t="s">
        <v>32</v>
      </c>
      <c r="H21" s="47" t="s">
        <v>23</v>
      </c>
      <c r="I21" s="290" t="s">
        <v>33</v>
      </c>
      <c r="J21" s="290"/>
      <c r="K21" s="310" t="s">
        <v>49</v>
      </c>
      <c r="L21" s="311"/>
      <c r="M21" s="48" t="s">
        <v>50</v>
      </c>
      <c r="N21" s="294" t="s">
        <v>56</v>
      </c>
      <c r="P21" s="46"/>
    </row>
    <row r="22" spans="1:24" s="44" customFormat="1" ht="21.75" customHeight="1">
      <c r="A22" s="43"/>
      <c r="C22" s="46"/>
      <c r="D22" s="300" t="s">
        <v>20</v>
      </c>
      <c r="E22" s="47" t="s">
        <v>34</v>
      </c>
      <c r="F22" s="47" t="s">
        <v>35</v>
      </c>
      <c r="G22" s="47" t="s">
        <v>36</v>
      </c>
      <c r="H22" s="47" t="s">
        <v>22</v>
      </c>
      <c r="I22" s="290" t="s">
        <v>37</v>
      </c>
      <c r="J22" s="290"/>
      <c r="K22" s="290" t="s">
        <v>46</v>
      </c>
      <c r="L22" s="290"/>
      <c r="M22" s="48" t="s">
        <v>51</v>
      </c>
      <c r="N22" s="295"/>
      <c r="P22" s="46"/>
    </row>
    <row r="23" spans="1:24" s="44" customFormat="1" ht="21.75" customHeight="1">
      <c r="A23" s="43"/>
      <c r="C23" s="46"/>
      <c r="D23" s="301"/>
      <c r="E23" s="47" t="s">
        <v>26</v>
      </c>
      <c r="F23" s="47" t="s">
        <v>39</v>
      </c>
      <c r="G23" s="47" t="s">
        <v>26</v>
      </c>
      <c r="H23" s="47" t="s">
        <v>40</v>
      </c>
      <c r="I23" s="290" t="s">
        <v>28</v>
      </c>
      <c r="J23" s="290"/>
      <c r="K23" s="290" t="s">
        <v>47</v>
      </c>
      <c r="L23" s="290"/>
      <c r="M23" s="49" t="s">
        <v>45</v>
      </c>
      <c r="N23" s="296"/>
      <c r="P23" s="46"/>
    </row>
    <row r="24" spans="1:24" s="44" customFormat="1" ht="21.75" customHeight="1">
      <c r="A24" s="43"/>
      <c r="C24" s="46"/>
      <c r="D24" s="47" t="s">
        <v>45</v>
      </c>
      <c r="E24" s="47" t="s">
        <v>45</v>
      </c>
      <c r="F24" s="47" t="s">
        <v>41</v>
      </c>
      <c r="G24" s="47" t="s">
        <v>42</v>
      </c>
      <c r="H24" s="47" t="s">
        <v>43</v>
      </c>
      <c r="I24" s="290" t="s">
        <v>44</v>
      </c>
      <c r="J24" s="290"/>
      <c r="K24" s="290" t="s">
        <v>48</v>
      </c>
      <c r="L24" s="290"/>
      <c r="M24" s="48" t="s">
        <v>52</v>
      </c>
      <c r="N24" s="47" t="s">
        <v>57</v>
      </c>
      <c r="P24" s="46"/>
    </row>
    <row r="25" spans="1:24" s="28" customFormat="1" ht="21.75" customHeight="1">
      <c r="A25" s="27"/>
      <c r="C25" s="63"/>
      <c r="D25" s="43">
        <v>1</v>
      </c>
      <c r="E25" s="53">
        <v>0</v>
      </c>
      <c r="F25" s="53">
        <f>E25*H$12+E25^2*H$13</f>
        <v>0</v>
      </c>
      <c r="G25" s="45">
        <f>H$12+2*E25*SQRT(1+H$13^2)</f>
        <v>4</v>
      </c>
      <c r="H25" s="45">
        <f>F25*(F25/G25)^(2/3)*H$14^0.5/H$15</f>
        <v>0</v>
      </c>
      <c r="I25" s="292">
        <f>E25+H$16</f>
        <v>26.08</v>
      </c>
      <c r="J25" s="292"/>
      <c r="K25" s="314">
        <v>0</v>
      </c>
      <c r="L25" s="314"/>
      <c r="M25" s="50">
        <v>0</v>
      </c>
      <c r="N25" s="56">
        <f>H12</f>
        <v>4</v>
      </c>
      <c r="O25" s="40"/>
      <c r="P25" s="70"/>
    </row>
    <row r="26" spans="1:24" s="28" customFormat="1" ht="21.75" customHeight="1">
      <c r="A26" s="27"/>
      <c r="C26" s="63"/>
      <c r="D26" s="43">
        <f>D25+1</f>
        <v>2</v>
      </c>
      <c r="E26" s="53">
        <f>E25+H$17/$G$20</f>
        <v>0.23699999999999999</v>
      </c>
      <c r="F26" s="53">
        <f t="shared" ref="F26:F35" si="0">E26*H$12+E26^2*H$13</f>
        <v>1.0322534999999999</v>
      </c>
      <c r="G26" s="45">
        <f t="shared" ref="G26:G35" si="1">H$12+2*E26*SQRT(1+H$13^2)</f>
        <v>4.8545156522849657</v>
      </c>
      <c r="H26" s="45">
        <f t="shared" ref="H26:H35" si="2">F26*(F26/G26)^(2/3)*H$14^0.5/H$15</f>
        <v>0.41507959438348691</v>
      </c>
      <c r="I26" s="292">
        <f t="shared" ref="I26:I34" si="3">E26+H$16</f>
        <v>26.316999999999997</v>
      </c>
      <c r="J26" s="292"/>
      <c r="K26" s="293">
        <f>H26/F26</f>
        <v>0.4021101351397568</v>
      </c>
      <c r="L26" s="293"/>
      <c r="M26" s="51">
        <f>K26/SQRT(9.81*E26)</f>
        <v>0.26371591685372964</v>
      </c>
      <c r="N26" s="51">
        <f>H$12+2*E26*H$13</f>
        <v>4.7110000000000003</v>
      </c>
      <c r="O26" s="40"/>
      <c r="P26" s="70"/>
    </row>
    <row r="27" spans="1:24" s="28" customFormat="1" ht="21.75" customHeight="1">
      <c r="A27" s="27"/>
      <c r="C27" s="63"/>
      <c r="D27" s="43">
        <f t="shared" ref="D27:D34" si="4">D26+1</f>
        <v>3</v>
      </c>
      <c r="E27" s="53">
        <f t="shared" ref="E27:E35" si="5">E26+H$17/$G$20</f>
        <v>0.47399999999999998</v>
      </c>
      <c r="F27" s="53">
        <f t="shared" si="0"/>
        <v>2.2330139999999998</v>
      </c>
      <c r="G27" s="45">
        <f t="shared" si="1"/>
        <v>5.7090313045699306</v>
      </c>
      <c r="H27" s="45">
        <f t="shared" si="2"/>
        <v>1.3480174296317831</v>
      </c>
      <c r="I27" s="292">
        <f t="shared" si="3"/>
        <v>26.553999999999998</v>
      </c>
      <c r="J27" s="292"/>
      <c r="K27" s="293">
        <f t="shared" ref="K27:K35" si="6">H27/F27</f>
        <v>0.60367621055299392</v>
      </c>
      <c r="L27" s="293"/>
      <c r="M27" s="51">
        <f t="shared" ref="M27:M35" si="7">K27/SQRT(9.81*E27)</f>
        <v>0.27994994541303464</v>
      </c>
      <c r="N27" s="51">
        <f t="shared" ref="N27:N35" si="8">H$12+2*E27*H$13</f>
        <v>5.4219999999999997</v>
      </c>
      <c r="O27" s="40"/>
      <c r="P27" s="70"/>
    </row>
    <row r="28" spans="1:24" s="28" customFormat="1" ht="21.75" customHeight="1">
      <c r="A28" s="27"/>
      <c r="C28" s="63"/>
      <c r="D28" s="43">
        <f t="shared" si="4"/>
        <v>4</v>
      </c>
      <c r="E28" s="53">
        <f t="shared" si="5"/>
        <v>0.71099999999999997</v>
      </c>
      <c r="F28" s="53">
        <f t="shared" si="0"/>
        <v>3.6022815000000001</v>
      </c>
      <c r="G28" s="45">
        <f t="shared" si="1"/>
        <v>6.5635469568548963</v>
      </c>
      <c r="H28" s="45">
        <f t="shared" si="2"/>
        <v>2.7255557041959579</v>
      </c>
      <c r="I28" s="292">
        <f t="shared" si="3"/>
        <v>26.790999999999997</v>
      </c>
      <c r="J28" s="292"/>
      <c r="K28" s="293">
        <f t="shared" si="6"/>
        <v>0.75661929924020588</v>
      </c>
      <c r="L28" s="293"/>
      <c r="M28" s="51">
        <f t="shared" si="7"/>
        <v>0.2864891050048996</v>
      </c>
      <c r="N28" s="51">
        <f t="shared" si="8"/>
        <v>6.133</v>
      </c>
      <c r="O28" s="40"/>
      <c r="P28" s="70"/>
    </row>
    <row r="29" spans="1:24" s="28" customFormat="1" ht="21.75" customHeight="1">
      <c r="A29" s="27"/>
      <c r="C29" s="63"/>
      <c r="D29" s="43">
        <f t="shared" si="4"/>
        <v>5</v>
      </c>
      <c r="E29" s="53">
        <f t="shared" si="5"/>
        <v>0.94799999999999995</v>
      </c>
      <c r="F29" s="53">
        <f t="shared" si="0"/>
        <v>5.1400559999999995</v>
      </c>
      <c r="G29" s="45">
        <f t="shared" si="1"/>
        <v>7.4180626091398612</v>
      </c>
      <c r="H29" s="45">
        <f t="shared" si="2"/>
        <v>4.5429448918475357</v>
      </c>
      <c r="I29" s="292">
        <f t="shared" si="3"/>
        <v>27.027999999999999</v>
      </c>
      <c r="J29" s="292"/>
      <c r="K29" s="293">
        <f t="shared" si="6"/>
        <v>0.8838317893516211</v>
      </c>
      <c r="L29" s="293"/>
      <c r="M29" s="51">
        <f t="shared" si="7"/>
        <v>0.28982173079562651</v>
      </c>
      <c r="N29" s="51">
        <f t="shared" si="8"/>
        <v>6.8439999999999994</v>
      </c>
      <c r="O29" s="40"/>
      <c r="P29" s="70"/>
    </row>
    <row r="30" spans="1:24" s="28" customFormat="1" ht="21.75" customHeight="1">
      <c r="A30" s="27"/>
      <c r="C30" s="63"/>
      <c r="D30" s="43">
        <f t="shared" si="4"/>
        <v>6</v>
      </c>
      <c r="E30" s="53">
        <f t="shared" si="5"/>
        <v>1.1850000000000001</v>
      </c>
      <c r="F30" s="53">
        <f t="shared" si="0"/>
        <v>6.8463375000000006</v>
      </c>
      <c r="G30" s="45">
        <f t="shared" si="1"/>
        <v>8.272578261424826</v>
      </c>
      <c r="H30" s="45">
        <f t="shared" si="2"/>
        <v>6.8116861867651988</v>
      </c>
      <c r="I30" s="292">
        <f t="shared" si="3"/>
        <v>27.264999999999997</v>
      </c>
      <c r="J30" s="292"/>
      <c r="K30" s="293">
        <f t="shared" si="6"/>
        <v>0.99493870799755313</v>
      </c>
      <c r="L30" s="293"/>
      <c r="M30" s="51">
        <f t="shared" si="7"/>
        <v>0.29181166496380373</v>
      </c>
      <c r="N30" s="51">
        <f t="shared" si="8"/>
        <v>7.5549999999999997</v>
      </c>
      <c r="O30" s="40"/>
      <c r="P30" s="70"/>
    </row>
    <row r="31" spans="1:24" s="28" customFormat="1" ht="21.75" customHeight="1">
      <c r="A31" s="27"/>
      <c r="C31" s="63"/>
      <c r="D31" s="43">
        <f t="shared" si="4"/>
        <v>7</v>
      </c>
      <c r="E31" s="53">
        <f t="shared" si="5"/>
        <v>1.4220000000000002</v>
      </c>
      <c r="F31" s="53">
        <f t="shared" si="0"/>
        <v>8.7211260000000017</v>
      </c>
      <c r="G31" s="45">
        <f t="shared" si="1"/>
        <v>9.1270939137097926</v>
      </c>
      <c r="H31" s="45">
        <f t="shared" si="2"/>
        <v>9.5495733667549914</v>
      </c>
      <c r="I31" s="292">
        <f t="shared" si="3"/>
        <v>27.501999999999999</v>
      </c>
      <c r="J31" s="292"/>
      <c r="K31" s="293">
        <f t="shared" si="6"/>
        <v>1.0949931656479897</v>
      </c>
      <c r="L31" s="293"/>
      <c r="M31" s="51">
        <f t="shared" si="7"/>
        <v>0.29317511668000079</v>
      </c>
      <c r="N31" s="51">
        <f t="shared" si="8"/>
        <v>8.266</v>
      </c>
      <c r="O31" s="40"/>
      <c r="P31" s="70"/>
      <c r="T31" s="62"/>
      <c r="U31"/>
      <c r="W31"/>
      <c r="X31"/>
    </row>
    <row r="32" spans="1:24" s="28" customFormat="1" ht="21.75" customHeight="1">
      <c r="A32" s="27"/>
      <c r="C32" s="63"/>
      <c r="D32" s="43">
        <f t="shared" si="4"/>
        <v>8</v>
      </c>
      <c r="E32" s="53">
        <f t="shared" si="5"/>
        <v>1.6590000000000003</v>
      </c>
      <c r="F32" s="53">
        <f t="shared" si="0"/>
        <v>10.764421500000003</v>
      </c>
      <c r="G32" s="45">
        <f t="shared" si="1"/>
        <v>9.9816095659947592</v>
      </c>
      <c r="H32" s="45">
        <f t="shared" si="2"/>
        <v>12.777193939127722</v>
      </c>
      <c r="I32" s="292">
        <f>E32+H$16</f>
        <v>27.738999999999997</v>
      </c>
      <c r="J32" s="292"/>
      <c r="K32" s="293">
        <f t="shared" si="6"/>
        <v>1.1869838002095809</v>
      </c>
      <c r="L32" s="293"/>
      <c r="M32" s="51">
        <f t="shared" si="7"/>
        <v>0.29423009710532771</v>
      </c>
      <c r="N32" s="51">
        <f t="shared" si="8"/>
        <v>8.9770000000000003</v>
      </c>
      <c r="O32" s="40"/>
      <c r="P32" s="70"/>
      <c r="U32"/>
      <c r="W32"/>
      <c r="X32"/>
    </row>
    <row r="33" spans="1:24" s="28" customFormat="1" ht="21.75" customHeight="1">
      <c r="A33" s="27"/>
      <c r="C33" s="63"/>
      <c r="D33" s="43">
        <f t="shared" si="4"/>
        <v>9</v>
      </c>
      <c r="E33" s="53">
        <f t="shared" si="5"/>
        <v>1.8960000000000004</v>
      </c>
      <c r="F33" s="53">
        <f t="shared" si="0"/>
        <v>12.976224000000002</v>
      </c>
      <c r="G33" s="45">
        <f t="shared" si="1"/>
        <v>10.836125218279726</v>
      </c>
      <c r="H33" s="45">
        <f t="shared" si="2"/>
        <v>16.516420343732907</v>
      </c>
      <c r="I33" s="292">
        <f t="shared" si="3"/>
        <v>27.975999999999999</v>
      </c>
      <c r="J33" s="292"/>
      <c r="K33" s="293">
        <f t="shared" si="6"/>
        <v>1.2728217656949283</v>
      </c>
      <c r="L33" s="293"/>
      <c r="M33" s="51">
        <f t="shared" si="7"/>
        <v>0.29513038413457343</v>
      </c>
      <c r="N33" s="51">
        <f t="shared" si="8"/>
        <v>9.6880000000000006</v>
      </c>
      <c r="O33" s="40"/>
      <c r="P33" s="70"/>
      <c r="U33"/>
      <c r="W33"/>
      <c r="X33"/>
    </row>
    <row r="34" spans="1:24" s="28" customFormat="1" ht="21.75" customHeight="1">
      <c r="A34" s="27"/>
      <c r="C34" s="63"/>
      <c r="D34" s="43">
        <f t="shared" si="4"/>
        <v>10</v>
      </c>
      <c r="E34" s="53">
        <f t="shared" si="5"/>
        <v>2.1330000000000005</v>
      </c>
      <c r="F34" s="53">
        <f t="shared" si="0"/>
        <v>15.356533500000005</v>
      </c>
      <c r="G34" s="45">
        <f t="shared" si="1"/>
        <v>11.690640870564691</v>
      </c>
      <c r="H34" s="45">
        <f t="shared" si="2"/>
        <v>20.789680745616707</v>
      </c>
      <c r="I34" s="292">
        <f t="shared" si="3"/>
        <v>28.212999999999997</v>
      </c>
      <c r="J34" s="292"/>
      <c r="K34" s="293">
        <f t="shared" si="6"/>
        <v>1.3538003707423099</v>
      </c>
      <c r="L34" s="293"/>
      <c r="M34" s="51">
        <f t="shared" si="7"/>
        <v>0.29595432926449566</v>
      </c>
      <c r="N34" s="51">
        <f t="shared" si="8"/>
        <v>10.399000000000001</v>
      </c>
      <c r="O34" s="40"/>
      <c r="P34" s="70"/>
      <c r="U34"/>
      <c r="W34"/>
      <c r="X34"/>
    </row>
    <row r="35" spans="1:24" s="28" customFormat="1" ht="21.75" customHeight="1">
      <c r="A35" s="27"/>
      <c r="C35" s="63"/>
      <c r="D35" s="57">
        <f>D34+1</f>
        <v>11</v>
      </c>
      <c r="E35" s="58">
        <f t="shared" si="5"/>
        <v>2.3700000000000006</v>
      </c>
      <c r="F35" s="58">
        <f t="shared" si="0"/>
        <v>17.905350000000006</v>
      </c>
      <c r="G35" s="59">
        <f t="shared" si="1"/>
        <v>12.545156522849656</v>
      </c>
      <c r="H35" s="59">
        <f t="shared" si="2"/>
        <v>25.619580581612414</v>
      </c>
      <c r="I35" s="291">
        <f>E35+H$16</f>
        <v>28.45</v>
      </c>
      <c r="J35" s="291"/>
      <c r="K35" s="315">
        <f t="shared" si="6"/>
        <v>1.4308338335532345</v>
      </c>
      <c r="L35" s="315"/>
      <c r="M35" s="60">
        <f t="shared" si="7"/>
        <v>0.29674302819345688</v>
      </c>
      <c r="N35" s="60">
        <f t="shared" si="8"/>
        <v>11.110000000000001</v>
      </c>
      <c r="O35" s="40"/>
      <c r="P35" s="70"/>
      <c r="R35" s="61"/>
      <c r="U35"/>
      <c r="W35"/>
      <c r="X35"/>
    </row>
    <row r="36" spans="1:24" s="2" customFormat="1" ht="21.75" customHeight="1">
      <c r="A36" s="36"/>
      <c r="C36" s="38"/>
      <c r="D36" s="38"/>
      <c r="E36" s="38"/>
      <c r="G36" s="39"/>
      <c r="H36" s="31"/>
      <c r="I36" s="31"/>
      <c r="J36" s="31"/>
      <c r="M36" s="37"/>
      <c r="P36" s="69"/>
      <c r="U36"/>
      <c r="V36"/>
      <c r="W36"/>
      <c r="X36"/>
    </row>
    <row r="37" spans="1:24" s="2" customFormat="1" ht="21.75" customHeight="1">
      <c r="A37" s="36"/>
      <c r="C37" s="38"/>
      <c r="D37" s="38"/>
      <c r="E37" s="38"/>
      <c r="G37" s="39"/>
      <c r="H37" s="31"/>
      <c r="I37" s="31"/>
      <c r="J37" s="31"/>
      <c r="M37" s="37"/>
      <c r="P37" s="69"/>
      <c r="U37"/>
      <c r="V37"/>
      <c r="W37"/>
      <c r="X37"/>
    </row>
    <row r="38" spans="1:24" s="2" customFormat="1" ht="21.75" customHeight="1">
      <c r="A38" s="36"/>
      <c r="C38" s="38"/>
      <c r="D38" s="38"/>
      <c r="E38" s="38"/>
      <c r="G38" s="39"/>
      <c r="H38" s="31"/>
      <c r="I38" s="31"/>
      <c r="J38" s="31"/>
      <c r="M38" s="37"/>
      <c r="P38" s="69"/>
      <c r="U38"/>
      <c r="V38"/>
      <c r="W38"/>
      <c r="X38"/>
    </row>
    <row r="39" spans="1:24" s="2" customFormat="1" ht="21.75" customHeight="1">
      <c r="A39" s="36"/>
      <c r="C39" s="38"/>
      <c r="D39" s="38"/>
      <c r="E39" s="38"/>
      <c r="G39" s="39"/>
      <c r="H39" s="31"/>
      <c r="I39" s="31"/>
      <c r="J39" s="31"/>
      <c r="M39" s="37"/>
      <c r="P39" s="69"/>
      <c r="U39"/>
      <c r="V39"/>
      <c r="W39"/>
      <c r="X39"/>
    </row>
    <row r="40" spans="1:24" s="2" customFormat="1" ht="21.75" customHeight="1">
      <c r="A40" s="36"/>
      <c r="C40" s="38"/>
      <c r="D40" s="38"/>
      <c r="E40" s="38"/>
      <c r="G40" s="39"/>
      <c r="H40" s="31"/>
      <c r="I40" s="31"/>
      <c r="J40" s="31"/>
      <c r="M40" s="37"/>
      <c r="P40" s="69"/>
      <c r="U40"/>
      <c r="V40"/>
      <c r="W40"/>
      <c r="X40"/>
    </row>
    <row r="41" spans="1:24" s="2" customFormat="1" ht="21.75" customHeight="1">
      <c r="A41" s="36"/>
      <c r="C41" s="38"/>
      <c r="D41" s="38"/>
      <c r="E41" s="38"/>
      <c r="G41" s="39"/>
      <c r="H41" s="31"/>
      <c r="I41" s="31"/>
      <c r="J41" s="31"/>
      <c r="M41" s="37"/>
      <c r="P41" s="69"/>
      <c r="U41"/>
      <c r="V41"/>
      <c r="W41"/>
      <c r="X41"/>
    </row>
    <row r="42" spans="1:24" s="2" customFormat="1" ht="21.75" customHeight="1">
      <c r="A42" s="36"/>
      <c r="C42" s="38"/>
      <c r="D42" s="38"/>
      <c r="E42" s="38"/>
      <c r="G42" s="39"/>
      <c r="H42" s="31"/>
      <c r="I42" s="31"/>
      <c r="J42" s="31"/>
      <c r="M42" s="37"/>
      <c r="P42" s="69"/>
    </row>
    <row r="43" spans="1:24" s="2" customFormat="1" ht="21.75" customHeight="1">
      <c r="A43" s="36"/>
      <c r="C43" s="38"/>
      <c r="D43" s="38"/>
      <c r="E43" s="38"/>
      <c r="G43" s="39"/>
      <c r="H43" s="31"/>
      <c r="I43" s="31"/>
      <c r="J43" s="31"/>
      <c r="M43" s="37"/>
      <c r="P43" s="69"/>
    </row>
    <row r="44" spans="1:24" s="2" customFormat="1" ht="21.75" customHeight="1">
      <c r="A44" s="36"/>
      <c r="C44" s="38"/>
      <c r="D44" s="38"/>
      <c r="E44" s="38"/>
      <c r="G44" s="39"/>
      <c r="H44" s="31"/>
      <c r="I44" s="31"/>
      <c r="J44" s="31"/>
      <c r="M44" s="37"/>
      <c r="P44" s="69"/>
    </row>
    <row r="45" spans="1:24" s="2" customFormat="1" ht="21.75" customHeight="1">
      <c r="A45" s="36"/>
      <c r="C45" s="38"/>
      <c r="D45" s="38"/>
      <c r="E45" s="38"/>
      <c r="G45" s="39"/>
      <c r="H45" s="31"/>
      <c r="I45" s="31"/>
      <c r="J45" s="31"/>
      <c r="M45" s="37"/>
      <c r="P45" s="69"/>
    </row>
    <row r="46" spans="1:24" s="2" customFormat="1" ht="21.75" customHeight="1">
      <c r="A46" s="36"/>
      <c r="C46" s="38"/>
      <c r="D46" s="38"/>
      <c r="E46" s="38"/>
      <c r="G46" s="39"/>
      <c r="H46" s="31"/>
      <c r="I46" s="31"/>
      <c r="J46" s="31"/>
      <c r="M46" s="37"/>
      <c r="P46" s="69"/>
    </row>
    <row r="47" spans="1:24" s="7" customFormat="1" ht="28.5" customHeight="1">
      <c r="A47" s="23"/>
      <c r="B47" s="5"/>
      <c r="C47" s="21"/>
      <c r="D47" s="21"/>
      <c r="E47" s="21"/>
      <c r="F47" s="5"/>
      <c r="G47" s="21"/>
      <c r="H47" s="24"/>
      <c r="I47" s="22"/>
      <c r="J47" s="25"/>
      <c r="K47" s="25"/>
      <c r="L47" s="26"/>
      <c r="M47" s="26"/>
      <c r="N47" s="312"/>
      <c r="O47" s="312"/>
      <c r="P47" s="313"/>
      <c r="Q47" s="5"/>
    </row>
  </sheetData>
  <mergeCells count="48">
    <mergeCell ref="N47:P47"/>
    <mergeCell ref="I25:J25"/>
    <mergeCell ref="I26:J26"/>
    <mergeCell ref="I27:J27"/>
    <mergeCell ref="I28:J28"/>
    <mergeCell ref="K29:L29"/>
    <mergeCell ref="I30:J30"/>
    <mergeCell ref="K27:L27"/>
    <mergeCell ref="K25:L25"/>
    <mergeCell ref="K26:L26"/>
    <mergeCell ref="I33:J33"/>
    <mergeCell ref="K30:L30"/>
    <mergeCell ref="K31:L31"/>
    <mergeCell ref="K32:L32"/>
    <mergeCell ref="I34:J34"/>
    <mergeCell ref="K35:L35"/>
    <mergeCell ref="M13:P13"/>
    <mergeCell ref="I21:J21"/>
    <mergeCell ref="M15:P15"/>
    <mergeCell ref="C14:F14"/>
    <mergeCell ref="M14:P14"/>
    <mergeCell ref="C17:F17"/>
    <mergeCell ref="M17:P17"/>
    <mergeCell ref="D20:F20"/>
    <mergeCell ref="K21:L21"/>
    <mergeCell ref="D22:D23"/>
    <mergeCell ref="I23:J23"/>
    <mergeCell ref="B5:F6"/>
    <mergeCell ref="C16:F16"/>
    <mergeCell ref="C15:F15"/>
    <mergeCell ref="C12:F12"/>
    <mergeCell ref="C13:F13"/>
    <mergeCell ref="M5:P5"/>
    <mergeCell ref="K24:L24"/>
    <mergeCell ref="I35:J35"/>
    <mergeCell ref="I31:J31"/>
    <mergeCell ref="I32:J32"/>
    <mergeCell ref="K28:L28"/>
    <mergeCell ref="K33:L33"/>
    <mergeCell ref="I29:J29"/>
    <mergeCell ref="I24:J24"/>
    <mergeCell ref="K34:L34"/>
    <mergeCell ref="I22:J22"/>
    <mergeCell ref="N21:N23"/>
    <mergeCell ref="M16:P16"/>
    <mergeCell ref="K22:L22"/>
    <mergeCell ref="K23:L23"/>
    <mergeCell ref="M12:P12"/>
  </mergeCells>
  <phoneticPr fontId="3" type="noConversion"/>
  <dataValidations disablePrompts="1" count="1">
    <dataValidation type="textLength" allowBlank="1" showInputMessage="1" showErrorMessage="1" sqref="N24:N35 P21:P35 O25:O35 O23 N47:P47" xr:uid="{AE65AD2C-4270-4DC8-A19F-089527A26957}">
      <formula1>0</formula1>
      <formula2>31</formula2>
    </dataValidation>
  </dataValidations>
  <pageMargins left="0.27" right="0.28000000000000003" top="0.25" bottom="0.42" header="0.25" footer="0.22"/>
  <pageSetup paperSize="9" scale="72" orientation="portrait" r:id="rId1"/>
  <headerFooter alignWithMargins="0">
    <oddFooter>&amp;L&amp;Z&amp;F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35CBD-0575-482B-B657-67C88203967D}">
  <sheetPr codeName="Sheet6">
    <tabColor rgb="FF00B0F0"/>
  </sheetPr>
  <dimension ref="A1:AF103"/>
  <sheetViews>
    <sheetView showGridLines="0" view="pageBreakPreview" zoomScaleNormal="100" zoomScaleSheetLayoutView="100" workbookViewId="0">
      <selection activeCell="K59" sqref="K59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77734375" style="90" customWidth="1"/>
    <col min="11" max="11" width="11.109375" style="90" bestFit="1" customWidth="1"/>
    <col min="12" max="12" width="11" style="90" customWidth="1"/>
    <col min="13" max="13" width="6.77734375" style="90" customWidth="1"/>
    <col min="14" max="14" width="4.44140625" style="90" customWidth="1"/>
    <col min="15" max="15" width="4.77734375" style="90" customWidth="1"/>
    <col min="16" max="16" width="4.21875" style="90" customWidth="1"/>
    <col min="17" max="17" width="7.6640625" style="90" customWidth="1"/>
    <col min="18" max="16384" width="8.88671875" style="90"/>
  </cols>
  <sheetData>
    <row r="1" spans="1:32" ht="27.75" customHeight="1">
      <c r="A1" s="88"/>
      <c r="B1" s="229" t="s">
        <v>0</v>
      </c>
      <c r="C1" s="11"/>
      <c r="D1" s="11"/>
      <c r="E1" s="11"/>
      <c r="F1" s="11"/>
      <c r="G1" s="11"/>
      <c r="H1" s="11"/>
      <c r="I1" s="11"/>
      <c r="J1" s="11"/>
      <c r="K1" s="11"/>
      <c r="L1" s="230"/>
      <c r="M1" s="71"/>
      <c r="N1" s="71"/>
      <c r="O1" s="71"/>
      <c r="P1" s="176"/>
      <c r="Q1" s="88"/>
    </row>
    <row r="2" spans="1:32" ht="27.75" customHeight="1">
      <c r="A2" s="91"/>
      <c r="B2" s="231">
        <f>InitailInput!B2</f>
        <v>0</v>
      </c>
      <c r="C2" s="7"/>
      <c r="D2" s="7"/>
      <c r="E2" s="7"/>
      <c r="F2" s="7"/>
      <c r="G2" s="7"/>
      <c r="H2" s="7"/>
      <c r="I2" s="7"/>
      <c r="J2" s="7"/>
      <c r="K2" s="7"/>
      <c r="L2" s="41"/>
      <c r="M2" s="73"/>
      <c r="N2" s="73"/>
      <c r="O2" s="73"/>
      <c r="P2" s="174"/>
      <c r="Q2" s="91"/>
    </row>
    <row r="3" spans="1:32" ht="27.75" customHeight="1">
      <c r="A3" s="91"/>
      <c r="B3" s="232"/>
      <c r="C3" s="5"/>
      <c r="D3" s="5"/>
      <c r="E3" s="5"/>
      <c r="F3" s="5"/>
      <c r="G3" s="5"/>
      <c r="H3" s="5"/>
      <c r="I3" s="5"/>
      <c r="J3" s="5"/>
      <c r="K3" s="5"/>
      <c r="L3" s="66"/>
      <c r="M3" s="75"/>
      <c r="N3" s="75"/>
      <c r="O3" s="75"/>
      <c r="P3" s="171"/>
      <c r="Q3" s="91"/>
    </row>
    <row r="4" spans="1:32" ht="27.75" customHeight="1">
      <c r="A4" s="91"/>
      <c r="B4" s="80" t="s">
        <v>8</v>
      </c>
      <c r="C4" s="11"/>
      <c r="D4" s="11"/>
      <c r="E4" s="11"/>
      <c r="F4" s="12"/>
      <c r="G4" s="83" t="s">
        <v>1</v>
      </c>
      <c r="H4" s="84"/>
      <c r="I4" s="318" t="s">
        <v>10</v>
      </c>
      <c r="J4" s="319"/>
      <c r="K4" s="13" t="s">
        <v>9</v>
      </c>
      <c r="L4" s="85">
        <f>InitailInput!L4</f>
        <v>0</v>
      </c>
      <c r="M4" s="86"/>
      <c r="N4" s="86"/>
      <c r="O4" s="86"/>
      <c r="P4" s="87"/>
      <c r="Q4" s="91"/>
    </row>
    <row r="5" spans="1:32" ht="27.75" customHeight="1">
      <c r="A5" s="91"/>
      <c r="B5" s="279" t="s">
        <v>538</v>
      </c>
      <c r="C5" s="280"/>
      <c r="D5" s="280"/>
      <c r="E5" s="280"/>
      <c r="F5" s="281"/>
      <c r="G5" s="83" t="s">
        <v>2</v>
      </c>
      <c r="H5" s="84"/>
      <c r="I5" s="318">
        <f>InitailInput!I5</f>
        <v>0</v>
      </c>
      <c r="J5" s="319"/>
      <c r="K5" s="13" t="s">
        <v>3</v>
      </c>
      <c r="L5" s="233">
        <f>InitailInput!L5</f>
        <v>0</v>
      </c>
      <c r="M5" s="285" t="s">
        <v>4</v>
      </c>
      <c r="N5" s="286"/>
      <c r="O5" s="286"/>
      <c r="P5" s="287"/>
      <c r="Q5" s="99"/>
      <c r="R5" s="3"/>
    </row>
    <row r="6" spans="1:32" ht="27.75" customHeight="1">
      <c r="A6" s="91"/>
      <c r="B6" s="282"/>
      <c r="C6" s="283"/>
      <c r="D6" s="283"/>
      <c r="E6" s="283"/>
      <c r="F6" s="284"/>
      <c r="G6" s="83" t="s">
        <v>5</v>
      </c>
      <c r="H6" s="84"/>
      <c r="I6" s="318">
        <f>InitailInput!I6</f>
        <v>0</v>
      </c>
      <c r="J6" s="319"/>
      <c r="K6" s="13" t="s">
        <v>3</v>
      </c>
      <c r="L6" s="227"/>
      <c r="M6" s="14"/>
      <c r="N6" s="15" t="s">
        <v>6</v>
      </c>
      <c r="O6" s="16"/>
      <c r="P6" s="94"/>
      <c r="Q6" s="100"/>
      <c r="R6" s="1"/>
    </row>
    <row r="7" spans="1:32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32" s="92" customFormat="1" ht="31.5" customHeight="1">
      <c r="A8" s="104"/>
      <c r="C8" s="105" t="s">
        <v>196</v>
      </c>
      <c r="Q8" s="104"/>
    </row>
    <row r="9" spans="1:32" s="92" customFormat="1" ht="24.75" customHeight="1">
      <c r="A9" s="104"/>
      <c r="C9" s="106" t="s">
        <v>195</v>
      </c>
      <c r="Q9" s="104"/>
    </row>
    <row r="10" spans="1:32" s="92" customFormat="1" ht="23.25" customHeight="1">
      <c r="A10" s="104"/>
      <c r="C10" s="108" t="s">
        <v>54</v>
      </c>
      <c r="D10" s="94"/>
      <c r="E10" s="94"/>
      <c r="F10" s="94"/>
      <c r="G10" s="94"/>
      <c r="H10" s="94"/>
      <c r="I10" s="109"/>
      <c r="J10" s="109"/>
      <c r="K10" s="109"/>
      <c r="L10" s="94"/>
      <c r="M10" s="94"/>
      <c r="N10" s="94"/>
      <c r="O10" s="94"/>
      <c r="P10" s="93"/>
      <c r="Q10" s="104"/>
    </row>
    <row r="11" spans="1:32" s="92" customFormat="1" ht="217.2" customHeight="1">
      <c r="A11" s="104"/>
      <c r="B11" s="117"/>
      <c r="C11" s="110"/>
      <c r="D11" s="89"/>
      <c r="E11" s="89"/>
      <c r="F11" s="89"/>
      <c r="G11" s="89" t="s">
        <v>61</v>
      </c>
      <c r="H11" s="89"/>
      <c r="I11" s="111"/>
      <c r="J11" s="111"/>
      <c r="K11" s="111"/>
      <c r="L11" s="89"/>
      <c r="M11" s="89"/>
      <c r="N11" s="89"/>
      <c r="O11" s="89"/>
      <c r="P11" s="117"/>
      <c r="Q11" s="104"/>
    </row>
    <row r="12" spans="1:32" s="92" customFormat="1" ht="23.25" customHeight="1">
      <c r="A12" s="104"/>
      <c r="C12" s="108" t="s">
        <v>63</v>
      </c>
      <c r="D12" s="94"/>
      <c r="E12" s="94"/>
      <c r="F12" s="94"/>
      <c r="G12" s="94"/>
      <c r="H12" s="94"/>
      <c r="I12" s="109"/>
      <c r="J12" s="109"/>
      <c r="K12" s="109"/>
      <c r="L12" s="94"/>
      <c r="M12" s="94"/>
      <c r="N12" s="94"/>
      <c r="O12" s="94"/>
      <c r="P12" s="93"/>
      <c r="Q12" s="104"/>
      <c r="AF12" s="92" t="s">
        <v>64</v>
      </c>
    </row>
    <row r="13" spans="1:32" s="92" customFormat="1" ht="21.75" customHeight="1">
      <c r="A13" s="104"/>
      <c r="C13" s="161"/>
      <c r="F13" s="160"/>
      <c r="G13" s="144"/>
      <c r="H13" s="144"/>
      <c r="K13" s="159"/>
      <c r="Q13" s="104"/>
    </row>
    <row r="14" spans="1:32" s="117" customFormat="1" ht="21.75" customHeight="1">
      <c r="A14" s="116"/>
      <c r="C14" s="117" t="s">
        <v>194</v>
      </c>
      <c r="E14" s="117" t="s">
        <v>193</v>
      </c>
      <c r="F14" s="164">
        <f>InitailInput!F23</f>
        <v>11.54</v>
      </c>
      <c r="G14" s="124" t="s">
        <v>40</v>
      </c>
      <c r="I14" s="126" t="s">
        <v>11</v>
      </c>
      <c r="J14" s="126"/>
      <c r="K14" s="288"/>
      <c r="L14" s="320"/>
      <c r="M14" s="320"/>
      <c r="N14" s="320"/>
      <c r="O14" s="320"/>
      <c r="P14" s="123"/>
      <c r="Q14" s="122"/>
    </row>
    <row r="15" spans="1:32" s="117" customFormat="1" ht="21.75" customHeight="1">
      <c r="A15" s="116"/>
      <c r="C15" s="117" t="s">
        <v>192</v>
      </c>
      <c r="E15" s="117" t="s">
        <v>191</v>
      </c>
      <c r="F15" s="127">
        <v>1.1499999999999999</v>
      </c>
      <c r="G15" s="124" t="s">
        <v>45</v>
      </c>
      <c r="I15" s="126" t="s">
        <v>11</v>
      </c>
      <c r="J15" s="126"/>
      <c r="K15" s="288"/>
      <c r="L15" s="320"/>
      <c r="M15" s="320"/>
      <c r="N15" s="320"/>
      <c r="O15" s="320"/>
      <c r="P15" s="123"/>
      <c r="Q15" s="122"/>
    </row>
    <row r="16" spans="1:32" s="117" customFormat="1" ht="21.75" customHeight="1">
      <c r="A16" s="116"/>
      <c r="C16" s="117" t="s">
        <v>190</v>
      </c>
      <c r="E16" s="117" t="s">
        <v>17</v>
      </c>
      <c r="F16" s="127">
        <f>InitailInput!F35*InitailInput!F34+(InitailInput!F35-1)*InitailInput!F36</f>
        <v>4.3</v>
      </c>
      <c r="G16" s="124" t="s">
        <v>26</v>
      </c>
      <c r="I16" s="126" t="s">
        <v>11</v>
      </c>
      <c r="J16" s="126"/>
      <c r="K16" s="288"/>
      <c r="L16" s="320"/>
      <c r="M16" s="320"/>
      <c r="N16" s="320"/>
      <c r="O16" s="320"/>
      <c r="P16" s="123"/>
      <c r="Q16" s="122"/>
    </row>
    <row r="17" spans="1:17" s="123" customFormat="1" ht="21.75" customHeight="1">
      <c r="A17" s="122"/>
      <c r="C17" s="276" t="s">
        <v>189</v>
      </c>
      <c r="D17" s="276"/>
      <c r="E17" s="117" t="s">
        <v>77</v>
      </c>
      <c r="F17" s="127">
        <v>1.1000000000000001</v>
      </c>
      <c r="G17" s="124" t="s">
        <v>45</v>
      </c>
      <c r="H17" s="124"/>
      <c r="I17" s="126" t="s">
        <v>11</v>
      </c>
      <c r="J17" s="126"/>
      <c r="K17" s="288"/>
      <c r="L17" s="320"/>
      <c r="M17" s="320"/>
      <c r="N17" s="320"/>
      <c r="O17" s="320"/>
      <c r="Q17" s="122"/>
    </row>
    <row r="18" spans="1:17" s="123" customFormat="1" ht="21.75" customHeight="1">
      <c r="A18" s="122"/>
      <c r="C18" s="276" t="s">
        <v>188</v>
      </c>
      <c r="D18" s="276"/>
      <c r="E18" s="117" t="s">
        <v>187</v>
      </c>
      <c r="F18" s="127">
        <f>InitailInput!F15</f>
        <v>26.18</v>
      </c>
      <c r="G18" s="124" t="s">
        <v>28</v>
      </c>
      <c r="H18" s="124"/>
      <c r="I18" s="126" t="s">
        <v>11</v>
      </c>
      <c r="J18" s="126"/>
      <c r="K18" s="288"/>
      <c r="L18" s="320"/>
      <c r="M18" s="320"/>
      <c r="N18" s="320"/>
      <c r="Q18" s="122"/>
    </row>
    <row r="19" spans="1:17" s="123" customFormat="1" ht="21.75" customHeight="1">
      <c r="A19" s="122"/>
      <c r="C19" s="276" t="s">
        <v>186</v>
      </c>
      <c r="D19" s="276"/>
      <c r="E19" s="117" t="s">
        <v>185</v>
      </c>
      <c r="F19" s="127">
        <f>InitailInput!F26</f>
        <v>26.08</v>
      </c>
      <c r="G19" s="124" t="s">
        <v>28</v>
      </c>
      <c r="H19" s="124"/>
      <c r="I19" s="126" t="s">
        <v>11</v>
      </c>
      <c r="J19" s="126"/>
      <c r="K19" s="288"/>
      <c r="L19" s="320"/>
      <c r="M19" s="320"/>
      <c r="N19" s="320"/>
      <c r="Q19" s="122"/>
    </row>
    <row r="20" spans="1:17" s="117" customFormat="1" ht="21.75" customHeight="1">
      <c r="A20" s="116"/>
      <c r="C20" s="276" t="s">
        <v>184</v>
      </c>
      <c r="D20" s="276"/>
      <c r="E20" s="163" t="s">
        <v>183</v>
      </c>
      <c r="F20" s="158">
        <v>0.1</v>
      </c>
      <c r="G20" s="124" t="s">
        <v>182</v>
      </c>
      <c r="I20" s="126" t="s">
        <v>11</v>
      </c>
      <c r="J20" s="126"/>
      <c r="K20" s="288"/>
      <c r="L20" s="320"/>
      <c r="M20" s="320"/>
      <c r="N20" s="320"/>
      <c r="O20" s="123"/>
      <c r="P20" s="123"/>
      <c r="Q20" s="122"/>
    </row>
    <row r="21" spans="1:17" s="117" customFormat="1" ht="21.75" customHeight="1">
      <c r="A21" s="116"/>
      <c r="C21" s="276" t="s">
        <v>68</v>
      </c>
      <c r="D21" s="276"/>
      <c r="E21" s="117" t="s">
        <v>181</v>
      </c>
      <c r="F21" s="127">
        <f>InitailInput!F34*InitailInput!F35</f>
        <v>3.5</v>
      </c>
      <c r="G21" s="124" t="s">
        <v>26</v>
      </c>
      <c r="I21" s="126" t="s">
        <v>11</v>
      </c>
      <c r="J21" s="126"/>
      <c r="K21" s="288"/>
      <c r="L21" s="320"/>
      <c r="M21" s="320"/>
      <c r="N21" s="320"/>
      <c r="O21" s="123"/>
      <c r="P21" s="123"/>
      <c r="Q21" s="122"/>
    </row>
    <row r="22" spans="1:17" s="117" customFormat="1" ht="18.75" customHeight="1">
      <c r="A22" s="116"/>
      <c r="C22" s="322" t="s">
        <v>180</v>
      </c>
      <c r="D22" s="322"/>
      <c r="F22" s="119"/>
      <c r="G22" s="120"/>
      <c r="H22" s="120"/>
      <c r="K22" s="121"/>
      <c r="Q22" s="116"/>
    </row>
    <row r="23" spans="1:17" s="117" customFormat="1" ht="21.75" customHeight="1">
      <c r="A23" s="116"/>
      <c r="C23" s="118"/>
      <c r="E23" s="131" t="s">
        <v>38</v>
      </c>
      <c r="F23" s="127" t="s">
        <v>179</v>
      </c>
      <c r="G23" s="316" t="s">
        <v>178</v>
      </c>
      <c r="H23" s="317"/>
      <c r="I23" s="316" t="s">
        <v>177</v>
      </c>
      <c r="J23" s="317"/>
      <c r="K23" s="121"/>
      <c r="Q23" s="116"/>
    </row>
    <row r="24" spans="1:17" s="117" customFormat="1" ht="21.75" customHeight="1">
      <c r="A24" s="116"/>
      <c r="C24" s="118"/>
      <c r="E24" s="131" t="s">
        <v>20</v>
      </c>
      <c r="F24" s="127" t="s">
        <v>75</v>
      </c>
      <c r="G24" s="316" t="s">
        <v>22</v>
      </c>
      <c r="H24" s="317"/>
      <c r="I24" s="316" t="s">
        <v>46</v>
      </c>
      <c r="J24" s="317"/>
      <c r="K24" s="121"/>
      <c r="Q24" s="116"/>
    </row>
    <row r="25" spans="1:17" s="117" customFormat="1" ht="21.75" customHeight="1">
      <c r="A25" s="116"/>
      <c r="C25" s="118"/>
      <c r="E25" s="131" t="s">
        <v>45</v>
      </c>
      <c r="F25" s="127" t="s">
        <v>28</v>
      </c>
      <c r="G25" s="316" t="s">
        <v>40</v>
      </c>
      <c r="H25" s="317"/>
      <c r="I25" s="316" t="s">
        <v>176</v>
      </c>
      <c r="J25" s="317"/>
      <c r="K25" s="121"/>
      <c r="Q25" s="116"/>
    </row>
    <row r="26" spans="1:17" s="117" customFormat="1" ht="21.75" customHeight="1">
      <c r="A26" s="116"/>
      <c r="C26" s="118"/>
      <c r="E26" s="131">
        <v>1</v>
      </c>
      <c r="F26" s="127">
        <f>MRCurve!I25</f>
        <v>26.08</v>
      </c>
      <c r="G26" s="316">
        <f>MRCurve!H25</f>
        <v>0</v>
      </c>
      <c r="H26" s="317"/>
      <c r="I26" s="316">
        <f>MRCurve!K25</f>
        <v>0</v>
      </c>
      <c r="J26" s="317"/>
      <c r="K26" s="121"/>
      <c r="Q26" s="116"/>
    </row>
    <row r="27" spans="1:17" s="117" customFormat="1" ht="21.75" customHeight="1">
      <c r="A27" s="116"/>
      <c r="C27" s="118"/>
      <c r="E27" s="131">
        <v>2</v>
      </c>
      <c r="F27" s="127">
        <f>MRCurve!I26</f>
        <v>26.316999999999997</v>
      </c>
      <c r="G27" s="316">
        <f>MRCurve!H26</f>
        <v>0.41507959438348691</v>
      </c>
      <c r="H27" s="317"/>
      <c r="I27" s="316">
        <f>MRCurve!K26</f>
        <v>0.4021101351397568</v>
      </c>
      <c r="J27" s="317"/>
      <c r="K27" s="121"/>
      <c r="Q27" s="116"/>
    </row>
    <row r="28" spans="1:17" s="117" customFormat="1" ht="21.75" customHeight="1">
      <c r="A28" s="116"/>
      <c r="C28" s="118"/>
      <c r="E28" s="131">
        <v>3</v>
      </c>
      <c r="F28" s="127">
        <f>MRCurve!I27</f>
        <v>26.553999999999998</v>
      </c>
      <c r="G28" s="316">
        <f>MRCurve!H27</f>
        <v>1.3480174296317831</v>
      </c>
      <c r="H28" s="317"/>
      <c r="I28" s="316">
        <f>MRCurve!K27</f>
        <v>0.60367621055299392</v>
      </c>
      <c r="J28" s="317"/>
      <c r="K28" s="121"/>
      <c r="Q28" s="116"/>
    </row>
    <row r="29" spans="1:17" s="117" customFormat="1" ht="21.75" customHeight="1">
      <c r="A29" s="116"/>
      <c r="C29" s="118"/>
      <c r="E29" s="131">
        <v>4</v>
      </c>
      <c r="F29" s="127">
        <f>MRCurve!I28</f>
        <v>26.790999999999997</v>
      </c>
      <c r="G29" s="316">
        <f>MRCurve!H28</f>
        <v>2.7255557041959579</v>
      </c>
      <c r="H29" s="317"/>
      <c r="I29" s="316">
        <f>MRCurve!K28</f>
        <v>0.75661929924020588</v>
      </c>
      <c r="J29" s="317"/>
      <c r="K29" s="121"/>
      <c r="Q29" s="116"/>
    </row>
    <row r="30" spans="1:17" s="117" customFormat="1" ht="21.75" customHeight="1">
      <c r="A30" s="116"/>
      <c r="C30" s="118"/>
      <c r="E30" s="131">
        <v>5</v>
      </c>
      <c r="F30" s="127">
        <f>MRCurve!I29</f>
        <v>27.027999999999999</v>
      </c>
      <c r="G30" s="316">
        <f>MRCurve!H29</f>
        <v>4.5429448918475357</v>
      </c>
      <c r="H30" s="317"/>
      <c r="I30" s="316">
        <f>MRCurve!K29</f>
        <v>0.8838317893516211</v>
      </c>
      <c r="J30" s="317"/>
      <c r="K30" s="121"/>
      <c r="Q30" s="116"/>
    </row>
    <row r="31" spans="1:17" s="117" customFormat="1" ht="21.75" customHeight="1">
      <c r="A31" s="116"/>
      <c r="C31" s="118"/>
      <c r="E31" s="131">
        <v>6</v>
      </c>
      <c r="F31" s="127">
        <f>MRCurve!I30</f>
        <v>27.264999999999997</v>
      </c>
      <c r="G31" s="316">
        <f>MRCurve!H30</f>
        <v>6.8116861867651988</v>
      </c>
      <c r="H31" s="317"/>
      <c r="I31" s="316">
        <f>MRCurve!K30</f>
        <v>0.99493870799755313</v>
      </c>
      <c r="J31" s="317"/>
      <c r="K31" s="121"/>
      <c r="Q31" s="116"/>
    </row>
    <row r="32" spans="1:17" s="117" customFormat="1" ht="21.75" customHeight="1">
      <c r="A32" s="116"/>
      <c r="C32" s="118"/>
      <c r="E32" s="131">
        <v>7</v>
      </c>
      <c r="F32" s="127">
        <f>MRCurve!I31</f>
        <v>27.501999999999999</v>
      </c>
      <c r="G32" s="316">
        <f>MRCurve!H31</f>
        <v>9.5495733667549914</v>
      </c>
      <c r="H32" s="317"/>
      <c r="I32" s="316">
        <f>MRCurve!K31</f>
        <v>1.0949931656479897</v>
      </c>
      <c r="J32" s="317"/>
      <c r="K32" s="121"/>
      <c r="Q32" s="116"/>
    </row>
    <row r="33" spans="1:32" s="117" customFormat="1" ht="21.75" customHeight="1">
      <c r="A33" s="116"/>
      <c r="C33" s="118"/>
      <c r="E33" s="131">
        <v>8</v>
      </c>
      <c r="F33" s="127">
        <f>MRCurve!I32</f>
        <v>27.738999999999997</v>
      </c>
      <c r="G33" s="316">
        <f>MRCurve!H32</f>
        <v>12.777193939127722</v>
      </c>
      <c r="H33" s="317"/>
      <c r="I33" s="316">
        <f>MRCurve!K32</f>
        <v>1.1869838002095809</v>
      </c>
      <c r="J33" s="317"/>
      <c r="K33" s="121"/>
      <c r="Q33" s="116"/>
    </row>
    <row r="34" spans="1:32" s="117" customFormat="1" ht="21.75" customHeight="1">
      <c r="A34" s="116"/>
      <c r="C34" s="118"/>
      <c r="E34" s="131">
        <v>9</v>
      </c>
      <c r="F34" s="127">
        <f>MRCurve!I33</f>
        <v>27.975999999999999</v>
      </c>
      <c r="G34" s="316">
        <f>MRCurve!H33</f>
        <v>16.516420343732907</v>
      </c>
      <c r="H34" s="317"/>
      <c r="I34" s="316">
        <f>MRCurve!K33</f>
        <v>1.2728217656949283</v>
      </c>
      <c r="J34" s="317"/>
      <c r="K34" s="121"/>
      <c r="Q34" s="116"/>
    </row>
    <row r="35" spans="1:32" s="117" customFormat="1" ht="21.75" customHeight="1">
      <c r="A35" s="116"/>
      <c r="C35" s="118"/>
      <c r="E35" s="131">
        <v>10</v>
      </c>
      <c r="F35" s="127">
        <f>MRCurve!I34</f>
        <v>28.212999999999997</v>
      </c>
      <c r="G35" s="316">
        <f>MRCurve!H34</f>
        <v>20.789680745616707</v>
      </c>
      <c r="H35" s="317"/>
      <c r="I35" s="316">
        <f>MRCurve!K34</f>
        <v>1.3538003707423099</v>
      </c>
      <c r="J35" s="317"/>
      <c r="K35" s="121"/>
      <c r="Q35" s="116"/>
    </row>
    <row r="36" spans="1:32" s="117" customFormat="1" ht="21.75" customHeight="1">
      <c r="A36" s="116"/>
      <c r="C36" s="118"/>
      <c r="E36" s="131">
        <v>11</v>
      </c>
      <c r="F36" s="127">
        <f>MRCurve!I35</f>
        <v>28.45</v>
      </c>
      <c r="G36" s="316">
        <f>MRCurve!H35</f>
        <v>25.619580581612414</v>
      </c>
      <c r="H36" s="317"/>
      <c r="I36" s="316">
        <f>MRCurve!K35</f>
        <v>1.4308338335532345</v>
      </c>
      <c r="J36" s="317"/>
      <c r="K36" s="121"/>
      <c r="Q36" s="116"/>
    </row>
    <row r="37" spans="1:32" s="92" customFormat="1" ht="23.25" customHeight="1">
      <c r="A37" s="104"/>
      <c r="C37" s="108" t="s">
        <v>175</v>
      </c>
      <c r="D37" s="94"/>
      <c r="E37" s="94"/>
      <c r="F37" s="94"/>
      <c r="G37" s="94"/>
      <c r="H37" s="94"/>
      <c r="I37" s="109"/>
      <c r="J37" s="109"/>
      <c r="K37" s="109"/>
      <c r="L37" s="94"/>
      <c r="M37" s="94"/>
      <c r="N37" s="94"/>
      <c r="O37" s="94"/>
      <c r="P37" s="93"/>
      <c r="Q37" s="104"/>
      <c r="AF37" s="92" t="s">
        <v>64</v>
      </c>
    </row>
    <row r="38" spans="1:32" s="92" customFormat="1" ht="21.75" customHeight="1">
      <c r="A38" s="104"/>
      <c r="C38" s="161"/>
      <c r="F38" s="160"/>
      <c r="G38" s="144"/>
      <c r="H38" s="144"/>
      <c r="K38" s="126" t="s">
        <v>11</v>
      </c>
      <c r="Q38" s="104"/>
    </row>
    <row r="39" spans="1:32" s="117" customFormat="1" ht="21.75" customHeight="1">
      <c r="A39" s="116"/>
      <c r="C39" s="118" t="s">
        <v>174</v>
      </c>
      <c r="F39" s="119"/>
      <c r="G39" s="120"/>
      <c r="H39" s="120"/>
      <c r="K39" s="121"/>
      <c r="Q39" s="116"/>
    </row>
    <row r="40" spans="1:32" s="117" customFormat="1" ht="21.75" customHeight="1">
      <c r="A40" s="116"/>
      <c r="C40" s="276" t="s">
        <v>163</v>
      </c>
      <c r="D40" s="267"/>
      <c r="E40" s="117" t="s">
        <v>173</v>
      </c>
      <c r="F40" s="158">
        <v>0.1</v>
      </c>
      <c r="G40" s="124"/>
      <c r="I40" s="126"/>
      <c r="J40" s="126"/>
      <c r="K40" s="288"/>
      <c r="L40" s="320"/>
      <c r="M40" s="320"/>
      <c r="N40" s="320"/>
      <c r="O40" s="320"/>
      <c r="P40" s="123"/>
      <c r="Q40" s="122"/>
      <c r="T40" s="117" t="s">
        <v>172</v>
      </c>
    </row>
    <row r="41" spans="1:32" s="117" customFormat="1" ht="21.75" customHeight="1">
      <c r="A41" s="116"/>
      <c r="C41" s="117" t="s">
        <v>162</v>
      </c>
      <c r="E41" s="117" t="s">
        <v>171</v>
      </c>
      <c r="F41" s="158">
        <v>0</v>
      </c>
      <c r="G41" s="124"/>
      <c r="I41" s="126"/>
      <c r="J41" s="126"/>
      <c r="K41" s="288"/>
      <c r="L41" s="320"/>
      <c r="M41" s="320"/>
      <c r="N41" s="320"/>
      <c r="O41" s="320"/>
      <c r="P41" s="123"/>
      <c r="Q41" s="122"/>
    </row>
    <row r="42" spans="1:32" s="117" customFormat="1" ht="21.75" customHeight="1">
      <c r="A42" s="116"/>
      <c r="C42" s="117" t="s">
        <v>560</v>
      </c>
      <c r="E42" s="117" t="s">
        <v>167</v>
      </c>
      <c r="F42" s="125">
        <f>InitailInput!F13</f>
        <v>27.76</v>
      </c>
      <c r="G42" s="124" t="s">
        <v>28</v>
      </c>
      <c r="I42" s="126"/>
      <c r="J42" s="126"/>
      <c r="K42" s="288"/>
      <c r="L42" s="320"/>
      <c r="M42" s="320"/>
      <c r="N42" s="320"/>
      <c r="O42" s="320"/>
      <c r="P42" s="123"/>
      <c r="Q42" s="122"/>
      <c r="S42" s="157">
        <f>F42/0.3048</f>
        <v>91.076115485564301</v>
      </c>
      <c r="T42" s="117" t="s">
        <v>159</v>
      </c>
      <c r="U42" s="117" t="s">
        <v>13</v>
      </c>
      <c r="V42" s="117" t="s">
        <v>15</v>
      </c>
      <c r="W42" s="117" t="s">
        <v>158</v>
      </c>
      <c r="Y42" s="117" t="s">
        <v>157</v>
      </c>
    </row>
    <row r="43" spans="1:32" s="117" customFormat="1" ht="21.75" customHeight="1">
      <c r="A43" s="116"/>
      <c r="C43" s="276" t="s">
        <v>157</v>
      </c>
      <c r="D43" s="276"/>
      <c r="E43" s="117" t="s">
        <v>166</v>
      </c>
      <c r="F43" s="125">
        <f>Y43</f>
        <v>0.19533411833971126</v>
      </c>
      <c r="G43" s="124" t="s">
        <v>132</v>
      </c>
      <c r="I43" s="126"/>
      <c r="J43" s="126"/>
      <c r="K43" s="288"/>
      <c r="L43" s="320"/>
      <c r="M43" s="320"/>
      <c r="N43" s="320"/>
      <c r="O43" s="123"/>
      <c r="P43" s="123"/>
      <c r="Q43" s="122"/>
      <c r="T43" s="156">
        <f>F16</f>
        <v>4.3</v>
      </c>
      <c r="U43" s="124">
        <v>0</v>
      </c>
      <c r="V43" s="155">
        <f>F18</f>
        <v>26.18</v>
      </c>
      <c r="W43" s="155">
        <f>F42-V43</f>
        <v>1.5800000000000018</v>
      </c>
      <c r="X43" s="155">
        <f>W43*T43+U43*W43^2</f>
        <v>6.7940000000000076</v>
      </c>
      <c r="Y43" s="154">
        <f>F76/X43</f>
        <v>0.19533411833971126</v>
      </c>
    </row>
    <row r="44" spans="1:32" s="117" customFormat="1" ht="21.75" customHeight="1">
      <c r="A44" s="116"/>
      <c r="C44" s="276" t="s">
        <v>155</v>
      </c>
      <c r="D44" s="276"/>
      <c r="E44" s="117" t="s">
        <v>154</v>
      </c>
      <c r="F44" s="125">
        <f>F54</f>
        <v>13.270999999999997</v>
      </c>
      <c r="G44" s="124" t="s">
        <v>108</v>
      </c>
      <c r="I44" s="126"/>
      <c r="J44" s="126"/>
      <c r="K44" s="288"/>
      <c r="L44" s="320"/>
      <c r="M44" s="320"/>
      <c r="N44" s="320"/>
      <c r="O44" s="123"/>
      <c r="P44" s="123"/>
      <c r="Q44" s="122"/>
      <c r="W44" s="153"/>
    </row>
    <row r="45" spans="1:32" s="123" customFormat="1" ht="21.75" customHeight="1">
      <c r="A45" s="122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22"/>
    </row>
    <row r="46" spans="1:32" s="92" customFormat="1" ht="23.25" customHeight="1">
      <c r="A46" s="104"/>
      <c r="C46" s="108" t="s">
        <v>170</v>
      </c>
      <c r="D46" s="94"/>
      <c r="E46" s="94"/>
      <c r="F46" s="94"/>
      <c r="G46" s="94"/>
      <c r="H46" s="94"/>
      <c r="I46" s="109"/>
      <c r="J46" s="109"/>
      <c r="K46" s="109"/>
      <c r="L46" s="94"/>
      <c r="M46" s="94"/>
      <c r="N46" s="94"/>
      <c r="O46" s="94"/>
      <c r="P46" s="93"/>
      <c r="Q46" s="104"/>
      <c r="AF46" s="92" t="s">
        <v>64</v>
      </c>
    </row>
    <row r="47" spans="1:32" s="92" customFormat="1" ht="21.75" customHeight="1">
      <c r="A47" s="104"/>
      <c r="C47" s="161"/>
      <c r="F47" s="160"/>
      <c r="G47" s="144"/>
      <c r="H47" s="144"/>
      <c r="K47" s="126" t="s">
        <v>11</v>
      </c>
      <c r="Q47" s="104"/>
    </row>
    <row r="48" spans="1:32" s="117" customFormat="1" ht="21.75" customHeight="1">
      <c r="A48" s="116"/>
      <c r="C48" s="118" t="s">
        <v>169</v>
      </c>
      <c r="F48" s="119"/>
      <c r="G48" s="120"/>
      <c r="H48" s="120"/>
      <c r="I48" s="92"/>
      <c r="J48" s="92"/>
      <c r="L48" s="92"/>
      <c r="M48" s="92"/>
      <c r="N48" s="92"/>
      <c r="O48" s="92"/>
      <c r="Q48" s="116"/>
    </row>
    <row r="49" spans="1:32" s="117" customFormat="1" ht="21.75" customHeight="1">
      <c r="A49" s="116"/>
      <c r="C49" s="276" t="s">
        <v>163</v>
      </c>
      <c r="D49" s="267"/>
      <c r="F49" s="158">
        <v>1</v>
      </c>
      <c r="G49" s="124"/>
      <c r="K49" s="121"/>
      <c r="P49" s="123"/>
      <c r="Q49" s="122"/>
    </row>
    <row r="50" spans="1:32" s="117" customFormat="1" ht="21.75" customHeight="1">
      <c r="A50" s="116"/>
      <c r="C50" s="117" t="s">
        <v>162</v>
      </c>
      <c r="F50" s="158">
        <v>1</v>
      </c>
      <c r="G50" s="124"/>
      <c r="I50" s="126"/>
      <c r="J50" s="126"/>
      <c r="K50" s="288"/>
      <c r="L50" s="320"/>
      <c r="M50" s="320"/>
      <c r="N50" s="320"/>
      <c r="O50" s="320"/>
      <c r="P50" s="123"/>
      <c r="Q50" s="122"/>
    </row>
    <row r="51" spans="1:32" s="117" customFormat="1" ht="21.75" customHeight="1">
      <c r="A51" s="116"/>
      <c r="C51" s="118" t="s">
        <v>168</v>
      </c>
      <c r="F51" s="119"/>
      <c r="G51" s="120"/>
      <c r="H51" s="120"/>
      <c r="I51" s="126"/>
      <c r="J51" s="126"/>
      <c r="K51" s="288"/>
      <c r="L51" s="320"/>
      <c r="M51" s="320"/>
      <c r="N51" s="320"/>
      <c r="O51" s="320"/>
      <c r="Q51" s="116"/>
    </row>
    <row r="52" spans="1:32" s="117" customFormat="1" ht="21.75" customHeight="1">
      <c r="A52" s="116"/>
      <c r="C52" s="117" t="s">
        <v>560</v>
      </c>
      <c r="E52" s="117" t="s">
        <v>167</v>
      </c>
      <c r="F52" s="127">
        <f>InitailInput!F13</f>
        <v>27.76</v>
      </c>
      <c r="G52" s="124" t="s">
        <v>28</v>
      </c>
      <c r="I52" s="126"/>
      <c r="J52" s="126"/>
      <c r="K52" s="288"/>
      <c r="L52" s="320"/>
      <c r="M52" s="320"/>
      <c r="N52" s="320"/>
      <c r="O52" s="320"/>
      <c r="P52" s="123"/>
      <c r="Q52" s="122"/>
      <c r="S52" s="157">
        <f>F52/0.3048</f>
        <v>91.076115485564301</v>
      </c>
      <c r="T52" s="117" t="s">
        <v>159</v>
      </c>
      <c r="U52" s="117" t="s">
        <v>13</v>
      </c>
      <c r="V52" s="117" t="s">
        <v>15</v>
      </c>
      <c r="W52" s="117" t="s">
        <v>158</v>
      </c>
      <c r="Y52" s="117" t="s">
        <v>157</v>
      </c>
    </row>
    <row r="53" spans="1:32" s="117" customFormat="1" ht="21.75" customHeight="1">
      <c r="A53" s="116"/>
      <c r="C53" s="117" t="s">
        <v>157</v>
      </c>
      <c r="E53" s="117" t="s">
        <v>166</v>
      </c>
      <c r="F53" s="127">
        <f>Y53</f>
        <v>1.9533411833971126</v>
      </c>
      <c r="G53" s="124" t="s">
        <v>132</v>
      </c>
      <c r="I53" s="126"/>
      <c r="J53" s="126"/>
      <c r="K53" s="288"/>
      <c r="L53" s="320"/>
      <c r="M53" s="320"/>
      <c r="N53" s="320"/>
      <c r="O53" s="123"/>
      <c r="P53" s="123"/>
      <c r="Q53" s="122"/>
      <c r="R53" s="117">
        <f>F53*3.28081</f>
        <v>6.4085412879010804</v>
      </c>
      <c r="T53" s="156">
        <f>T43</f>
        <v>4.3</v>
      </c>
      <c r="U53" s="124">
        <v>0</v>
      </c>
      <c r="V53" s="155">
        <f>V43</f>
        <v>26.18</v>
      </c>
      <c r="W53" s="155">
        <f>F52-V53</f>
        <v>1.5800000000000018</v>
      </c>
      <c r="X53" s="155">
        <f>W53*T53+U53*W53^2</f>
        <v>6.7940000000000076</v>
      </c>
      <c r="Y53" s="154">
        <f>F81/X53</f>
        <v>1.9533411833971126</v>
      </c>
    </row>
    <row r="54" spans="1:32" s="117" customFormat="1" ht="21.75" customHeight="1">
      <c r="A54" s="116"/>
      <c r="C54" s="276" t="s">
        <v>155</v>
      </c>
      <c r="D54" s="276"/>
      <c r="E54" s="117" t="s">
        <v>154</v>
      </c>
      <c r="F54" s="162">
        <f>'Slide Gate'!F48</f>
        <v>13.270999999999997</v>
      </c>
      <c r="G54" s="124" t="s">
        <v>108</v>
      </c>
      <c r="I54" s="126"/>
      <c r="J54" s="126"/>
      <c r="K54" s="288"/>
      <c r="L54" s="320"/>
      <c r="M54" s="320"/>
      <c r="N54" s="320"/>
      <c r="O54" s="123"/>
      <c r="P54" s="123"/>
      <c r="Q54" s="122"/>
      <c r="W54" s="153"/>
    </row>
    <row r="55" spans="1:32" s="123" customFormat="1" ht="21.75" customHeight="1">
      <c r="A55" s="122"/>
      <c r="B55" s="117"/>
      <c r="C55" s="117"/>
      <c r="D55" s="117"/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22"/>
    </row>
    <row r="56" spans="1:32" s="92" customFormat="1" ht="23.25" customHeight="1">
      <c r="A56" s="104"/>
      <c r="C56" s="108" t="s">
        <v>165</v>
      </c>
      <c r="D56" s="94"/>
      <c r="E56" s="94"/>
      <c r="F56" s="94"/>
      <c r="G56" s="94"/>
      <c r="H56" s="94"/>
      <c r="I56" s="109"/>
      <c r="J56" s="109"/>
      <c r="K56" s="109"/>
      <c r="L56" s="94"/>
      <c r="M56" s="94"/>
      <c r="N56" s="94"/>
      <c r="O56" s="94"/>
      <c r="P56" s="93"/>
      <c r="Q56" s="104"/>
      <c r="AF56" s="92" t="s">
        <v>64</v>
      </c>
    </row>
    <row r="57" spans="1:32" s="92" customFormat="1" ht="21.75" customHeight="1">
      <c r="A57" s="104"/>
      <c r="C57" s="161"/>
      <c r="F57" s="160"/>
      <c r="G57" s="144"/>
      <c r="H57" s="144"/>
      <c r="K57" s="126" t="s">
        <v>11</v>
      </c>
      <c r="Q57" s="104"/>
    </row>
    <row r="58" spans="1:32" s="117" customFormat="1" ht="21.75" customHeight="1">
      <c r="A58" s="116"/>
      <c r="C58" s="118" t="s">
        <v>164</v>
      </c>
      <c r="F58" s="119"/>
      <c r="G58" s="120"/>
      <c r="H58" s="120"/>
      <c r="I58" s="92"/>
      <c r="J58" s="92"/>
      <c r="L58" s="92"/>
      <c r="M58" s="92"/>
      <c r="N58" s="92"/>
      <c r="O58" s="92"/>
      <c r="Q58" s="116"/>
    </row>
    <row r="59" spans="1:32" s="117" customFormat="1" ht="21.75" customHeight="1">
      <c r="A59" s="116"/>
      <c r="C59" s="276" t="s">
        <v>163</v>
      </c>
      <c r="D59" s="267"/>
      <c r="F59" s="158">
        <v>1.2</v>
      </c>
      <c r="G59" s="124"/>
      <c r="K59" s="121"/>
      <c r="P59" s="123"/>
      <c r="Q59" s="122"/>
    </row>
    <row r="60" spans="1:32" s="117" customFormat="1" ht="21.75" customHeight="1">
      <c r="A60" s="116"/>
      <c r="C60" s="117" t="s">
        <v>162</v>
      </c>
      <c r="F60" s="158">
        <v>0.7</v>
      </c>
      <c r="G60" s="124"/>
      <c r="I60" s="126"/>
      <c r="J60" s="126"/>
      <c r="K60" s="288"/>
      <c r="L60" s="288"/>
      <c r="M60" s="288"/>
      <c r="N60" s="288"/>
      <c r="O60" s="288"/>
      <c r="P60" s="123"/>
      <c r="Q60" s="122"/>
    </row>
    <row r="61" spans="1:32" s="117" customFormat="1" ht="21.75" customHeight="1">
      <c r="A61" s="116"/>
      <c r="C61" s="118" t="s">
        <v>161</v>
      </c>
      <c r="F61" s="119"/>
      <c r="G61" s="120"/>
      <c r="H61" s="120"/>
      <c r="I61" s="126"/>
      <c r="J61" s="126"/>
      <c r="K61" s="288"/>
      <c r="L61" s="288"/>
      <c r="M61" s="288"/>
      <c r="N61" s="288"/>
      <c r="O61" s="288"/>
      <c r="Q61" s="116"/>
    </row>
    <row r="62" spans="1:32" s="117" customFormat="1" ht="21.75" customHeight="1">
      <c r="A62" s="116"/>
      <c r="C62" s="117" t="s">
        <v>560</v>
      </c>
      <c r="E62" s="117" t="s">
        <v>160</v>
      </c>
      <c r="F62" s="125">
        <f>[3]Calc!$F$28</f>
        <v>27.762420700000028</v>
      </c>
      <c r="G62" s="124" t="s">
        <v>28</v>
      </c>
      <c r="I62" s="126"/>
      <c r="J62" s="126"/>
      <c r="K62" s="288"/>
      <c r="L62" s="288"/>
      <c r="M62" s="288"/>
      <c r="N62" s="288"/>
      <c r="O62" s="288"/>
      <c r="P62" s="123"/>
      <c r="Q62" s="122"/>
      <c r="S62" s="157">
        <f>F62/0.3048</f>
        <v>91.08405741469825</v>
      </c>
      <c r="T62" s="117" t="s">
        <v>159</v>
      </c>
      <c r="U62" s="117" t="s">
        <v>13</v>
      </c>
      <c r="V62" s="117" t="s">
        <v>15</v>
      </c>
      <c r="W62" s="117" t="s">
        <v>158</v>
      </c>
      <c r="Y62" s="117" t="s">
        <v>157</v>
      </c>
    </row>
    <row r="63" spans="1:32" s="117" customFormat="1" ht="21.75" customHeight="1">
      <c r="A63" s="116"/>
      <c r="C63" s="276" t="s">
        <v>157</v>
      </c>
      <c r="D63" s="276"/>
      <c r="E63" s="117" t="s">
        <v>156</v>
      </c>
      <c r="F63" s="125">
        <f>Y63</f>
        <v>2.3404236836138854</v>
      </c>
      <c r="G63" s="124" t="s">
        <v>132</v>
      </c>
      <c r="I63" s="126"/>
      <c r="J63" s="126"/>
      <c r="K63" s="288"/>
      <c r="L63" s="288"/>
      <c r="M63" s="288"/>
      <c r="N63" s="288"/>
      <c r="O63" s="123"/>
      <c r="P63" s="123"/>
      <c r="Q63" s="122"/>
      <c r="T63" s="156">
        <f>T53</f>
        <v>4.3</v>
      </c>
      <c r="U63" s="124">
        <v>0</v>
      </c>
      <c r="V63" s="155">
        <f>F18</f>
        <v>26.18</v>
      </c>
      <c r="W63" s="155">
        <f>F62-V63</f>
        <v>1.5824207000000285</v>
      </c>
      <c r="X63" s="155">
        <f>W63*T63+U63*W63^2</f>
        <v>6.8044090100001222</v>
      </c>
      <c r="Y63" s="154">
        <f>F86/X63</f>
        <v>2.3404236836138854</v>
      </c>
    </row>
    <row r="64" spans="1:32" s="117" customFormat="1" ht="21.75" customHeight="1">
      <c r="A64" s="116"/>
      <c r="C64" s="276" t="s">
        <v>155</v>
      </c>
      <c r="D64" s="276"/>
      <c r="E64" s="117" t="s">
        <v>154</v>
      </c>
      <c r="F64" s="125">
        <f>F54</f>
        <v>13.270999999999997</v>
      </c>
      <c r="G64" s="124" t="s">
        <v>108</v>
      </c>
      <c r="I64" s="126"/>
      <c r="J64" s="126"/>
      <c r="K64" s="288"/>
      <c r="L64" s="288"/>
      <c r="M64" s="288"/>
      <c r="N64" s="288"/>
      <c r="O64" s="123"/>
      <c r="P64" s="123"/>
      <c r="Q64" s="122"/>
      <c r="W64" s="153"/>
    </row>
    <row r="65" spans="1:17" s="123" customFormat="1" ht="21.75" customHeight="1">
      <c r="A65" s="122"/>
      <c r="B65" s="117"/>
      <c r="C65" s="117"/>
      <c r="D65" s="117"/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22"/>
    </row>
    <row r="66" spans="1:17" s="92" customFormat="1" ht="23.25" customHeight="1">
      <c r="A66" s="104"/>
      <c r="B66" s="117"/>
      <c r="C66" s="108" t="s">
        <v>55</v>
      </c>
      <c r="D66" s="94"/>
      <c r="E66" s="94"/>
      <c r="F66" s="94"/>
      <c r="G66" s="94"/>
      <c r="H66" s="94"/>
      <c r="I66" s="109"/>
      <c r="J66" s="109"/>
      <c r="K66" s="109"/>
      <c r="L66" s="94"/>
      <c r="M66" s="94"/>
      <c r="N66" s="94"/>
      <c r="O66" s="94"/>
      <c r="P66" s="117"/>
      <c r="Q66" s="104"/>
    </row>
    <row r="67" spans="1:17" s="92" customFormat="1" ht="6.75" customHeight="1">
      <c r="A67" s="104"/>
      <c r="C67" s="151"/>
      <c r="D67" s="150"/>
      <c r="Q67" s="104"/>
    </row>
    <row r="68" spans="1:17" s="117" customFormat="1" ht="21.75" customHeight="1">
      <c r="A68" s="116"/>
      <c r="C68" s="152"/>
      <c r="D68" s="106" t="str">
        <f>"Condition 1 - " &amp;F40*100&amp; "% Design Flow with Dry Downstream Bed"</f>
        <v>Condition 1 - 10% Design Flow with Dry Downstream Bed</v>
      </c>
      <c r="Q68" s="116"/>
    </row>
    <row r="69" spans="1:17" s="117" customFormat="1" ht="21.75" customHeight="1">
      <c r="A69" s="116"/>
      <c r="C69" s="152"/>
      <c r="D69" s="106" t="s">
        <v>153</v>
      </c>
      <c r="Q69" s="116"/>
    </row>
    <row r="70" spans="1:17" s="117" customFormat="1" ht="21.75" customHeight="1">
      <c r="A70" s="116"/>
      <c r="C70" s="152"/>
      <c r="D70" s="106" t="str">
        <f>"Condition 3 - "&amp;F59*100&amp;"% Design Flow with "&amp;F60*100&amp;"% Design Flow Downstream"</f>
        <v>Condition 3 - 120% Design Flow with 70% Design Flow Downstream</v>
      </c>
      <c r="Q70" s="116"/>
    </row>
    <row r="71" spans="1:17" s="92" customFormat="1" ht="4.5" customHeight="1">
      <c r="A71" s="104"/>
      <c r="C71" s="151"/>
      <c r="D71" s="150"/>
      <c r="Q71" s="104"/>
    </row>
    <row r="72" spans="1:17" s="92" customFormat="1" ht="23.25" customHeight="1">
      <c r="A72" s="104"/>
      <c r="C72" s="108" t="s">
        <v>86</v>
      </c>
      <c r="D72" s="94"/>
      <c r="E72" s="94"/>
      <c r="F72" s="94"/>
      <c r="G72" s="94"/>
      <c r="H72" s="94"/>
      <c r="I72" s="109"/>
      <c r="J72" s="109"/>
      <c r="K72" s="109"/>
      <c r="L72" s="94"/>
      <c r="M72" s="94"/>
      <c r="N72" s="94"/>
      <c r="O72" s="94"/>
      <c r="P72" s="93"/>
      <c r="Q72" s="104"/>
    </row>
    <row r="73" spans="1:17" s="117" customFormat="1" ht="21.75" customHeight="1">
      <c r="A73" s="116"/>
      <c r="C73" s="118"/>
      <c r="F73" s="119"/>
      <c r="G73" s="120"/>
      <c r="H73" s="120"/>
      <c r="K73" s="126" t="s">
        <v>11</v>
      </c>
      <c r="Q73" s="116"/>
    </row>
    <row r="74" spans="1:17" s="117" customFormat="1" ht="21.75" customHeight="1">
      <c r="A74" s="116"/>
      <c r="C74" s="117" t="s">
        <v>152</v>
      </c>
      <c r="E74" s="117" t="s">
        <v>22</v>
      </c>
      <c r="F74" s="125">
        <f>F15*F14</f>
        <v>13.270999999999997</v>
      </c>
      <c r="G74" s="124" t="s">
        <v>40</v>
      </c>
      <c r="H74" s="106" t="s">
        <v>151</v>
      </c>
      <c r="I74" s="106"/>
      <c r="J74" s="126"/>
      <c r="K74" s="126"/>
      <c r="L74" s="321"/>
      <c r="M74" s="321"/>
      <c r="N74" s="321"/>
      <c r="O74" s="321"/>
      <c r="P74" s="123"/>
      <c r="Q74" s="122"/>
    </row>
    <row r="75" spans="1:17" s="117" customFormat="1" ht="21.75" customHeight="1">
      <c r="A75" s="116"/>
      <c r="C75" s="118" t="s">
        <v>150</v>
      </c>
      <c r="F75" s="184"/>
      <c r="G75" s="120"/>
      <c r="H75" s="106"/>
      <c r="I75" s="106"/>
      <c r="J75" s="126"/>
      <c r="K75" s="126"/>
      <c r="L75" s="321"/>
      <c r="M75" s="321"/>
      <c r="N75" s="321"/>
      <c r="O75" s="321"/>
      <c r="Q75" s="116"/>
    </row>
    <row r="76" spans="1:17" s="117" customFormat="1" ht="21.75" customHeight="1">
      <c r="A76" s="116"/>
      <c r="C76" s="117" t="s">
        <v>140</v>
      </c>
      <c r="E76" s="117" t="s">
        <v>149</v>
      </c>
      <c r="F76" s="125">
        <f>F40*F$74</f>
        <v>1.3270999999999997</v>
      </c>
      <c r="G76" s="124" t="s">
        <v>40</v>
      </c>
      <c r="H76" s="106"/>
      <c r="I76" s="106"/>
      <c r="J76" s="126"/>
      <c r="K76" s="126"/>
      <c r="L76" s="321"/>
      <c r="M76" s="321"/>
      <c r="N76" s="321"/>
      <c r="O76" s="321"/>
      <c r="P76" s="123"/>
      <c r="Q76" s="122"/>
    </row>
    <row r="77" spans="1:17" s="117" customFormat="1" ht="21.75" customHeight="1">
      <c r="A77" s="116"/>
      <c r="C77" s="117" t="s">
        <v>139</v>
      </c>
      <c r="E77" s="117" t="s">
        <v>148</v>
      </c>
      <c r="F77" s="125">
        <f>F41*F$74</f>
        <v>0</v>
      </c>
      <c r="G77" s="124" t="s">
        <v>40</v>
      </c>
      <c r="H77" s="106"/>
      <c r="I77" s="106"/>
      <c r="J77" s="126"/>
      <c r="K77" s="126"/>
      <c r="L77" s="321"/>
      <c r="M77" s="321"/>
      <c r="N77" s="321"/>
      <c r="O77" s="321"/>
      <c r="P77" s="123"/>
      <c r="Q77" s="122"/>
    </row>
    <row r="78" spans="1:17" s="117" customFormat="1" ht="21.75" customHeight="1">
      <c r="A78" s="116"/>
      <c r="C78" s="276" t="s">
        <v>137</v>
      </c>
      <c r="D78" s="276"/>
      <c r="E78" s="117" t="s">
        <v>143</v>
      </c>
      <c r="F78" s="125">
        <f>interpolate(F77,G$26:H$36,F$26:F$36)</f>
        <v>26.079999923706055</v>
      </c>
      <c r="G78" s="124" t="s">
        <v>28</v>
      </c>
      <c r="H78" s="149" t="s">
        <v>135</v>
      </c>
      <c r="I78" s="106"/>
      <c r="J78" s="126"/>
      <c r="K78" s="117" t="s">
        <v>147</v>
      </c>
      <c r="P78" s="123"/>
      <c r="Q78" s="122"/>
    </row>
    <row r="79" spans="1:17" s="117" customFormat="1" ht="21.75" customHeight="1">
      <c r="A79" s="116"/>
      <c r="C79" s="276" t="s">
        <v>134</v>
      </c>
      <c r="D79" s="276"/>
      <c r="E79" s="117" t="s">
        <v>142</v>
      </c>
      <c r="F79" s="125">
        <f>interpolate(F77,G$26:H$36,I$26:J$36)</f>
        <v>0</v>
      </c>
      <c r="G79" s="124" t="s">
        <v>132</v>
      </c>
      <c r="I79" s="106"/>
      <c r="J79" s="126"/>
      <c r="K79" s="126"/>
      <c r="L79" s="321"/>
      <c r="M79" s="321"/>
      <c r="N79" s="321"/>
      <c r="O79" s="321"/>
      <c r="P79" s="123"/>
      <c r="Q79" s="122"/>
    </row>
    <row r="80" spans="1:17" s="117" customFormat="1" ht="21.75" customHeight="1">
      <c r="A80" s="116"/>
      <c r="C80" s="118" t="s">
        <v>146</v>
      </c>
      <c r="F80" s="184"/>
      <c r="G80" s="120"/>
      <c r="H80" s="106"/>
      <c r="I80" s="106"/>
      <c r="J80" s="126"/>
      <c r="K80" s="126"/>
      <c r="L80" s="321"/>
      <c r="M80" s="321"/>
      <c r="N80" s="321"/>
      <c r="O80" s="321"/>
      <c r="Q80" s="116"/>
    </row>
    <row r="81" spans="1:32" s="117" customFormat="1" ht="21.75" customHeight="1">
      <c r="A81" s="116"/>
      <c r="C81" s="117" t="s">
        <v>140</v>
      </c>
      <c r="E81" s="117" t="s">
        <v>145</v>
      </c>
      <c r="F81" s="125">
        <f>F49*F$74</f>
        <v>13.270999999999997</v>
      </c>
      <c r="G81" s="124" t="s">
        <v>40</v>
      </c>
      <c r="H81" s="106"/>
      <c r="I81" s="106"/>
      <c r="J81" s="126"/>
      <c r="K81" s="126"/>
      <c r="L81" s="321"/>
      <c r="M81" s="321"/>
      <c r="N81" s="321"/>
      <c r="O81" s="321"/>
      <c r="P81" s="123"/>
      <c r="Q81" s="122"/>
    </row>
    <row r="82" spans="1:32" s="117" customFormat="1" ht="21.75" customHeight="1">
      <c r="A82" s="116"/>
      <c r="C82" s="117" t="s">
        <v>139</v>
      </c>
      <c r="E82" s="117" t="s">
        <v>144</v>
      </c>
      <c r="F82" s="125">
        <f>F50*F14</f>
        <v>11.54</v>
      </c>
      <c r="G82" s="124" t="s">
        <v>40</v>
      </c>
      <c r="H82" s="106"/>
      <c r="I82" s="106"/>
      <c r="J82" s="126"/>
      <c r="K82" s="126"/>
      <c r="L82" s="321"/>
      <c r="M82" s="321"/>
      <c r="N82" s="321"/>
      <c r="O82" s="321"/>
      <c r="P82" s="123"/>
      <c r="Q82" s="122"/>
    </row>
    <row r="83" spans="1:32" s="123" customFormat="1" ht="21.75" customHeight="1">
      <c r="A83" s="122"/>
      <c r="C83" s="276" t="s">
        <v>137</v>
      </c>
      <c r="D83" s="276"/>
      <c r="E83" s="117" t="s">
        <v>143</v>
      </c>
      <c r="F83" s="125">
        <f>interpolate(F82,G$26:H$36,F$26:F$36)</f>
        <v>27.648155212402344</v>
      </c>
      <c r="G83" s="124" t="s">
        <v>28</v>
      </c>
      <c r="H83" s="149" t="s">
        <v>135</v>
      </c>
      <c r="I83" s="106"/>
      <c r="J83" s="126"/>
      <c r="K83" s="126"/>
      <c r="L83" s="321"/>
      <c r="M83" s="321"/>
      <c r="N83" s="321"/>
      <c r="O83" s="321"/>
      <c r="Q83" s="122"/>
    </row>
    <row r="84" spans="1:32" s="117" customFormat="1" ht="21.75" customHeight="1">
      <c r="A84" s="116"/>
      <c r="C84" s="276" t="s">
        <v>134</v>
      </c>
      <c r="D84" s="276"/>
      <c r="E84" s="117" t="s">
        <v>142</v>
      </c>
      <c r="F84" s="125">
        <f>interpolate(F82,G$26:H$36,I$26:J$36)</f>
        <v>1.1517224311828613</v>
      </c>
      <c r="G84" s="124" t="s">
        <v>132</v>
      </c>
      <c r="H84" s="106"/>
      <c r="I84" s="106"/>
      <c r="J84" s="126"/>
      <c r="K84" s="126"/>
      <c r="L84" s="321"/>
      <c r="M84" s="321"/>
      <c r="N84" s="321"/>
      <c r="O84" s="321"/>
      <c r="P84" s="123"/>
      <c r="Q84" s="122"/>
    </row>
    <row r="85" spans="1:32" s="117" customFormat="1" ht="21.75" customHeight="1">
      <c r="A85" s="116"/>
      <c r="C85" s="118" t="s">
        <v>141</v>
      </c>
      <c r="F85" s="119"/>
      <c r="G85" s="120"/>
      <c r="H85" s="106"/>
      <c r="I85" s="106"/>
      <c r="J85" s="126"/>
      <c r="K85" s="126"/>
      <c r="L85" s="321"/>
      <c r="M85" s="321"/>
      <c r="N85" s="321"/>
      <c r="O85" s="321"/>
      <c r="Q85" s="116"/>
    </row>
    <row r="86" spans="1:32" s="117" customFormat="1" ht="21.75" customHeight="1">
      <c r="A86" s="116"/>
      <c r="C86" s="117" t="s">
        <v>140</v>
      </c>
      <c r="E86" s="117" t="s">
        <v>138</v>
      </c>
      <c r="F86" s="125">
        <f>F59*F$74</f>
        <v>15.925199999999997</v>
      </c>
      <c r="G86" s="124" t="s">
        <v>40</v>
      </c>
      <c r="H86" s="106"/>
      <c r="I86" s="106"/>
      <c r="J86" s="126"/>
      <c r="K86" s="126"/>
      <c r="L86" s="321"/>
      <c r="M86" s="321"/>
      <c r="N86" s="321"/>
      <c r="O86" s="321"/>
      <c r="P86" s="123"/>
      <c r="Q86" s="122"/>
    </row>
    <row r="87" spans="1:32" s="117" customFormat="1" ht="21.75" customHeight="1">
      <c r="A87" s="116"/>
      <c r="C87" s="117" t="s">
        <v>139</v>
      </c>
      <c r="E87" s="117" t="s">
        <v>138</v>
      </c>
      <c r="F87" s="125">
        <f>F60*F14</f>
        <v>8.0779999999999994</v>
      </c>
      <c r="G87" s="124" t="s">
        <v>40</v>
      </c>
      <c r="H87" s="106"/>
      <c r="I87" s="106"/>
      <c r="J87" s="126"/>
      <c r="K87" s="126"/>
      <c r="L87" s="321"/>
      <c r="M87" s="321"/>
      <c r="N87" s="321"/>
      <c r="O87" s="321"/>
      <c r="P87" s="123"/>
      <c r="Q87" s="122"/>
    </row>
    <row r="88" spans="1:32" s="123" customFormat="1" ht="21.75" customHeight="1">
      <c r="A88" s="122"/>
      <c r="C88" s="276" t="s">
        <v>137</v>
      </c>
      <c r="D88" s="276"/>
      <c r="E88" s="117" t="s">
        <v>136</v>
      </c>
      <c r="F88" s="125">
        <f>interpolate(F87,G$26:H$36,F$26:F$36)</f>
        <v>27.374616622924805</v>
      </c>
      <c r="G88" s="124" t="s">
        <v>28</v>
      </c>
      <c r="H88" s="149" t="s">
        <v>135</v>
      </c>
      <c r="I88" s="106"/>
      <c r="J88" s="126"/>
      <c r="K88" s="126"/>
      <c r="L88" s="321"/>
      <c r="M88" s="321"/>
      <c r="N88" s="321"/>
      <c r="O88" s="321"/>
      <c r="Q88" s="122"/>
    </row>
    <row r="89" spans="1:32" s="117" customFormat="1" ht="21.75" customHeight="1">
      <c r="A89" s="116"/>
      <c r="C89" s="276" t="s">
        <v>134</v>
      </c>
      <c r="D89" s="276"/>
      <c r="E89" s="117" t="s">
        <v>133</v>
      </c>
      <c r="F89" s="125">
        <f>interpolate(F87,G$26:H$36,I$26:J$36)</f>
        <v>1.0412154197692871</v>
      </c>
      <c r="G89" s="124" t="s">
        <v>132</v>
      </c>
      <c r="I89" s="106"/>
      <c r="J89" s="126"/>
      <c r="K89" s="126"/>
      <c r="L89" s="321"/>
      <c r="M89" s="321"/>
      <c r="N89" s="321"/>
      <c r="O89" s="321"/>
      <c r="P89" s="123"/>
      <c r="Q89" s="122"/>
    </row>
    <row r="90" spans="1:32" s="123" customFormat="1" ht="21.75" customHeight="1">
      <c r="A90" s="122"/>
      <c r="B90" s="117"/>
      <c r="C90" s="117"/>
      <c r="E90" s="140"/>
      <c r="F90" s="124"/>
      <c r="G90" s="124"/>
      <c r="H90" s="124"/>
      <c r="K90" s="126"/>
      <c r="P90" s="117"/>
      <c r="Q90" s="122"/>
    </row>
    <row r="91" spans="1:32" s="92" customFormat="1" ht="23.25" customHeight="1">
      <c r="A91" s="104"/>
      <c r="C91" s="108" t="s">
        <v>131</v>
      </c>
      <c r="D91" s="94"/>
      <c r="E91" s="94"/>
      <c r="F91" s="94"/>
      <c r="G91" s="94"/>
      <c r="H91" s="94"/>
      <c r="I91" s="109"/>
      <c r="J91" s="109"/>
      <c r="K91" s="109"/>
      <c r="L91" s="94"/>
      <c r="M91" s="94"/>
      <c r="N91" s="94"/>
      <c r="O91" s="94"/>
      <c r="P91" s="93"/>
      <c r="Q91" s="104"/>
      <c r="AF91" s="92" t="s">
        <v>64</v>
      </c>
    </row>
    <row r="92" spans="1:32" s="123" customFormat="1" ht="21.75" customHeight="1">
      <c r="A92" s="122"/>
      <c r="C92" s="117"/>
      <c r="E92" s="140"/>
      <c r="F92" s="124"/>
      <c r="G92" s="124"/>
      <c r="H92" s="124"/>
      <c r="K92" s="126" t="s">
        <v>11</v>
      </c>
      <c r="Q92" s="122"/>
    </row>
    <row r="93" spans="1:32" s="123" customFormat="1" ht="21.75" customHeight="1">
      <c r="A93" s="122"/>
      <c r="C93" s="276" t="s">
        <v>130</v>
      </c>
      <c r="D93" s="276"/>
      <c r="E93" s="117" t="s">
        <v>129</v>
      </c>
      <c r="F93" s="125">
        <f>F83-F19</f>
        <v>1.5681552124023455</v>
      </c>
      <c r="G93" s="124" t="s">
        <v>26</v>
      </c>
      <c r="H93" s="106" t="s">
        <v>128</v>
      </c>
      <c r="I93" s="106"/>
      <c r="J93" s="126"/>
      <c r="K93" s="126"/>
      <c r="L93" s="321"/>
      <c r="M93" s="321"/>
      <c r="N93" s="321"/>
      <c r="O93" s="321"/>
      <c r="Q93" s="122"/>
    </row>
    <row r="94" spans="1:32" s="123" customFormat="1" ht="21.75" customHeight="1">
      <c r="A94" s="122"/>
      <c r="C94" s="276" t="s">
        <v>127</v>
      </c>
      <c r="D94" s="276"/>
      <c r="E94" s="117" t="s">
        <v>126</v>
      </c>
      <c r="F94" s="125">
        <f>F88-F19</f>
        <v>1.2946166229248064</v>
      </c>
      <c r="G94" s="124" t="s">
        <v>26</v>
      </c>
      <c r="H94" s="106" t="s">
        <v>125</v>
      </c>
      <c r="I94" s="106"/>
      <c r="J94" s="126"/>
      <c r="K94" s="126"/>
      <c r="L94" s="321"/>
      <c r="M94" s="321"/>
      <c r="N94" s="321"/>
      <c r="O94" s="321"/>
      <c r="Q94" s="122"/>
    </row>
    <row r="95" spans="1:32" s="123" customFormat="1" ht="21.75" customHeight="1">
      <c r="A95" s="122"/>
      <c r="C95" s="276" t="s">
        <v>124</v>
      </c>
      <c r="D95" s="276"/>
      <c r="E95" s="117" t="s">
        <v>123</v>
      </c>
      <c r="F95" s="125">
        <f>F93*F20</f>
        <v>0.15681552124023457</v>
      </c>
      <c r="G95" s="124" t="s">
        <v>26</v>
      </c>
      <c r="H95" s="106" t="s">
        <v>122</v>
      </c>
      <c r="I95" s="106"/>
      <c r="J95" s="126"/>
      <c r="K95" s="126"/>
      <c r="L95" s="321"/>
      <c r="M95" s="321"/>
      <c r="N95" s="321"/>
      <c r="O95" s="321"/>
      <c r="Q95" s="122"/>
    </row>
    <row r="96" spans="1:32" s="123" customFormat="1" ht="21.75" customHeight="1">
      <c r="A96" s="122"/>
      <c r="C96" s="276" t="s">
        <v>121</v>
      </c>
      <c r="D96" s="276"/>
      <c r="E96" s="117" t="s">
        <v>120</v>
      </c>
      <c r="F96" s="125">
        <f>F20*F94</f>
        <v>0.12946166229248066</v>
      </c>
      <c r="G96" s="124" t="s">
        <v>26</v>
      </c>
      <c r="H96" s="106" t="s">
        <v>119</v>
      </c>
      <c r="I96" s="106"/>
      <c r="J96" s="126"/>
      <c r="K96" s="126"/>
      <c r="L96" s="321"/>
      <c r="M96" s="321"/>
      <c r="N96" s="321"/>
      <c r="O96" s="321"/>
      <c r="Q96" s="122"/>
    </row>
    <row r="97" spans="1:17" s="123" customFormat="1" ht="21.75" customHeight="1">
      <c r="A97" s="122"/>
      <c r="C97" s="276" t="s">
        <v>118</v>
      </c>
      <c r="D97" s="276"/>
      <c r="E97" s="117" t="s">
        <v>117</v>
      </c>
      <c r="F97" s="125">
        <f>F83-F93*F20</f>
        <v>27.491339691162111</v>
      </c>
      <c r="G97" s="124" t="s">
        <v>28</v>
      </c>
      <c r="H97" s="106" t="s">
        <v>116</v>
      </c>
      <c r="I97" s="106"/>
      <c r="J97" s="126"/>
      <c r="K97" s="126"/>
      <c r="L97" s="321"/>
      <c r="M97" s="321"/>
      <c r="N97" s="321"/>
      <c r="O97" s="321"/>
      <c r="Q97" s="122"/>
    </row>
    <row r="98" spans="1:17" s="123" customFormat="1" ht="21.75" customHeight="1">
      <c r="A98" s="122"/>
      <c r="C98" s="276" t="s">
        <v>115</v>
      </c>
      <c r="D98" s="276"/>
      <c r="E98" s="117" t="s">
        <v>114</v>
      </c>
      <c r="F98" s="125">
        <f>F88-F20*F94</f>
        <v>27.245154960632323</v>
      </c>
      <c r="G98" s="124" t="s">
        <v>28</v>
      </c>
      <c r="H98" s="106" t="s">
        <v>113</v>
      </c>
      <c r="I98" s="106"/>
      <c r="J98" s="126"/>
      <c r="K98" s="126"/>
      <c r="L98" s="321"/>
      <c r="M98" s="321"/>
      <c r="N98" s="321"/>
      <c r="O98" s="321"/>
      <c r="Q98" s="122"/>
    </row>
    <row r="99" spans="1:17" ht="31.5" customHeight="1">
      <c r="A99" s="91"/>
      <c r="C99" s="92"/>
      <c r="E99" s="113"/>
      <c r="F99" s="96"/>
      <c r="G99" s="96"/>
      <c r="H99" s="96"/>
      <c r="K99" s="114"/>
      <c r="Q99" s="91"/>
    </row>
    <row r="100" spans="1:17" ht="31.5" customHeight="1">
      <c r="A100" s="91"/>
      <c r="C100" s="92"/>
      <c r="E100" s="113"/>
      <c r="F100" s="96"/>
      <c r="G100" s="96"/>
      <c r="H100" s="96"/>
      <c r="K100" s="114"/>
      <c r="Q100" s="91"/>
    </row>
    <row r="101" spans="1:17" ht="31.5" customHeight="1">
      <c r="A101" s="91"/>
      <c r="C101" s="92"/>
      <c r="E101" s="113"/>
      <c r="F101" s="96"/>
      <c r="G101" s="96"/>
      <c r="H101" s="96"/>
      <c r="K101" s="114"/>
      <c r="Q101" s="91"/>
    </row>
    <row r="102" spans="1:17" ht="31.5" customHeight="1">
      <c r="A102" s="91"/>
      <c r="C102" s="92"/>
      <c r="E102" s="113"/>
      <c r="F102" s="96"/>
      <c r="G102" s="96"/>
      <c r="H102" s="96"/>
      <c r="K102" s="114"/>
      <c r="Q102" s="91"/>
    </row>
    <row r="103" spans="1:17" ht="31.5" customHeight="1">
      <c r="A103" s="91"/>
      <c r="C103" s="92"/>
      <c r="E103" s="113"/>
      <c r="F103" s="96"/>
      <c r="G103" s="96"/>
      <c r="H103" s="96"/>
      <c r="K103" s="114"/>
      <c r="Q103" s="91"/>
    </row>
  </sheetData>
  <mergeCells count="103">
    <mergeCell ref="G29:H29"/>
    <mergeCell ref="C89:D89"/>
    <mergeCell ref="C84:D84"/>
    <mergeCell ref="L94:O94"/>
    <mergeCell ref="C54:D54"/>
    <mergeCell ref="L88:O88"/>
    <mergeCell ref="L89:O89"/>
    <mergeCell ref="K54:N54"/>
    <mergeCell ref="C64:D64"/>
    <mergeCell ref="C88:D88"/>
    <mergeCell ref="C79:D79"/>
    <mergeCell ref="L74:O74"/>
    <mergeCell ref="L86:O86"/>
    <mergeCell ref="L87:O87"/>
    <mergeCell ref="L80:O80"/>
    <mergeCell ref="L85:O85"/>
    <mergeCell ref="L75:O75"/>
    <mergeCell ref="G30:H30"/>
    <mergeCell ref="G31:H31"/>
    <mergeCell ref="G32:H32"/>
    <mergeCell ref="C59:D59"/>
    <mergeCell ref="C44:D44"/>
    <mergeCell ref="C43:D43"/>
    <mergeCell ref="I29:J29"/>
    <mergeCell ref="I30:J30"/>
    <mergeCell ref="K60:O60"/>
    <mergeCell ref="K52:O52"/>
    <mergeCell ref="L83:O83"/>
    <mergeCell ref="I35:J35"/>
    <mergeCell ref="I34:J34"/>
    <mergeCell ref="I31:J31"/>
    <mergeCell ref="I32:J32"/>
    <mergeCell ref="I36:J36"/>
    <mergeCell ref="I33:J33"/>
    <mergeCell ref="K63:N63"/>
    <mergeCell ref="K62:O62"/>
    <mergeCell ref="K44:N44"/>
    <mergeCell ref="K64:N64"/>
    <mergeCell ref="K41:O41"/>
    <mergeCell ref="K20:N20"/>
    <mergeCell ref="C21:D21"/>
    <mergeCell ref="G24:H24"/>
    <mergeCell ref="G25:H25"/>
    <mergeCell ref="G26:H26"/>
    <mergeCell ref="G27:H27"/>
    <mergeCell ref="G28:H28"/>
    <mergeCell ref="C22:D22"/>
    <mergeCell ref="I23:J23"/>
    <mergeCell ref="I24:J24"/>
    <mergeCell ref="I25:J25"/>
    <mergeCell ref="I26:J26"/>
    <mergeCell ref="G23:H23"/>
    <mergeCell ref="I27:J27"/>
    <mergeCell ref="I28:J28"/>
    <mergeCell ref="C97:D97"/>
    <mergeCell ref="L93:O93"/>
    <mergeCell ref="C96:D96"/>
    <mergeCell ref="C98:D98"/>
    <mergeCell ref="C95:D95"/>
    <mergeCell ref="L95:O95"/>
    <mergeCell ref="C94:D94"/>
    <mergeCell ref="L98:O98"/>
    <mergeCell ref="L97:O97"/>
    <mergeCell ref="L96:O96"/>
    <mergeCell ref="C93:D93"/>
    <mergeCell ref="L84:O84"/>
    <mergeCell ref="K50:O50"/>
    <mergeCell ref="K40:O40"/>
    <mergeCell ref="K43:N43"/>
    <mergeCell ref="L76:O76"/>
    <mergeCell ref="C83:D83"/>
    <mergeCell ref="L79:O79"/>
    <mergeCell ref="C78:D78"/>
    <mergeCell ref="L82:O82"/>
    <mergeCell ref="L77:O77"/>
    <mergeCell ref="L81:O81"/>
    <mergeCell ref="C40:D40"/>
    <mergeCell ref="C49:D49"/>
    <mergeCell ref="K42:O42"/>
    <mergeCell ref="G36:H36"/>
    <mergeCell ref="G33:H33"/>
    <mergeCell ref="G34:H34"/>
    <mergeCell ref="I4:J4"/>
    <mergeCell ref="I5:J5"/>
    <mergeCell ref="C63:D63"/>
    <mergeCell ref="K21:N21"/>
    <mergeCell ref="K19:N19"/>
    <mergeCell ref="K17:O17"/>
    <mergeCell ref="K18:N18"/>
    <mergeCell ref="I6:J6"/>
    <mergeCell ref="K14:O14"/>
    <mergeCell ref="G35:H35"/>
    <mergeCell ref="K15:O15"/>
    <mergeCell ref="K16:O16"/>
    <mergeCell ref="M5:P5"/>
    <mergeCell ref="C19:D19"/>
    <mergeCell ref="C18:D18"/>
    <mergeCell ref="C17:D17"/>
    <mergeCell ref="C20:D20"/>
    <mergeCell ref="B5:F6"/>
    <mergeCell ref="K51:O51"/>
    <mergeCell ref="K53:N53"/>
    <mergeCell ref="K61:O61"/>
  </mergeCells>
  <dataValidations count="1">
    <dataValidation type="textLength" allowBlank="1" showInputMessage="1" showErrorMessage="1" sqref="L93:O98 K78 L74:O77 L79:O89 M78:O78" xr:uid="{6450FECD-2B74-4200-AB75-044F74577BB2}">
      <formula1>0</formula1>
      <formula2>31</formula2>
    </dataValidation>
  </dataValidations>
  <printOptions horizontalCentered="1" verticalCentered="1"/>
  <pageMargins left="0.16" right="0.27559055118110237" top="0.23622047244094491" bottom="0.48" header="0.23622047244094491" footer="0.23622047244094491"/>
  <pageSetup paperSize="9" scale="75" orientation="portrait" r:id="rId1"/>
  <headerFooter alignWithMargins="0">
    <oddFooter>&amp;L&amp;Z&amp;F</oddFooter>
  </headerFooter>
  <rowBreaks count="2" manualBreakCount="2">
    <brk id="36" max="16" man="1"/>
    <brk id="65" max="16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14621-EFDF-4675-91AB-F3FD8D9F9ED3}">
  <sheetPr codeName="Sheet5">
    <tabColor rgb="FF00B0F0"/>
  </sheetPr>
  <dimension ref="A1:Z47"/>
  <sheetViews>
    <sheetView showGridLines="0" view="pageBreakPreview" topLeftCell="B22" zoomScaleNormal="100" zoomScaleSheetLayoutView="100" workbookViewId="0">
      <selection activeCell="F30" sqref="F30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77734375" style="90" customWidth="1"/>
    <col min="11" max="11" width="11.109375" style="90" bestFit="1" customWidth="1"/>
    <col min="12" max="12" width="11" style="90" customWidth="1"/>
    <col min="13" max="13" width="6.77734375" style="90" customWidth="1"/>
    <col min="14" max="14" width="4.44140625" style="90" customWidth="1"/>
    <col min="15" max="15" width="4.77734375" style="90" customWidth="1"/>
    <col min="16" max="16" width="4.21875" style="90" customWidth="1"/>
    <col min="17" max="17" width="7.6640625" style="90" customWidth="1"/>
    <col min="18" max="16384" width="8.88671875" style="90"/>
  </cols>
  <sheetData>
    <row r="1" spans="1:18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</row>
    <row r="2" spans="1:18" ht="27.75" customHeight="1">
      <c r="A2" s="91"/>
      <c r="B2" s="115">
        <f>Input_SB!B2</f>
        <v>0</v>
      </c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</row>
    <row r="3" spans="1:18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</row>
    <row r="4" spans="1:18" ht="27.75" customHeight="1">
      <c r="A4" s="91"/>
      <c r="B4" s="92" t="s">
        <v>8</v>
      </c>
      <c r="C4" s="92"/>
      <c r="D4" s="92"/>
      <c r="E4" s="92"/>
      <c r="F4" s="96"/>
      <c r="G4" s="254" t="s">
        <v>1</v>
      </c>
      <c r="H4" s="255"/>
      <c r="I4" s="318" t="s">
        <v>10</v>
      </c>
      <c r="J4" s="319"/>
      <c r="K4" s="13" t="s">
        <v>9</v>
      </c>
      <c r="L4" s="170">
        <f>Input_SB!L4</f>
        <v>0</v>
      </c>
      <c r="M4" s="169"/>
      <c r="N4" s="169"/>
      <c r="O4" s="169"/>
      <c r="P4" s="168"/>
      <c r="Q4" s="91"/>
    </row>
    <row r="5" spans="1:18" ht="27.75" customHeight="1">
      <c r="A5" s="91"/>
      <c r="B5" s="248" t="s">
        <v>271</v>
      </c>
      <c r="C5" s="92"/>
      <c r="D5" s="92"/>
      <c r="E5" s="92"/>
      <c r="F5" s="93"/>
      <c r="G5" s="254" t="s">
        <v>2</v>
      </c>
      <c r="H5" s="255"/>
      <c r="I5" s="318">
        <f>Input_SB!I5</f>
        <v>0</v>
      </c>
      <c r="J5" s="319"/>
      <c r="K5" s="13" t="s">
        <v>3</v>
      </c>
      <c r="L5" s="79">
        <f>Input_SB!L5</f>
        <v>0</v>
      </c>
      <c r="M5" s="256" t="s">
        <v>4</v>
      </c>
      <c r="N5" s="257"/>
      <c r="O5" s="257"/>
      <c r="P5" s="257"/>
      <c r="Q5" s="99"/>
      <c r="R5" s="3"/>
    </row>
    <row r="6" spans="1:18" ht="27.75" customHeight="1">
      <c r="A6" s="91"/>
      <c r="B6" s="228"/>
      <c r="C6" s="94"/>
      <c r="D6" s="94"/>
      <c r="E6" s="94"/>
      <c r="F6" s="95"/>
      <c r="G6" s="254" t="s">
        <v>5</v>
      </c>
      <c r="H6" s="255"/>
      <c r="I6" s="318">
        <f>Input_SB!I6</f>
        <v>0</v>
      </c>
      <c r="J6" s="319"/>
      <c r="K6" s="13" t="s">
        <v>3</v>
      </c>
      <c r="L6" s="79">
        <f>Input_SB!L6</f>
        <v>0</v>
      </c>
      <c r="M6" s="14"/>
      <c r="N6" s="15" t="s">
        <v>6</v>
      </c>
      <c r="O6" s="16"/>
      <c r="P6" s="94"/>
      <c r="Q6" s="100"/>
      <c r="R6" s="1"/>
    </row>
    <row r="7" spans="1:18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18" s="92" customFormat="1" ht="31.5" hidden="1" customHeight="1">
      <c r="A8" s="104"/>
      <c r="C8" s="105" t="s">
        <v>271</v>
      </c>
      <c r="Q8" s="104"/>
    </row>
    <row r="9" spans="1:18" s="92" customFormat="1" ht="24.75" customHeight="1">
      <c r="A9" s="104"/>
      <c r="C9" s="106" t="s">
        <v>195</v>
      </c>
      <c r="Q9" s="104"/>
    </row>
    <row r="10" spans="1:18" s="92" customFormat="1" ht="23.25" customHeight="1">
      <c r="A10" s="104"/>
      <c r="B10" s="115"/>
      <c r="C10" s="108" t="s">
        <v>54</v>
      </c>
      <c r="D10" s="94"/>
      <c r="E10" s="94"/>
      <c r="F10" s="94"/>
      <c r="G10" s="94"/>
      <c r="H10" s="94"/>
      <c r="I10" s="109"/>
      <c r="J10" s="109"/>
      <c r="K10" s="109"/>
      <c r="L10" s="94"/>
      <c r="M10" s="94"/>
      <c r="N10" s="94"/>
      <c r="O10" s="94"/>
      <c r="P10" s="93"/>
      <c r="Q10" s="104"/>
    </row>
    <row r="11" spans="1:18" s="92" customFormat="1" ht="21.75" customHeight="1">
      <c r="A11" s="104"/>
      <c r="C11" s="161"/>
      <c r="F11" s="160"/>
      <c r="G11" s="144"/>
      <c r="H11" s="144"/>
      <c r="J11" s="126" t="s">
        <v>11</v>
      </c>
      <c r="K11" s="159"/>
      <c r="Q11" s="104"/>
    </row>
    <row r="12" spans="1:18" s="117" customFormat="1" ht="21.75" customHeight="1">
      <c r="A12" s="116"/>
      <c r="C12" s="117" t="s">
        <v>194</v>
      </c>
      <c r="E12" s="117" t="s">
        <v>22</v>
      </c>
      <c r="F12" s="127">
        <f>Input_SB!F76</f>
        <v>1.3270999999999997</v>
      </c>
      <c r="G12" s="124" t="s">
        <v>40</v>
      </c>
      <c r="H12" s="106" t="s">
        <v>270</v>
      </c>
      <c r="I12" s="106"/>
      <c r="K12" s="126"/>
      <c r="L12" s="97"/>
      <c r="M12" s="129"/>
      <c r="N12" s="129"/>
      <c r="O12" s="129"/>
      <c r="P12" s="129"/>
      <c r="Q12" s="122"/>
    </row>
    <row r="13" spans="1:18" s="117" customFormat="1" ht="21.75" customHeight="1">
      <c r="A13" s="116"/>
      <c r="C13" s="117" t="s">
        <v>190</v>
      </c>
      <c r="E13" s="117" t="s">
        <v>17</v>
      </c>
      <c r="F13" s="127">
        <f>Input_SB!F16</f>
        <v>4.3</v>
      </c>
      <c r="G13" s="124" t="s">
        <v>26</v>
      </c>
      <c r="H13" s="106" t="s">
        <v>17</v>
      </c>
      <c r="I13" s="126"/>
      <c r="J13" s="126"/>
      <c r="K13" s="126"/>
      <c r="L13" s="123"/>
      <c r="M13" s="123"/>
      <c r="N13" s="123"/>
      <c r="O13" s="123"/>
      <c r="P13" s="123"/>
      <c r="Q13" s="122"/>
    </row>
    <row r="14" spans="1:18" s="117" customFormat="1" ht="21.75" customHeight="1">
      <c r="A14" s="116"/>
      <c r="C14" s="117" t="s">
        <v>269</v>
      </c>
      <c r="E14" s="117" t="s">
        <v>73</v>
      </c>
      <c r="F14" s="127">
        <f>Input_SB!F42</f>
        <v>27.76</v>
      </c>
      <c r="G14" s="124" t="s">
        <v>28</v>
      </c>
      <c r="H14" s="106" t="s">
        <v>268</v>
      </c>
      <c r="I14" s="106"/>
      <c r="J14" s="126"/>
      <c r="K14" s="126"/>
      <c r="L14" s="97"/>
      <c r="M14" s="97"/>
      <c r="N14" s="97"/>
      <c r="O14" s="97"/>
      <c r="P14" s="123"/>
      <c r="Q14" s="122"/>
    </row>
    <row r="15" spans="1:18" s="117" customFormat="1" ht="21.75" customHeight="1">
      <c r="A15" s="116"/>
      <c r="C15" s="117" t="s">
        <v>267</v>
      </c>
      <c r="E15" s="117" t="s">
        <v>46</v>
      </c>
      <c r="F15" s="125">
        <f>Input_SB!F43*1.2</f>
        <v>0.23440094200765349</v>
      </c>
      <c r="G15" s="124" t="s">
        <v>132</v>
      </c>
      <c r="H15" s="106" t="s">
        <v>266</v>
      </c>
      <c r="I15" s="126"/>
      <c r="J15" s="126"/>
      <c r="K15" s="126"/>
      <c r="L15" s="123"/>
      <c r="M15" s="123"/>
      <c r="N15" s="123"/>
      <c r="O15" s="123"/>
      <c r="P15" s="123"/>
      <c r="Q15" s="122"/>
    </row>
    <row r="16" spans="1:18" s="123" customFormat="1" ht="21.75" customHeight="1">
      <c r="A16" s="122"/>
      <c r="C16" s="276" t="s">
        <v>265</v>
      </c>
      <c r="D16" s="276"/>
      <c r="E16" s="117" t="s">
        <v>75</v>
      </c>
      <c r="F16" s="133">
        <f>Input_SB!F78</f>
        <v>26.079999923706055</v>
      </c>
      <c r="G16" s="124" t="s">
        <v>28</v>
      </c>
      <c r="H16" s="106" t="s">
        <v>264</v>
      </c>
      <c r="I16" s="126"/>
      <c r="J16" s="126"/>
      <c r="K16" s="126"/>
      <c r="Q16" s="122"/>
    </row>
    <row r="17" spans="1:19" s="123" customFormat="1" ht="21.75" customHeight="1">
      <c r="A17" s="122"/>
      <c r="C17" s="276" t="s">
        <v>263</v>
      </c>
      <c r="D17" s="276"/>
      <c r="E17" s="117" t="s">
        <v>234</v>
      </c>
      <c r="F17" s="127">
        <f>Input_SB!F79</f>
        <v>0</v>
      </c>
      <c r="G17" s="124" t="s">
        <v>132</v>
      </c>
      <c r="H17" s="141">
        <v>0</v>
      </c>
      <c r="I17" s="126"/>
      <c r="J17" s="126"/>
      <c r="K17" s="126"/>
      <c r="Q17" s="122"/>
    </row>
    <row r="18" spans="1:19" s="123" customFormat="1" ht="21.75" customHeight="1">
      <c r="A18" s="122"/>
      <c r="C18" s="276" t="s">
        <v>189</v>
      </c>
      <c r="D18" s="276"/>
      <c r="E18" s="117" t="s">
        <v>77</v>
      </c>
      <c r="F18" s="131">
        <v>1</v>
      </c>
      <c r="G18" s="124" t="s">
        <v>45</v>
      </c>
      <c r="H18" s="106" t="s">
        <v>262</v>
      </c>
      <c r="I18" s="126"/>
      <c r="J18" s="126"/>
      <c r="K18" s="126"/>
      <c r="Q18" s="122"/>
    </row>
    <row r="19" spans="1:19" ht="21.75" customHeight="1">
      <c r="A19" s="91"/>
      <c r="C19" s="92"/>
      <c r="E19" s="113"/>
      <c r="F19" s="96"/>
      <c r="G19" s="96"/>
      <c r="H19" s="96"/>
      <c r="K19" s="114"/>
      <c r="Q19" s="91"/>
    </row>
    <row r="20" spans="1:19" s="92" customFormat="1" ht="23.25" customHeight="1">
      <c r="A20" s="104"/>
      <c r="B20" s="115"/>
      <c r="C20" s="108" t="s">
        <v>55</v>
      </c>
      <c r="D20" s="94"/>
      <c r="E20" s="94"/>
      <c r="F20" s="94"/>
      <c r="G20" s="94"/>
      <c r="H20" s="94"/>
      <c r="I20" s="109"/>
      <c r="J20" s="109"/>
      <c r="K20" s="109"/>
      <c r="L20" s="94"/>
      <c r="M20" s="94"/>
      <c r="N20" s="94"/>
      <c r="O20" s="94"/>
      <c r="P20" s="93"/>
      <c r="Q20" s="104"/>
    </row>
    <row r="21" spans="1:19" s="117" customFormat="1" ht="21.75" customHeight="1">
      <c r="A21" s="116"/>
      <c r="C21" s="132"/>
      <c r="I21" s="97"/>
      <c r="J21" s="126" t="s">
        <v>11</v>
      </c>
      <c r="Q21" s="116"/>
    </row>
    <row r="22" spans="1:19" s="117" customFormat="1" ht="18.75" customHeight="1">
      <c r="A22" s="116"/>
      <c r="C22" s="276" t="s">
        <v>261</v>
      </c>
      <c r="D22" s="276"/>
      <c r="E22" s="117" t="s">
        <v>109</v>
      </c>
      <c r="F22" s="127">
        <f>F12/F13</f>
        <v>0.30862790697674414</v>
      </c>
      <c r="G22" s="124" t="s">
        <v>108</v>
      </c>
      <c r="H22" s="106" t="s">
        <v>260</v>
      </c>
      <c r="I22" s="106"/>
      <c r="J22" s="126"/>
      <c r="K22" s="126"/>
      <c r="Q22" s="116"/>
    </row>
    <row r="23" spans="1:19" s="117" customFormat="1" ht="21.75" customHeight="1">
      <c r="A23" s="116"/>
      <c r="C23" s="276" t="s">
        <v>259</v>
      </c>
      <c r="D23" s="276"/>
      <c r="E23" s="117" t="s">
        <v>258</v>
      </c>
      <c r="F23" s="127">
        <f>(F22^2/9.81)^(1/3)</f>
        <v>0.2133374632104926</v>
      </c>
      <c r="G23" s="124" t="s">
        <v>26</v>
      </c>
      <c r="H23" s="106" t="s">
        <v>257</v>
      </c>
      <c r="I23" s="106"/>
      <c r="J23" s="126"/>
      <c r="K23" s="126"/>
      <c r="Q23" s="116"/>
    </row>
    <row r="24" spans="1:19" s="117" customFormat="1" ht="21.75" customHeight="1">
      <c r="A24" s="116"/>
      <c r="C24" s="276" t="s">
        <v>256</v>
      </c>
      <c r="D24" s="276"/>
      <c r="E24" s="117" t="s">
        <v>255</v>
      </c>
      <c r="F24" s="127">
        <f>F15^2/2/9.81</f>
        <v>2.8003976357836558E-3</v>
      </c>
      <c r="G24" s="124" t="s">
        <v>26</v>
      </c>
      <c r="H24" s="106" t="s">
        <v>254</v>
      </c>
      <c r="I24" s="106"/>
      <c r="J24" s="126"/>
      <c r="K24" s="126"/>
      <c r="Q24" s="116"/>
    </row>
    <row r="25" spans="1:19" s="117" customFormat="1" ht="21.75" customHeight="1">
      <c r="A25" s="116"/>
      <c r="C25" s="276" t="s">
        <v>253</v>
      </c>
      <c r="D25" s="276"/>
      <c r="E25" s="117" t="s">
        <v>252</v>
      </c>
      <c r="F25" s="127">
        <f>F17^2/2/9.81</f>
        <v>0</v>
      </c>
      <c r="G25" s="124" t="s">
        <v>26</v>
      </c>
      <c r="H25" s="106" t="s">
        <v>251</v>
      </c>
      <c r="I25" s="106"/>
      <c r="J25" s="126"/>
      <c r="K25" s="126"/>
      <c r="Q25" s="116"/>
    </row>
    <row r="26" spans="1:19" s="117" customFormat="1" ht="21.75" customHeight="1">
      <c r="A26" s="116"/>
      <c r="C26" s="276" t="s">
        <v>250</v>
      </c>
      <c r="D26" s="276"/>
      <c r="E26" s="117" t="s">
        <v>249</v>
      </c>
      <c r="F26" s="127">
        <f>F14+F24</f>
        <v>27.762800397635786</v>
      </c>
      <c r="G26" s="124" t="s">
        <v>26</v>
      </c>
      <c r="H26" s="106" t="s">
        <v>248</v>
      </c>
      <c r="I26" s="106"/>
      <c r="J26" s="126"/>
      <c r="K26" s="126"/>
      <c r="Q26" s="116"/>
    </row>
    <row r="27" spans="1:19" s="117" customFormat="1" ht="21.75" customHeight="1">
      <c r="A27" s="116"/>
      <c r="C27" s="276" t="s">
        <v>247</v>
      </c>
      <c r="D27" s="276"/>
      <c r="E27" s="117" t="s">
        <v>246</v>
      </c>
      <c r="F27" s="127">
        <f>F25+F16</f>
        <v>26.079999923706055</v>
      </c>
      <c r="G27" s="124" t="s">
        <v>26</v>
      </c>
      <c r="H27" s="106" t="s">
        <v>245</v>
      </c>
      <c r="I27" s="106"/>
      <c r="J27" s="126"/>
      <c r="K27" s="126"/>
      <c r="Q27" s="116"/>
    </row>
    <row r="28" spans="1:19" s="117" customFormat="1" ht="21.75" customHeight="1">
      <c r="A28" s="116"/>
      <c r="C28" s="276" t="s">
        <v>244</v>
      </c>
      <c r="D28" s="276"/>
      <c r="E28" s="117" t="s">
        <v>243</v>
      </c>
      <c r="F28" s="127">
        <f>F26-F27</f>
        <v>1.6828004739297313</v>
      </c>
      <c r="G28" s="124" t="s">
        <v>26</v>
      </c>
      <c r="H28" s="106" t="s">
        <v>242</v>
      </c>
      <c r="I28" s="106"/>
      <c r="J28" s="126"/>
      <c r="K28" s="126"/>
      <c r="Q28" s="116"/>
    </row>
    <row r="29" spans="1:19" s="117" customFormat="1" ht="21.75" customHeight="1">
      <c r="A29" s="116"/>
      <c r="C29" s="276"/>
      <c r="D29" s="276"/>
      <c r="E29" s="117" t="s">
        <v>239</v>
      </c>
      <c r="F29" s="127">
        <f>F28/F23</f>
        <v>7.8879745198309168</v>
      </c>
      <c r="G29" s="124" t="s">
        <v>26</v>
      </c>
      <c r="H29" s="117" t="s">
        <v>239</v>
      </c>
      <c r="I29" s="106"/>
      <c r="J29" s="126"/>
      <c r="K29" s="126"/>
      <c r="Q29" s="116"/>
    </row>
    <row r="30" spans="1:19" s="117" customFormat="1" ht="21.75" customHeight="1">
      <c r="A30" s="116"/>
      <c r="C30" s="276"/>
      <c r="D30" s="276"/>
      <c r="E30" s="117" t="s">
        <v>241</v>
      </c>
      <c r="F30" s="127">
        <v>0.01</v>
      </c>
      <c r="G30" s="124" t="s">
        <v>45</v>
      </c>
      <c r="H30" s="106" t="s">
        <v>240</v>
      </c>
      <c r="I30" s="106"/>
      <c r="J30" s="126"/>
      <c r="K30" s="126"/>
      <c r="Q30" s="116"/>
      <c r="S30" s="179"/>
    </row>
    <row r="31" spans="1:19" s="117" customFormat="1" ht="21.75" customHeight="1">
      <c r="A31" s="116"/>
      <c r="C31" s="276"/>
      <c r="D31" s="276"/>
      <c r="E31" s="117" t="s">
        <v>239</v>
      </c>
      <c r="F31" s="127">
        <f>(1-F30)^3/2/F30*(((1+2*F30)^2-1)^(-1/3))</f>
        <v>141.38884055051423</v>
      </c>
      <c r="G31" s="124" t="s">
        <v>45</v>
      </c>
      <c r="H31" s="106" t="s">
        <v>238</v>
      </c>
      <c r="I31" s="106"/>
      <c r="J31" s="126"/>
      <c r="K31" s="126"/>
      <c r="Q31" s="116"/>
      <c r="S31" s="179">
        <f>F29-F31</f>
        <v>-133.50086603068331</v>
      </c>
    </row>
    <row r="32" spans="1:19" s="117" customFormat="1" ht="21.75" customHeight="1">
      <c r="A32" s="116"/>
      <c r="C32" s="276" t="s">
        <v>237</v>
      </c>
      <c r="D32" s="276"/>
      <c r="E32" s="117" t="s">
        <v>220</v>
      </c>
      <c r="F32" s="127">
        <f>4*F28*F30/(1-F30)^3</f>
        <v>6.937245009753619E-2</v>
      </c>
      <c r="G32" s="124" t="s">
        <v>26</v>
      </c>
      <c r="H32" s="106" t="s">
        <v>236</v>
      </c>
      <c r="I32" s="106"/>
      <c r="J32" s="126"/>
      <c r="K32" s="126"/>
      <c r="Q32" s="116"/>
      <c r="S32" s="179"/>
    </row>
    <row r="33" spans="1:26" s="117" customFormat="1" ht="21.75" customHeight="1">
      <c r="A33" s="116"/>
      <c r="C33" s="276" t="s">
        <v>235</v>
      </c>
      <c r="D33" s="276"/>
      <c r="E33" s="117" t="s">
        <v>234</v>
      </c>
      <c r="F33" s="127">
        <f>F22/F32</f>
        <v>4.4488540702082719</v>
      </c>
      <c r="G33" s="124" t="s">
        <v>233</v>
      </c>
      <c r="H33" s="106" t="s">
        <v>232</v>
      </c>
      <c r="I33" s="106"/>
      <c r="J33" s="126"/>
      <c r="K33" s="126"/>
      <c r="Q33" s="116"/>
      <c r="S33" s="179"/>
    </row>
    <row r="34" spans="1:26" s="117" customFormat="1" ht="21.75" customHeight="1">
      <c r="A34" s="116"/>
      <c r="C34" s="276" t="s">
        <v>231</v>
      </c>
      <c r="D34" s="276"/>
      <c r="E34" s="117" t="s">
        <v>230</v>
      </c>
      <c r="F34" s="127">
        <f>F30*F32</f>
        <v>6.9372450097536194E-4</v>
      </c>
      <c r="G34" s="124" t="s">
        <v>26</v>
      </c>
      <c r="H34" s="106" t="s">
        <v>229</v>
      </c>
      <c r="I34" s="106"/>
      <c r="J34" s="126"/>
      <c r="K34" s="126"/>
      <c r="Q34" s="116"/>
      <c r="S34" s="179"/>
    </row>
    <row r="35" spans="1:26" s="117" customFormat="1" ht="21.75" customHeight="1">
      <c r="A35" s="116"/>
      <c r="C35" s="276" t="s">
        <v>228</v>
      </c>
      <c r="D35" s="276"/>
      <c r="E35" s="117" t="s">
        <v>227</v>
      </c>
      <c r="F35" s="127">
        <f>F22/F34</f>
        <v>444.88540702082719</v>
      </c>
      <c r="G35" s="124" t="s">
        <v>132</v>
      </c>
      <c r="H35" s="106" t="s">
        <v>226</v>
      </c>
      <c r="I35" s="106"/>
      <c r="J35" s="126"/>
      <c r="K35" s="126"/>
      <c r="Q35" s="116"/>
      <c r="S35" s="179"/>
    </row>
    <row r="36" spans="1:26" s="117" customFormat="1" ht="21.75" customHeight="1">
      <c r="A36" s="116"/>
      <c r="C36" s="276" t="s">
        <v>225</v>
      </c>
      <c r="D36" s="276"/>
      <c r="E36" s="117" t="s">
        <v>224</v>
      </c>
      <c r="F36" s="127">
        <f>F35/(9.81*F34)^0.5</f>
        <v>5392.8723439729974</v>
      </c>
      <c r="G36" s="124" t="s">
        <v>45</v>
      </c>
      <c r="H36" s="106" t="s">
        <v>223</v>
      </c>
      <c r="I36" s="106"/>
      <c r="J36" s="126"/>
      <c r="K36" s="126"/>
      <c r="Q36" s="116"/>
      <c r="S36" s="329" t="s">
        <v>222</v>
      </c>
      <c r="T36" s="267"/>
      <c r="U36" s="267"/>
      <c r="V36" s="267"/>
      <c r="W36" s="267"/>
      <c r="X36" s="267"/>
      <c r="Y36" s="267"/>
      <c r="Z36" s="267"/>
    </row>
    <row r="37" spans="1:26" s="117" customFormat="1" ht="21.75" customHeight="1">
      <c r="A37" s="116"/>
      <c r="C37" s="276" t="s">
        <v>221</v>
      </c>
      <c r="D37" s="276"/>
      <c r="E37" s="117" t="s">
        <v>220</v>
      </c>
      <c r="F37" s="127">
        <f>F34/2*((1+8*F36^2)^0.5-1)</f>
        <v>5.2904632151306563</v>
      </c>
      <c r="G37" s="124" t="s">
        <v>26</v>
      </c>
      <c r="H37" s="106" t="s">
        <v>219</v>
      </c>
      <c r="I37" s="106"/>
      <c r="J37" s="126"/>
      <c r="K37" s="126"/>
      <c r="Q37" s="116"/>
      <c r="S37" s="179"/>
    </row>
    <row r="38" spans="1:26" s="117" customFormat="1" ht="21.75" customHeight="1">
      <c r="A38" s="116"/>
      <c r="C38" s="276" t="s">
        <v>218</v>
      </c>
      <c r="D38" s="276"/>
      <c r="E38" s="117" t="s">
        <v>217</v>
      </c>
      <c r="F38" s="127">
        <f>F32+F23^3/2/F32^2</f>
        <v>1.0781544347055232</v>
      </c>
      <c r="G38" s="124" t="s">
        <v>26</v>
      </c>
      <c r="H38" s="106" t="s">
        <v>216</v>
      </c>
      <c r="I38" s="106"/>
      <c r="J38" s="126"/>
      <c r="K38" s="126"/>
      <c r="Q38" s="116"/>
      <c r="S38" s="179"/>
    </row>
    <row r="39" spans="1:26" s="117" customFormat="1" ht="21.75" customHeight="1">
      <c r="A39" s="116"/>
      <c r="C39" s="132" t="s">
        <v>215</v>
      </c>
      <c r="D39" s="132"/>
      <c r="E39" s="132" t="s">
        <v>214</v>
      </c>
      <c r="F39" s="180">
        <f>F27-F38*F18</f>
        <v>25.00184548900053</v>
      </c>
      <c r="G39" s="126" t="s">
        <v>28</v>
      </c>
      <c r="H39" s="106" t="s">
        <v>213</v>
      </c>
      <c r="I39" s="106"/>
      <c r="J39" s="126"/>
      <c r="K39" s="126"/>
      <c r="P39" s="123"/>
      <c r="Q39" s="122"/>
    </row>
    <row r="40" spans="1:26" s="117" customFormat="1" ht="21.75" customHeight="1">
      <c r="A40" s="116"/>
      <c r="C40" s="276" t="s">
        <v>212</v>
      </c>
      <c r="D40" s="276"/>
      <c r="E40" s="117" t="s">
        <v>211</v>
      </c>
      <c r="F40" s="127">
        <f>F39+F32</f>
        <v>25.071217939098066</v>
      </c>
      <c r="G40" s="124" t="s">
        <v>26</v>
      </c>
      <c r="H40" s="106" t="s">
        <v>210</v>
      </c>
      <c r="I40" s="106"/>
      <c r="J40" s="126"/>
      <c r="K40" s="126"/>
      <c r="Q40" s="116"/>
      <c r="S40" s="179"/>
    </row>
    <row r="41" spans="1:26" s="117" customFormat="1" ht="21.75" customHeight="1">
      <c r="A41" s="116"/>
      <c r="C41" s="276"/>
      <c r="D41" s="276"/>
      <c r="E41" s="117" t="s">
        <v>207</v>
      </c>
      <c r="F41" s="127">
        <f>interpolate(F36,'Jump Lookup'!B1:B21,'Jump Lookup'!C1:C21)</f>
        <v>-99</v>
      </c>
      <c r="G41" s="124" t="s">
        <v>26</v>
      </c>
      <c r="H41" s="106" t="s">
        <v>206</v>
      </c>
      <c r="I41" s="106"/>
      <c r="J41" s="126"/>
      <c r="K41" s="126"/>
      <c r="L41" s="117" t="s">
        <v>209</v>
      </c>
      <c r="Q41" s="116"/>
      <c r="S41" s="329" t="s">
        <v>208</v>
      </c>
      <c r="T41" s="267"/>
      <c r="U41" s="267"/>
      <c r="V41" s="267"/>
      <c r="W41" s="267"/>
      <c r="X41" s="267"/>
      <c r="Y41" s="267"/>
      <c r="Z41" s="267"/>
    </row>
    <row r="42" spans="1:26" s="117" customFormat="1" ht="21.75" customHeight="1">
      <c r="A42" s="116"/>
      <c r="C42" s="276"/>
      <c r="D42" s="276"/>
      <c r="E42" s="117" t="s">
        <v>207</v>
      </c>
      <c r="F42" s="127">
        <f>interpolate(F36,'Jump Lookup'!B2:B22,'Jump Lookup'!C2:C22)</f>
        <v>-99</v>
      </c>
      <c r="G42" s="124" t="s">
        <v>26</v>
      </c>
      <c r="H42" s="106" t="s">
        <v>206</v>
      </c>
      <c r="I42" s="106"/>
      <c r="J42" s="126"/>
      <c r="K42" s="126"/>
      <c r="Q42" s="116"/>
      <c r="S42" s="179"/>
    </row>
    <row r="43" spans="1:26" s="117" customFormat="1" ht="21.75" customHeight="1">
      <c r="A43" s="116"/>
      <c r="C43" s="276" t="s">
        <v>205</v>
      </c>
      <c r="D43" s="276"/>
      <c r="E43" s="117" t="s">
        <v>204</v>
      </c>
      <c r="F43" s="127">
        <f>F42*F32</f>
        <v>-6.8678725596560826</v>
      </c>
      <c r="G43" s="124" t="s">
        <v>26</v>
      </c>
      <c r="H43" s="106" t="s">
        <v>203</v>
      </c>
      <c r="I43" s="106"/>
      <c r="J43" s="126"/>
      <c r="K43" s="126"/>
      <c r="Q43" s="116"/>
      <c r="S43" s="179"/>
    </row>
    <row r="44" spans="1:26" s="117" customFormat="1" ht="21.75" customHeight="1">
      <c r="A44" s="116"/>
      <c r="C44" s="276" t="s">
        <v>202</v>
      </c>
      <c r="D44" s="276"/>
      <c r="F44" s="326" t="str">
        <f>LOOKUP(F36,'Jump Lookup'!A28:A33,'Jump Lookup'!C28:C33)</f>
        <v>Expensive Stilling Basin and Rough Surface Conditions</v>
      </c>
      <c r="G44" s="327"/>
      <c r="H44" s="327"/>
      <c r="I44" s="327"/>
      <c r="J44" s="327"/>
      <c r="K44" s="328"/>
      <c r="L44" s="321"/>
      <c r="M44" s="321"/>
      <c r="N44" s="321"/>
      <c r="O44" s="321"/>
      <c r="Q44" s="116"/>
    </row>
    <row r="45" spans="1:26" s="117" customFormat="1" ht="21.75" customHeight="1">
      <c r="A45" s="116"/>
      <c r="C45" s="276" t="s">
        <v>201</v>
      </c>
      <c r="D45" s="276"/>
      <c r="F45" s="323" t="str">
        <f>LOOKUP(F36,'Jump Lookup'!A$38:A$42,'Jump Lookup'!B$38:B$42)</f>
        <v>Type III</v>
      </c>
      <c r="G45" s="324"/>
      <c r="H45" s="325"/>
      <c r="I45" s="106"/>
      <c r="J45" s="126" t="s">
        <v>11</v>
      </c>
      <c r="K45" s="126"/>
      <c r="L45" s="321"/>
      <c r="M45" s="321"/>
      <c r="N45" s="321"/>
      <c r="O45" s="321"/>
      <c r="Q45" s="116"/>
    </row>
    <row r="46" spans="1:26" s="123" customFormat="1" ht="21.75" customHeight="1">
      <c r="A46" s="122"/>
      <c r="C46" s="117" t="s">
        <v>200</v>
      </c>
      <c r="E46" s="117" t="s">
        <v>199</v>
      </c>
      <c r="F46" s="127">
        <f>IF(F45="Type III",interpolate(F36,'Jump Lookup'!E$2:E$16,'Jump Lookup'!F$2:F$16),IF(F45="Type IVA",interpolate(F36,'Jump Lookup'!G2:G9,'Jump Lookup'!H2:H9)))</f>
        <v>-99</v>
      </c>
      <c r="G46" s="124" t="s">
        <v>26</v>
      </c>
      <c r="H46" s="124"/>
      <c r="K46" s="126"/>
      <c r="Q46" s="122"/>
    </row>
    <row r="47" spans="1:26" s="123" customFormat="1" ht="21.75" customHeight="1">
      <c r="A47" s="134"/>
      <c r="B47" s="135"/>
      <c r="C47" s="136" t="s">
        <v>198</v>
      </c>
      <c r="D47" s="135"/>
      <c r="E47" s="136" t="s">
        <v>197</v>
      </c>
      <c r="F47" s="127">
        <f>F46*F32</f>
        <v>-6.8678725596560826</v>
      </c>
      <c r="G47" s="138" t="s">
        <v>26</v>
      </c>
      <c r="H47" s="138"/>
      <c r="I47" s="135"/>
      <c r="J47" s="135"/>
      <c r="K47" s="139"/>
      <c r="L47" s="135"/>
      <c r="M47" s="135"/>
      <c r="N47" s="135"/>
      <c r="O47" s="135"/>
      <c r="P47" s="135"/>
      <c r="Q47" s="134"/>
    </row>
  </sheetData>
  <mergeCells count="40">
    <mergeCell ref="B1:L1"/>
    <mergeCell ref="S36:Z36"/>
    <mergeCell ref="S41:Z41"/>
    <mergeCell ref="C35:D35"/>
    <mergeCell ref="C23:D23"/>
    <mergeCell ref="C32:D32"/>
    <mergeCell ref="C29:D29"/>
    <mergeCell ref="C27:D27"/>
    <mergeCell ref="C34:D34"/>
    <mergeCell ref="C30:D30"/>
    <mergeCell ref="C28:D28"/>
    <mergeCell ref="C33:D33"/>
    <mergeCell ref="C16:D16"/>
    <mergeCell ref="M5:P5"/>
    <mergeCell ref="C24:D24"/>
    <mergeCell ref="I5:J5"/>
    <mergeCell ref="C42:D42"/>
    <mergeCell ref="C36:D36"/>
    <mergeCell ref="C38:D38"/>
    <mergeCell ref="C31:D31"/>
    <mergeCell ref="C37:D37"/>
    <mergeCell ref="C40:D40"/>
    <mergeCell ref="C41:D41"/>
    <mergeCell ref="C43:D43"/>
    <mergeCell ref="C45:D45"/>
    <mergeCell ref="F45:H45"/>
    <mergeCell ref="L45:O45"/>
    <mergeCell ref="F44:K44"/>
    <mergeCell ref="C44:D44"/>
    <mergeCell ref="L44:O44"/>
    <mergeCell ref="C26:D26"/>
    <mergeCell ref="C25:D25"/>
    <mergeCell ref="C17:D17"/>
    <mergeCell ref="C22:D22"/>
    <mergeCell ref="C18:D18"/>
    <mergeCell ref="I4:J4"/>
    <mergeCell ref="G6:H6"/>
    <mergeCell ref="G5:H5"/>
    <mergeCell ref="I6:J6"/>
    <mergeCell ref="G4:H4"/>
  </mergeCells>
  <dataValidations disablePrompts="1" count="1">
    <dataValidation type="textLength" allowBlank="1" showInputMessage="1" showErrorMessage="1" sqref="L14:O14 K15:N15 K13:N13 L22:O45" xr:uid="{39BF8291-A1E2-49E8-B398-90F291F045EF}">
      <formula1>0</formula1>
      <formula2>31</formula2>
    </dataValidation>
  </dataValidations>
  <pageMargins left="0.27" right="0.28000000000000003" top="0.25" bottom="0.54" header="0.25" footer="0.22"/>
  <pageSetup paperSize="9" scale="74" orientation="portrait" r:id="rId1"/>
  <headerFooter alignWithMargins="0"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1">
                <anchor moveWithCells="1" sizeWithCells="1">
                  <from>
                    <xdr:col>16</xdr:col>
                    <xdr:colOff>114300</xdr:colOff>
                    <xdr:row>28</xdr:row>
                    <xdr:rowOff>83820</xdr:rowOff>
                  </from>
                  <to>
                    <xdr:col>16</xdr:col>
                    <xdr:colOff>289560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B8CE6-3AC4-47CB-A7ED-30AE26382953}">
  <sheetPr codeName="Sheet4">
    <tabColor rgb="FF00B0F0"/>
  </sheetPr>
  <dimension ref="A1:S60"/>
  <sheetViews>
    <sheetView showGridLines="0" view="pageBreakPreview" topLeftCell="A19" zoomScaleNormal="100" zoomScaleSheetLayoutView="100" workbookViewId="0">
      <selection activeCell="F30" sqref="F30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77734375" style="90" customWidth="1"/>
    <col min="11" max="11" width="11.109375" style="90" bestFit="1" customWidth="1"/>
    <col min="12" max="12" width="11" style="90" customWidth="1"/>
    <col min="13" max="13" width="6.77734375" style="90" customWidth="1"/>
    <col min="14" max="14" width="4.44140625" style="90" customWidth="1"/>
    <col min="15" max="15" width="4.77734375" style="90" customWidth="1"/>
    <col min="16" max="16" width="4.21875" style="90" customWidth="1"/>
    <col min="17" max="17" width="7.6640625" style="90" customWidth="1"/>
    <col min="18" max="16384" width="8.88671875" style="90"/>
  </cols>
  <sheetData>
    <row r="1" spans="1:18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</row>
    <row r="2" spans="1:18" ht="27.75" customHeight="1">
      <c r="A2" s="91"/>
      <c r="B2" s="115">
        <f>'Condition 1'!B2</f>
        <v>0</v>
      </c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</row>
    <row r="3" spans="1:18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</row>
    <row r="4" spans="1:18" ht="27.75" customHeight="1">
      <c r="A4" s="91"/>
      <c r="B4" s="92" t="s">
        <v>8</v>
      </c>
      <c r="C4" s="92"/>
      <c r="D4" s="92"/>
      <c r="E4" s="92"/>
      <c r="F4" s="96"/>
      <c r="G4" s="254" t="s">
        <v>1</v>
      </c>
      <c r="H4" s="255"/>
      <c r="I4" s="318" t="s">
        <v>10</v>
      </c>
      <c r="J4" s="319"/>
      <c r="K4" s="13" t="s">
        <v>9</v>
      </c>
      <c r="L4" s="170">
        <f>'Condition 1'!L4</f>
        <v>0</v>
      </c>
      <c r="M4" s="169"/>
      <c r="N4" s="169"/>
      <c r="O4" s="169"/>
      <c r="P4" s="168"/>
      <c r="Q4" s="91"/>
    </row>
    <row r="5" spans="1:18" ht="27.75" customHeight="1">
      <c r="A5" s="91"/>
      <c r="B5" s="248" t="s">
        <v>306</v>
      </c>
      <c r="C5" s="101"/>
      <c r="D5" s="101"/>
      <c r="E5" s="101"/>
      <c r="F5" s="167"/>
      <c r="G5" s="254" t="s">
        <v>2</v>
      </c>
      <c r="H5" s="255"/>
      <c r="I5" s="318">
        <f>Input_SB!I5</f>
        <v>0</v>
      </c>
      <c r="J5" s="319"/>
      <c r="K5" s="13" t="s">
        <v>3</v>
      </c>
      <c r="L5" s="79">
        <f>Input_SB!L5</f>
        <v>0</v>
      </c>
      <c r="M5" s="256" t="s">
        <v>4</v>
      </c>
      <c r="N5" s="257"/>
      <c r="O5" s="257"/>
      <c r="P5" s="257"/>
      <c r="Q5" s="99"/>
      <c r="R5" s="3"/>
    </row>
    <row r="6" spans="1:18" ht="27.75" customHeight="1">
      <c r="A6" s="91"/>
      <c r="B6" s="166"/>
      <c r="C6" s="109"/>
      <c r="D6" s="109"/>
      <c r="E6" s="109"/>
      <c r="F6" s="165"/>
      <c r="G6" s="254" t="s">
        <v>5</v>
      </c>
      <c r="H6" s="255"/>
      <c r="I6" s="318">
        <f>Input_SB!I6</f>
        <v>0</v>
      </c>
      <c r="J6" s="319"/>
      <c r="K6" s="13" t="s">
        <v>3</v>
      </c>
      <c r="L6" s="79">
        <f>Input_SB!L6</f>
        <v>0</v>
      </c>
      <c r="M6" s="14"/>
      <c r="N6" s="15" t="s">
        <v>6</v>
      </c>
      <c r="O6" s="16"/>
      <c r="P6" s="94"/>
      <c r="Q6" s="100"/>
      <c r="R6" s="1"/>
    </row>
    <row r="7" spans="1:18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18" s="92" customFormat="1" ht="31.5" hidden="1" customHeight="1">
      <c r="A8" s="104"/>
      <c r="C8" s="105" t="s">
        <v>306</v>
      </c>
      <c r="Q8" s="104"/>
    </row>
    <row r="9" spans="1:18" s="92" customFormat="1" ht="24.75" customHeight="1">
      <c r="A9" s="104"/>
      <c r="C9" s="106" t="s">
        <v>195</v>
      </c>
      <c r="Q9" s="104"/>
    </row>
    <row r="10" spans="1:18" s="92" customFormat="1" ht="23.25" customHeight="1">
      <c r="A10" s="104"/>
      <c r="B10" s="115"/>
      <c r="C10" s="108" t="s">
        <v>54</v>
      </c>
      <c r="D10" s="94"/>
      <c r="E10" s="94"/>
      <c r="F10" s="94"/>
      <c r="G10" s="94"/>
      <c r="H10" s="94"/>
      <c r="I10" s="109"/>
      <c r="J10" s="109"/>
      <c r="K10" s="109"/>
      <c r="L10" s="94"/>
      <c r="M10" s="94"/>
      <c r="N10" s="94"/>
      <c r="O10" s="94"/>
      <c r="P10" s="93"/>
      <c r="Q10" s="104"/>
    </row>
    <row r="11" spans="1:18" s="92" customFormat="1" ht="21.75" customHeight="1">
      <c r="A11" s="104"/>
      <c r="C11" s="161"/>
      <c r="F11" s="160"/>
      <c r="G11" s="144"/>
      <c r="H11" s="144"/>
      <c r="K11" s="126" t="s">
        <v>11</v>
      </c>
      <c r="Q11" s="104"/>
    </row>
    <row r="12" spans="1:18" s="117" customFormat="1" ht="21.75" customHeight="1">
      <c r="A12" s="116"/>
      <c r="C12" s="117" t="s">
        <v>194</v>
      </c>
      <c r="E12" s="117" t="s">
        <v>22</v>
      </c>
      <c r="F12" s="127">
        <f>Input_SB!F81</f>
        <v>13.270999999999997</v>
      </c>
      <c r="G12" s="124" t="s">
        <v>40</v>
      </c>
      <c r="H12" s="106" t="s">
        <v>22</v>
      </c>
      <c r="I12" s="106"/>
      <c r="J12" s="126"/>
      <c r="L12" s="123"/>
      <c r="M12" s="123"/>
      <c r="N12" s="123"/>
      <c r="O12" s="123"/>
      <c r="P12" s="123"/>
      <c r="Q12" s="122"/>
    </row>
    <row r="13" spans="1:18" s="117" customFormat="1" ht="21.75" customHeight="1">
      <c r="A13" s="116"/>
      <c r="C13" s="117" t="s">
        <v>190</v>
      </c>
      <c r="E13" s="117" t="s">
        <v>17</v>
      </c>
      <c r="F13" s="127">
        <f>Input_SB!F16</f>
        <v>4.3</v>
      </c>
      <c r="G13" s="124" t="s">
        <v>26</v>
      </c>
      <c r="H13" s="106" t="s">
        <v>17</v>
      </c>
      <c r="I13" s="126"/>
      <c r="J13" s="126"/>
      <c r="K13" s="126"/>
      <c r="L13" s="123"/>
      <c r="M13" s="123"/>
      <c r="N13" s="123"/>
      <c r="O13" s="123"/>
      <c r="P13" s="123"/>
      <c r="Q13" s="122"/>
    </row>
    <row r="14" spans="1:18" s="117" customFormat="1" ht="21.75" customHeight="1">
      <c r="A14" s="116"/>
      <c r="C14" s="117" t="s">
        <v>269</v>
      </c>
      <c r="E14" s="117" t="s">
        <v>73</v>
      </c>
      <c r="F14" s="127">
        <f>[3]Calc!$F$28</f>
        <v>27.762420700000028</v>
      </c>
      <c r="G14" s="124" t="s">
        <v>28</v>
      </c>
      <c r="H14" s="106" t="s">
        <v>305</v>
      </c>
      <c r="I14" s="106"/>
      <c r="J14" s="126"/>
      <c r="K14" s="126"/>
      <c r="P14" s="123"/>
      <c r="Q14" s="122"/>
    </row>
    <row r="15" spans="1:18" s="117" customFormat="1" ht="21.75" customHeight="1">
      <c r="A15" s="116"/>
      <c r="C15" s="117" t="s">
        <v>267</v>
      </c>
      <c r="E15" s="117" t="s">
        <v>46</v>
      </c>
      <c r="F15" s="125">
        <f>Input_SB!F53</f>
        <v>1.9533411833971126</v>
      </c>
      <c r="G15" s="124" t="s">
        <v>132</v>
      </c>
      <c r="H15" s="106" t="s">
        <v>46</v>
      </c>
      <c r="I15" s="126"/>
      <c r="J15" s="126"/>
      <c r="K15" s="126"/>
      <c r="L15" s="123"/>
      <c r="M15" s="123"/>
      <c r="N15" s="123"/>
      <c r="O15" s="123"/>
      <c r="P15" s="123"/>
      <c r="Q15" s="122"/>
    </row>
    <row r="16" spans="1:18" s="123" customFormat="1" ht="21.75" customHeight="1">
      <c r="A16" s="122"/>
      <c r="C16" s="276" t="s">
        <v>265</v>
      </c>
      <c r="D16" s="276"/>
      <c r="E16" s="117" t="s">
        <v>75</v>
      </c>
      <c r="F16" s="133">
        <f>Input_SB!F97</f>
        <v>27.491339691162111</v>
      </c>
      <c r="G16" s="124" t="s">
        <v>28</v>
      </c>
      <c r="H16" s="106" t="s">
        <v>304</v>
      </c>
      <c r="I16" s="126"/>
      <c r="J16" s="126"/>
      <c r="K16" s="124" t="s">
        <v>303</v>
      </c>
      <c r="Q16" s="122"/>
    </row>
    <row r="17" spans="1:19" s="123" customFormat="1" ht="21.75" customHeight="1">
      <c r="A17" s="122"/>
      <c r="C17" s="276" t="s">
        <v>263</v>
      </c>
      <c r="D17" s="276"/>
      <c r="E17" s="117" t="s">
        <v>234</v>
      </c>
      <c r="F17" s="127">
        <f>Input_SB!F84</f>
        <v>1.1517224311828613</v>
      </c>
      <c r="G17" s="124" t="s">
        <v>132</v>
      </c>
      <c r="H17" s="141" t="s">
        <v>302</v>
      </c>
      <c r="I17" s="126"/>
      <c r="J17" s="126"/>
      <c r="K17" s="117"/>
      <c r="Q17" s="122"/>
    </row>
    <row r="18" spans="1:19" s="123" customFormat="1" ht="21.75" customHeight="1">
      <c r="A18" s="122"/>
      <c r="C18" s="276" t="s">
        <v>189</v>
      </c>
      <c r="D18" s="276"/>
      <c r="E18" s="117" t="s">
        <v>77</v>
      </c>
      <c r="F18" s="131">
        <v>1</v>
      </c>
      <c r="G18" s="124" t="s">
        <v>45</v>
      </c>
      <c r="H18" s="106" t="s">
        <v>262</v>
      </c>
      <c r="I18" s="126"/>
      <c r="J18" s="126"/>
      <c r="K18" s="117" t="s">
        <v>301</v>
      </c>
      <c r="Q18" s="122"/>
    </row>
    <row r="19" spans="1:19" ht="21.75" customHeight="1">
      <c r="A19" s="91"/>
      <c r="C19" s="92"/>
      <c r="E19" s="113"/>
      <c r="F19" s="96"/>
      <c r="G19" s="96"/>
      <c r="H19" s="96"/>
      <c r="K19" s="114"/>
      <c r="Q19" s="91"/>
    </row>
    <row r="20" spans="1:19" s="92" customFormat="1" ht="23.25" customHeight="1">
      <c r="A20" s="104"/>
      <c r="B20" s="115"/>
      <c r="C20" s="108" t="s">
        <v>55</v>
      </c>
      <c r="D20" s="94"/>
      <c r="E20" s="94"/>
      <c r="F20" s="94"/>
      <c r="G20" s="94"/>
      <c r="H20" s="94"/>
      <c r="I20" s="109"/>
      <c r="J20" s="109"/>
      <c r="K20" s="109"/>
      <c r="L20" s="94"/>
      <c r="M20" s="94"/>
      <c r="N20" s="94"/>
      <c r="O20" s="94"/>
      <c r="P20" s="93"/>
      <c r="Q20" s="104"/>
    </row>
    <row r="21" spans="1:19" s="117" customFormat="1" ht="21.75" customHeight="1">
      <c r="A21" s="116"/>
      <c r="C21" s="132"/>
      <c r="I21" s="97"/>
      <c r="J21" s="97"/>
      <c r="K21" s="126" t="s">
        <v>11</v>
      </c>
      <c r="Q21" s="116"/>
    </row>
    <row r="22" spans="1:19" s="117" customFormat="1" ht="18.75" customHeight="1">
      <c r="A22" s="116"/>
      <c r="C22" s="276" t="s">
        <v>261</v>
      </c>
      <c r="D22" s="276"/>
      <c r="E22" s="117" t="s">
        <v>109</v>
      </c>
      <c r="F22" s="127">
        <f>F12/F13</f>
        <v>3.0862790697674414</v>
      </c>
      <c r="G22" s="124" t="s">
        <v>300</v>
      </c>
      <c r="H22" s="106" t="s">
        <v>260</v>
      </c>
      <c r="I22" s="106"/>
      <c r="J22" s="126"/>
      <c r="K22" s="126"/>
      <c r="Q22" s="116"/>
    </row>
    <row r="23" spans="1:19" s="117" customFormat="1" ht="21.75" customHeight="1">
      <c r="A23" s="116"/>
      <c r="C23" s="276" t="s">
        <v>259</v>
      </c>
      <c r="D23" s="276"/>
      <c r="E23" s="117" t="s">
        <v>299</v>
      </c>
      <c r="F23" s="127">
        <f>(F22^2/9.81)^(1/3)</f>
        <v>0.99022478702909966</v>
      </c>
      <c r="G23" s="124" t="s">
        <v>26</v>
      </c>
      <c r="H23" s="106" t="s">
        <v>298</v>
      </c>
      <c r="I23" s="106"/>
      <c r="J23" s="126"/>
      <c r="K23" s="126"/>
      <c r="Q23" s="116"/>
    </row>
    <row r="24" spans="1:19" s="117" customFormat="1" ht="21.75" customHeight="1">
      <c r="A24" s="116"/>
      <c r="C24" s="276" t="s">
        <v>256</v>
      </c>
      <c r="D24" s="276"/>
      <c r="E24" s="117" t="s">
        <v>297</v>
      </c>
      <c r="F24" s="127">
        <f>F15^2/2/9.81</f>
        <v>0.19447205804053172</v>
      </c>
      <c r="G24" s="124" t="s">
        <v>26</v>
      </c>
      <c r="H24" s="106" t="s">
        <v>296</v>
      </c>
      <c r="I24" s="106"/>
      <c r="J24" s="126"/>
      <c r="K24" s="126"/>
      <c r="Q24" s="116"/>
    </row>
    <row r="25" spans="1:19" s="117" customFormat="1" ht="21.75" customHeight="1">
      <c r="A25" s="116"/>
      <c r="C25" s="276" t="s">
        <v>253</v>
      </c>
      <c r="D25" s="276"/>
      <c r="E25" s="117" t="s">
        <v>295</v>
      </c>
      <c r="F25" s="127">
        <f>F17^2/2/9.81</f>
        <v>6.7607775662067313E-2</v>
      </c>
      <c r="G25" s="124" t="s">
        <v>26</v>
      </c>
      <c r="H25" s="106" t="s">
        <v>294</v>
      </c>
      <c r="I25" s="106"/>
      <c r="J25" s="126"/>
      <c r="K25" s="126"/>
      <c r="Q25" s="116"/>
    </row>
    <row r="26" spans="1:19" s="117" customFormat="1" ht="21.75" customHeight="1">
      <c r="A26" s="116"/>
      <c r="C26" s="276" t="s">
        <v>250</v>
      </c>
      <c r="D26" s="276"/>
      <c r="E26" s="117" t="s">
        <v>293</v>
      </c>
      <c r="F26" s="127">
        <f>F14+F24</f>
        <v>27.95689275804056</v>
      </c>
      <c r="G26" s="124" t="s">
        <v>26</v>
      </c>
      <c r="H26" s="106" t="s">
        <v>292</v>
      </c>
      <c r="I26" s="106"/>
      <c r="J26" s="126"/>
      <c r="K26" s="126"/>
      <c r="Q26" s="116"/>
    </row>
    <row r="27" spans="1:19" s="117" customFormat="1" ht="21.75" customHeight="1">
      <c r="A27" s="116"/>
      <c r="C27" s="276" t="s">
        <v>247</v>
      </c>
      <c r="D27" s="276"/>
      <c r="E27" s="117" t="s">
        <v>291</v>
      </c>
      <c r="F27" s="127">
        <f>F25+F16</f>
        <v>27.558947466824179</v>
      </c>
      <c r="G27" s="124" t="s">
        <v>26</v>
      </c>
      <c r="H27" s="106" t="s">
        <v>290</v>
      </c>
      <c r="I27" s="106"/>
      <c r="J27" s="126"/>
      <c r="K27" s="126"/>
      <c r="Q27" s="116"/>
    </row>
    <row r="28" spans="1:19" s="117" customFormat="1" ht="21.75" customHeight="1">
      <c r="A28" s="116"/>
      <c r="C28" s="276" t="s">
        <v>244</v>
      </c>
      <c r="D28" s="276"/>
      <c r="E28" s="117" t="s">
        <v>289</v>
      </c>
      <c r="F28" s="127">
        <f>F26-F27</f>
        <v>0.39794529121638078</v>
      </c>
      <c r="G28" s="124" t="s">
        <v>26</v>
      </c>
      <c r="H28" s="106" t="s">
        <v>288</v>
      </c>
      <c r="I28" s="106"/>
      <c r="J28" s="126"/>
      <c r="K28" s="126"/>
      <c r="Q28" s="116"/>
    </row>
    <row r="29" spans="1:19" s="117" customFormat="1" ht="21.75" customHeight="1">
      <c r="A29" s="116"/>
      <c r="C29" s="276"/>
      <c r="D29" s="276"/>
      <c r="E29" s="117" t="s">
        <v>287</v>
      </c>
      <c r="F29" s="127">
        <f>F28/F23</f>
        <v>0.40187369214449525</v>
      </c>
      <c r="G29" s="124" t="s">
        <v>26</v>
      </c>
      <c r="H29" s="117" t="s">
        <v>287</v>
      </c>
      <c r="I29" s="106"/>
      <c r="J29" s="126"/>
      <c r="K29" s="126"/>
      <c r="Q29" s="116"/>
    </row>
    <row r="30" spans="1:19" s="117" customFormat="1" ht="21.75" customHeight="1">
      <c r="A30" s="116"/>
      <c r="C30" s="276"/>
      <c r="D30" s="276"/>
      <c r="E30" s="117" t="s">
        <v>241</v>
      </c>
      <c r="F30" s="127">
        <v>0.01</v>
      </c>
      <c r="G30" s="124" t="s">
        <v>45</v>
      </c>
      <c r="H30" s="106" t="s">
        <v>240</v>
      </c>
      <c r="I30" s="106"/>
      <c r="J30" s="126"/>
      <c r="K30" s="126"/>
      <c r="Q30" s="116"/>
      <c r="S30" s="179"/>
    </row>
    <row r="31" spans="1:19" s="117" customFormat="1" ht="21.75" customHeight="1">
      <c r="A31" s="116"/>
      <c r="C31" s="276"/>
      <c r="D31" s="276"/>
      <c r="E31" s="117" t="s">
        <v>287</v>
      </c>
      <c r="F31" s="127">
        <f>(1-F30)^3/2/F30*(((1+2*F30)^2-1)^(-1/3))</f>
        <v>141.38884055051423</v>
      </c>
      <c r="G31" s="124" t="s">
        <v>45</v>
      </c>
      <c r="H31" s="106" t="s">
        <v>286</v>
      </c>
      <c r="I31" s="106"/>
      <c r="J31" s="126"/>
      <c r="K31" s="126"/>
      <c r="Q31" s="116"/>
      <c r="S31" s="179">
        <f>F29-F31</f>
        <v>-140.98696685836973</v>
      </c>
    </row>
    <row r="32" spans="1:19" s="117" customFormat="1" ht="21.75" customHeight="1">
      <c r="A32" s="116"/>
      <c r="C32" s="276" t="s">
        <v>237</v>
      </c>
      <c r="D32" s="276"/>
      <c r="E32" s="117" t="s">
        <v>285</v>
      </c>
      <c r="F32" s="127">
        <f>4*F28*F30/(1-F30)^3</f>
        <v>1.6405058284771221E-2</v>
      </c>
      <c r="G32" s="124" t="s">
        <v>26</v>
      </c>
      <c r="H32" s="106" t="s">
        <v>284</v>
      </c>
      <c r="I32" s="106"/>
      <c r="J32" s="126"/>
      <c r="K32" s="126"/>
      <c r="Q32" s="116"/>
      <c r="S32" s="179"/>
    </row>
    <row r="33" spans="1:19" s="117" customFormat="1" ht="21.75" customHeight="1">
      <c r="A33" s="116"/>
      <c r="C33" s="276" t="s">
        <v>235</v>
      </c>
      <c r="D33" s="276"/>
      <c r="E33" s="117" t="s">
        <v>283</v>
      </c>
      <c r="F33" s="127">
        <f>F22/F32</f>
        <v>188.12972293017864</v>
      </c>
      <c r="G33" s="124" t="s">
        <v>233</v>
      </c>
      <c r="H33" s="106" t="s">
        <v>232</v>
      </c>
      <c r="I33" s="106"/>
      <c r="J33" s="126"/>
      <c r="K33" s="126"/>
      <c r="Q33" s="116"/>
      <c r="S33" s="179"/>
    </row>
    <row r="34" spans="1:19" s="117" customFormat="1" ht="21.75" customHeight="1">
      <c r="A34" s="116"/>
      <c r="C34" s="276" t="s">
        <v>231</v>
      </c>
      <c r="D34" s="276"/>
      <c r="E34" s="117" t="s">
        <v>282</v>
      </c>
      <c r="F34" s="127">
        <f>F30*F32</f>
        <v>1.6405058284771221E-4</v>
      </c>
      <c r="G34" s="124" t="s">
        <v>26</v>
      </c>
      <c r="H34" s="106" t="s">
        <v>281</v>
      </c>
      <c r="I34" s="106"/>
      <c r="J34" s="126"/>
      <c r="K34" s="126"/>
      <c r="Q34" s="116"/>
      <c r="S34" s="179"/>
    </row>
    <row r="35" spans="1:19" s="117" customFormat="1" ht="21.75" customHeight="1">
      <c r="A35" s="116"/>
      <c r="C35" s="276" t="s">
        <v>228</v>
      </c>
      <c r="D35" s="276"/>
      <c r="E35" s="117" t="s">
        <v>280</v>
      </c>
      <c r="F35" s="127">
        <f>F22/F34</f>
        <v>18812.972293017865</v>
      </c>
      <c r="G35" s="124" t="s">
        <v>233</v>
      </c>
      <c r="H35" s="106" t="s">
        <v>279</v>
      </c>
      <c r="I35" s="106"/>
      <c r="J35" s="126"/>
      <c r="K35" s="126"/>
      <c r="Q35" s="116"/>
      <c r="S35" s="179"/>
    </row>
    <row r="36" spans="1:19" s="117" customFormat="1" ht="21.75" customHeight="1">
      <c r="A36" s="116"/>
      <c r="C36" s="276" t="s">
        <v>225</v>
      </c>
      <c r="D36" s="276"/>
      <c r="E36" s="117" t="s">
        <v>224</v>
      </c>
      <c r="F36" s="127">
        <f>F35/(9.81*F34)^0.5</f>
        <v>468958.08034807787</v>
      </c>
      <c r="G36" s="124" t="s">
        <v>45</v>
      </c>
      <c r="H36" s="106" t="s">
        <v>223</v>
      </c>
      <c r="I36" s="106"/>
      <c r="J36" s="126"/>
      <c r="K36" s="126"/>
      <c r="Q36" s="116"/>
      <c r="S36" s="179"/>
    </row>
    <row r="37" spans="1:19" s="117" customFormat="1" ht="21.75" customHeight="1">
      <c r="A37" s="116"/>
      <c r="C37" s="276" t="s">
        <v>221</v>
      </c>
      <c r="D37" s="276"/>
      <c r="E37" s="117" t="s">
        <v>220</v>
      </c>
      <c r="F37" s="127">
        <f>F34/2*((1+8*F36^2)^0.5-1)</f>
        <v>108.7993927629047</v>
      </c>
      <c r="G37" s="124" t="s">
        <v>26</v>
      </c>
      <c r="H37" s="106" t="s">
        <v>219</v>
      </c>
      <c r="I37" s="106"/>
      <c r="J37" s="126"/>
      <c r="K37" s="126"/>
      <c r="Q37" s="116"/>
      <c r="S37" s="179"/>
    </row>
    <row r="38" spans="1:19" s="117" customFormat="1" ht="21.75" customHeight="1">
      <c r="A38" s="116"/>
      <c r="C38" s="276" t="s">
        <v>218</v>
      </c>
      <c r="D38" s="276"/>
      <c r="E38" s="117" t="s">
        <v>278</v>
      </c>
      <c r="F38" s="127">
        <f>F32+F23^3/2/F32^2</f>
        <v>1803.930403518315</v>
      </c>
      <c r="G38" s="124" t="s">
        <v>26</v>
      </c>
      <c r="H38" s="106" t="s">
        <v>216</v>
      </c>
      <c r="I38" s="106"/>
      <c r="J38" s="126"/>
      <c r="K38" s="126"/>
      <c r="Q38" s="116"/>
      <c r="S38" s="179"/>
    </row>
    <row r="39" spans="1:19" s="117" customFormat="1" ht="21.75" customHeight="1">
      <c r="A39" s="116"/>
      <c r="C39" s="132" t="s">
        <v>215</v>
      </c>
      <c r="D39" s="132"/>
      <c r="E39" s="132" t="s">
        <v>214</v>
      </c>
      <c r="F39" s="180">
        <f>F27-F38*F18</f>
        <v>-1776.3714560514909</v>
      </c>
      <c r="G39" s="126" t="s">
        <v>28</v>
      </c>
      <c r="H39" s="106" t="s">
        <v>277</v>
      </c>
      <c r="I39" s="106"/>
      <c r="J39" s="126"/>
      <c r="K39" s="126"/>
      <c r="P39" s="123"/>
      <c r="Q39" s="122"/>
    </row>
    <row r="40" spans="1:19" s="117" customFormat="1" ht="21.75" customHeight="1">
      <c r="A40" s="116"/>
      <c r="C40" s="276" t="s">
        <v>212</v>
      </c>
      <c r="D40" s="276"/>
      <c r="E40" s="117" t="s">
        <v>276</v>
      </c>
      <c r="F40" s="127">
        <f>F39+F32</f>
        <v>-1776.3550509932061</v>
      </c>
      <c r="G40" s="124" t="s">
        <v>26</v>
      </c>
      <c r="H40" s="106" t="s">
        <v>275</v>
      </c>
      <c r="I40" s="106"/>
      <c r="J40" s="126"/>
      <c r="K40" s="126"/>
      <c r="Q40" s="116"/>
      <c r="S40" s="179"/>
    </row>
    <row r="41" spans="1:19" s="117" customFormat="1" ht="21.75" customHeight="1">
      <c r="A41" s="116"/>
      <c r="C41" s="276"/>
      <c r="D41" s="276"/>
      <c r="E41" s="117" t="s">
        <v>274</v>
      </c>
      <c r="F41" s="127">
        <f>interpolate(F36,'Jump Lookup'!B1:B21,'Jump Lookup'!C1:C21)</f>
        <v>-99</v>
      </c>
      <c r="G41" s="124" t="s">
        <v>26</v>
      </c>
      <c r="H41" s="106" t="s">
        <v>206</v>
      </c>
      <c r="I41" s="106"/>
      <c r="J41" s="126"/>
      <c r="K41" s="126"/>
      <c r="Q41" s="116"/>
      <c r="S41" s="179"/>
    </row>
    <row r="42" spans="1:19" s="117" customFormat="1" ht="21.75" customHeight="1">
      <c r="A42" s="116"/>
      <c r="C42" s="276"/>
      <c r="D42" s="276"/>
      <c r="E42" s="117" t="s">
        <v>274</v>
      </c>
      <c r="F42" s="127">
        <f>interpolate(F36,'Jump Lookup'!B2:B22,'Jump Lookup'!C2:C22)</f>
        <v>-99</v>
      </c>
      <c r="G42" s="124" t="s">
        <v>26</v>
      </c>
      <c r="H42" s="106" t="s">
        <v>206</v>
      </c>
      <c r="I42" s="106"/>
      <c r="J42" s="126"/>
      <c r="K42" s="126"/>
      <c r="Q42" s="116"/>
      <c r="S42" s="179"/>
    </row>
    <row r="43" spans="1:19" s="117" customFormat="1" ht="21.75" customHeight="1">
      <c r="A43" s="116"/>
      <c r="C43" s="276" t="s">
        <v>205</v>
      </c>
      <c r="D43" s="276"/>
      <c r="E43" s="117" t="s">
        <v>204</v>
      </c>
      <c r="F43" s="127">
        <f>F42*F32</f>
        <v>-1.6241007701923509</v>
      </c>
      <c r="G43" s="124" t="s">
        <v>26</v>
      </c>
      <c r="H43" s="106" t="s">
        <v>203</v>
      </c>
      <c r="I43" s="106"/>
      <c r="J43" s="126"/>
      <c r="K43" s="126"/>
      <c r="Q43" s="116"/>
      <c r="S43" s="179"/>
    </row>
    <row r="44" spans="1:19" s="117" customFormat="1" ht="21.75" customHeight="1">
      <c r="A44" s="116"/>
      <c r="C44" s="276" t="s">
        <v>202</v>
      </c>
      <c r="D44" s="276"/>
      <c r="F44" s="326" t="str">
        <f>LOOKUP(F36,'Jump Lookup'!A28:A33,'Jump Lookup'!C28:C33)</f>
        <v>Expensive Stilling Basin and Rough Surface Conditions</v>
      </c>
      <c r="G44" s="327"/>
      <c r="H44" s="327"/>
      <c r="I44" s="327"/>
      <c r="J44" s="327"/>
      <c r="K44" s="328"/>
      <c r="L44" s="321"/>
      <c r="M44" s="321"/>
      <c r="N44" s="321"/>
      <c r="O44" s="321"/>
      <c r="Q44" s="116"/>
    </row>
    <row r="45" spans="1:19" s="117" customFormat="1" ht="21.75" customHeight="1">
      <c r="A45" s="116"/>
      <c r="C45" s="276" t="s">
        <v>201</v>
      </c>
      <c r="D45" s="276"/>
      <c r="F45" s="323" t="str">
        <f>LOOKUP(F36,'Jump Lookup'!A$38:A$42,'Jump Lookup'!B$38:B$42)</f>
        <v>Type III</v>
      </c>
      <c r="G45" s="324"/>
      <c r="H45" s="325"/>
      <c r="I45" s="106"/>
      <c r="J45" s="126"/>
      <c r="K45" s="126"/>
      <c r="L45" s="321"/>
      <c r="M45" s="321"/>
      <c r="N45" s="321"/>
      <c r="O45" s="321"/>
      <c r="Q45" s="116"/>
    </row>
    <row r="46" spans="1:19" s="123" customFormat="1" ht="21.75" customHeight="1">
      <c r="A46" s="122"/>
      <c r="C46" s="117" t="s">
        <v>200</v>
      </c>
      <c r="E46" s="117" t="s">
        <v>273</v>
      </c>
      <c r="F46" s="127">
        <f>IF(F45="Type III",interpolate(F36,'Jump Lookup'!E$2:E$16,'Jump Lookup'!F$2:F$16),IF(F45="Type IVA",interpolate(F36,'Jump Lookup'!G2:G9,'Jump Lookup'!H2:H9)))</f>
        <v>-99</v>
      </c>
      <c r="G46" s="124" t="s">
        <v>26</v>
      </c>
      <c r="H46" s="124"/>
      <c r="K46" s="126"/>
      <c r="Q46" s="122"/>
    </row>
    <row r="47" spans="1:19" s="123" customFormat="1" ht="21.75" customHeight="1">
      <c r="A47" s="134"/>
      <c r="B47" s="135"/>
      <c r="C47" s="136" t="s">
        <v>198</v>
      </c>
      <c r="D47" s="135"/>
      <c r="E47" s="136" t="s">
        <v>272</v>
      </c>
      <c r="F47" s="127">
        <f>F46*F32</f>
        <v>-1.6241007701923509</v>
      </c>
      <c r="G47" s="138" t="s">
        <v>26</v>
      </c>
      <c r="H47" s="138"/>
      <c r="I47" s="135"/>
      <c r="J47" s="135"/>
      <c r="K47" s="139"/>
      <c r="L47" s="135"/>
      <c r="M47" s="135"/>
      <c r="N47" s="135"/>
      <c r="O47" s="135"/>
      <c r="P47" s="135"/>
      <c r="Q47" s="134"/>
    </row>
    <row r="50" spans="3:8">
      <c r="H50" s="96"/>
    </row>
    <row r="55" spans="3:8">
      <c r="C55" s="123"/>
      <c r="E55" s="123"/>
    </row>
    <row r="56" spans="3:8">
      <c r="C56" s="123"/>
      <c r="E56" s="123"/>
    </row>
    <row r="57" spans="3:8">
      <c r="C57" s="123"/>
      <c r="E57" s="123"/>
    </row>
    <row r="58" spans="3:8">
      <c r="C58" s="123"/>
      <c r="E58" s="123"/>
    </row>
    <row r="59" spans="3:8">
      <c r="C59" s="123"/>
    </row>
    <row r="60" spans="3:8">
      <c r="C60" s="123"/>
    </row>
  </sheetData>
  <mergeCells count="38">
    <mergeCell ref="B1:L1"/>
    <mergeCell ref="C16:D16"/>
    <mergeCell ref="G5:H5"/>
    <mergeCell ref="I4:J4"/>
    <mergeCell ref="G4:H4"/>
    <mergeCell ref="M5:P5"/>
    <mergeCell ref="I5:J5"/>
    <mergeCell ref="I6:J6"/>
    <mergeCell ref="G6:H6"/>
    <mergeCell ref="C18:D18"/>
    <mergeCell ref="C40:D40"/>
    <mergeCell ref="C37:D37"/>
    <mergeCell ref="C38:D38"/>
    <mergeCell ref="C41:D41"/>
    <mergeCell ref="C17:D17"/>
    <mergeCell ref="C22:D22"/>
    <mergeCell ref="C42:D42"/>
    <mergeCell ref="C43:D43"/>
    <mergeCell ref="C25:D25"/>
    <mergeCell ref="C23:D23"/>
    <mergeCell ref="C26:D26"/>
    <mergeCell ref="C24:D24"/>
    <mergeCell ref="C27:D27"/>
    <mergeCell ref="C30:D30"/>
    <mergeCell ref="C28:D28"/>
    <mergeCell ref="C29:D29"/>
    <mergeCell ref="C33:D33"/>
    <mergeCell ref="C35:D35"/>
    <mergeCell ref="C34:D34"/>
    <mergeCell ref="C31:D31"/>
    <mergeCell ref="C32:D32"/>
    <mergeCell ref="C36:D36"/>
    <mergeCell ref="C45:D45"/>
    <mergeCell ref="F45:H45"/>
    <mergeCell ref="L45:O45"/>
    <mergeCell ref="C44:D44"/>
    <mergeCell ref="F44:K44"/>
    <mergeCell ref="L44:O44"/>
  </mergeCells>
  <dataValidations count="1">
    <dataValidation type="textLength" allowBlank="1" showInputMessage="1" showErrorMessage="1" sqref="L22:O45 K13:N15" xr:uid="{E6287273-C75B-41D1-A82F-9C82A62BE419}">
      <formula1>0</formula1>
      <formula2>31</formula2>
    </dataValidation>
  </dataValidations>
  <pageMargins left="0.27" right="0.28000000000000003" top="0.25" bottom="0.47" header="0.25" footer="0.22"/>
  <pageSetup paperSize="9" scale="74" orientation="portrait" r:id="rId1"/>
  <headerFooter alignWithMargins="0"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Macro1">
                <anchor moveWithCells="1" sizeWithCells="1">
                  <from>
                    <xdr:col>16</xdr:col>
                    <xdr:colOff>114300</xdr:colOff>
                    <xdr:row>28</xdr:row>
                    <xdr:rowOff>83820</xdr:rowOff>
                  </from>
                  <to>
                    <xdr:col>16</xdr:col>
                    <xdr:colOff>289560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2BF40-1EAA-4A48-A777-979F8673BC09}">
  <sheetPr codeName="Sheet7">
    <tabColor rgb="FF00B0F0"/>
  </sheetPr>
  <dimension ref="A1:S95"/>
  <sheetViews>
    <sheetView showGridLines="0" view="pageBreakPreview" topLeftCell="A22" zoomScaleNormal="100" zoomScaleSheetLayoutView="100" workbookViewId="0">
      <selection activeCell="F30" sqref="F30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77734375" style="90" customWidth="1"/>
    <col min="11" max="11" width="11.109375" style="90" bestFit="1" customWidth="1"/>
    <col min="12" max="12" width="11" style="90" customWidth="1"/>
    <col min="13" max="13" width="6.77734375" style="90" customWidth="1"/>
    <col min="14" max="14" width="4.44140625" style="90" customWidth="1"/>
    <col min="15" max="15" width="4.77734375" style="90" customWidth="1"/>
    <col min="16" max="16" width="4.21875" style="90" customWidth="1"/>
    <col min="17" max="17" width="7.6640625" style="90" customWidth="1"/>
    <col min="18" max="16384" width="8.88671875" style="90"/>
  </cols>
  <sheetData>
    <row r="1" spans="1:18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</row>
    <row r="2" spans="1:18" ht="27.75" customHeight="1">
      <c r="A2" s="91"/>
      <c r="B2" s="115">
        <f>'Condition 2'!B2</f>
        <v>0</v>
      </c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</row>
    <row r="3" spans="1:18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</row>
    <row r="4" spans="1:18" ht="27.75" customHeight="1">
      <c r="A4" s="91"/>
      <c r="B4" s="92" t="s">
        <v>8</v>
      </c>
      <c r="C4" s="92"/>
      <c r="D4" s="92"/>
      <c r="E4" s="92"/>
      <c r="F4" s="96"/>
      <c r="G4" s="254" t="s">
        <v>1</v>
      </c>
      <c r="H4" s="255"/>
      <c r="I4" s="318" t="s">
        <v>10</v>
      </c>
      <c r="J4" s="319"/>
      <c r="K4" s="13" t="s">
        <v>9</v>
      </c>
      <c r="L4" s="330" t="str">
        <f>[4]Titles!$K$15</f>
        <v>356151/LUNWHR002</v>
      </c>
      <c r="M4" s="331"/>
      <c r="N4" s="331"/>
      <c r="O4" s="331"/>
      <c r="P4" s="332"/>
      <c r="Q4" s="91"/>
    </row>
    <row r="5" spans="1:18" ht="27.75" customHeight="1">
      <c r="A5" s="91"/>
      <c r="B5" s="247" t="s">
        <v>319</v>
      </c>
      <c r="C5" s="101"/>
      <c r="D5" s="101"/>
      <c r="E5" s="101"/>
      <c r="F5" s="167"/>
      <c r="G5" s="254" t="s">
        <v>2</v>
      </c>
      <c r="H5" s="255"/>
      <c r="I5" s="318">
        <f>Input_SB!I5</f>
        <v>0</v>
      </c>
      <c r="J5" s="319"/>
      <c r="K5" s="13" t="s">
        <v>3</v>
      </c>
      <c r="L5" s="79">
        <f>Input_SB!L5</f>
        <v>0</v>
      </c>
      <c r="M5" s="256" t="s">
        <v>4</v>
      </c>
      <c r="N5" s="257"/>
      <c r="O5" s="257"/>
      <c r="P5" s="257"/>
      <c r="Q5" s="99"/>
      <c r="R5" s="3"/>
    </row>
    <row r="6" spans="1:18" ht="27.75" customHeight="1">
      <c r="A6" s="91"/>
      <c r="B6" s="166"/>
      <c r="C6" s="109"/>
      <c r="D6" s="109"/>
      <c r="E6" s="109"/>
      <c r="F6" s="165"/>
      <c r="G6" s="254" t="s">
        <v>5</v>
      </c>
      <c r="H6" s="255"/>
      <c r="I6" s="318">
        <f>Input_SB!I6</f>
        <v>0</v>
      </c>
      <c r="J6" s="319"/>
      <c r="K6" s="13" t="s">
        <v>3</v>
      </c>
      <c r="L6" s="79">
        <f>Input_SB!L6</f>
        <v>0</v>
      </c>
      <c r="M6" s="14"/>
      <c r="N6" s="15" t="s">
        <v>6</v>
      </c>
      <c r="O6" s="16"/>
      <c r="P6" s="94"/>
      <c r="Q6" s="100"/>
      <c r="R6" s="1"/>
    </row>
    <row r="7" spans="1:18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18" s="92" customFormat="1" ht="31.5" hidden="1" customHeight="1">
      <c r="A8" s="104"/>
      <c r="C8" s="105" t="s">
        <v>319</v>
      </c>
      <c r="Q8" s="104"/>
    </row>
    <row r="9" spans="1:18" s="92" customFormat="1" ht="24.75" customHeight="1">
      <c r="A9" s="104"/>
      <c r="C9" s="106" t="s">
        <v>195</v>
      </c>
      <c r="Q9" s="104"/>
    </row>
    <row r="10" spans="1:18" s="92" customFormat="1" ht="23.25" customHeight="1">
      <c r="A10" s="104"/>
      <c r="B10" s="115"/>
      <c r="C10" s="108" t="s">
        <v>54</v>
      </c>
      <c r="D10" s="94"/>
      <c r="E10" s="94"/>
      <c r="F10" s="94"/>
      <c r="G10" s="94"/>
      <c r="H10" s="94"/>
      <c r="I10" s="109"/>
      <c r="J10" s="109"/>
      <c r="K10" s="109"/>
      <c r="L10" s="94"/>
      <c r="M10" s="94"/>
      <c r="N10" s="94"/>
      <c r="O10" s="94"/>
      <c r="P10" s="93"/>
      <c r="Q10" s="104"/>
    </row>
    <row r="11" spans="1:18" s="92" customFormat="1" ht="21.75" customHeight="1">
      <c r="A11" s="104"/>
      <c r="C11" s="161"/>
      <c r="F11" s="160"/>
      <c r="G11" s="144"/>
      <c r="H11" s="144"/>
      <c r="K11" s="126" t="s">
        <v>11</v>
      </c>
      <c r="Q11" s="104"/>
    </row>
    <row r="12" spans="1:18" s="117" customFormat="1" ht="21.75" customHeight="1">
      <c r="A12" s="116"/>
      <c r="C12" s="117" t="s">
        <v>194</v>
      </c>
      <c r="E12" s="117" t="s">
        <v>22</v>
      </c>
      <c r="F12" s="127">
        <f>Input_SB!F86</f>
        <v>15.925199999999997</v>
      </c>
      <c r="G12" s="124" t="s">
        <v>318</v>
      </c>
      <c r="H12" s="106" t="s">
        <v>317</v>
      </c>
      <c r="I12" s="126"/>
      <c r="J12" s="126"/>
      <c r="K12" s="126"/>
      <c r="L12" s="288"/>
      <c r="M12" s="320"/>
      <c r="N12" s="320"/>
      <c r="O12" s="320"/>
      <c r="P12" s="320"/>
      <c r="Q12" s="122"/>
    </row>
    <row r="13" spans="1:18" s="117" customFormat="1" ht="21.75" customHeight="1">
      <c r="A13" s="116"/>
      <c r="C13" s="117" t="s">
        <v>190</v>
      </c>
      <c r="E13" s="117" t="s">
        <v>17</v>
      </c>
      <c r="F13" s="127">
        <f>Input_SB!F16</f>
        <v>4.3</v>
      </c>
      <c r="G13" s="124" t="s">
        <v>26</v>
      </c>
      <c r="H13" s="106" t="s">
        <v>17</v>
      </c>
      <c r="I13" s="126"/>
      <c r="J13" s="126"/>
      <c r="K13" s="126"/>
      <c r="L13" s="123"/>
      <c r="M13" s="123"/>
      <c r="N13" s="123"/>
      <c r="O13" s="123"/>
      <c r="P13" s="123"/>
      <c r="Q13" s="122"/>
    </row>
    <row r="14" spans="1:18" s="117" customFormat="1" ht="21.75" customHeight="1">
      <c r="A14" s="116"/>
      <c r="C14" s="117" t="s">
        <v>269</v>
      </c>
      <c r="E14" s="117" t="s">
        <v>316</v>
      </c>
      <c r="F14" s="127">
        <f>Input_SB!F62</f>
        <v>27.762420700000028</v>
      </c>
      <c r="G14" s="124" t="s">
        <v>28</v>
      </c>
      <c r="H14" s="106" t="s">
        <v>315</v>
      </c>
      <c r="I14" s="106"/>
      <c r="J14" s="126"/>
      <c r="K14" s="126"/>
      <c r="L14" s="321"/>
      <c r="M14" s="321"/>
      <c r="N14" s="321"/>
      <c r="O14" s="321"/>
      <c r="P14" s="123"/>
      <c r="Q14" s="122"/>
    </row>
    <row r="15" spans="1:18" s="117" customFormat="1" ht="21.75" customHeight="1">
      <c r="A15" s="116"/>
      <c r="C15" s="117" t="s">
        <v>267</v>
      </c>
      <c r="E15" s="117" t="s">
        <v>46</v>
      </c>
      <c r="F15" s="125">
        <f>Input_SB!F63*0.1</f>
        <v>0.23404236836138856</v>
      </c>
      <c r="G15" s="124" t="s">
        <v>233</v>
      </c>
      <c r="H15" s="106" t="s">
        <v>314</v>
      </c>
      <c r="I15" s="126"/>
      <c r="J15" s="126"/>
      <c r="K15" s="126"/>
      <c r="L15" s="123"/>
      <c r="M15" s="123"/>
      <c r="N15" s="123"/>
      <c r="O15" s="123"/>
      <c r="P15" s="123"/>
      <c r="Q15" s="122"/>
    </row>
    <row r="16" spans="1:18" s="123" customFormat="1" ht="21.75" customHeight="1">
      <c r="A16" s="122"/>
      <c r="C16" s="276" t="s">
        <v>265</v>
      </c>
      <c r="D16" s="276"/>
      <c r="E16" s="117" t="s">
        <v>313</v>
      </c>
      <c r="F16" s="133">
        <f>Input_SB!F98</f>
        <v>27.245154960632323</v>
      </c>
      <c r="G16" s="124" t="s">
        <v>28</v>
      </c>
      <c r="H16" s="106" t="s">
        <v>312</v>
      </c>
      <c r="I16" s="126"/>
      <c r="J16" s="126"/>
      <c r="K16" s="126"/>
      <c r="L16" s="321"/>
      <c r="M16" s="321"/>
      <c r="N16" s="321"/>
      <c r="O16" s="321"/>
      <c r="Q16" s="122"/>
    </row>
    <row r="17" spans="1:19" s="123" customFormat="1" ht="21.75" customHeight="1">
      <c r="A17" s="122"/>
      <c r="C17" s="276" t="s">
        <v>263</v>
      </c>
      <c r="D17" s="276"/>
      <c r="E17" s="117" t="s">
        <v>283</v>
      </c>
      <c r="F17" s="127">
        <f>Input_SB!F89</f>
        <v>1.0412154197692871</v>
      </c>
      <c r="G17" s="124" t="s">
        <v>233</v>
      </c>
      <c r="H17" s="141" t="s">
        <v>311</v>
      </c>
      <c r="I17" s="126"/>
      <c r="J17" s="126"/>
      <c r="K17" s="143"/>
      <c r="L17" s="129"/>
      <c r="M17" s="129"/>
      <c r="N17" s="129"/>
      <c r="O17" s="129"/>
      <c r="Q17" s="122"/>
    </row>
    <row r="18" spans="1:19" s="123" customFormat="1" ht="21.75" customHeight="1">
      <c r="A18" s="122"/>
      <c r="C18" s="276" t="s">
        <v>189</v>
      </c>
      <c r="D18" s="276"/>
      <c r="E18" s="117" t="s">
        <v>310</v>
      </c>
      <c r="F18" s="131">
        <v>1</v>
      </c>
      <c r="G18" s="124" t="s">
        <v>45</v>
      </c>
      <c r="H18" s="106" t="s">
        <v>309</v>
      </c>
      <c r="I18" s="126"/>
      <c r="J18" s="126"/>
      <c r="K18" s="117" t="s">
        <v>301</v>
      </c>
      <c r="L18" s="143"/>
      <c r="M18" s="143"/>
      <c r="N18" s="143"/>
      <c r="O18" s="143"/>
      <c r="Q18" s="122"/>
    </row>
    <row r="19" spans="1:19" ht="21.75" customHeight="1">
      <c r="A19" s="91"/>
      <c r="C19" s="92"/>
      <c r="E19" s="113"/>
      <c r="F19" s="96"/>
      <c r="G19" s="96"/>
      <c r="H19" s="96"/>
      <c r="K19" s="114"/>
      <c r="Q19" s="91"/>
    </row>
    <row r="20" spans="1:19" s="92" customFormat="1" ht="23.25" customHeight="1">
      <c r="A20" s="104"/>
      <c r="B20" s="115"/>
      <c r="C20" s="108" t="s">
        <v>55</v>
      </c>
      <c r="D20" s="94"/>
      <c r="E20" s="94"/>
      <c r="F20" s="94"/>
      <c r="G20" s="94"/>
      <c r="H20" s="94"/>
      <c r="I20" s="109"/>
      <c r="J20" s="109"/>
      <c r="K20" s="109"/>
      <c r="L20" s="94"/>
      <c r="M20" s="94"/>
      <c r="N20" s="94"/>
      <c r="O20" s="94"/>
      <c r="P20" s="93"/>
      <c r="Q20" s="104"/>
    </row>
    <row r="21" spans="1:19" s="117" customFormat="1" ht="21.75" customHeight="1">
      <c r="A21" s="116"/>
      <c r="C21" s="132"/>
      <c r="I21" s="97"/>
      <c r="J21" s="97"/>
      <c r="K21" s="126" t="s">
        <v>11</v>
      </c>
      <c r="Q21" s="116"/>
    </row>
    <row r="22" spans="1:19" s="117" customFormat="1" ht="18.75" customHeight="1">
      <c r="A22" s="116"/>
      <c r="C22" s="276" t="s">
        <v>261</v>
      </c>
      <c r="D22" s="276"/>
      <c r="E22" s="117" t="s">
        <v>109</v>
      </c>
      <c r="F22" s="127">
        <f>F12/F13</f>
        <v>3.7035348837209296</v>
      </c>
      <c r="G22" s="124" t="s">
        <v>300</v>
      </c>
      <c r="H22" s="106" t="s">
        <v>260</v>
      </c>
      <c r="I22" s="106"/>
      <c r="J22" s="126"/>
      <c r="K22" s="126"/>
      <c r="L22" s="321"/>
      <c r="M22" s="321"/>
      <c r="N22" s="321"/>
      <c r="O22" s="321"/>
      <c r="Q22" s="116"/>
    </row>
    <row r="23" spans="1:19" s="117" customFormat="1" ht="21.75" customHeight="1">
      <c r="A23" s="116"/>
      <c r="C23" s="276" t="s">
        <v>259</v>
      </c>
      <c r="D23" s="276"/>
      <c r="E23" s="117" t="s">
        <v>299</v>
      </c>
      <c r="F23" s="127">
        <f>(F22^2/9.81)^(1/3)</f>
        <v>1.1182046415425113</v>
      </c>
      <c r="G23" s="124" t="s">
        <v>26</v>
      </c>
      <c r="H23" s="106" t="s">
        <v>298</v>
      </c>
      <c r="I23" s="106"/>
      <c r="J23" s="126"/>
      <c r="K23" s="126"/>
      <c r="L23" s="321"/>
      <c r="M23" s="321"/>
      <c r="N23" s="321"/>
      <c r="O23" s="321"/>
      <c r="Q23" s="116"/>
    </row>
    <row r="24" spans="1:19" s="117" customFormat="1" ht="21.75" customHeight="1">
      <c r="A24" s="116"/>
      <c r="C24" s="276" t="s">
        <v>256</v>
      </c>
      <c r="D24" s="276"/>
      <c r="E24" s="117" t="s">
        <v>297</v>
      </c>
      <c r="F24" s="127">
        <f>F15^2/2/9.81</f>
        <v>2.7918364010299638E-3</v>
      </c>
      <c r="G24" s="124" t="s">
        <v>26</v>
      </c>
      <c r="H24" s="106" t="s">
        <v>296</v>
      </c>
      <c r="I24" s="106"/>
      <c r="J24" s="126"/>
      <c r="K24" s="126"/>
      <c r="L24" s="321"/>
      <c r="M24" s="321"/>
      <c r="N24" s="321"/>
      <c r="O24" s="321"/>
      <c r="Q24" s="116"/>
    </row>
    <row r="25" spans="1:19" s="117" customFormat="1" ht="21.75" customHeight="1">
      <c r="A25" s="116"/>
      <c r="C25" s="276" t="s">
        <v>253</v>
      </c>
      <c r="D25" s="276"/>
      <c r="E25" s="117" t="s">
        <v>295</v>
      </c>
      <c r="F25" s="127">
        <f>F17^2/2/9.81</f>
        <v>5.5256348132789637E-2</v>
      </c>
      <c r="G25" s="124" t="s">
        <v>26</v>
      </c>
      <c r="H25" s="106" t="s">
        <v>294</v>
      </c>
      <c r="I25" s="106"/>
      <c r="J25" s="126"/>
      <c r="K25" s="126"/>
      <c r="L25" s="321"/>
      <c r="M25" s="321"/>
      <c r="N25" s="321"/>
      <c r="O25" s="321"/>
      <c r="Q25" s="116"/>
    </row>
    <row r="26" spans="1:19" s="117" customFormat="1" ht="21.75" customHeight="1">
      <c r="A26" s="116"/>
      <c r="C26" s="276" t="s">
        <v>250</v>
      </c>
      <c r="D26" s="276"/>
      <c r="E26" s="117" t="s">
        <v>293</v>
      </c>
      <c r="F26" s="127">
        <f>F14+F24</f>
        <v>27.765212536401059</v>
      </c>
      <c r="G26" s="124" t="s">
        <v>28</v>
      </c>
      <c r="H26" s="106" t="s">
        <v>292</v>
      </c>
      <c r="I26" s="106"/>
      <c r="J26" s="126"/>
      <c r="K26" s="126"/>
      <c r="L26" s="321"/>
      <c r="M26" s="321"/>
      <c r="N26" s="321"/>
      <c r="O26" s="321"/>
      <c r="Q26" s="116"/>
    </row>
    <row r="27" spans="1:19" s="117" customFormat="1" ht="21.75" customHeight="1">
      <c r="A27" s="116"/>
      <c r="C27" s="276" t="s">
        <v>247</v>
      </c>
      <c r="D27" s="276"/>
      <c r="E27" s="117" t="s">
        <v>291</v>
      </c>
      <c r="F27" s="127">
        <f>F25+F16</f>
        <v>27.300411308765113</v>
      </c>
      <c r="G27" s="124" t="s">
        <v>28</v>
      </c>
      <c r="H27" s="106" t="s">
        <v>308</v>
      </c>
      <c r="I27" s="106"/>
      <c r="J27" s="126"/>
      <c r="K27" s="126"/>
      <c r="L27" s="321"/>
      <c r="M27" s="321"/>
      <c r="N27" s="321"/>
      <c r="O27" s="321"/>
      <c r="Q27" s="116"/>
    </row>
    <row r="28" spans="1:19" s="117" customFormat="1" ht="21.75" customHeight="1">
      <c r="A28" s="116"/>
      <c r="C28" s="276" t="s">
        <v>244</v>
      </c>
      <c r="D28" s="276"/>
      <c r="E28" s="117" t="s">
        <v>289</v>
      </c>
      <c r="F28" s="127">
        <f>F26-F27</f>
        <v>0.46480122763594522</v>
      </c>
      <c r="G28" s="124" t="s">
        <v>26</v>
      </c>
      <c r="H28" s="106" t="s">
        <v>288</v>
      </c>
      <c r="I28" s="106"/>
      <c r="J28" s="126"/>
      <c r="K28" s="126"/>
      <c r="L28" s="321"/>
      <c r="M28" s="321"/>
      <c r="N28" s="321"/>
      <c r="O28" s="321"/>
      <c r="Q28" s="116"/>
    </row>
    <row r="29" spans="1:19" s="117" customFormat="1" ht="21.75" customHeight="1">
      <c r="A29" s="116"/>
      <c r="C29" s="276"/>
      <c r="D29" s="276"/>
      <c r="E29" s="117" t="s">
        <v>287</v>
      </c>
      <c r="F29" s="127">
        <f>F28/F23</f>
        <v>0.41566741038990279</v>
      </c>
      <c r="G29" s="124" t="s">
        <v>26</v>
      </c>
      <c r="H29" s="117" t="s">
        <v>287</v>
      </c>
      <c r="I29" s="106"/>
      <c r="J29" s="126"/>
      <c r="K29" s="126"/>
      <c r="L29" s="321"/>
      <c r="M29" s="321"/>
      <c r="N29" s="321"/>
      <c r="O29" s="321"/>
      <c r="Q29" s="116"/>
    </row>
    <row r="30" spans="1:19" s="117" customFormat="1" ht="21.75" customHeight="1">
      <c r="A30" s="116"/>
      <c r="C30" s="276"/>
      <c r="D30" s="276"/>
      <c r="E30" s="117" t="s">
        <v>241</v>
      </c>
      <c r="F30" s="127">
        <v>0.01</v>
      </c>
      <c r="G30" s="124" t="s">
        <v>45</v>
      </c>
      <c r="H30" s="106" t="s">
        <v>240</v>
      </c>
      <c r="I30" s="106"/>
      <c r="J30" s="126"/>
      <c r="K30" s="126"/>
      <c r="L30" s="321"/>
      <c r="M30" s="321"/>
      <c r="N30" s="321"/>
      <c r="O30" s="321"/>
      <c r="Q30" s="116"/>
      <c r="S30" s="179"/>
    </row>
    <row r="31" spans="1:19" s="117" customFormat="1" ht="21.75" customHeight="1">
      <c r="A31" s="116"/>
      <c r="C31" s="276"/>
      <c r="D31" s="276"/>
      <c r="E31" s="117" t="s">
        <v>287</v>
      </c>
      <c r="F31" s="127">
        <f>(1-F30)^3/2/F30*(((1+2*F30)^2-1)^(-1/3))</f>
        <v>141.38884055051423</v>
      </c>
      <c r="G31" s="124" t="s">
        <v>45</v>
      </c>
      <c r="H31" s="106" t="s">
        <v>286</v>
      </c>
      <c r="I31" s="106"/>
      <c r="J31" s="126"/>
      <c r="K31" s="126"/>
      <c r="L31" s="321"/>
      <c r="M31" s="321"/>
      <c r="N31" s="321"/>
      <c r="O31" s="321"/>
      <c r="Q31" s="116"/>
      <c r="S31" s="179">
        <f>F29-F31</f>
        <v>-140.97317314012432</v>
      </c>
    </row>
    <row r="32" spans="1:19" s="117" customFormat="1" ht="21.75" customHeight="1">
      <c r="A32" s="116"/>
      <c r="C32" s="276" t="s">
        <v>237</v>
      </c>
      <c r="D32" s="276"/>
      <c r="E32" s="117" t="s">
        <v>285</v>
      </c>
      <c r="F32" s="127">
        <f>4*F28*F30/(1-F30)^3</f>
        <v>1.9161154556933287E-2</v>
      </c>
      <c r="G32" s="124" t="s">
        <v>26</v>
      </c>
      <c r="H32" s="106" t="s">
        <v>284</v>
      </c>
      <c r="I32" s="106"/>
      <c r="J32" s="126"/>
      <c r="K32" s="126"/>
      <c r="L32" s="321"/>
      <c r="M32" s="321"/>
      <c r="N32" s="321"/>
      <c r="O32" s="321"/>
      <c r="Q32" s="116"/>
      <c r="S32" s="179"/>
    </row>
    <row r="33" spans="1:19" s="117" customFormat="1" ht="21.75" customHeight="1">
      <c r="A33" s="116"/>
      <c r="C33" s="276" t="s">
        <v>235</v>
      </c>
      <c r="D33" s="276"/>
      <c r="E33" s="117" t="s">
        <v>283</v>
      </c>
      <c r="F33" s="127">
        <f>F22/F32</f>
        <v>193.28349305448506</v>
      </c>
      <c r="G33" s="124" t="s">
        <v>233</v>
      </c>
      <c r="H33" s="106" t="s">
        <v>232</v>
      </c>
      <c r="I33" s="106"/>
      <c r="J33" s="126"/>
      <c r="K33" s="126"/>
      <c r="L33" s="321"/>
      <c r="M33" s="321"/>
      <c r="N33" s="321"/>
      <c r="O33" s="321"/>
      <c r="Q33" s="116"/>
      <c r="S33" s="179"/>
    </row>
    <row r="34" spans="1:19" s="117" customFormat="1" ht="21.75" customHeight="1">
      <c r="A34" s="116"/>
      <c r="C34" s="276" t="s">
        <v>231</v>
      </c>
      <c r="D34" s="276"/>
      <c r="E34" s="117" t="s">
        <v>282</v>
      </c>
      <c r="F34" s="127">
        <f>F30*F32</f>
        <v>1.9161154556933288E-4</v>
      </c>
      <c r="G34" s="124" t="s">
        <v>26</v>
      </c>
      <c r="H34" s="106" t="s">
        <v>281</v>
      </c>
      <c r="I34" s="106"/>
      <c r="J34" s="126"/>
      <c r="K34" s="126"/>
      <c r="L34" s="321"/>
      <c r="M34" s="321"/>
      <c r="N34" s="321"/>
      <c r="O34" s="321"/>
      <c r="Q34" s="116"/>
      <c r="S34" s="179"/>
    </row>
    <row r="35" spans="1:19" s="117" customFormat="1" ht="21.75" customHeight="1">
      <c r="A35" s="116"/>
      <c r="C35" s="276" t="s">
        <v>228</v>
      </c>
      <c r="D35" s="276"/>
      <c r="E35" s="117" t="s">
        <v>280</v>
      </c>
      <c r="F35" s="127">
        <f>F22/F34</f>
        <v>19328.349305448504</v>
      </c>
      <c r="G35" s="124" t="s">
        <v>233</v>
      </c>
      <c r="H35" s="106" t="s">
        <v>279</v>
      </c>
      <c r="I35" s="106"/>
      <c r="J35" s="126"/>
      <c r="K35" s="126"/>
      <c r="L35" s="321"/>
      <c r="M35" s="321"/>
      <c r="N35" s="321"/>
      <c r="O35" s="321"/>
      <c r="Q35" s="116"/>
      <c r="S35" s="179"/>
    </row>
    <row r="36" spans="1:19" s="117" customFormat="1" ht="21.75" customHeight="1">
      <c r="A36" s="116"/>
      <c r="C36" s="276" t="s">
        <v>225</v>
      </c>
      <c r="D36" s="276"/>
      <c r="E36" s="117" t="s">
        <v>224</v>
      </c>
      <c r="F36" s="127">
        <f>F35/(9.81*F34)^0.5</f>
        <v>445809.60893141711</v>
      </c>
      <c r="G36" s="124" t="s">
        <v>45</v>
      </c>
      <c r="H36" s="106" t="s">
        <v>223</v>
      </c>
      <c r="I36" s="106"/>
      <c r="J36" s="126"/>
      <c r="K36" s="126"/>
      <c r="L36" s="321"/>
      <c r="M36" s="321"/>
      <c r="N36" s="321"/>
      <c r="O36" s="321"/>
      <c r="Q36" s="116"/>
      <c r="S36" s="179"/>
    </row>
    <row r="37" spans="1:19" s="117" customFormat="1" ht="21.75" customHeight="1">
      <c r="A37" s="116"/>
      <c r="C37" s="276" t="s">
        <v>221</v>
      </c>
      <c r="D37" s="276"/>
      <c r="E37" s="117" t="s">
        <v>220</v>
      </c>
      <c r="F37" s="127">
        <f>F34/2*((1+8*F36^2)^0.5-1)</f>
        <v>120.80523440714683</v>
      </c>
      <c r="G37" s="124" t="s">
        <v>26</v>
      </c>
      <c r="H37" s="106" t="s">
        <v>219</v>
      </c>
      <c r="I37" s="106"/>
      <c r="J37" s="126"/>
      <c r="K37" s="126" t="s">
        <v>11</v>
      </c>
      <c r="L37" s="321"/>
      <c r="M37" s="321"/>
      <c r="N37" s="321"/>
      <c r="O37" s="321"/>
      <c r="Q37" s="116"/>
      <c r="S37" s="179"/>
    </row>
    <row r="38" spans="1:19" s="117" customFormat="1" ht="21.75" customHeight="1">
      <c r="A38" s="116"/>
      <c r="C38" s="276" t="s">
        <v>218</v>
      </c>
      <c r="D38" s="276"/>
      <c r="E38" s="117" t="s">
        <v>278</v>
      </c>
      <c r="F38" s="127">
        <f>F32+F23^3/2/F32^2</f>
        <v>1904.1225601017118</v>
      </c>
      <c r="G38" s="124" t="s">
        <v>26</v>
      </c>
      <c r="H38" s="106" t="s">
        <v>216</v>
      </c>
      <c r="I38" s="106"/>
      <c r="J38" s="126"/>
      <c r="K38" s="126"/>
      <c r="L38" s="321"/>
      <c r="M38" s="321"/>
      <c r="N38" s="321"/>
      <c r="O38" s="321"/>
      <c r="Q38" s="116"/>
      <c r="S38" s="179"/>
    </row>
    <row r="39" spans="1:19" s="117" customFormat="1" ht="21.75" customHeight="1">
      <c r="A39" s="116"/>
      <c r="C39" s="132" t="s">
        <v>215</v>
      </c>
      <c r="D39" s="132"/>
      <c r="E39" s="132" t="s">
        <v>214</v>
      </c>
      <c r="F39" s="180">
        <f>F27-F38*F18</f>
        <v>-1876.8221487929466</v>
      </c>
      <c r="G39" s="126" t="s">
        <v>28</v>
      </c>
      <c r="H39" s="106" t="s">
        <v>277</v>
      </c>
      <c r="I39" s="106"/>
      <c r="J39" s="126"/>
      <c r="K39" s="126"/>
      <c r="L39" s="321"/>
      <c r="M39" s="321"/>
      <c r="N39" s="321"/>
      <c r="O39" s="321"/>
      <c r="P39" s="123"/>
      <c r="Q39" s="122"/>
    </row>
    <row r="40" spans="1:19" s="117" customFormat="1" ht="21.75" customHeight="1">
      <c r="A40" s="116"/>
      <c r="C40" s="276" t="s">
        <v>212</v>
      </c>
      <c r="D40" s="276"/>
      <c r="E40" s="117" t="s">
        <v>276</v>
      </c>
      <c r="F40" s="127">
        <f>F39+F32</f>
        <v>-1876.8029876383896</v>
      </c>
      <c r="G40" s="124" t="s">
        <v>26</v>
      </c>
      <c r="H40" s="106" t="s">
        <v>275</v>
      </c>
      <c r="I40" s="106"/>
      <c r="J40" s="126"/>
      <c r="K40" s="126"/>
      <c r="L40" s="321"/>
      <c r="M40" s="321"/>
      <c r="N40" s="321"/>
      <c r="O40" s="321"/>
      <c r="Q40" s="116"/>
      <c r="S40" s="179"/>
    </row>
    <row r="41" spans="1:19" s="117" customFormat="1" ht="21.75" customHeight="1">
      <c r="A41" s="116"/>
      <c r="C41" s="276"/>
      <c r="D41" s="276"/>
      <c r="E41" s="117" t="s">
        <v>274</v>
      </c>
      <c r="F41" s="127">
        <f>interpolate(F36,'Jump Lookup'!B1:B21,'Jump Lookup'!C1:C21)</f>
        <v>-99</v>
      </c>
      <c r="G41" s="124" t="s">
        <v>26</v>
      </c>
      <c r="H41" s="106" t="s">
        <v>206</v>
      </c>
      <c r="I41" s="106"/>
      <c r="J41" s="126"/>
      <c r="K41" s="126"/>
      <c r="L41" s="321"/>
      <c r="M41" s="321"/>
      <c r="N41" s="321"/>
      <c r="O41" s="321"/>
      <c r="Q41" s="116"/>
      <c r="S41" s="179"/>
    </row>
    <row r="42" spans="1:19" s="117" customFormat="1" ht="21.75" customHeight="1">
      <c r="A42" s="116"/>
      <c r="C42" s="276"/>
      <c r="D42" s="276"/>
      <c r="E42" s="117" t="s">
        <v>274</v>
      </c>
      <c r="F42" s="127">
        <f>interpolate(F36,'Jump Lookup'!B2:B22,'Jump Lookup'!C2:C22)</f>
        <v>-99</v>
      </c>
      <c r="G42" s="124" t="s">
        <v>26</v>
      </c>
      <c r="H42" s="106" t="s">
        <v>206</v>
      </c>
      <c r="I42" s="106"/>
      <c r="J42" s="126"/>
      <c r="K42" s="126"/>
      <c r="L42" s="321"/>
      <c r="M42" s="321"/>
      <c r="N42" s="321"/>
      <c r="O42" s="321"/>
      <c r="Q42" s="116"/>
      <c r="S42" s="179"/>
    </row>
    <row r="43" spans="1:19" s="117" customFormat="1" ht="21.75" customHeight="1">
      <c r="A43" s="116"/>
      <c r="C43" s="276" t="s">
        <v>205</v>
      </c>
      <c r="D43" s="276"/>
      <c r="E43" s="117" t="s">
        <v>204</v>
      </c>
      <c r="F43" s="127">
        <f>F42*F32</f>
        <v>-1.8969543011363954</v>
      </c>
      <c r="G43" s="124" t="s">
        <v>26</v>
      </c>
      <c r="H43" s="106" t="s">
        <v>203</v>
      </c>
      <c r="I43" s="106"/>
      <c r="J43" s="126"/>
      <c r="K43" s="126"/>
      <c r="L43" s="321"/>
      <c r="M43" s="321"/>
      <c r="N43" s="321"/>
      <c r="O43" s="321"/>
      <c r="Q43" s="116"/>
      <c r="S43" s="179"/>
    </row>
    <row r="44" spans="1:19" s="117" customFormat="1" ht="21.75" customHeight="1">
      <c r="A44" s="116"/>
      <c r="C44" s="276" t="s">
        <v>202</v>
      </c>
      <c r="D44" s="276"/>
      <c r="F44" s="326" t="str">
        <f>LOOKUP(F36,'Jump Lookup'!A28:A33,'Jump Lookup'!C28:C33)</f>
        <v>Expensive Stilling Basin and Rough Surface Conditions</v>
      </c>
      <c r="G44" s="327"/>
      <c r="H44" s="327"/>
      <c r="I44" s="327"/>
      <c r="J44" s="327"/>
      <c r="K44" s="328"/>
      <c r="L44" s="321"/>
      <c r="M44" s="321"/>
      <c r="N44" s="321"/>
      <c r="O44" s="321"/>
      <c r="Q44" s="116"/>
    </row>
    <row r="45" spans="1:19" s="117" customFormat="1" ht="21.75" customHeight="1">
      <c r="A45" s="116"/>
      <c r="C45" s="276" t="s">
        <v>201</v>
      </c>
      <c r="D45" s="276"/>
      <c r="F45" s="323" t="str">
        <f>LOOKUP(F36,'Jump Lookup'!A$38:A$42,'Jump Lookup'!B$38:B$42)</f>
        <v>Type III</v>
      </c>
      <c r="G45" s="324"/>
      <c r="H45" s="325"/>
      <c r="I45" s="106"/>
      <c r="J45" s="126"/>
      <c r="K45" s="126"/>
      <c r="L45" s="321"/>
      <c r="M45" s="321"/>
      <c r="N45" s="321"/>
      <c r="O45" s="321"/>
      <c r="Q45" s="116"/>
    </row>
    <row r="46" spans="1:19" s="123" customFormat="1" ht="21.75" customHeight="1">
      <c r="A46" s="122"/>
      <c r="C46" s="117" t="s">
        <v>200</v>
      </c>
      <c r="E46" s="117" t="s">
        <v>273</v>
      </c>
      <c r="F46" s="127">
        <f>IF(F45="Type III",interpolate(F36,'Jump Lookup'!E$2:E$16,'Jump Lookup'!F$2:F$16),IF(F45="Type IVA",interpolate(F36,'Jump Lookup'!G2:G9,'Jump Lookup'!H2:H9)))</f>
        <v>-99</v>
      </c>
      <c r="G46" s="124" t="s">
        <v>26</v>
      </c>
      <c r="H46" s="124"/>
      <c r="K46" s="126"/>
      <c r="Q46" s="122"/>
    </row>
    <row r="47" spans="1:19" s="123" customFormat="1" ht="21.75" customHeight="1">
      <c r="A47" s="134"/>
      <c r="B47" s="135"/>
      <c r="C47" s="136" t="s">
        <v>198</v>
      </c>
      <c r="D47" s="135"/>
      <c r="E47" s="136" t="s">
        <v>272</v>
      </c>
      <c r="F47" s="127">
        <f>F46*F32</f>
        <v>-1.8969543011363954</v>
      </c>
      <c r="G47" s="138" t="s">
        <v>26</v>
      </c>
      <c r="H47" s="138"/>
      <c r="I47" s="135"/>
      <c r="J47" s="135"/>
      <c r="K47" s="139"/>
      <c r="L47" s="135"/>
      <c r="M47" s="135"/>
      <c r="N47" s="135"/>
      <c r="O47" s="135"/>
      <c r="P47" s="135"/>
      <c r="Q47" s="134"/>
    </row>
    <row r="90" spans="3:5" ht="13.8">
      <c r="C90" s="123" t="s">
        <v>130</v>
      </c>
      <c r="E90" s="123" t="s">
        <v>129</v>
      </c>
    </row>
    <row r="91" spans="3:5" ht="13.8">
      <c r="C91" s="123" t="s">
        <v>127</v>
      </c>
      <c r="E91" s="123" t="s">
        <v>126</v>
      </c>
    </row>
    <row r="92" spans="3:5" ht="13.8">
      <c r="C92" s="123" t="s">
        <v>124</v>
      </c>
      <c r="E92" s="123" t="s">
        <v>123</v>
      </c>
    </row>
    <row r="93" spans="3:5" ht="13.8">
      <c r="C93" s="123" t="s">
        <v>121</v>
      </c>
      <c r="E93" s="123" t="s">
        <v>120</v>
      </c>
    </row>
    <row r="94" spans="3:5">
      <c r="C94" s="123" t="s">
        <v>118</v>
      </c>
    </row>
    <row r="95" spans="3:5">
      <c r="C95" s="123" t="s">
        <v>307</v>
      </c>
    </row>
  </sheetData>
  <mergeCells count="64">
    <mergeCell ref="B1:L1"/>
    <mergeCell ref="C17:D17"/>
    <mergeCell ref="C24:D24"/>
    <mergeCell ref="C22:D22"/>
    <mergeCell ref="C23:D23"/>
    <mergeCell ref="I6:J6"/>
    <mergeCell ref="I4:J4"/>
    <mergeCell ref="I5:J5"/>
    <mergeCell ref="L22:O22"/>
    <mergeCell ref="L14:O14"/>
    <mergeCell ref="L24:O24"/>
    <mergeCell ref="L12:P12"/>
    <mergeCell ref="L4:P4"/>
    <mergeCell ref="L16:O16"/>
    <mergeCell ref="G4:H4"/>
    <mergeCell ref="G5:H5"/>
    <mergeCell ref="C31:D31"/>
    <mergeCell ref="L29:O29"/>
    <mergeCell ref="C30:D30"/>
    <mergeCell ref="L31:O31"/>
    <mergeCell ref="M5:P5"/>
    <mergeCell ref="C26:D26"/>
    <mergeCell ref="G6:H6"/>
    <mergeCell ref="C16:D16"/>
    <mergeCell ref="C25:D25"/>
    <mergeCell ref="L25:O25"/>
    <mergeCell ref="C18:D18"/>
    <mergeCell ref="L35:O35"/>
    <mergeCell ref="L23:O23"/>
    <mergeCell ref="L27:O27"/>
    <mergeCell ref="C29:D29"/>
    <mergeCell ref="C27:D27"/>
    <mergeCell ref="L33:O33"/>
    <mergeCell ref="C28:D28"/>
    <mergeCell ref="L28:O28"/>
    <mergeCell ref="C32:D32"/>
    <mergeCell ref="C35:D35"/>
    <mergeCell ref="C34:D34"/>
    <mergeCell ref="L34:O34"/>
    <mergeCell ref="C33:D33"/>
    <mergeCell ref="L32:O32"/>
    <mergeCell ref="L30:O30"/>
    <mergeCell ref="L26:O26"/>
    <mergeCell ref="C45:D45"/>
    <mergeCell ref="F45:H45"/>
    <mergeCell ref="L45:O45"/>
    <mergeCell ref="C44:D44"/>
    <mergeCell ref="F44:K44"/>
    <mergeCell ref="L44:O44"/>
    <mergeCell ref="C43:D43"/>
    <mergeCell ref="L36:O36"/>
    <mergeCell ref="L38:O38"/>
    <mergeCell ref="C36:D36"/>
    <mergeCell ref="C41:D41"/>
    <mergeCell ref="L43:O43"/>
    <mergeCell ref="C40:D40"/>
    <mergeCell ref="L39:O39"/>
    <mergeCell ref="C38:D38"/>
    <mergeCell ref="L40:O40"/>
    <mergeCell ref="C37:D37"/>
    <mergeCell ref="L37:O37"/>
    <mergeCell ref="C42:D42"/>
    <mergeCell ref="L42:O42"/>
    <mergeCell ref="L41:O41"/>
  </mergeCells>
  <dataValidations count="1">
    <dataValidation type="textLength" allowBlank="1" showInputMessage="1" showErrorMessage="1" sqref="L13:N13 L14:O14 K15:N15 L22:O45 K12:K13 L16:O16" xr:uid="{91D11BE2-C2BE-4319-8022-4833CF402444}">
      <formula1>0</formula1>
      <formula2>31</formula2>
    </dataValidation>
  </dataValidations>
  <pageMargins left="0.27" right="0.28000000000000003" top="0.25" bottom="0.54" header="0.25" footer="0.22"/>
  <pageSetup paperSize="9" scale="61" orientation="portrait" r:id="rId1"/>
  <headerFooter alignWithMargins="0"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Macro1">
                <anchor moveWithCells="1" sizeWithCells="1">
                  <from>
                    <xdr:col>16</xdr:col>
                    <xdr:colOff>114300</xdr:colOff>
                    <xdr:row>28</xdr:row>
                    <xdr:rowOff>83820</xdr:rowOff>
                  </from>
                  <to>
                    <xdr:col>16</xdr:col>
                    <xdr:colOff>289560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F32F-E35A-4A45-B47F-D7BF47471E0D}">
  <sheetPr codeName="Sheet8">
    <tabColor rgb="FF00B0F0"/>
  </sheetPr>
  <dimension ref="A1:AF90"/>
  <sheetViews>
    <sheetView showGridLines="0" view="pageBreakPreview" topLeftCell="A16" zoomScaleNormal="100" zoomScaleSheetLayoutView="100" workbookViewId="0">
      <selection activeCell="W19" sqref="W19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207" customWidth="1"/>
    <col min="7" max="7" width="6" style="90" customWidth="1"/>
    <col min="8" max="8" width="5.6640625" style="90" customWidth="1"/>
    <col min="9" max="9" width="6.6640625" style="90" customWidth="1"/>
    <col min="10" max="10" width="3.77734375" style="90" customWidth="1"/>
    <col min="11" max="11" width="11.109375" style="90" bestFit="1" customWidth="1"/>
    <col min="12" max="12" width="11" style="90" customWidth="1"/>
    <col min="13" max="13" width="6.77734375" style="90" customWidth="1"/>
    <col min="14" max="14" width="4.44140625" style="90" customWidth="1"/>
    <col min="15" max="15" width="6" style="90" customWidth="1"/>
    <col min="16" max="16" width="4.21875" style="90" customWidth="1"/>
    <col min="17" max="17" width="7.6640625" style="90" customWidth="1"/>
    <col min="18" max="16384" width="8.88671875" style="90"/>
  </cols>
  <sheetData>
    <row r="1" spans="1:32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</row>
    <row r="2" spans="1:32" ht="27.75" customHeight="1">
      <c r="A2" s="91"/>
      <c r="B2" s="115">
        <f>'Condition 3'!B2</f>
        <v>0</v>
      </c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</row>
    <row r="3" spans="1:32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</row>
    <row r="4" spans="1:32" ht="27.75" customHeight="1">
      <c r="A4" s="91"/>
      <c r="B4" s="92" t="s">
        <v>8</v>
      </c>
      <c r="C4" s="92"/>
      <c r="D4" s="92"/>
      <c r="E4" s="92"/>
      <c r="F4" s="144"/>
      <c r="G4" s="254">
        <f>Outputs!B2</f>
        <v>0</v>
      </c>
      <c r="H4" s="255"/>
      <c r="I4" s="318" t="s">
        <v>10</v>
      </c>
      <c r="J4" s="319"/>
      <c r="K4" s="13" t="s">
        <v>9</v>
      </c>
      <c r="L4" s="335">
        <f>InitailInput!L4</f>
        <v>0</v>
      </c>
      <c r="M4" s="336"/>
      <c r="N4" s="336"/>
      <c r="O4" s="336"/>
      <c r="P4" s="337"/>
      <c r="Q4" s="91"/>
    </row>
    <row r="5" spans="1:32" ht="27.75" customHeight="1">
      <c r="A5" s="91"/>
      <c r="B5" s="266" t="s">
        <v>555</v>
      </c>
      <c r="C5" s="267"/>
      <c r="D5" s="267"/>
      <c r="E5" s="267"/>
      <c r="F5" s="268"/>
      <c r="G5" s="254" t="s">
        <v>2</v>
      </c>
      <c r="H5" s="255"/>
      <c r="I5" s="318">
        <f>Input_SB!I5</f>
        <v>0</v>
      </c>
      <c r="J5" s="319"/>
      <c r="K5" s="13" t="s">
        <v>3</v>
      </c>
      <c r="L5" s="188">
        <f>Input_SB!L5</f>
        <v>0</v>
      </c>
      <c r="M5" s="256" t="s">
        <v>4</v>
      </c>
      <c r="N5" s="257"/>
      <c r="O5" s="257"/>
      <c r="P5" s="257"/>
      <c r="Q5" s="99"/>
      <c r="R5" s="3"/>
    </row>
    <row r="6" spans="1:32" ht="27.75" customHeight="1">
      <c r="A6" s="91"/>
      <c r="B6" s="269"/>
      <c r="C6" s="270"/>
      <c r="D6" s="270"/>
      <c r="E6" s="270"/>
      <c r="F6" s="271"/>
      <c r="G6" s="254" t="s">
        <v>5</v>
      </c>
      <c r="H6" s="255"/>
      <c r="I6" s="318">
        <f>Input_SB!I6</f>
        <v>0</v>
      </c>
      <c r="J6" s="319"/>
      <c r="K6" s="13" t="s">
        <v>3</v>
      </c>
      <c r="L6" s="188"/>
      <c r="M6" s="14"/>
      <c r="N6" s="15" t="s">
        <v>6</v>
      </c>
      <c r="O6" s="16"/>
      <c r="P6" s="94"/>
      <c r="Q6" s="100"/>
      <c r="R6" s="1"/>
    </row>
    <row r="7" spans="1:32" ht="28.5" customHeight="1">
      <c r="A7" s="91"/>
      <c r="B7" s="101"/>
      <c r="C7" s="101"/>
      <c r="D7" s="101"/>
      <c r="E7" s="101"/>
      <c r="F7" s="24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32" s="92" customFormat="1" ht="31.5" hidden="1" customHeight="1">
      <c r="A8" s="104"/>
      <c r="C8" s="105" t="s">
        <v>342</v>
      </c>
      <c r="F8" s="144"/>
      <c r="Q8" s="104"/>
    </row>
    <row r="9" spans="1:32" s="92" customFormat="1" ht="24.75" customHeight="1">
      <c r="A9" s="104"/>
      <c r="C9" s="106" t="s">
        <v>195</v>
      </c>
      <c r="F9" s="144"/>
      <c r="Q9" s="104"/>
    </row>
    <row r="10" spans="1:32" s="92" customFormat="1" ht="23.25" customHeight="1">
      <c r="A10" s="104"/>
      <c r="B10" s="115"/>
      <c r="C10" s="108" t="s">
        <v>55</v>
      </c>
      <c r="D10" s="94"/>
      <c r="E10" s="94"/>
      <c r="F10" s="246"/>
      <c r="G10" s="94"/>
      <c r="H10" s="94"/>
      <c r="I10" s="109"/>
      <c r="J10" s="109"/>
      <c r="K10" s="109"/>
      <c r="L10" s="94"/>
      <c r="M10" s="94"/>
      <c r="N10" s="94"/>
      <c r="O10" s="94"/>
      <c r="P10" s="93"/>
      <c r="Q10" s="104"/>
    </row>
    <row r="11" spans="1:32" s="92" customFormat="1" ht="6.75" customHeight="1">
      <c r="A11" s="104"/>
      <c r="C11" s="151"/>
      <c r="D11" s="150"/>
      <c r="F11" s="144"/>
      <c r="Q11" s="104"/>
    </row>
    <row r="12" spans="1:32" s="92" customFormat="1" ht="24.75" customHeight="1">
      <c r="A12" s="104"/>
      <c r="C12" s="151"/>
      <c r="D12" s="150" t="str">
        <f>Input_SB!D68</f>
        <v>Condition 1 - 10% Design Flow with Dry Downstream Bed</v>
      </c>
      <c r="F12" s="144"/>
      <c r="Q12" s="104"/>
    </row>
    <row r="13" spans="1:32" s="92" customFormat="1" ht="24.75" customHeight="1">
      <c r="A13" s="104"/>
      <c r="C13" s="151"/>
      <c r="D13" s="150" t="str">
        <f>Input_SB!D69</f>
        <v>Condition 2 - Design Flow</v>
      </c>
      <c r="F13" s="144"/>
      <c r="Q13" s="104"/>
    </row>
    <row r="14" spans="1:32" s="92" customFormat="1" ht="24.75" customHeight="1">
      <c r="A14" s="104"/>
      <c r="C14" s="151"/>
      <c r="D14" s="150" t="str">
        <f>Input_SB!D70</f>
        <v>Condition 3 - 120% Design Flow with 70% Design Flow Downstream</v>
      </c>
      <c r="F14" s="144"/>
      <c r="Q14" s="104"/>
    </row>
    <row r="15" spans="1:32" s="92" customFormat="1" ht="4.5" customHeight="1">
      <c r="A15" s="104"/>
      <c r="C15" s="151"/>
      <c r="D15" s="150"/>
      <c r="F15" s="144"/>
      <c r="Q15" s="104"/>
    </row>
    <row r="16" spans="1:32" s="92" customFormat="1" ht="23.25" customHeight="1">
      <c r="A16" s="104"/>
      <c r="B16" s="115"/>
      <c r="C16" s="108" t="s">
        <v>341</v>
      </c>
      <c r="D16" s="94"/>
      <c r="E16" s="94"/>
      <c r="F16" s="246"/>
      <c r="G16" s="94"/>
      <c r="H16" s="94"/>
      <c r="I16" s="109"/>
      <c r="J16" s="109"/>
      <c r="K16" s="109"/>
      <c r="L16" s="94"/>
      <c r="M16" s="94"/>
      <c r="N16" s="94"/>
      <c r="O16" s="94"/>
      <c r="P16" s="93"/>
      <c r="Q16" s="104"/>
      <c r="AF16" s="92" t="s">
        <v>64</v>
      </c>
    </row>
    <row r="17" spans="1:20" s="117" customFormat="1" ht="21.75" customHeight="1">
      <c r="A17" s="116"/>
      <c r="C17" s="118" t="s">
        <v>340</v>
      </c>
      <c r="F17" s="119"/>
      <c r="G17" s="120"/>
      <c r="H17" s="120"/>
      <c r="K17" s="121" t="s">
        <v>11</v>
      </c>
      <c r="Q17" s="116"/>
      <c r="R17" s="187"/>
      <c r="S17" s="157"/>
    </row>
    <row r="18" spans="1:20" s="117" customFormat="1" ht="21.75" customHeight="1">
      <c r="A18" s="116"/>
      <c r="C18" s="276" t="s">
        <v>215</v>
      </c>
      <c r="D18" s="276"/>
      <c r="E18" s="117" t="s">
        <v>336</v>
      </c>
      <c r="F18" s="184">
        <f>MIN('Condition 1'!F39,'Condition 2'!F39,'Condition 3'!F39)</f>
        <v>-1876.8221487929466</v>
      </c>
      <c r="G18" s="124" t="s">
        <v>28</v>
      </c>
      <c r="H18" s="106" t="s">
        <v>339</v>
      </c>
      <c r="I18" s="106"/>
      <c r="J18" s="126"/>
      <c r="K18" s="126"/>
      <c r="L18" s="288"/>
      <c r="M18" s="288"/>
      <c r="N18" s="288"/>
      <c r="O18" s="288"/>
      <c r="Q18" s="116"/>
      <c r="R18" s="187"/>
      <c r="S18" s="117" t="s">
        <v>293</v>
      </c>
      <c r="T18" s="157">
        <f>IF($F$19="Condition 3",'Condition 3'!F26,IF($F$19="Condition 2",'Condition 2'!F26,'Condition 1'!F26))</f>
        <v>27.765212536401059</v>
      </c>
    </row>
    <row r="19" spans="1:20" s="117" customFormat="1" ht="21.75" customHeight="1">
      <c r="A19" s="116"/>
      <c r="C19" s="276" t="s">
        <v>338</v>
      </c>
      <c r="D19" s="276"/>
      <c r="F19" s="125" t="str">
        <f>IF(F18='Condition 1'!F39,"Condition 1",IF(F18='Condition 2'!F39,"Condition 2",IF(F18='Condition 3'!F39,"Condition 3")))</f>
        <v>Condition 3</v>
      </c>
      <c r="G19" s="124" t="s">
        <v>45</v>
      </c>
      <c r="H19" s="106"/>
      <c r="I19" s="106"/>
      <c r="J19" s="126"/>
      <c r="K19" s="126"/>
      <c r="L19" s="321"/>
      <c r="M19" s="321"/>
      <c r="N19" s="321"/>
      <c r="O19" s="321"/>
      <c r="Q19" s="116"/>
      <c r="S19" s="117" t="s">
        <v>291</v>
      </c>
      <c r="T19" s="157">
        <f>IF($F$19="Condition 3",'Condition 3'!F27,IF($F$19="Condition 2",'Condition 2'!F27,'Condition 1'!F27))</f>
        <v>27.300411308765113</v>
      </c>
    </row>
    <row r="20" spans="1:20" s="117" customFormat="1" ht="21.75" customHeight="1">
      <c r="A20" s="116"/>
      <c r="C20" s="276" t="s">
        <v>337</v>
      </c>
      <c r="D20" s="276"/>
      <c r="E20" s="117" t="s">
        <v>336</v>
      </c>
      <c r="F20" s="251">
        <f>MIN(ROUNDDOWN(F18,1),InitailInput!F26-0.3)</f>
        <v>-1876.8</v>
      </c>
      <c r="G20" s="124" t="s">
        <v>28</v>
      </c>
      <c r="H20" s="106" t="s">
        <v>335</v>
      </c>
      <c r="I20" s="106"/>
      <c r="J20" s="126"/>
      <c r="K20" s="252"/>
      <c r="L20" s="288"/>
      <c r="M20" s="288"/>
      <c r="N20" s="288"/>
      <c r="O20" s="288"/>
      <c r="Q20" s="116"/>
    </row>
    <row r="21" spans="1:20" s="117" customFormat="1" ht="21.75" customHeight="1">
      <c r="A21" s="116"/>
      <c r="C21" s="97" t="s">
        <v>20</v>
      </c>
      <c r="D21" s="97"/>
      <c r="F21" s="251">
        <f>InitailInput!F26-Outputs!F20</f>
        <v>1902.8799999999999</v>
      </c>
      <c r="G21" s="124" t="s">
        <v>26</v>
      </c>
      <c r="H21" s="106"/>
      <c r="I21" s="106"/>
      <c r="J21" s="126"/>
      <c r="K21" s="252"/>
      <c r="L21" s="128"/>
      <c r="M21" s="128"/>
      <c r="N21" s="128"/>
      <c r="O21" s="128"/>
      <c r="Q21" s="116"/>
    </row>
    <row r="22" spans="1:20" s="117" customFormat="1" ht="21.75" customHeight="1">
      <c r="A22" s="116"/>
      <c r="C22" s="118" t="s">
        <v>334</v>
      </c>
      <c r="F22" s="119"/>
      <c r="G22" s="120"/>
      <c r="H22" s="120"/>
      <c r="K22" s="121"/>
      <c r="Q22" s="116"/>
    </row>
    <row r="23" spans="1:20" s="117" customFormat="1" ht="21.75" customHeight="1">
      <c r="A23" s="116"/>
      <c r="C23" s="276" t="s">
        <v>50</v>
      </c>
      <c r="D23" s="276"/>
      <c r="F23" s="184">
        <f>MAX('Condition 1'!F36,'Condition 2'!F36,'Condition 3'!F36)</f>
        <v>468958.08034807787</v>
      </c>
      <c r="G23" s="124" t="s">
        <v>45</v>
      </c>
      <c r="H23" s="106" t="s">
        <v>324</v>
      </c>
      <c r="I23" s="106"/>
      <c r="J23" s="126"/>
      <c r="K23" s="126"/>
      <c r="L23" s="321"/>
      <c r="M23" s="321"/>
      <c r="N23" s="321"/>
      <c r="O23" s="321"/>
      <c r="Q23" s="116"/>
    </row>
    <row r="24" spans="1:20" s="117" customFormat="1" ht="22.5" customHeight="1">
      <c r="A24" s="116"/>
      <c r="C24" s="276" t="s">
        <v>333</v>
      </c>
      <c r="D24" s="276"/>
      <c r="F24" s="125" t="b">
        <f>IF(F23='Condition 1'!F36,"Condition 1",IF(F23='Condition 1'!F36,"Condition 2",IF(F23='Condition 1'!F36,"Condition 3")))</f>
        <v>0</v>
      </c>
      <c r="G24" s="124" t="s">
        <v>45</v>
      </c>
      <c r="H24" s="106"/>
      <c r="I24" s="106"/>
      <c r="J24" s="126"/>
      <c r="K24" s="126"/>
      <c r="L24" s="321"/>
      <c r="M24" s="321"/>
      <c r="N24" s="321"/>
      <c r="O24" s="321"/>
      <c r="Q24" s="116"/>
      <c r="S24" s="179"/>
    </row>
    <row r="25" spans="1:20" s="117" customFormat="1" ht="21.75" customHeight="1">
      <c r="A25" s="116"/>
      <c r="C25" s="118" t="s">
        <v>332</v>
      </c>
      <c r="F25" s="119"/>
      <c r="G25" s="120"/>
      <c r="H25" s="120"/>
      <c r="K25" s="121"/>
      <c r="Q25" s="116"/>
    </row>
    <row r="26" spans="1:20" s="117" customFormat="1" ht="21.75" customHeight="1">
      <c r="A26" s="116"/>
      <c r="C26" s="276" t="s">
        <v>331</v>
      </c>
      <c r="D26" s="276"/>
      <c r="F26" s="184">
        <f>MAX('Condition 1'!F32,'Condition 2'!F32,'Condition 3'!F32)</f>
        <v>6.937245009753619E-2</v>
      </c>
      <c r="G26" s="124" t="s">
        <v>26</v>
      </c>
      <c r="H26" s="106" t="s">
        <v>324</v>
      </c>
      <c r="I26" s="106"/>
      <c r="J26" s="126"/>
      <c r="K26" s="126"/>
      <c r="L26" s="321"/>
      <c r="M26" s="321"/>
      <c r="N26" s="321"/>
      <c r="O26" s="321"/>
      <c r="Q26" s="116"/>
    </row>
    <row r="27" spans="1:20" s="117" customFormat="1" ht="21.75" customHeight="1">
      <c r="A27" s="116"/>
      <c r="C27" s="276" t="s">
        <v>330</v>
      </c>
      <c r="D27" s="276"/>
      <c r="F27" s="125" t="str">
        <f>IF(F26='Condition 1'!F32,"Condition 1",IF(F26='Condition 2'!F32,"Condition 2",IF(F26='Condition 3'!F32,"Condition 3")))</f>
        <v>Condition 1</v>
      </c>
      <c r="G27" s="124" t="s">
        <v>45</v>
      </c>
      <c r="H27" s="106"/>
      <c r="I27" s="106"/>
      <c r="J27" s="126"/>
      <c r="K27" s="126"/>
      <c r="L27" s="321"/>
      <c r="M27" s="321"/>
      <c r="N27" s="321"/>
      <c r="O27" s="321"/>
      <c r="Q27" s="116"/>
      <c r="S27" s="179"/>
    </row>
    <row r="28" spans="1:20" s="117" customFormat="1" ht="21.75" customHeight="1">
      <c r="A28" s="116"/>
      <c r="C28" s="118" t="s">
        <v>329</v>
      </c>
      <c r="F28" s="119"/>
      <c r="G28" s="120"/>
      <c r="H28" s="120"/>
      <c r="K28" s="121"/>
      <c r="Q28" s="116"/>
    </row>
    <row r="29" spans="1:20" s="117" customFormat="1" ht="21.75" customHeight="1">
      <c r="A29" s="116"/>
      <c r="C29" s="276" t="s">
        <v>328</v>
      </c>
      <c r="D29" s="276"/>
      <c r="F29" s="184">
        <f>MAX('Condition 1'!F47,'Condition 2'!F47,'Condition 3'!F47)</f>
        <v>-1.6241007701923509</v>
      </c>
      <c r="G29" s="124" t="s">
        <v>26</v>
      </c>
      <c r="H29" s="106" t="s">
        <v>324</v>
      </c>
      <c r="I29" s="106"/>
      <c r="J29" s="126"/>
      <c r="K29" s="126"/>
      <c r="L29" s="321"/>
      <c r="M29" s="321"/>
      <c r="N29" s="321"/>
      <c r="O29" s="321"/>
      <c r="Q29" s="116"/>
    </row>
    <row r="30" spans="1:20" s="117" customFormat="1" ht="21.75" customHeight="1">
      <c r="A30" s="116"/>
      <c r="C30" s="276" t="s">
        <v>327</v>
      </c>
      <c r="D30" s="276"/>
      <c r="F30" s="125" t="str">
        <f>IF(F29='Condition 1'!F47,"Condition 1",IF(F29='Condition 2'!F47,"Condition 2",IF(F29='Condition 3'!F47,"Condition 3")))</f>
        <v>Condition 2</v>
      </c>
      <c r="G30" s="124" t="s">
        <v>45</v>
      </c>
      <c r="H30" s="106"/>
      <c r="I30" s="106"/>
      <c r="J30" s="126"/>
      <c r="K30" s="126"/>
      <c r="L30" s="321"/>
      <c r="M30" s="321"/>
      <c r="N30" s="321"/>
      <c r="O30" s="321"/>
      <c r="Q30" s="116"/>
      <c r="S30" s="179"/>
    </row>
    <row r="31" spans="1:20" s="117" customFormat="1" ht="21.75" customHeight="1">
      <c r="A31" s="116"/>
      <c r="C31" s="118" t="s">
        <v>326</v>
      </c>
      <c r="F31" s="119"/>
      <c r="G31" s="120"/>
      <c r="H31" s="120"/>
      <c r="K31" s="121"/>
      <c r="Q31" s="116"/>
    </row>
    <row r="32" spans="1:20" s="117" customFormat="1" ht="21.75" customHeight="1">
      <c r="A32" s="116"/>
      <c r="C32" s="276" t="s">
        <v>325</v>
      </c>
      <c r="D32" s="276"/>
      <c r="F32" s="119">
        <f>MAX('Condition 1'!F43,'Condition 2'!F43,'Condition 3'!F43)</f>
        <v>-1.6241007701923509</v>
      </c>
      <c r="G32" s="124" t="s">
        <v>26</v>
      </c>
      <c r="H32" s="106" t="s">
        <v>324</v>
      </c>
      <c r="I32" s="106"/>
      <c r="J32" s="126"/>
      <c r="K32" s="126"/>
      <c r="L32" s="321"/>
      <c r="M32" s="321"/>
      <c r="N32" s="321"/>
      <c r="O32" s="321"/>
      <c r="Q32" s="116"/>
    </row>
    <row r="33" spans="1:30" s="117" customFormat="1" ht="21.75" customHeight="1">
      <c r="A33" s="116"/>
      <c r="C33" s="118" t="s">
        <v>321</v>
      </c>
      <c r="F33" s="119"/>
      <c r="G33" s="120"/>
      <c r="H33" s="120"/>
      <c r="K33" s="121"/>
      <c r="Q33" s="116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</row>
    <row r="34" spans="1:30" s="117" customFormat="1" ht="28.5" customHeight="1">
      <c r="A34" s="116"/>
      <c r="C34" s="276" t="s">
        <v>323</v>
      </c>
      <c r="D34" s="276"/>
      <c r="F34" s="119">
        <f>6*F26</f>
        <v>0.41623470058521717</v>
      </c>
      <c r="G34" s="124" t="s">
        <v>26</v>
      </c>
      <c r="H34" s="124" t="s">
        <v>322</v>
      </c>
      <c r="I34" s="106"/>
      <c r="J34" s="126"/>
      <c r="K34" s="126"/>
      <c r="L34" s="334"/>
      <c r="M34" s="334"/>
      <c r="N34" s="334"/>
      <c r="O34" s="334"/>
      <c r="Q34" s="116"/>
      <c r="T34" s="90"/>
      <c r="U34" s="90"/>
      <c r="V34" s="186"/>
      <c r="W34" s="90"/>
      <c r="X34" s="90"/>
      <c r="Y34" s="90"/>
      <c r="Z34" s="90"/>
      <c r="AA34" s="90"/>
      <c r="AB34" s="186"/>
      <c r="AC34" s="90"/>
      <c r="AD34" s="90"/>
    </row>
    <row r="35" spans="1:30" ht="26.25" customHeight="1">
      <c r="A35" s="91"/>
      <c r="C35" s="118" t="s">
        <v>321</v>
      </c>
      <c r="E35" s="113"/>
      <c r="F35" s="119"/>
      <c r="G35" s="96"/>
      <c r="H35" s="141"/>
      <c r="K35" s="114"/>
      <c r="Q35" s="91"/>
    </row>
    <row r="36" spans="1:30" ht="24.75" customHeight="1">
      <c r="A36" s="91"/>
      <c r="C36" s="117" t="s">
        <v>320</v>
      </c>
      <c r="D36" s="117"/>
      <c r="E36" s="113"/>
      <c r="F36" s="127">
        <f>ROUNDUP(IF(F29&lt;F34,F34,F29),1)</f>
        <v>0.5</v>
      </c>
      <c r="G36" s="124" t="s">
        <v>26</v>
      </c>
      <c r="H36" s="96"/>
      <c r="J36" s="126"/>
      <c r="K36" s="114"/>
      <c r="Q36" s="91"/>
    </row>
    <row r="37" spans="1:30" ht="31.5" customHeight="1">
      <c r="A37" s="91"/>
      <c r="C37" s="92"/>
      <c r="E37" s="113"/>
      <c r="F37" s="144"/>
      <c r="G37" s="96"/>
      <c r="H37" s="96"/>
      <c r="K37" s="114"/>
      <c r="Q37" s="91"/>
    </row>
    <row r="38" spans="1:30" s="117" customFormat="1" ht="21.75" customHeight="1">
      <c r="A38" s="116"/>
      <c r="C38" s="276"/>
      <c r="D38" s="276"/>
      <c r="F38" s="184"/>
      <c r="G38" s="124"/>
      <c r="H38" s="106"/>
      <c r="I38" s="106"/>
      <c r="J38" s="126"/>
      <c r="K38" s="126"/>
      <c r="L38" s="321"/>
      <c r="M38" s="321"/>
      <c r="N38" s="321"/>
      <c r="O38" s="321"/>
      <c r="Q38" s="116"/>
      <c r="S38" s="179"/>
    </row>
    <row r="39" spans="1:30" ht="31.5" customHeight="1">
      <c r="A39" s="91"/>
      <c r="C39" s="92"/>
      <c r="E39" s="113"/>
      <c r="F39" s="144"/>
      <c r="G39" s="96"/>
      <c r="H39" s="96"/>
      <c r="K39" s="114"/>
      <c r="Q39" s="91"/>
    </row>
    <row r="40" spans="1:30" ht="31.5" customHeight="1">
      <c r="A40" s="91"/>
      <c r="C40" s="92"/>
      <c r="E40" s="113"/>
      <c r="F40" s="144"/>
      <c r="G40" s="96"/>
      <c r="H40" s="96"/>
      <c r="K40" s="114"/>
      <c r="Q40" s="91"/>
    </row>
    <row r="41" spans="1:30" ht="31.5" customHeight="1">
      <c r="A41" s="91"/>
      <c r="C41" s="92"/>
      <c r="E41" s="113"/>
      <c r="F41" s="144"/>
      <c r="G41" s="96"/>
      <c r="H41" s="96"/>
      <c r="K41" s="114"/>
      <c r="Q41" s="91"/>
    </row>
    <row r="42" spans="1:30" ht="31.5" customHeight="1">
      <c r="A42" s="91"/>
      <c r="C42" s="92"/>
      <c r="E42" s="113"/>
      <c r="F42" s="144"/>
      <c r="G42" s="96"/>
      <c r="H42" s="96"/>
      <c r="K42" s="114"/>
      <c r="Q42" s="91"/>
    </row>
    <row r="43" spans="1:30" s="92" customFormat="1" ht="30.75" customHeight="1">
      <c r="A43" s="181"/>
      <c r="B43" s="94"/>
      <c r="C43" s="94"/>
      <c r="D43" s="94"/>
      <c r="E43" s="94"/>
      <c r="F43" s="246"/>
      <c r="G43" s="173"/>
      <c r="H43" s="183"/>
      <c r="I43" s="183"/>
      <c r="J43" s="182"/>
      <c r="K43" s="182"/>
      <c r="L43" s="333"/>
      <c r="M43" s="333"/>
      <c r="N43" s="333"/>
      <c r="O43" s="333"/>
      <c r="P43" s="94"/>
      <c r="Q43" s="181"/>
      <c r="V43" s="90"/>
    </row>
    <row r="85" spans="3:5" ht="13.8">
      <c r="C85" s="123" t="s">
        <v>130</v>
      </c>
      <c r="E85" s="123" t="s">
        <v>129</v>
      </c>
    </row>
    <row r="86" spans="3:5" ht="13.8">
      <c r="C86" s="123" t="s">
        <v>127</v>
      </c>
      <c r="E86" s="123" t="s">
        <v>126</v>
      </c>
    </row>
    <row r="87" spans="3:5" ht="13.8">
      <c r="C87" s="123" t="s">
        <v>124</v>
      </c>
      <c r="E87" s="123" t="s">
        <v>123</v>
      </c>
    </row>
    <row r="88" spans="3:5" ht="13.8">
      <c r="C88" s="123" t="s">
        <v>121</v>
      </c>
      <c r="E88" s="123" t="s">
        <v>120</v>
      </c>
    </row>
    <row r="89" spans="3:5">
      <c r="C89" s="123" t="s">
        <v>118</v>
      </c>
    </row>
    <row r="90" spans="3:5">
      <c r="C90" s="123" t="s">
        <v>307</v>
      </c>
    </row>
  </sheetData>
  <mergeCells count="35">
    <mergeCell ref="C18:D18"/>
    <mergeCell ref="L19:O19"/>
    <mergeCell ref="L18:O18"/>
    <mergeCell ref="B1:L1"/>
    <mergeCell ref="G4:H4"/>
    <mergeCell ref="G6:H6"/>
    <mergeCell ref="G5:H5"/>
    <mergeCell ref="B5:F6"/>
    <mergeCell ref="I4:J4"/>
    <mergeCell ref="I5:J5"/>
    <mergeCell ref="I6:J6"/>
    <mergeCell ref="L4:P4"/>
    <mergeCell ref="M5:P5"/>
    <mergeCell ref="C19:D19"/>
    <mergeCell ref="L43:O43"/>
    <mergeCell ref="L23:O23"/>
    <mergeCell ref="C24:D24"/>
    <mergeCell ref="L24:O24"/>
    <mergeCell ref="C23:D23"/>
    <mergeCell ref="C30:D30"/>
    <mergeCell ref="L32:O32"/>
    <mergeCell ref="L30:O30"/>
    <mergeCell ref="L29:O29"/>
    <mergeCell ref="C26:D26"/>
    <mergeCell ref="L26:O26"/>
    <mergeCell ref="C34:D34"/>
    <mergeCell ref="L34:O34"/>
    <mergeCell ref="C27:D27"/>
    <mergeCell ref="C38:D38"/>
    <mergeCell ref="L38:O38"/>
    <mergeCell ref="C29:D29"/>
    <mergeCell ref="L20:O20"/>
    <mergeCell ref="C20:D20"/>
    <mergeCell ref="C32:D32"/>
    <mergeCell ref="L27:O27"/>
  </mergeCells>
  <dataValidations disablePrompts="1" count="1">
    <dataValidation type="textLength" allowBlank="1" showInputMessage="1" showErrorMessage="1" sqref="L43:O43 L19:O19 L38:O38 L32:O32 L29:O30 L26:O27 L23:O24" xr:uid="{07F41D54-53EC-409A-836F-B766280B5E43}">
      <formula1>0</formula1>
      <formula2>31</formula2>
    </dataValidation>
  </dataValidations>
  <printOptions horizontalCentered="1" verticalCentered="1"/>
  <pageMargins left="0.27559055118110237" right="0.27559055118110237" top="0.23622047244094491" bottom="0.59" header="0.23622047244094491" footer="0.23622047244094491"/>
  <pageSetup paperSize="9" scale="74" orientation="portrait" r:id="rId1"/>
  <headerFooter alignWithMargins="0">
    <oddFooter>&amp;L&amp;Z&amp;F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1F436-BEC2-4303-B4F4-366D10548402}">
  <sheetPr codeName="Sheet9">
    <tabColor rgb="FF00B0F0"/>
  </sheetPr>
  <dimension ref="A1:L42"/>
  <sheetViews>
    <sheetView workbookViewId="0">
      <selection activeCell="L50" sqref="L50:O50"/>
    </sheetView>
  </sheetViews>
  <sheetFormatPr defaultRowHeight="13.2"/>
  <cols>
    <col min="1" max="16384" width="8.88671875" style="90"/>
  </cols>
  <sheetData>
    <row r="1" spans="1:8" ht="15.6">
      <c r="B1" s="90" t="s">
        <v>224</v>
      </c>
      <c r="C1" s="90" t="s">
        <v>274</v>
      </c>
      <c r="E1" s="90" t="s">
        <v>51</v>
      </c>
    </row>
    <row r="2" spans="1:8">
      <c r="A2" s="90">
        <v>1</v>
      </c>
      <c r="B2" s="90">
        <v>1</v>
      </c>
      <c r="C2" s="90">
        <v>0</v>
      </c>
      <c r="E2" s="90">
        <v>4.5</v>
      </c>
      <c r="F2" s="90">
        <v>2.21</v>
      </c>
      <c r="G2" s="90">
        <v>2.5</v>
      </c>
      <c r="H2" s="90">
        <v>3.2</v>
      </c>
    </row>
    <row r="3" spans="1:8">
      <c r="A3" s="90">
        <v>2</v>
      </c>
      <c r="B3" s="90">
        <v>1.5</v>
      </c>
      <c r="C3" s="90">
        <v>2.5</v>
      </c>
      <c r="E3" s="90">
        <v>5</v>
      </c>
      <c r="F3" s="90">
        <v>2.38</v>
      </c>
      <c r="G3" s="90">
        <v>3</v>
      </c>
      <c r="H3" s="90">
        <v>3.17</v>
      </c>
    </row>
    <row r="4" spans="1:8">
      <c r="A4" s="90">
        <v>3</v>
      </c>
      <c r="B4" s="90">
        <v>2</v>
      </c>
      <c r="C4" s="90">
        <v>4.3</v>
      </c>
      <c r="E4" s="90">
        <v>6</v>
      </c>
      <c r="F4" s="90">
        <v>2.4500000000000002</v>
      </c>
      <c r="G4" s="90">
        <v>3.5</v>
      </c>
      <c r="H4" s="90">
        <v>3.15</v>
      </c>
    </row>
    <row r="5" spans="1:8">
      <c r="A5" s="90">
        <v>4</v>
      </c>
      <c r="B5" s="90">
        <v>2.5</v>
      </c>
      <c r="C5" s="90">
        <v>4.8499999999999996</v>
      </c>
      <c r="E5" s="90">
        <v>7</v>
      </c>
      <c r="F5" s="90">
        <v>2.58</v>
      </c>
      <c r="G5" s="90">
        <v>4</v>
      </c>
      <c r="H5" s="90">
        <v>3.1</v>
      </c>
    </row>
    <row r="6" spans="1:8">
      <c r="A6" s="90">
        <v>5</v>
      </c>
      <c r="B6" s="90">
        <v>3</v>
      </c>
      <c r="C6" s="90">
        <v>5.2667000000000002</v>
      </c>
      <c r="E6" s="90">
        <v>8</v>
      </c>
      <c r="F6" s="90">
        <v>2.65</v>
      </c>
      <c r="G6" s="90">
        <v>4.5</v>
      </c>
      <c r="H6" s="90">
        <v>3.02</v>
      </c>
    </row>
    <row r="7" spans="1:8">
      <c r="A7" s="90">
        <v>6</v>
      </c>
      <c r="B7" s="90">
        <v>3.5</v>
      </c>
      <c r="C7" s="90">
        <v>5.58</v>
      </c>
      <c r="E7" s="90">
        <v>9</v>
      </c>
      <c r="F7" s="90">
        <v>2.7</v>
      </c>
      <c r="G7" s="90">
        <v>5</v>
      </c>
      <c r="H7" s="90">
        <v>2.9</v>
      </c>
    </row>
    <row r="8" spans="1:8">
      <c r="A8" s="90">
        <v>7</v>
      </c>
      <c r="B8" s="90">
        <v>4</v>
      </c>
      <c r="C8" s="90">
        <v>5.8</v>
      </c>
      <c r="E8" s="90">
        <v>10</v>
      </c>
      <c r="F8" s="90">
        <v>2.72</v>
      </c>
      <c r="G8" s="90">
        <v>5.5</v>
      </c>
      <c r="H8" s="90">
        <v>2.7</v>
      </c>
    </row>
    <row r="9" spans="1:8">
      <c r="A9" s="90">
        <v>8</v>
      </c>
      <c r="B9" s="90">
        <v>5</v>
      </c>
      <c r="C9" s="90">
        <v>6</v>
      </c>
      <c r="E9" s="90">
        <v>11</v>
      </c>
      <c r="F9" s="90">
        <v>2.75</v>
      </c>
      <c r="G9" s="90">
        <v>6</v>
      </c>
      <c r="H9" s="90">
        <v>2.5</v>
      </c>
    </row>
    <row r="10" spans="1:8">
      <c r="A10" s="90">
        <v>9</v>
      </c>
      <c r="B10" s="90">
        <v>6</v>
      </c>
      <c r="C10" s="90">
        <v>6.0734000000000004</v>
      </c>
      <c r="E10" s="90">
        <v>12</v>
      </c>
      <c r="F10" s="90">
        <v>2.78</v>
      </c>
    </row>
    <row r="11" spans="1:8">
      <c r="A11" s="90">
        <v>10</v>
      </c>
      <c r="B11" s="90">
        <v>7</v>
      </c>
      <c r="C11" s="90">
        <v>6.1070000000000002</v>
      </c>
      <c r="E11" s="90">
        <v>13</v>
      </c>
      <c r="F11" s="90">
        <v>2.78</v>
      </c>
    </row>
    <row r="12" spans="1:8">
      <c r="A12" s="90">
        <v>11</v>
      </c>
      <c r="B12" s="90">
        <v>7.5</v>
      </c>
      <c r="C12" s="90">
        <v>6.1669999999999998</v>
      </c>
      <c r="E12" s="90">
        <v>14</v>
      </c>
      <c r="F12" s="90">
        <v>2.77</v>
      </c>
    </row>
    <row r="13" spans="1:8">
      <c r="A13" s="90">
        <v>12</v>
      </c>
      <c r="B13" s="90">
        <v>8</v>
      </c>
      <c r="C13" s="90">
        <v>6.133</v>
      </c>
      <c r="E13" s="90">
        <v>15</v>
      </c>
      <c r="F13" s="90">
        <v>2.76</v>
      </c>
    </row>
    <row r="14" spans="1:8">
      <c r="A14" s="90">
        <v>13</v>
      </c>
      <c r="B14" s="90">
        <v>9</v>
      </c>
      <c r="C14" s="90">
        <v>6.1</v>
      </c>
      <c r="E14" s="90">
        <v>16</v>
      </c>
      <c r="F14" s="90">
        <v>2.74</v>
      </c>
    </row>
    <row r="15" spans="1:8">
      <c r="A15" s="90">
        <v>14</v>
      </c>
      <c r="B15" s="90">
        <v>10</v>
      </c>
      <c r="C15" s="90">
        <v>6.08</v>
      </c>
      <c r="E15" s="90">
        <v>16.5</v>
      </c>
      <c r="F15" s="90">
        <v>2.72</v>
      </c>
    </row>
    <row r="16" spans="1:8">
      <c r="A16" s="90">
        <v>15</v>
      </c>
      <c r="B16" s="90">
        <v>11</v>
      </c>
      <c r="C16" s="90">
        <v>6.06</v>
      </c>
      <c r="E16" s="90">
        <v>20</v>
      </c>
      <c r="F16" s="90">
        <v>2.75</v>
      </c>
    </row>
    <row r="17" spans="1:12">
      <c r="A17" s="90">
        <v>16</v>
      </c>
      <c r="B17" s="90">
        <v>12</v>
      </c>
      <c r="C17" s="90">
        <v>6.04</v>
      </c>
      <c r="E17" s="90" t="s">
        <v>343</v>
      </c>
      <c r="G17" s="90" t="s">
        <v>344</v>
      </c>
    </row>
    <row r="18" spans="1:12">
      <c r="A18" s="90">
        <v>17</v>
      </c>
      <c r="B18" s="90">
        <v>15</v>
      </c>
      <c r="C18" s="90">
        <v>5.9</v>
      </c>
    </row>
    <row r="19" spans="1:12">
      <c r="A19" s="90">
        <v>18</v>
      </c>
      <c r="B19" s="90">
        <v>17</v>
      </c>
      <c r="C19" s="90">
        <v>5.8</v>
      </c>
    </row>
    <row r="20" spans="1:12">
      <c r="A20" s="90">
        <v>19</v>
      </c>
      <c r="B20" s="90">
        <v>18</v>
      </c>
      <c r="C20" s="90">
        <v>5.7</v>
      </c>
    </row>
    <row r="21" spans="1:12">
      <c r="A21" s="90">
        <v>20</v>
      </c>
      <c r="B21" s="90">
        <v>19</v>
      </c>
      <c r="C21" s="90">
        <v>5.6</v>
      </c>
    </row>
    <row r="22" spans="1:12">
      <c r="A22" s="90">
        <v>21</v>
      </c>
      <c r="B22" s="90">
        <v>20</v>
      </c>
      <c r="C22" s="90">
        <v>5.45</v>
      </c>
    </row>
    <row r="23" spans="1:12">
      <c r="A23" s="90">
        <v>22</v>
      </c>
    </row>
    <row r="24" spans="1:12">
      <c r="A24" s="90">
        <v>23</v>
      </c>
    </row>
    <row r="25" spans="1:12">
      <c r="A25" s="90">
        <v>24</v>
      </c>
    </row>
    <row r="26" spans="1:12">
      <c r="A26" s="90" t="s">
        <v>360</v>
      </c>
    </row>
    <row r="27" spans="1:12">
      <c r="A27" s="90" t="s">
        <v>50</v>
      </c>
      <c r="B27" s="90" t="s">
        <v>356</v>
      </c>
      <c r="C27" s="90" t="s">
        <v>359</v>
      </c>
    </row>
    <row r="29" spans="1:12">
      <c r="A29" s="90">
        <v>0</v>
      </c>
      <c r="B29" s="90" t="s">
        <v>358</v>
      </c>
      <c r="C29" s="90" t="s">
        <v>357</v>
      </c>
      <c r="J29" s="90" t="s">
        <v>50</v>
      </c>
      <c r="K29" s="90" t="s">
        <v>356</v>
      </c>
      <c r="L29" s="90" t="s">
        <v>355</v>
      </c>
    </row>
    <row r="30" spans="1:12">
      <c r="A30" s="90">
        <v>2.5</v>
      </c>
      <c r="B30" s="90" t="s">
        <v>354</v>
      </c>
      <c r="C30" s="90" t="s">
        <v>353</v>
      </c>
      <c r="J30" s="90" t="s">
        <v>352</v>
      </c>
    </row>
    <row r="31" spans="1:12">
      <c r="A31" s="90">
        <v>4.5</v>
      </c>
      <c r="B31" s="90" t="s">
        <v>351</v>
      </c>
      <c r="C31" s="90" t="s">
        <v>350</v>
      </c>
    </row>
    <row r="32" spans="1:12">
      <c r="A32" s="90">
        <v>9</v>
      </c>
      <c r="B32" s="90" t="s">
        <v>348</v>
      </c>
      <c r="C32" s="90" t="s">
        <v>349</v>
      </c>
    </row>
    <row r="33" spans="1:3">
      <c r="A33" s="90">
        <v>13</v>
      </c>
      <c r="B33" s="90" t="s">
        <v>348</v>
      </c>
      <c r="C33" s="90" t="s">
        <v>347</v>
      </c>
    </row>
    <row r="34" spans="1:3">
      <c r="A34" s="90">
        <v>20</v>
      </c>
    </row>
    <row r="36" spans="1:3">
      <c r="A36" s="90" t="s">
        <v>201</v>
      </c>
    </row>
    <row r="37" spans="1:3">
      <c r="A37" s="90" t="s">
        <v>50</v>
      </c>
      <c r="B37" s="90" t="s">
        <v>346</v>
      </c>
    </row>
    <row r="38" spans="1:3">
      <c r="A38" s="90">
        <v>0</v>
      </c>
    </row>
    <row r="39" spans="1:3">
      <c r="A39" s="90">
        <v>1.7</v>
      </c>
      <c r="B39" s="90" t="s">
        <v>345</v>
      </c>
    </row>
    <row r="40" spans="1:3">
      <c r="A40" s="90">
        <v>2.5</v>
      </c>
      <c r="B40" s="90" t="s">
        <v>344</v>
      </c>
    </row>
    <row r="41" spans="1:3">
      <c r="A41" s="90">
        <v>3.5</v>
      </c>
      <c r="B41" s="90" t="s">
        <v>344</v>
      </c>
    </row>
    <row r="42" spans="1:3">
      <c r="A42" s="90">
        <v>4.5</v>
      </c>
      <c r="B42" s="90" t="s">
        <v>343</v>
      </c>
    </row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588AA-2577-47FA-B88A-443C9341F733}">
  <sheetPr codeName="Sheet10">
    <tabColor theme="7" tint="0.59999389629810485"/>
  </sheetPr>
  <dimension ref="A1:Y124"/>
  <sheetViews>
    <sheetView showGridLines="0" view="pageBreakPreview" topLeftCell="A56" zoomScale="115" zoomScaleNormal="115" zoomScaleSheetLayoutView="115" workbookViewId="0">
      <selection activeCell="F70" sqref="F70"/>
    </sheetView>
  </sheetViews>
  <sheetFormatPr defaultRowHeight="13.2"/>
  <cols>
    <col min="1" max="1" width="7.6640625" style="90" customWidth="1"/>
    <col min="2" max="2" width="3.44140625" style="90" customWidth="1"/>
    <col min="3" max="3" width="7.5546875" style="90" customWidth="1"/>
    <col min="4" max="4" width="23.44140625" style="90" customWidth="1"/>
    <col min="5" max="5" width="6.5546875" style="90" bestFit="1" customWidth="1"/>
    <col min="6" max="6" width="11.109375" style="90" customWidth="1"/>
    <col min="7" max="7" width="6" style="90" customWidth="1"/>
    <col min="8" max="8" width="5.6640625" style="90" customWidth="1"/>
    <col min="9" max="9" width="6.6640625" style="90" customWidth="1"/>
    <col min="10" max="10" width="3.88671875" style="90" customWidth="1"/>
    <col min="11" max="11" width="11.109375" style="90" bestFit="1" customWidth="1"/>
    <col min="12" max="12" width="11" style="90" customWidth="1"/>
    <col min="13" max="13" width="6.88671875" style="90" customWidth="1"/>
    <col min="14" max="14" width="4.44140625" style="90" customWidth="1"/>
    <col min="15" max="15" width="4.88671875" style="90" customWidth="1"/>
    <col min="16" max="16" width="4.33203125" style="90" customWidth="1"/>
    <col min="17" max="17" width="7.6640625" style="90" customWidth="1"/>
    <col min="18" max="16384" width="8.88671875" style="90"/>
  </cols>
  <sheetData>
    <row r="1" spans="1:25" ht="27.75" customHeight="1">
      <c r="A1" s="88"/>
      <c r="B1" s="260" t="s">
        <v>0</v>
      </c>
      <c r="C1" s="261"/>
      <c r="D1" s="261"/>
      <c r="E1" s="261"/>
      <c r="F1" s="261"/>
      <c r="G1" s="261"/>
      <c r="H1" s="261"/>
      <c r="I1" s="261"/>
      <c r="J1" s="261"/>
      <c r="K1" s="261"/>
      <c r="L1" s="262"/>
      <c r="M1" s="177"/>
      <c r="N1" s="177"/>
      <c r="O1" s="177"/>
      <c r="P1" s="176"/>
      <c r="Q1" s="88"/>
    </row>
    <row r="2" spans="1:25" ht="27.75" customHeight="1">
      <c r="A2" s="91"/>
      <c r="B2" s="115">
        <f>Outputs!B2</f>
        <v>0</v>
      </c>
      <c r="C2" s="92"/>
      <c r="D2" s="92"/>
      <c r="E2" s="92"/>
      <c r="F2" s="92"/>
      <c r="G2" s="92"/>
      <c r="H2" s="92"/>
      <c r="I2" s="92"/>
      <c r="J2" s="92"/>
      <c r="K2" s="92"/>
      <c r="L2" s="93"/>
      <c r="M2" s="175"/>
      <c r="N2" s="175"/>
      <c r="O2" s="175"/>
      <c r="P2" s="174"/>
      <c r="Q2" s="91"/>
    </row>
    <row r="3" spans="1:25" ht="27.75" customHeight="1">
      <c r="A3" s="91"/>
      <c r="B3" s="228"/>
      <c r="C3" s="94"/>
      <c r="D3" s="94"/>
      <c r="E3" s="94"/>
      <c r="F3" s="94"/>
      <c r="G3" s="94"/>
      <c r="H3" s="94"/>
      <c r="I3" s="94"/>
      <c r="J3" s="94"/>
      <c r="K3" s="94"/>
      <c r="L3" s="95"/>
      <c r="M3" s="172"/>
      <c r="N3" s="172"/>
      <c r="O3" s="172"/>
      <c r="P3" s="171"/>
      <c r="Q3" s="91"/>
    </row>
    <row r="4" spans="1:25" ht="27.75" customHeight="1">
      <c r="A4" s="91"/>
      <c r="B4" s="92" t="s">
        <v>8</v>
      </c>
      <c r="C4" s="92"/>
      <c r="D4" s="92"/>
      <c r="E4" s="92"/>
      <c r="F4" s="96"/>
      <c r="G4" s="254">
        <f>Outputs!B2</f>
        <v>0</v>
      </c>
      <c r="H4" s="255"/>
      <c r="I4" s="318" t="s">
        <v>10</v>
      </c>
      <c r="J4" s="319"/>
      <c r="K4" s="13" t="s">
        <v>9</v>
      </c>
      <c r="L4" s="335">
        <f>InitailInput!L4</f>
        <v>0</v>
      </c>
      <c r="M4" s="336"/>
      <c r="N4" s="336"/>
      <c r="O4" s="336"/>
      <c r="P4" s="337"/>
      <c r="Q4" s="91"/>
    </row>
    <row r="5" spans="1:25" ht="27.75" customHeight="1">
      <c r="A5" s="91"/>
      <c r="B5" s="248" t="s">
        <v>556</v>
      </c>
      <c r="C5" s="101"/>
      <c r="D5" s="101"/>
      <c r="E5" s="101"/>
      <c r="F5" s="167"/>
      <c r="G5" s="254" t="s">
        <v>2</v>
      </c>
      <c r="H5" s="255"/>
      <c r="I5" s="318">
        <f>Input_SB!I5</f>
        <v>0</v>
      </c>
      <c r="J5" s="319"/>
      <c r="K5" s="13" t="s">
        <v>3</v>
      </c>
      <c r="L5" s="188">
        <f>Input_SB!L5</f>
        <v>0</v>
      </c>
      <c r="M5" s="256" t="s">
        <v>4</v>
      </c>
      <c r="N5" s="257"/>
      <c r="O5" s="257"/>
      <c r="P5" s="257"/>
      <c r="Q5" s="99"/>
      <c r="R5" s="3"/>
    </row>
    <row r="6" spans="1:25" ht="27.75" customHeight="1">
      <c r="A6" s="91"/>
      <c r="B6" s="166"/>
      <c r="C6" s="109"/>
      <c r="D6" s="109"/>
      <c r="E6" s="109"/>
      <c r="F6" s="165"/>
      <c r="G6" s="254" t="s">
        <v>5</v>
      </c>
      <c r="H6" s="255"/>
      <c r="I6" s="318">
        <f>Input_SB!I6</f>
        <v>0</v>
      </c>
      <c r="J6" s="319"/>
      <c r="K6" s="13" t="s">
        <v>3</v>
      </c>
      <c r="L6" s="188"/>
      <c r="M6" s="14"/>
      <c r="N6" s="15" t="s">
        <v>6</v>
      </c>
      <c r="O6" s="16"/>
      <c r="P6" s="94"/>
      <c r="Q6" s="100"/>
      <c r="R6" s="1"/>
    </row>
    <row r="7" spans="1:25" ht="28.5" customHeight="1">
      <c r="A7" s="91"/>
      <c r="B7" s="101"/>
      <c r="C7" s="101"/>
      <c r="D7" s="101"/>
      <c r="E7" s="101"/>
      <c r="F7" s="101"/>
      <c r="G7" s="17"/>
      <c r="H7" s="17"/>
      <c r="I7" s="17"/>
      <c r="J7" s="17"/>
      <c r="K7" s="18"/>
      <c r="L7" s="19"/>
      <c r="M7" s="102"/>
      <c r="N7" s="20"/>
      <c r="O7" s="103"/>
      <c r="P7" s="92"/>
      <c r="Q7" s="100"/>
      <c r="R7" s="1"/>
    </row>
    <row r="8" spans="1:25" s="92" customFormat="1" ht="31.5" customHeight="1">
      <c r="A8" s="104"/>
      <c r="C8" s="105" t="s">
        <v>504</v>
      </c>
      <c r="Q8" s="104"/>
    </row>
    <row r="9" spans="1:25" s="92" customFormat="1" ht="24.75" customHeight="1">
      <c r="A9" s="104"/>
      <c r="C9" s="106" t="s">
        <v>503</v>
      </c>
      <c r="Q9" s="104"/>
    </row>
    <row r="10" spans="1:25" s="92" customFormat="1" ht="24.75" customHeight="1">
      <c r="A10" s="104"/>
      <c r="C10" s="106" t="s">
        <v>502</v>
      </c>
      <c r="Q10" s="104"/>
    </row>
    <row r="11" spans="1:25" s="92" customFormat="1" ht="23.25" customHeight="1">
      <c r="A11" s="104"/>
      <c r="C11" s="108" t="s">
        <v>54</v>
      </c>
      <c r="D11" s="94"/>
      <c r="E11" s="94"/>
      <c r="F11" s="94"/>
      <c r="G11" s="94"/>
      <c r="H11" s="94"/>
      <c r="I11" s="109"/>
      <c r="J11" s="109"/>
      <c r="K11" s="109"/>
      <c r="L11" s="94"/>
      <c r="M11" s="94"/>
      <c r="N11" s="94"/>
      <c r="O11" s="94"/>
      <c r="Q11" s="104"/>
    </row>
    <row r="12" spans="1:25" s="92" customFormat="1" ht="181.8" customHeight="1">
      <c r="A12" s="104"/>
      <c r="B12" s="107"/>
      <c r="C12" s="110"/>
      <c r="D12" s="89"/>
      <c r="E12" s="89"/>
      <c r="F12" s="89"/>
      <c r="G12" s="89" t="s">
        <v>61</v>
      </c>
      <c r="H12" s="89"/>
      <c r="I12" s="111"/>
      <c r="J12" s="111"/>
      <c r="K12" s="111"/>
      <c r="L12" s="89"/>
      <c r="M12" s="89"/>
      <c r="N12" s="89"/>
      <c r="O12" s="89"/>
      <c r="P12" s="112"/>
      <c r="Q12" s="104"/>
    </row>
    <row r="13" spans="1:25" ht="28.5" customHeight="1">
      <c r="A13" s="91"/>
      <c r="B13" s="107"/>
      <c r="C13" s="276" t="s">
        <v>501</v>
      </c>
      <c r="D13" s="276"/>
      <c r="E13" s="113"/>
      <c r="F13" s="206" t="str">
        <f>Outputs!$F$19</f>
        <v>Condition 3</v>
      </c>
      <c r="G13" s="96"/>
      <c r="H13" s="96"/>
      <c r="I13" s="126" t="s">
        <v>11</v>
      </c>
      <c r="K13" s="126" t="s">
        <v>500</v>
      </c>
      <c r="P13" s="112"/>
      <c r="Q13" s="91"/>
      <c r="Y13" s="90" t="s">
        <v>499</v>
      </c>
    </row>
    <row r="14" spans="1:25" s="117" customFormat="1" ht="25.5" customHeight="1">
      <c r="A14" s="116"/>
      <c r="C14" s="276" t="s">
        <v>498</v>
      </c>
      <c r="D14" s="276"/>
      <c r="F14" s="316" t="s">
        <v>495</v>
      </c>
      <c r="G14" s="265"/>
      <c r="H14" s="120"/>
      <c r="I14" s="126"/>
      <c r="K14" s="132" t="s">
        <v>497</v>
      </c>
      <c r="L14" s="92"/>
      <c r="M14" s="92"/>
      <c r="N14" s="92"/>
      <c r="O14" s="92"/>
      <c r="P14" s="93"/>
      <c r="Q14" s="116"/>
      <c r="Y14" s="117" t="s">
        <v>496</v>
      </c>
    </row>
    <row r="15" spans="1:25" s="123" customFormat="1" ht="21.75" customHeight="1">
      <c r="A15" s="122"/>
      <c r="C15" s="276" t="s">
        <v>269</v>
      </c>
      <c r="D15" s="276"/>
      <c r="E15" s="124" t="s">
        <v>73</v>
      </c>
      <c r="F15" s="205">
        <f>InitailInput!F13</f>
        <v>27.76</v>
      </c>
      <c r="G15" s="124" t="s">
        <v>28</v>
      </c>
      <c r="H15" s="124"/>
      <c r="I15" s="126"/>
      <c r="J15" s="126"/>
      <c r="K15" s="132"/>
      <c r="Q15" s="122"/>
      <c r="R15" s="123">
        <f>F15*3.2808</f>
        <v>91.075008000000011</v>
      </c>
      <c r="S15" s="123" t="e">
        <f>[5]!b</f>
        <v>#NAME?</v>
      </c>
      <c r="T15" s="123">
        <f>(33/3.2808*2+U15)/2</f>
        <v>10.84852231163131</v>
      </c>
      <c r="U15" s="130">
        <f>F15-Input_SB!$F$18</f>
        <v>1.5800000000000018</v>
      </c>
      <c r="V15" s="123" t="e">
        <f>S15/(T15*U15)</f>
        <v>#NAME?</v>
      </c>
      <c r="Y15" s="123" t="s">
        <v>495</v>
      </c>
    </row>
    <row r="16" spans="1:25" s="123" customFormat="1" ht="21.75" customHeight="1">
      <c r="A16" s="122"/>
      <c r="C16" s="276" t="s">
        <v>494</v>
      </c>
      <c r="D16" s="276"/>
      <c r="E16" s="124" t="s">
        <v>493</v>
      </c>
      <c r="F16" s="127">
        <f>InitailInput!F17</f>
        <v>1.1499999999999999</v>
      </c>
      <c r="G16" s="124" t="s">
        <v>132</v>
      </c>
      <c r="H16" s="124"/>
      <c r="I16" s="126"/>
      <c r="J16" s="126"/>
      <c r="K16" s="132"/>
      <c r="Q16" s="122"/>
      <c r="U16" s="130"/>
    </row>
    <row r="17" spans="1:23" s="123" customFormat="1" ht="21.75" customHeight="1">
      <c r="A17" s="122"/>
      <c r="C17" s="276" t="s">
        <v>215</v>
      </c>
      <c r="D17" s="276"/>
      <c r="E17" s="124" t="s">
        <v>492</v>
      </c>
      <c r="F17" s="127">
        <f>Outputs!F20</f>
        <v>-1876.8</v>
      </c>
      <c r="G17" s="124" t="s">
        <v>28</v>
      </c>
      <c r="H17" s="124"/>
      <c r="I17" s="126"/>
      <c r="J17" s="126"/>
      <c r="K17" s="132"/>
      <c r="Q17" s="122"/>
      <c r="R17" s="123">
        <f>R18-S54</f>
        <v>2.4776119402985075</v>
      </c>
    </row>
    <row r="18" spans="1:23" s="123" customFormat="1" ht="21.75" customHeight="1">
      <c r="A18" s="122"/>
      <c r="C18" s="276" t="s">
        <v>491</v>
      </c>
      <c r="D18" s="276"/>
      <c r="E18" s="124" t="s">
        <v>22</v>
      </c>
      <c r="F18" s="133">
        <f>InitailInput!F23</f>
        <v>11.54</v>
      </c>
      <c r="G18" s="124" t="s">
        <v>40</v>
      </c>
      <c r="H18" s="124"/>
      <c r="I18" s="126"/>
      <c r="J18" s="126"/>
      <c r="K18" s="249"/>
      <c r="L18" s="250"/>
      <c r="M18" s="250"/>
      <c r="N18" s="250"/>
      <c r="O18" s="250"/>
      <c r="Q18" s="122"/>
      <c r="R18" s="123">
        <f>1</f>
        <v>1</v>
      </c>
      <c r="S18" s="123" t="s">
        <v>366</v>
      </c>
    </row>
    <row r="19" spans="1:23" s="123" customFormat="1" ht="21.75" customHeight="1">
      <c r="A19" s="122"/>
      <c r="C19" s="276" t="s">
        <v>490</v>
      </c>
      <c r="D19" s="276"/>
      <c r="E19" s="124" t="s">
        <v>17</v>
      </c>
      <c r="F19" s="125">
        <f>Input_SB!F21</f>
        <v>3.5</v>
      </c>
      <c r="G19" s="124" t="s">
        <v>26</v>
      </c>
      <c r="H19" s="124"/>
      <c r="I19" s="126"/>
      <c r="J19" s="126"/>
      <c r="K19" s="132"/>
      <c r="Q19" s="122"/>
      <c r="W19" s="123" t="s">
        <v>345</v>
      </c>
    </row>
    <row r="20" spans="1:23" s="123" customFormat="1" ht="21.75" customHeight="1">
      <c r="A20" s="122"/>
      <c r="C20" s="276" t="s">
        <v>489</v>
      </c>
      <c r="D20" s="276"/>
      <c r="E20" s="124" t="s">
        <v>88</v>
      </c>
      <c r="F20" s="201">
        <v>1</v>
      </c>
      <c r="G20" s="124" t="s">
        <v>45</v>
      </c>
      <c r="H20" s="124"/>
      <c r="I20" s="126"/>
      <c r="J20" s="126"/>
      <c r="K20" s="132"/>
      <c r="Q20" s="122"/>
      <c r="W20" s="123" t="s">
        <v>486</v>
      </c>
    </row>
    <row r="21" spans="1:23" s="123" customFormat="1" ht="21.75" hidden="1" customHeight="1">
      <c r="A21" s="122"/>
      <c r="C21" s="117" t="s">
        <v>488</v>
      </c>
      <c r="E21" s="117" t="s">
        <v>487</v>
      </c>
      <c r="F21" s="204"/>
      <c r="G21" s="124" t="s">
        <v>45</v>
      </c>
      <c r="H21" s="141"/>
      <c r="I21" s="126"/>
      <c r="J21" s="126"/>
      <c r="K21" s="126"/>
      <c r="Q21" s="122"/>
      <c r="S21" s="130">
        <f>F21-ROUND(F21,0)</f>
        <v>0</v>
      </c>
      <c r="T21" s="202">
        <f>F90</f>
        <v>114.32422115336783</v>
      </c>
      <c r="W21" s="123" t="s">
        <v>486</v>
      </c>
    </row>
    <row r="22" spans="1:23" s="123" customFormat="1" ht="21.75" hidden="1" customHeight="1">
      <c r="A22" s="122"/>
      <c r="C22" s="117" t="s">
        <v>485</v>
      </c>
      <c r="E22" s="117" t="s">
        <v>484</v>
      </c>
      <c r="F22" s="204"/>
      <c r="G22" s="124" t="s">
        <v>45</v>
      </c>
      <c r="H22" s="141"/>
      <c r="I22" s="126"/>
      <c r="J22" s="126"/>
      <c r="K22" s="203"/>
      <c r="Q22" s="122"/>
      <c r="S22" s="130">
        <f>F22-ROUND(F22,0)</f>
        <v>0</v>
      </c>
      <c r="T22" s="202">
        <f>F91</f>
        <v>1.95</v>
      </c>
      <c r="W22" s="123" t="s">
        <v>343</v>
      </c>
    </row>
    <row r="23" spans="1:23" s="123" customFormat="1" ht="21.75" customHeight="1">
      <c r="A23" s="122"/>
      <c r="C23" s="276" t="s">
        <v>201</v>
      </c>
      <c r="D23" s="276"/>
      <c r="E23" s="124"/>
      <c r="F23" s="339" t="s">
        <v>345</v>
      </c>
      <c r="G23" s="325"/>
      <c r="H23" s="124"/>
      <c r="I23" s="126"/>
      <c r="J23" s="126"/>
      <c r="K23" s="132"/>
      <c r="Q23" s="122"/>
      <c r="R23" s="200">
        <f>F90*F50*3.2808*12</f>
        <v>76.770720000000011</v>
      </c>
      <c r="W23" s="123" t="s">
        <v>344</v>
      </c>
    </row>
    <row r="24" spans="1:23" s="123" customFormat="1" ht="21.75" customHeight="1">
      <c r="A24" s="122"/>
      <c r="C24" s="276" t="s">
        <v>483</v>
      </c>
      <c r="D24" s="276"/>
      <c r="E24" s="140" t="s">
        <v>241</v>
      </c>
      <c r="F24" s="125">
        <v>0.15</v>
      </c>
      <c r="G24" s="124"/>
      <c r="H24" s="124"/>
      <c r="I24" s="126"/>
      <c r="J24" s="126"/>
      <c r="K24" s="132"/>
      <c r="Q24" s="122"/>
      <c r="R24" s="200"/>
      <c r="W24" s="123" t="s">
        <v>482</v>
      </c>
    </row>
    <row r="25" spans="1:23" s="123" customFormat="1" ht="21.75" customHeight="1">
      <c r="A25" s="122"/>
      <c r="C25" s="276" t="s">
        <v>481</v>
      </c>
      <c r="D25" s="276"/>
      <c r="E25" s="124" t="s">
        <v>18</v>
      </c>
      <c r="F25" s="201">
        <v>2</v>
      </c>
      <c r="G25" s="97" t="s">
        <v>31</v>
      </c>
      <c r="H25" s="124"/>
      <c r="I25" s="126"/>
      <c r="J25" s="126"/>
      <c r="K25" s="132"/>
      <c r="Q25" s="122"/>
      <c r="R25" s="200"/>
    </row>
    <row r="26" spans="1:23" s="117" customFormat="1" ht="18.75" customHeight="1">
      <c r="A26" s="116"/>
      <c r="C26" s="322" t="s">
        <v>180</v>
      </c>
      <c r="D26" s="322"/>
      <c r="F26" s="119"/>
      <c r="G26" s="120"/>
      <c r="H26" s="120"/>
      <c r="K26" s="121"/>
      <c r="Q26" s="116"/>
    </row>
    <row r="27" spans="1:23" s="117" customFormat="1" ht="21.75" customHeight="1">
      <c r="A27" s="116"/>
      <c r="C27" s="118"/>
      <c r="E27" s="131" t="s">
        <v>38</v>
      </c>
      <c r="F27" s="127" t="s">
        <v>179</v>
      </c>
      <c r="G27" s="316" t="s">
        <v>178</v>
      </c>
      <c r="H27" s="317"/>
      <c r="I27" s="316" t="s">
        <v>177</v>
      </c>
      <c r="J27" s="317"/>
      <c r="K27" s="121"/>
      <c r="Q27" s="116"/>
    </row>
    <row r="28" spans="1:23" s="117" customFormat="1" ht="21.75" customHeight="1">
      <c r="A28" s="116"/>
      <c r="C28" s="118"/>
      <c r="E28" s="131" t="s">
        <v>20</v>
      </c>
      <c r="F28" s="127" t="s">
        <v>75</v>
      </c>
      <c r="G28" s="316" t="s">
        <v>22</v>
      </c>
      <c r="H28" s="317"/>
      <c r="I28" s="316" t="s">
        <v>46</v>
      </c>
      <c r="J28" s="317"/>
      <c r="K28" s="121"/>
      <c r="Q28" s="116"/>
    </row>
    <row r="29" spans="1:23" s="117" customFormat="1" ht="21.75" customHeight="1">
      <c r="A29" s="116"/>
      <c r="C29" s="118"/>
      <c r="E29" s="131" t="s">
        <v>45</v>
      </c>
      <c r="F29" s="127" t="s">
        <v>28</v>
      </c>
      <c r="G29" s="316" t="s">
        <v>40</v>
      </c>
      <c r="H29" s="317"/>
      <c r="I29" s="316" t="s">
        <v>176</v>
      </c>
      <c r="J29" s="317"/>
      <c r="K29" s="121"/>
      <c r="Q29" s="116"/>
    </row>
    <row r="30" spans="1:23" s="117" customFormat="1" ht="18" customHeight="1">
      <c r="A30" s="116"/>
      <c r="C30" s="118"/>
      <c r="E30" s="131">
        <v>1</v>
      </c>
      <c r="F30" s="127">
        <f>Input_SB!$F26</f>
        <v>26.08</v>
      </c>
      <c r="G30" s="316">
        <f>Input_SB!$G26</f>
        <v>0</v>
      </c>
      <c r="H30" s="338"/>
      <c r="I30" s="316">
        <f>Input_SB!$I26</f>
        <v>0</v>
      </c>
      <c r="J30" s="338"/>
      <c r="K30" s="121"/>
      <c r="Q30" s="116"/>
      <c r="T30" s="117">
        <f>F30*3.2808</f>
        <v>85.563264000000004</v>
      </c>
    </row>
    <row r="31" spans="1:23" s="117" customFormat="1" ht="18" customHeight="1">
      <c r="A31" s="116"/>
      <c r="C31" s="118"/>
      <c r="E31" s="131">
        <v>2</v>
      </c>
      <c r="F31" s="127">
        <f>Input_SB!$F27</f>
        <v>26.316999999999997</v>
      </c>
      <c r="G31" s="316">
        <f>Input_SB!$G27</f>
        <v>0.41507959438348691</v>
      </c>
      <c r="H31" s="338"/>
      <c r="I31" s="316">
        <f>Input_SB!$I27</f>
        <v>0.4021101351397568</v>
      </c>
      <c r="J31" s="338"/>
      <c r="K31" s="121"/>
      <c r="Q31" s="116"/>
    </row>
    <row r="32" spans="1:23" s="117" customFormat="1" ht="18" customHeight="1">
      <c r="A32" s="116"/>
      <c r="C32" s="118"/>
      <c r="E32" s="131">
        <v>3</v>
      </c>
      <c r="F32" s="127">
        <f>Input_SB!$F28</f>
        <v>26.553999999999998</v>
      </c>
      <c r="G32" s="316">
        <f>Input_SB!$G28</f>
        <v>1.3480174296317831</v>
      </c>
      <c r="H32" s="338"/>
      <c r="I32" s="316">
        <f>Input_SB!$I28</f>
        <v>0.60367621055299392</v>
      </c>
      <c r="J32" s="338"/>
      <c r="K32" s="121"/>
      <c r="Q32" s="116"/>
    </row>
    <row r="33" spans="1:18" s="117" customFormat="1" ht="18" customHeight="1">
      <c r="A33" s="116"/>
      <c r="C33" s="118"/>
      <c r="E33" s="131">
        <v>4</v>
      </c>
      <c r="F33" s="127">
        <f>Input_SB!$F29</f>
        <v>26.790999999999997</v>
      </c>
      <c r="G33" s="316">
        <f>Input_SB!$G29</f>
        <v>2.7255557041959579</v>
      </c>
      <c r="H33" s="338"/>
      <c r="I33" s="316">
        <f>Input_SB!$I29</f>
        <v>0.75661929924020588</v>
      </c>
      <c r="J33" s="338"/>
      <c r="K33" s="121"/>
      <c r="Q33" s="116"/>
    </row>
    <row r="34" spans="1:18" s="117" customFormat="1" ht="18" customHeight="1">
      <c r="A34" s="116"/>
      <c r="C34" s="118"/>
      <c r="E34" s="131">
        <v>5</v>
      </c>
      <c r="F34" s="127">
        <f>Input_SB!$F30</f>
        <v>27.027999999999999</v>
      </c>
      <c r="G34" s="316">
        <f>Input_SB!$G30</f>
        <v>4.5429448918475357</v>
      </c>
      <c r="H34" s="338"/>
      <c r="I34" s="316">
        <f>Input_SB!$I30</f>
        <v>0.8838317893516211</v>
      </c>
      <c r="J34" s="338"/>
      <c r="K34" s="121"/>
      <c r="Q34" s="116"/>
    </row>
    <row r="35" spans="1:18" s="117" customFormat="1" ht="18" customHeight="1">
      <c r="A35" s="116"/>
      <c r="C35" s="118"/>
      <c r="E35" s="131">
        <v>6</v>
      </c>
      <c r="F35" s="127">
        <f>Input_SB!$F31</f>
        <v>27.264999999999997</v>
      </c>
      <c r="G35" s="316">
        <f>Input_SB!$G31</f>
        <v>6.8116861867651988</v>
      </c>
      <c r="H35" s="338"/>
      <c r="I35" s="316">
        <f>Input_SB!$I31</f>
        <v>0.99493870799755313</v>
      </c>
      <c r="J35" s="338"/>
      <c r="K35" s="121"/>
      <c r="Q35" s="116"/>
    </row>
    <row r="36" spans="1:18" s="117" customFormat="1" ht="18" customHeight="1">
      <c r="A36" s="116"/>
      <c r="C36" s="118"/>
      <c r="E36" s="131">
        <v>7</v>
      </c>
      <c r="F36" s="127">
        <f>Input_SB!$F32</f>
        <v>27.501999999999999</v>
      </c>
      <c r="G36" s="316">
        <f>Input_SB!$G32</f>
        <v>9.5495733667549914</v>
      </c>
      <c r="H36" s="338"/>
      <c r="I36" s="316">
        <f>Input_SB!$I32</f>
        <v>1.0949931656479897</v>
      </c>
      <c r="J36" s="338"/>
      <c r="K36" s="121"/>
      <c r="Q36" s="116"/>
    </row>
    <row r="37" spans="1:18" s="117" customFormat="1" ht="18" customHeight="1">
      <c r="A37" s="116"/>
      <c r="C37" s="118"/>
      <c r="E37" s="131">
        <v>8</v>
      </c>
      <c r="F37" s="127">
        <f>Input_SB!$F33</f>
        <v>27.738999999999997</v>
      </c>
      <c r="G37" s="316">
        <f>Input_SB!$G33</f>
        <v>12.777193939127722</v>
      </c>
      <c r="H37" s="338"/>
      <c r="I37" s="316">
        <f>Input_SB!$I33</f>
        <v>1.1869838002095809</v>
      </c>
      <c r="J37" s="338"/>
      <c r="K37" s="121"/>
      <c r="Q37" s="116"/>
    </row>
    <row r="38" spans="1:18" s="117" customFormat="1" ht="18" customHeight="1">
      <c r="A38" s="116"/>
      <c r="C38" s="118"/>
      <c r="E38" s="131">
        <v>9</v>
      </c>
      <c r="F38" s="127">
        <f>Input_SB!$F34</f>
        <v>27.975999999999999</v>
      </c>
      <c r="G38" s="316">
        <f>Input_SB!$G34</f>
        <v>16.516420343732907</v>
      </c>
      <c r="H38" s="338"/>
      <c r="I38" s="316">
        <f>Input_SB!$I34</f>
        <v>1.2728217656949283</v>
      </c>
      <c r="J38" s="338"/>
      <c r="K38" s="121"/>
      <c r="Q38" s="116"/>
    </row>
    <row r="39" spans="1:18" s="117" customFormat="1" ht="18" customHeight="1">
      <c r="A39" s="116"/>
      <c r="C39" s="118"/>
      <c r="E39" s="131">
        <v>10</v>
      </c>
      <c r="F39" s="127">
        <f>Input_SB!$F35</f>
        <v>28.212999999999997</v>
      </c>
      <c r="G39" s="316">
        <f>Input_SB!$G35</f>
        <v>20.789680745616707</v>
      </c>
      <c r="H39" s="338"/>
      <c r="I39" s="316">
        <f>Input_SB!$I35</f>
        <v>1.3538003707423099</v>
      </c>
      <c r="J39" s="338"/>
      <c r="K39" s="121"/>
      <c r="Q39" s="116"/>
    </row>
    <row r="40" spans="1:18" s="117" customFormat="1" ht="18" customHeight="1">
      <c r="A40" s="116"/>
      <c r="C40" s="118"/>
      <c r="E40" s="131">
        <v>11</v>
      </c>
      <c r="F40" s="127">
        <f>Input_SB!$F36</f>
        <v>28.45</v>
      </c>
      <c r="G40" s="316">
        <f>Input_SB!$G36</f>
        <v>25.619580581612414</v>
      </c>
      <c r="H40" s="338"/>
      <c r="I40" s="316">
        <f>Input_SB!$I36</f>
        <v>1.4308338335532345</v>
      </c>
      <c r="J40" s="338"/>
      <c r="K40" s="121"/>
      <c r="Q40" s="116"/>
    </row>
    <row r="41" spans="1:18" s="123" customFormat="1" ht="21.75" customHeight="1">
      <c r="A41" s="122"/>
      <c r="C41" s="117"/>
      <c r="E41" s="140"/>
      <c r="F41" s="124"/>
      <c r="G41" s="124"/>
      <c r="H41" s="124"/>
      <c r="K41" s="126"/>
      <c r="Q41" s="122"/>
    </row>
    <row r="42" spans="1:18" s="92" customFormat="1" ht="23.25" customHeight="1">
      <c r="A42" s="104"/>
      <c r="B42" s="123"/>
      <c r="C42" s="108" t="s">
        <v>55</v>
      </c>
      <c r="D42" s="94"/>
      <c r="E42" s="94"/>
      <c r="F42" s="94"/>
      <c r="G42" s="94"/>
      <c r="H42" s="94"/>
      <c r="I42" s="109"/>
      <c r="J42" s="109"/>
      <c r="K42" s="109"/>
      <c r="L42" s="94"/>
      <c r="M42" s="94"/>
      <c r="N42" s="94"/>
      <c r="O42" s="94"/>
      <c r="Q42" s="104"/>
    </row>
    <row r="43" spans="1:18" s="123" customFormat="1" ht="22.5" customHeight="1">
      <c r="A43" s="122"/>
      <c r="C43" s="117"/>
      <c r="E43" s="140"/>
      <c r="F43" s="124"/>
      <c r="G43" s="124"/>
      <c r="H43" s="124"/>
      <c r="K43" s="126"/>
      <c r="Q43" s="122"/>
    </row>
    <row r="44" spans="1:18" s="92" customFormat="1" ht="23.25" customHeight="1">
      <c r="A44" s="104"/>
      <c r="B44" s="123"/>
      <c r="C44" s="108" t="s">
        <v>86</v>
      </c>
      <c r="D44" s="94"/>
      <c r="E44" s="94"/>
      <c r="F44" s="94"/>
      <c r="G44" s="94"/>
      <c r="H44" s="94"/>
      <c r="I44" s="109"/>
      <c r="J44" s="109"/>
      <c r="K44" s="109"/>
      <c r="L44" s="94"/>
      <c r="M44" s="94"/>
      <c r="N44" s="94"/>
      <c r="O44" s="94"/>
      <c r="Q44" s="104"/>
    </row>
    <row r="45" spans="1:18" s="117" customFormat="1" ht="21.75" customHeight="1">
      <c r="A45" s="116"/>
      <c r="C45" s="132"/>
      <c r="I45" s="97"/>
      <c r="K45" s="126" t="s">
        <v>11</v>
      </c>
      <c r="Q45" s="116"/>
    </row>
    <row r="46" spans="1:18" s="123" customFormat="1" ht="21.75" customHeight="1">
      <c r="A46" s="122"/>
      <c r="C46" s="276" t="s">
        <v>480</v>
      </c>
      <c r="D46" s="276"/>
      <c r="E46" s="124" t="s">
        <v>109</v>
      </c>
      <c r="F46" s="127">
        <f>F18/(F19*F20)</f>
        <v>3.2971428571428567</v>
      </c>
      <c r="G46" s="124" t="s">
        <v>108</v>
      </c>
      <c r="H46" s="124"/>
      <c r="J46" s="126"/>
      <c r="K46" s="126"/>
      <c r="L46" s="126"/>
      <c r="M46" s="124"/>
      <c r="N46" s="124"/>
      <c r="O46" s="124"/>
      <c r="Q46" s="122"/>
    </row>
    <row r="47" spans="1:18" s="123" customFormat="1" ht="21.75" customHeight="1">
      <c r="A47" s="122"/>
      <c r="C47" s="276" t="s">
        <v>256</v>
      </c>
      <c r="D47" s="276"/>
      <c r="E47" s="124" t="s">
        <v>255</v>
      </c>
      <c r="F47" s="127">
        <f>F16^2/2/9.81</f>
        <v>6.7405708460754318E-2</v>
      </c>
      <c r="G47" s="124" t="s">
        <v>132</v>
      </c>
      <c r="H47" s="124" t="s">
        <v>479</v>
      </c>
      <c r="I47" s="126"/>
      <c r="J47" s="126"/>
      <c r="K47" s="126"/>
      <c r="L47" s="117"/>
      <c r="M47" s="117"/>
      <c r="N47" s="117"/>
      <c r="O47" s="117"/>
      <c r="Q47" s="122"/>
    </row>
    <row r="48" spans="1:18" s="123" customFormat="1" ht="21.75" customHeight="1">
      <c r="A48" s="122"/>
      <c r="C48" s="276" t="s">
        <v>478</v>
      </c>
      <c r="D48" s="276"/>
      <c r="E48" s="124" t="s">
        <v>477</v>
      </c>
      <c r="F48" s="127">
        <f>F15+F47-F17</f>
        <v>1904.6274057084606</v>
      </c>
      <c r="G48" s="124" t="s">
        <v>26</v>
      </c>
      <c r="H48" s="124" t="s">
        <v>476</v>
      </c>
      <c r="I48" s="126"/>
      <c r="J48" s="126"/>
      <c r="K48" s="126"/>
      <c r="L48" s="117"/>
      <c r="M48" s="117"/>
      <c r="N48" s="117"/>
      <c r="O48" s="117"/>
      <c r="Q48" s="122"/>
      <c r="R48" s="130"/>
    </row>
    <row r="49" spans="1:23" s="123" customFormat="1" ht="21.75" customHeight="1">
      <c r="A49" s="122"/>
      <c r="C49" s="276" t="s">
        <v>157</v>
      </c>
      <c r="D49" s="276"/>
      <c r="E49" s="124" t="s">
        <v>227</v>
      </c>
      <c r="F49" s="127">
        <f>(2*9.81*(F48-R50))^0.5</f>
        <v>193.3042508585882</v>
      </c>
      <c r="G49" s="124" t="s">
        <v>132</v>
      </c>
      <c r="H49" s="124" t="s">
        <v>475</v>
      </c>
      <c r="I49" s="126"/>
      <c r="J49" s="126"/>
      <c r="K49" s="126"/>
      <c r="L49" s="117"/>
      <c r="M49" s="117"/>
      <c r="N49" s="117"/>
      <c r="O49" s="117"/>
      <c r="Q49" s="122"/>
      <c r="R49" s="130"/>
    </row>
    <row r="50" spans="1:23" s="123" customFormat="1" ht="21.75" customHeight="1">
      <c r="A50" s="122"/>
      <c r="C50" s="276" t="s">
        <v>29</v>
      </c>
      <c r="D50" s="276"/>
      <c r="E50" s="124" t="s">
        <v>230</v>
      </c>
      <c r="F50" s="125">
        <f>F46/F49</f>
        <v>1.7056752981365539E-2</v>
      </c>
      <c r="G50" s="124" t="s">
        <v>26</v>
      </c>
      <c r="H50" s="124" t="s">
        <v>474</v>
      </c>
      <c r="I50" s="126"/>
      <c r="J50" s="126"/>
      <c r="K50" s="126"/>
      <c r="L50" s="117"/>
      <c r="M50" s="117"/>
      <c r="N50" s="117"/>
      <c r="O50" s="117"/>
      <c r="Q50" s="122"/>
      <c r="R50" s="199">
        <v>0.115</v>
      </c>
      <c r="S50" s="123" t="s">
        <v>473</v>
      </c>
    </row>
    <row r="51" spans="1:23" s="117" customFormat="1" ht="21.75" customHeight="1">
      <c r="A51" s="116"/>
      <c r="C51" s="322" t="s">
        <v>472</v>
      </c>
      <c r="D51" s="322"/>
      <c r="E51" s="132" t="s">
        <v>471</v>
      </c>
      <c r="F51" s="198">
        <f>ROUND(F49/(F50*9.81)^0.5,1)</f>
        <v>472.6</v>
      </c>
      <c r="G51" s="124" t="s">
        <v>45</v>
      </c>
      <c r="H51" s="106" t="s">
        <v>470</v>
      </c>
      <c r="I51" s="106"/>
      <c r="J51" s="126"/>
      <c r="K51" s="126"/>
      <c r="L51" s="132"/>
      <c r="Q51" s="116"/>
      <c r="R51" s="130"/>
    </row>
    <row r="52" spans="1:23" s="117" customFormat="1" ht="21.75" customHeight="1">
      <c r="A52" s="116"/>
      <c r="C52" s="276" t="s">
        <v>331</v>
      </c>
      <c r="D52" s="276"/>
      <c r="E52" s="117" t="s">
        <v>220</v>
      </c>
      <c r="F52" s="127">
        <f>F50/2*(SQRT(1+8*F51^2)-1)</f>
        <v>11.391480687449057</v>
      </c>
      <c r="G52" s="124" t="s">
        <v>45</v>
      </c>
      <c r="H52" s="106" t="s">
        <v>469</v>
      </c>
      <c r="I52" s="106"/>
      <c r="J52" s="126"/>
      <c r="K52" s="126"/>
      <c r="L52" s="132"/>
      <c r="Q52" s="116"/>
      <c r="R52" s="130"/>
    </row>
    <row r="53" spans="1:23" s="117" customFormat="1" ht="21.75" customHeight="1">
      <c r="A53" s="116"/>
      <c r="C53" s="276" t="s">
        <v>468</v>
      </c>
      <c r="D53" s="276"/>
      <c r="E53" s="117" t="s">
        <v>467</v>
      </c>
      <c r="F53" s="127">
        <f>F52+F17</f>
        <v>-1865.4085193125509</v>
      </c>
      <c r="G53" s="124" t="s">
        <v>45</v>
      </c>
      <c r="H53" s="106" t="s">
        <v>466</v>
      </c>
      <c r="I53" s="106"/>
      <c r="J53" s="126"/>
      <c r="K53" s="126"/>
      <c r="L53" s="132"/>
      <c r="Q53" s="116"/>
      <c r="R53" s="130"/>
    </row>
    <row r="54" spans="1:23" s="117" customFormat="1" ht="21.75" customHeight="1">
      <c r="A54" s="116"/>
      <c r="C54" s="276" t="s">
        <v>465</v>
      </c>
      <c r="D54" s="276"/>
      <c r="E54" s="117" t="s">
        <v>464</v>
      </c>
      <c r="F54" s="127">
        <f>interpolate(F53,F30:F40,G30)</f>
        <v>-99</v>
      </c>
      <c r="G54" s="124" t="s">
        <v>40</v>
      </c>
      <c r="H54" s="106" t="s">
        <v>206</v>
      </c>
      <c r="I54" s="106"/>
      <c r="J54" s="126"/>
      <c r="K54" s="132" t="s">
        <v>463</v>
      </c>
      <c r="Q54" s="116"/>
      <c r="R54" s="130"/>
      <c r="S54" s="117">
        <f>F54/67</f>
        <v>-1.4776119402985075</v>
      </c>
    </row>
    <row r="55" spans="1:23" s="117" customFormat="1" ht="21.75" customHeight="1">
      <c r="A55" s="116"/>
      <c r="C55" s="276" t="s">
        <v>462</v>
      </c>
      <c r="D55" s="276"/>
      <c r="F55" s="197">
        <f>interpolate(F51,'Jump Lookup'!B3:B23,'Jump Lookup'!C3:C23)</f>
        <v>-99</v>
      </c>
      <c r="G55" s="97" t="s">
        <v>26</v>
      </c>
      <c r="H55" s="106" t="s">
        <v>206</v>
      </c>
      <c r="I55" s="129"/>
      <c r="J55" s="126"/>
      <c r="K55" s="132"/>
      <c r="Q55" s="116"/>
    </row>
    <row r="56" spans="1:23" s="117" customFormat="1" ht="21.75" customHeight="1">
      <c r="A56" s="116"/>
      <c r="C56" s="276" t="s">
        <v>461</v>
      </c>
      <c r="D56" s="276"/>
      <c r="F56" s="197">
        <f>F55*F52</f>
        <v>-1127.7565880574566</v>
      </c>
      <c r="G56" s="97" t="s">
        <v>26</v>
      </c>
      <c r="H56" s="106" t="s">
        <v>203</v>
      </c>
      <c r="I56" s="129"/>
      <c r="J56" s="126"/>
      <c r="K56" s="132" t="s">
        <v>460</v>
      </c>
      <c r="Q56" s="116"/>
    </row>
    <row r="57" spans="1:23" s="117" customFormat="1" ht="21.75" customHeight="1">
      <c r="A57" s="116"/>
      <c r="C57" s="276" t="s">
        <v>459</v>
      </c>
      <c r="D57" s="276"/>
      <c r="F57" s="197">
        <f>6*F52</f>
        <v>68.348884124694337</v>
      </c>
      <c r="G57" s="97" t="s">
        <v>26</v>
      </c>
      <c r="H57" s="106" t="s">
        <v>458</v>
      </c>
      <c r="I57" s="129"/>
      <c r="J57" s="126"/>
      <c r="K57" s="132"/>
      <c r="Q57" s="116"/>
    </row>
    <row r="58" spans="1:23" s="123" customFormat="1" ht="27" customHeight="1">
      <c r="A58" s="122"/>
      <c r="C58" s="276" t="s">
        <v>457</v>
      </c>
      <c r="D58" s="276"/>
      <c r="E58" s="140"/>
      <c r="F58" s="127">
        <f>(-'[6]Design Dwg'!$U$2+'[6]Design Dwg'!$U$9+4/3.2808)</f>
        <v>2.5407381605449624</v>
      </c>
      <c r="G58" s="124" t="s">
        <v>26</v>
      </c>
      <c r="H58" s="124"/>
      <c r="J58" s="126"/>
      <c r="K58" s="190" t="s">
        <v>456</v>
      </c>
      <c r="Q58" s="122"/>
    </row>
    <row r="59" spans="1:23" s="92" customFormat="1" ht="23.25" customHeight="1">
      <c r="A59" s="104"/>
      <c r="B59" s="123"/>
      <c r="C59" s="108" t="s">
        <v>455</v>
      </c>
      <c r="D59" s="94"/>
      <c r="E59" s="94"/>
      <c r="F59" s="94"/>
      <c r="G59" s="94"/>
      <c r="H59" s="94"/>
      <c r="I59" s="109"/>
      <c r="J59" s="109"/>
      <c r="K59" s="109"/>
      <c r="L59" s="94"/>
      <c r="M59" s="94"/>
      <c r="N59" s="94"/>
      <c r="O59" s="94"/>
      <c r="Q59" s="104"/>
    </row>
    <row r="60" spans="1:23" s="117" customFormat="1" ht="11.25" hidden="1" customHeight="1">
      <c r="A60" s="116"/>
      <c r="C60" s="132"/>
      <c r="I60" s="97"/>
      <c r="J60" s="97"/>
      <c r="K60" s="97"/>
      <c r="Q60" s="116"/>
    </row>
    <row r="61" spans="1:23" s="117" customFormat="1" ht="18" customHeight="1">
      <c r="A61" s="116"/>
      <c r="C61" s="118" t="s">
        <v>454</v>
      </c>
      <c r="F61" s="119"/>
      <c r="G61" s="120"/>
      <c r="H61" s="120"/>
      <c r="K61" s="126" t="s">
        <v>11</v>
      </c>
      <c r="Q61" s="116"/>
    </row>
    <row r="62" spans="1:23" s="123" customFormat="1" ht="21.75" customHeight="1">
      <c r="A62" s="122"/>
      <c r="C62" s="117" t="s">
        <v>200</v>
      </c>
      <c r="E62" s="117" t="s">
        <v>449</v>
      </c>
      <c r="F62" s="127">
        <f>IF(F23="Type I",interpolate(F51,'Jump Lookup'!B3:B23,'Jump Lookup'!C3:C23),IF(F23="Type IV",interpolate(F51,'Jump Lookup'!E3:E12,'Jump Lookup'!F3:F12),IF(F23="Type III",interpolate(F51,'Jump Lookup'!H3:H17,'Jump Lookup'!I3:I17),IF(F23="Type IVA",interpolate(F51,'Jump Lookup'!J3:J11,'Jump Lookup'!K3:K11)))))</f>
        <v>-99</v>
      </c>
      <c r="G62" s="124"/>
      <c r="H62" s="141" t="s">
        <v>206</v>
      </c>
      <c r="J62" s="126"/>
      <c r="K62" s="126"/>
      <c r="Q62" s="122"/>
    </row>
    <row r="63" spans="1:23" s="123" customFormat="1" ht="21.75" customHeight="1">
      <c r="A63" s="122"/>
      <c r="C63" s="117" t="s">
        <v>453</v>
      </c>
      <c r="E63" s="117" t="s">
        <v>446</v>
      </c>
      <c r="F63" s="127">
        <f>F62*F52</f>
        <v>-1127.7565880574566</v>
      </c>
      <c r="G63" s="124" t="s">
        <v>26</v>
      </c>
      <c r="H63" s="106" t="s">
        <v>452</v>
      </c>
      <c r="J63" s="126"/>
      <c r="K63" s="126"/>
      <c r="L63" s="340"/>
      <c r="M63" s="342"/>
      <c r="N63" s="342"/>
      <c r="O63" s="342"/>
      <c r="Q63" s="122"/>
    </row>
    <row r="64" spans="1:23" s="123" customFormat="1" ht="19.5" customHeight="1">
      <c r="A64" s="122"/>
      <c r="C64" s="132"/>
      <c r="D64" s="190"/>
      <c r="E64" s="132" t="s">
        <v>204</v>
      </c>
      <c r="F64" s="180">
        <f>M64</f>
        <v>10.1</v>
      </c>
      <c r="G64" s="126" t="s">
        <v>26</v>
      </c>
      <c r="H64" s="192" t="s">
        <v>361</v>
      </c>
      <c r="J64" s="126"/>
      <c r="K64" s="126"/>
      <c r="L64" s="132"/>
      <c r="M64" s="195">
        <v>10.1</v>
      </c>
      <c r="N64" s="132" t="s">
        <v>26</v>
      </c>
      <c r="O64" s="132"/>
      <c r="Q64" s="122"/>
      <c r="S64" s="123" t="s">
        <v>361</v>
      </c>
      <c r="U64" s="92"/>
      <c r="W64" s="123" t="s">
        <v>361</v>
      </c>
    </row>
    <row r="65" spans="1:23" s="123" customFormat="1" ht="21" customHeight="1">
      <c r="A65" s="122"/>
      <c r="C65" s="117"/>
      <c r="E65" s="140"/>
      <c r="F65" s="124"/>
      <c r="G65" s="124"/>
      <c r="H65" s="124"/>
      <c r="K65" s="126"/>
      <c r="Q65" s="122"/>
    </row>
    <row r="66" spans="1:23" s="92" customFormat="1" ht="23.25" customHeight="1">
      <c r="A66" s="104"/>
      <c r="B66" s="123"/>
      <c r="C66" s="108" t="s">
        <v>451</v>
      </c>
      <c r="D66" s="94"/>
      <c r="E66" s="94"/>
      <c r="F66" s="94"/>
      <c r="G66" s="94"/>
      <c r="H66" s="94"/>
      <c r="I66" s="109"/>
      <c r="J66" s="109"/>
      <c r="K66" s="109"/>
      <c r="L66" s="94"/>
      <c r="M66" s="94"/>
      <c r="N66" s="94"/>
      <c r="O66" s="94"/>
      <c r="Q66" s="104"/>
    </row>
    <row r="67" spans="1:23" s="117" customFormat="1" ht="20.25" customHeight="1">
      <c r="A67" s="116"/>
      <c r="C67" s="132"/>
      <c r="I67" s="97"/>
      <c r="J67" s="97"/>
      <c r="K67" s="126" t="s">
        <v>11</v>
      </c>
      <c r="Q67" s="116"/>
    </row>
    <row r="68" spans="1:23" s="123" customFormat="1" ht="21" customHeight="1">
      <c r="A68" s="122"/>
      <c r="C68" s="276" t="s">
        <v>450</v>
      </c>
      <c r="D68" s="320"/>
      <c r="E68" s="117" t="s">
        <v>442</v>
      </c>
      <c r="F68" s="127" t="str">
        <f>IF(F23="Type IVA",interpolate(F51,'Type IV Lookup'!B3:B4,'Type IV Lookup'!C3:C4),"N/A")</f>
        <v>N/A</v>
      </c>
      <c r="G68" s="124" t="s">
        <v>45</v>
      </c>
      <c r="H68" s="141" t="s">
        <v>206</v>
      </c>
      <c r="J68" s="126"/>
      <c r="K68" s="126"/>
      <c r="Q68" s="122"/>
      <c r="S68" s="123" t="s">
        <v>206</v>
      </c>
      <c r="U68" s="117" t="s">
        <v>449</v>
      </c>
      <c r="W68" s="123" t="s">
        <v>206</v>
      </c>
    </row>
    <row r="69" spans="1:23" s="123" customFormat="1" ht="21" customHeight="1">
      <c r="A69" s="122"/>
      <c r="C69" s="276" t="s">
        <v>448</v>
      </c>
      <c r="D69" s="320"/>
      <c r="E69" s="117" t="s">
        <v>439</v>
      </c>
      <c r="F69" s="127" t="str">
        <f>IF(F68="N/A","N/A",F68*F52)</f>
        <v>N/A</v>
      </c>
      <c r="G69" s="124" t="s">
        <v>26</v>
      </c>
      <c r="H69" s="106" t="s">
        <v>447</v>
      </c>
      <c r="J69" s="126"/>
      <c r="K69" s="126"/>
      <c r="Q69" s="122"/>
      <c r="S69" s="123" t="s">
        <v>388</v>
      </c>
      <c r="U69" s="117" t="s">
        <v>446</v>
      </c>
      <c r="W69" s="123" t="s">
        <v>388</v>
      </c>
    </row>
    <row r="70" spans="1:23" s="190" customFormat="1" ht="21" customHeight="1">
      <c r="A70" s="194"/>
      <c r="C70" s="322" t="s">
        <v>445</v>
      </c>
      <c r="D70" s="340"/>
      <c r="E70" s="132" t="s">
        <v>378</v>
      </c>
      <c r="F70" s="180">
        <f>M70</f>
        <v>16</v>
      </c>
      <c r="G70" s="126" t="s">
        <v>45</v>
      </c>
      <c r="H70" s="192" t="s">
        <v>361</v>
      </c>
      <c r="J70" s="126"/>
      <c r="K70" s="126"/>
      <c r="L70" s="132"/>
      <c r="M70" s="195">
        <v>16</v>
      </c>
      <c r="N70" s="132" t="s">
        <v>26</v>
      </c>
      <c r="O70" s="132"/>
      <c r="Q70" s="194"/>
      <c r="S70" s="190" t="s">
        <v>361</v>
      </c>
      <c r="U70" s="117"/>
      <c r="W70" s="190" t="s">
        <v>361</v>
      </c>
    </row>
    <row r="71" spans="1:23" s="123" customFormat="1" ht="21" customHeight="1">
      <c r="A71" s="122"/>
      <c r="C71" s="117" t="s">
        <v>444</v>
      </c>
      <c r="E71" s="163" t="s">
        <v>443</v>
      </c>
      <c r="F71" s="127">
        <f>IF(OR(F23="Type I",F23="Type IV"),1.25,IF(F23="Type IVA",0.2,interpolate(Calc!F51,'Type III Lookup'!A3:A4,'Type III Lookup'!C3:C4)))</f>
        <v>1.25</v>
      </c>
      <c r="G71" s="124" t="s">
        <v>45</v>
      </c>
      <c r="H71" s="141" t="s">
        <v>206</v>
      </c>
      <c r="J71" s="126"/>
      <c r="K71" s="126"/>
      <c r="Q71" s="122"/>
      <c r="S71" s="123" t="s">
        <v>438</v>
      </c>
      <c r="U71" s="117" t="s">
        <v>442</v>
      </c>
      <c r="W71" s="123" t="s">
        <v>438</v>
      </c>
    </row>
    <row r="72" spans="1:23" s="123" customFormat="1" ht="21" customHeight="1">
      <c r="A72" s="122"/>
      <c r="C72" s="117" t="s">
        <v>441</v>
      </c>
      <c r="E72" s="117" t="s">
        <v>431</v>
      </c>
      <c r="F72" s="127">
        <f>IF(F23="Type IVA",0.2*F52,F71*F50)</f>
        <v>2.1320941226706924E-2</v>
      </c>
      <c r="G72" s="124" t="s">
        <v>45</v>
      </c>
      <c r="H72" s="196" t="s">
        <v>440</v>
      </c>
      <c r="J72" s="126"/>
      <c r="K72" s="126"/>
      <c r="Q72" s="122"/>
      <c r="S72" s="123" t="s">
        <v>438</v>
      </c>
      <c r="U72" s="117" t="s">
        <v>439</v>
      </c>
      <c r="W72" s="123" t="s">
        <v>438</v>
      </c>
    </row>
    <row r="73" spans="1:23" s="123" customFormat="1" ht="21" customHeight="1">
      <c r="A73" s="122"/>
      <c r="C73" s="132" t="s">
        <v>437</v>
      </c>
      <c r="D73" s="190"/>
      <c r="E73" s="132" t="s">
        <v>429</v>
      </c>
      <c r="F73" s="180">
        <f>M73</f>
        <v>1</v>
      </c>
      <c r="G73" s="126" t="s">
        <v>45</v>
      </c>
      <c r="H73" s="192" t="s">
        <v>361</v>
      </c>
      <c r="J73" s="126"/>
      <c r="K73" s="126"/>
      <c r="L73" s="132"/>
      <c r="M73" s="195">
        <v>1</v>
      </c>
      <c r="N73" s="132" t="s">
        <v>26</v>
      </c>
      <c r="O73" s="132"/>
      <c r="Q73" s="122"/>
      <c r="S73" s="123" t="s">
        <v>361</v>
      </c>
      <c r="U73" s="132" t="s">
        <v>378</v>
      </c>
      <c r="W73" s="123" t="s">
        <v>361</v>
      </c>
    </row>
    <row r="74" spans="1:23" s="123" customFormat="1" ht="21" customHeight="1">
      <c r="A74" s="122"/>
      <c r="C74" s="117" t="s">
        <v>436</v>
      </c>
      <c r="E74" s="117" t="s">
        <v>427</v>
      </c>
      <c r="F74" s="127">
        <f>0.2*F73</f>
        <v>0.2</v>
      </c>
      <c r="G74" s="124" t="s">
        <v>26</v>
      </c>
      <c r="H74" s="106" t="s">
        <v>435</v>
      </c>
      <c r="J74" s="126"/>
      <c r="K74" s="126"/>
      <c r="Q74" s="122"/>
      <c r="S74" s="123" t="s">
        <v>433</v>
      </c>
      <c r="U74" s="117" t="s">
        <v>434</v>
      </c>
      <c r="W74" s="123" t="s">
        <v>433</v>
      </c>
    </row>
    <row r="75" spans="1:23" s="123" customFormat="1" ht="21" customHeight="1">
      <c r="A75" s="122"/>
      <c r="C75" s="132" t="s">
        <v>432</v>
      </c>
      <c r="D75" s="190"/>
      <c r="E75" s="132" t="s">
        <v>423</v>
      </c>
      <c r="F75" s="180">
        <f>M75</f>
        <v>0.33300000000000002</v>
      </c>
      <c r="G75" s="126" t="s">
        <v>45</v>
      </c>
      <c r="H75" s="192" t="s">
        <v>361</v>
      </c>
      <c r="J75" s="126"/>
      <c r="K75" s="126"/>
      <c r="L75" s="132"/>
      <c r="M75" s="195">
        <v>0.33300000000000002</v>
      </c>
      <c r="N75" s="132" t="s">
        <v>26</v>
      </c>
      <c r="O75" s="132"/>
      <c r="Q75" s="122"/>
      <c r="S75" s="123" t="s">
        <v>361</v>
      </c>
      <c r="U75" s="117" t="s">
        <v>431</v>
      </c>
      <c r="W75" s="123" t="s">
        <v>361</v>
      </c>
    </row>
    <row r="76" spans="1:23" s="123" customFormat="1" ht="21" customHeight="1">
      <c r="A76" s="122"/>
      <c r="C76" s="117" t="s">
        <v>430</v>
      </c>
      <c r="E76" s="117" t="s">
        <v>420</v>
      </c>
      <c r="F76" s="127" t="str">
        <f>IF(F23="Type IVA",F24*F$52,"N/A")</f>
        <v>N/A</v>
      </c>
      <c r="G76" s="124" t="s">
        <v>26</v>
      </c>
      <c r="H76" s="196" t="s">
        <v>424</v>
      </c>
      <c r="J76" s="126"/>
      <c r="K76" s="126"/>
      <c r="Q76" s="122"/>
      <c r="S76" s="123" t="s">
        <v>422</v>
      </c>
      <c r="U76" s="132" t="s">
        <v>429</v>
      </c>
      <c r="W76" s="123" t="s">
        <v>422</v>
      </c>
    </row>
    <row r="77" spans="1:23" s="190" customFormat="1" ht="21" customHeight="1">
      <c r="A77" s="194"/>
      <c r="C77" s="132" t="s">
        <v>428</v>
      </c>
      <c r="E77" s="132" t="s">
        <v>417</v>
      </c>
      <c r="F77" s="180">
        <f>M77</f>
        <v>1.17</v>
      </c>
      <c r="G77" s="126" t="s">
        <v>45</v>
      </c>
      <c r="H77" s="192" t="s">
        <v>361</v>
      </c>
      <c r="J77" s="126"/>
      <c r="K77" s="126"/>
      <c r="L77" s="132"/>
      <c r="M77" s="195">
        <v>1.17</v>
      </c>
      <c r="N77" s="132" t="s">
        <v>26</v>
      </c>
      <c r="O77" s="132"/>
      <c r="Q77" s="194"/>
      <c r="S77" s="190" t="s">
        <v>361</v>
      </c>
      <c r="U77" s="117" t="s">
        <v>427</v>
      </c>
      <c r="W77" s="190" t="s">
        <v>361</v>
      </c>
    </row>
    <row r="78" spans="1:23" s="123" customFormat="1" ht="21" customHeight="1">
      <c r="A78" s="122"/>
      <c r="C78" s="117" t="s">
        <v>426</v>
      </c>
      <c r="E78" s="117" t="s">
        <v>425</v>
      </c>
      <c r="F78" s="127" t="str">
        <f>IF(F23="Type IVA",F24*F$52,"N/A")</f>
        <v>N/A</v>
      </c>
      <c r="G78" s="124" t="s">
        <v>45</v>
      </c>
      <c r="H78" s="196" t="s">
        <v>424</v>
      </c>
      <c r="J78" s="126"/>
      <c r="K78" s="126"/>
      <c r="Q78" s="122"/>
      <c r="S78" s="123" t="s">
        <v>422</v>
      </c>
      <c r="U78" s="132" t="s">
        <v>423</v>
      </c>
      <c r="W78" s="123" t="s">
        <v>422</v>
      </c>
    </row>
    <row r="79" spans="1:23" s="190" customFormat="1" ht="21" customHeight="1">
      <c r="A79" s="194"/>
      <c r="C79" s="132" t="s">
        <v>421</v>
      </c>
      <c r="E79" s="132" t="s">
        <v>413</v>
      </c>
      <c r="F79" s="180">
        <f>M79</f>
        <v>1.17</v>
      </c>
      <c r="G79" s="126" t="s">
        <v>45</v>
      </c>
      <c r="H79" s="192" t="s">
        <v>361</v>
      </c>
      <c r="J79" s="126"/>
      <c r="K79" s="126"/>
      <c r="L79" s="132"/>
      <c r="M79" s="195">
        <v>1.17</v>
      </c>
      <c r="N79" s="132" t="s">
        <v>26</v>
      </c>
      <c r="O79" s="132"/>
      <c r="Q79" s="194"/>
      <c r="S79" s="190" t="s">
        <v>361</v>
      </c>
      <c r="U79" s="117" t="s">
        <v>420</v>
      </c>
      <c r="W79" s="190" t="s">
        <v>361</v>
      </c>
    </row>
    <row r="80" spans="1:23" s="123" customFormat="1" ht="21" customHeight="1">
      <c r="A80" s="122"/>
      <c r="C80" s="117" t="s">
        <v>419</v>
      </c>
      <c r="E80" s="117" t="s">
        <v>410</v>
      </c>
      <c r="F80" s="127" t="str">
        <f>IF(F23="Type IVA",(F19+F79)/(F79+F77),"N/A")</f>
        <v>N/A</v>
      </c>
      <c r="G80" s="124" t="s">
        <v>45</v>
      </c>
      <c r="H80" s="106" t="s">
        <v>418</v>
      </c>
      <c r="J80" s="126"/>
      <c r="K80" s="126"/>
      <c r="Q80" s="122"/>
      <c r="S80" s="123" t="s">
        <v>416</v>
      </c>
      <c r="U80" s="132" t="s">
        <v>417</v>
      </c>
      <c r="W80" s="123" t="s">
        <v>416</v>
      </c>
    </row>
    <row r="81" spans="1:24" s="123" customFormat="1" ht="21" customHeight="1">
      <c r="A81" s="122"/>
      <c r="C81" s="117"/>
      <c r="E81" s="140"/>
      <c r="F81" s="124"/>
      <c r="G81" s="124"/>
      <c r="H81" s="124"/>
      <c r="K81" s="126"/>
      <c r="Q81" s="122"/>
    </row>
    <row r="82" spans="1:24" s="92" customFormat="1" ht="23.25" customHeight="1">
      <c r="A82" s="104"/>
      <c r="B82" s="123"/>
      <c r="C82" s="108" t="s">
        <v>415</v>
      </c>
      <c r="D82" s="94"/>
      <c r="E82" s="94"/>
      <c r="F82" s="94"/>
      <c r="G82" s="94"/>
      <c r="H82" s="94"/>
      <c r="I82" s="109"/>
      <c r="J82" s="109"/>
      <c r="K82" s="109"/>
      <c r="L82" s="94"/>
      <c r="M82" s="94"/>
      <c r="N82" s="94"/>
      <c r="O82" s="94"/>
      <c r="Q82" s="104"/>
    </row>
    <row r="83" spans="1:24" s="117" customFormat="1" ht="20.25" customHeight="1">
      <c r="A83" s="116"/>
      <c r="C83" s="132"/>
      <c r="I83" s="97"/>
      <c r="J83" s="97"/>
      <c r="K83" s="97"/>
      <c r="Q83" s="116"/>
    </row>
    <row r="84" spans="1:24" s="123" customFormat="1" ht="21" customHeight="1">
      <c r="A84" s="122"/>
      <c r="C84" s="117" t="s">
        <v>414</v>
      </c>
      <c r="E84" s="117" t="s">
        <v>407</v>
      </c>
      <c r="F84" s="127">
        <f>IF(F23="Type IV",F50*2/F25,F50)</f>
        <v>1.7056752981365539E-2</v>
      </c>
      <c r="G84" s="124" t="s">
        <v>26</v>
      </c>
      <c r="H84" s="141" t="s">
        <v>412</v>
      </c>
      <c r="J84" s="126"/>
      <c r="K84" s="126"/>
      <c r="Q84" s="122"/>
      <c r="S84" s="123" t="s">
        <v>366</v>
      </c>
      <c r="U84" s="132" t="s">
        <v>413</v>
      </c>
      <c r="W84" s="123" t="s">
        <v>366</v>
      </c>
      <c r="X84" s="123" t="s">
        <v>412</v>
      </c>
    </row>
    <row r="85" spans="1:24" s="123" customFormat="1" ht="21" customHeight="1">
      <c r="A85" s="122"/>
      <c r="C85" s="132" t="s">
        <v>411</v>
      </c>
      <c r="D85" s="190"/>
      <c r="E85" s="132" t="s">
        <v>110</v>
      </c>
      <c r="F85" s="180">
        <f>IF(F23="Type I",0.000001,M85)</f>
        <v>9.9999999999999995E-7</v>
      </c>
      <c r="G85" s="126" t="s">
        <v>26</v>
      </c>
      <c r="H85" s="192" t="s">
        <v>361</v>
      </c>
      <c r="J85" s="126"/>
      <c r="K85" s="126"/>
      <c r="L85" s="132"/>
      <c r="M85" s="191">
        <v>1</v>
      </c>
      <c r="N85" s="132" t="s">
        <v>26</v>
      </c>
      <c r="O85" s="132"/>
      <c r="Q85" s="122"/>
      <c r="S85" s="123" t="s">
        <v>361</v>
      </c>
      <c r="U85" s="117" t="s">
        <v>410</v>
      </c>
      <c r="W85" s="123" t="s">
        <v>361</v>
      </c>
    </row>
    <row r="86" spans="1:24" s="123" customFormat="1" ht="21" customHeight="1">
      <c r="A86" s="122"/>
      <c r="C86" s="117" t="s">
        <v>409</v>
      </c>
      <c r="E86" s="117" t="s">
        <v>401</v>
      </c>
      <c r="F86" s="127">
        <f>IF(F23="Type IVA",0.7*F50,F84)</f>
        <v>1.7056752981365539E-2</v>
      </c>
      <c r="G86" s="124" t="s">
        <v>26</v>
      </c>
      <c r="H86" s="141" t="s">
        <v>367</v>
      </c>
      <c r="J86" s="126"/>
      <c r="K86" s="126"/>
      <c r="Q86" s="122"/>
      <c r="S86" s="141" t="s">
        <v>405</v>
      </c>
      <c r="U86" s="117"/>
      <c r="W86" s="123" t="s">
        <v>404</v>
      </c>
    </row>
    <row r="87" spans="1:24" s="123" customFormat="1" ht="21" customHeight="1">
      <c r="A87" s="122"/>
      <c r="C87" s="132" t="s">
        <v>408</v>
      </c>
      <c r="D87" s="190"/>
      <c r="E87" s="132" t="s">
        <v>398</v>
      </c>
      <c r="F87" s="180">
        <f>M87</f>
        <v>0.4</v>
      </c>
      <c r="G87" s="126" t="s">
        <v>26</v>
      </c>
      <c r="H87" s="192" t="s">
        <v>361</v>
      </c>
      <c r="J87" s="126"/>
      <c r="K87" s="126"/>
      <c r="L87" s="132"/>
      <c r="M87" s="191">
        <v>0.4</v>
      </c>
      <c r="N87" s="132" t="s">
        <v>26</v>
      </c>
      <c r="O87" s="132"/>
      <c r="Q87" s="122"/>
      <c r="S87" s="123" t="s">
        <v>361</v>
      </c>
      <c r="U87" s="117" t="s">
        <v>407</v>
      </c>
      <c r="W87" s="123" t="s">
        <v>361</v>
      </c>
    </row>
    <row r="88" spans="1:24" s="123" customFormat="1" ht="21" customHeight="1">
      <c r="A88" s="122"/>
      <c r="C88" s="117" t="s">
        <v>406</v>
      </c>
      <c r="E88" s="117" t="s">
        <v>395</v>
      </c>
      <c r="F88" s="127">
        <f>IF(F23="Type IV",F86*2.5,F86)</f>
        <v>1.7056752981365539E-2</v>
      </c>
      <c r="G88" s="124" t="s">
        <v>26</v>
      </c>
      <c r="H88" s="141" t="s">
        <v>367</v>
      </c>
      <c r="J88" s="126"/>
      <c r="K88" s="126"/>
      <c r="Q88" s="122"/>
      <c r="S88" s="141" t="s">
        <v>405</v>
      </c>
      <c r="U88" s="132" t="s">
        <v>110</v>
      </c>
      <c r="W88" s="123" t="s">
        <v>404</v>
      </c>
    </row>
    <row r="89" spans="1:24" s="123" customFormat="1" ht="21" customHeight="1">
      <c r="A89" s="122"/>
      <c r="C89" s="132" t="s">
        <v>403</v>
      </c>
      <c r="D89" s="190"/>
      <c r="E89" s="132" t="s">
        <v>402</v>
      </c>
      <c r="F89" s="180">
        <f>M89</f>
        <v>0.4</v>
      </c>
      <c r="G89" s="126" t="s">
        <v>26</v>
      </c>
      <c r="H89" s="192" t="s">
        <v>361</v>
      </c>
      <c r="J89" s="126"/>
      <c r="K89" s="126"/>
      <c r="L89" s="132"/>
      <c r="M89" s="191">
        <v>0.4</v>
      </c>
      <c r="N89" s="132" t="s">
        <v>26</v>
      </c>
      <c r="O89" s="132"/>
      <c r="Q89" s="122"/>
      <c r="S89" s="123" t="s">
        <v>361</v>
      </c>
      <c r="U89" s="117" t="s">
        <v>401</v>
      </c>
      <c r="W89" s="123" t="s">
        <v>361</v>
      </c>
    </row>
    <row r="90" spans="1:24" s="123" customFormat="1" ht="21" customHeight="1">
      <c r="A90" s="122"/>
      <c r="C90" s="276" t="s">
        <v>400</v>
      </c>
      <c r="D90" s="276"/>
      <c r="E90" s="124" t="s">
        <v>391</v>
      </c>
      <c r="F90" s="125">
        <f>(F19-(F21*(F87+F89)-F89))/2/F50</f>
        <v>114.32422115336783</v>
      </c>
      <c r="G90" s="124" t="s">
        <v>45</v>
      </c>
      <c r="H90" s="141" t="s">
        <v>399</v>
      </c>
      <c r="J90" s="126"/>
      <c r="K90" s="126"/>
      <c r="Q90" s="122"/>
      <c r="S90" s="123" t="s">
        <v>397</v>
      </c>
      <c r="U90" s="132" t="s">
        <v>398</v>
      </c>
      <c r="W90" s="123" t="s">
        <v>397</v>
      </c>
    </row>
    <row r="91" spans="1:24" s="123" customFormat="1" ht="21" customHeight="1">
      <c r="A91" s="122"/>
      <c r="C91" s="276" t="s">
        <v>396</v>
      </c>
      <c r="D91" s="276"/>
      <c r="E91" s="124" t="s">
        <v>18</v>
      </c>
      <c r="F91" s="125">
        <f>(F19-(F21*(F87+F89)-F89))/2</f>
        <v>1.95</v>
      </c>
      <c r="G91" s="124" t="s">
        <v>26</v>
      </c>
      <c r="H91" s="141" t="s">
        <v>394</v>
      </c>
      <c r="J91" s="126"/>
      <c r="K91" s="126"/>
      <c r="L91" s="126"/>
      <c r="M91" s="132"/>
      <c r="N91" s="132"/>
      <c r="O91" s="126"/>
      <c r="Q91" s="122"/>
      <c r="S91" s="123" t="s">
        <v>394</v>
      </c>
      <c r="U91" s="117" t="s">
        <v>395</v>
      </c>
      <c r="W91" s="123" t="s">
        <v>394</v>
      </c>
    </row>
    <row r="92" spans="1:24" s="123" customFormat="1" ht="21" customHeight="1">
      <c r="A92" s="122"/>
      <c r="C92" s="117"/>
      <c r="E92" s="140"/>
      <c r="F92" s="124"/>
      <c r="G92" s="185"/>
      <c r="H92" s="124"/>
      <c r="K92" s="126"/>
      <c r="Q92" s="122"/>
    </row>
    <row r="93" spans="1:24" s="92" customFormat="1" ht="23.25" customHeight="1">
      <c r="A93" s="104"/>
      <c r="B93" s="123"/>
      <c r="C93" s="108" t="s">
        <v>393</v>
      </c>
      <c r="D93" s="94"/>
      <c r="E93" s="94"/>
      <c r="F93" s="94"/>
      <c r="G93" s="94"/>
      <c r="H93" s="94"/>
      <c r="I93" s="109"/>
      <c r="J93" s="109"/>
      <c r="K93" s="109"/>
      <c r="L93" s="94"/>
      <c r="M93" s="94"/>
      <c r="N93" s="94"/>
      <c r="O93" s="94"/>
      <c r="Q93" s="104"/>
    </row>
    <row r="94" spans="1:24" s="117" customFormat="1" ht="20.25" customHeight="1">
      <c r="A94" s="116"/>
      <c r="C94" s="132"/>
      <c r="I94" s="97"/>
      <c r="J94" s="97"/>
      <c r="K94" s="97"/>
      <c r="Q94" s="116"/>
    </row>
    <row r="95" spans="1:24" s="123" customFormat="1" ht="21" customHeight="1">
      <c r="A95" s="122"/>
      <c r="C95" s="276" t="s">
        <v>392</v>
      </c>
      <c r="D95" s="320"/>
      <c r="E95" s="117" t="s">
        <v>384</v>
      </c>
      <c r="F95" s="127">
        <f>IF(F48="Type IVA",interpolate(F59,#REF!,#REF!),0.8)</f>
        <v>0.8</v>
      </c>
      <c r="G95" s="124" t="s">
        <v>45</v>
      </c>
      <c r="H95" s="141" t="s">
        <v>206</v>
      </c>
      <c r="J95" s="126" t="s">
        <v>11</v>
      </c>
      <c r="K95" s="126"/>
      <c r="Q95" s="122"/>
      <c r="S95" s="123" t="s">
        <v>206</v>
      </c>
      <c r="U95" s="124" t="s">
        <v>391</v>
      </c>
      <c r="W95" s="123" t="s">
        <v>206</v>
      </c>
    </row>
    <row r="96" spans="1:24" s="123" customFormat="1" ht="21" customHeight="1">
      <c r="A96" s="122"/>
      <c r="C96" s="276" t="s">
        <v>390</v>
      </c>
      <c r="D96" s="320"/>
      <c r="E96" s="117" t="s">
        <v>381</v>
      </c>
      <c r="F96" s="127">
        <f>F95*F52</f>
        <v>9.1131845499592465</v>
      </c>
      <c r="G96" s="124" t="s">
        <v>45</v>
      </c>
      <c r="H96" s="106" t="s">
        <v>389</v>
      </c>
      <c r="J96" s="126" t="s">
        <v>11</v>
      </c>
      <c r="K96" s="126"/>
      <c r="Q96" s="122"/>
      <c r="S96" s="123" t="s">
        <v>388</v>
      </c>
      <c r="U96" s="124" t="s">
        <v>18</v>
      </c>
      <c r="W96" s="123" t="s">
        <v>388</v>
      </c>
    </row>
    <row r="97" spans="1:23" s="190" customFormat="1" ht="21" customHeight="1">
      <c r="A97" s="194"/>
      <c r="C97" s="276" t="s">
        <v>387</v>
      </c>
      <c r="D97" s="320"/>
      <c r="E97" s="132" t="s">
        <v>378</v>
      </c>
      <c r="F97" s="180">
        <f>M97</f>
        <v>1</v>
      </c>
      <c r="G97" s="126" t="s">
        <v>45</v>
      </c>
      <c r="H97" s="192" t="s">
        <v>361</v>
      </c>
      <c r="J97" s="126" t="s">
        <v>11</v>
      </c>
      <c r="K97" s="126"/>
      <c r="L97" s="132"/>
      <c r="M97" s="191">
        <v>1</v>
      </c>
      <c r="N97" s="132" t="s">
        <v>26</v>
      </c>
      <c r="O97" s="132"/>
      <c r="Q97" s="194"/>
      <c r="S97" s="190" t="s">
        <v>361</v>
      </c>
      <c r="U97" s="117"/>
      <c r="W97" s="190" t="s">
        <v>361</v>
      </c>
    </row>
    <row r="98" spans="1:23" s="123" customFormat="1" ht="21" customHeight="1">
      <c r="A98" s="122"/>
      <c r="C98" s="117" t="s">
        <v>386</v>
      </c>
      <c r="E98" s="163" t="s">
        <v>385</v>
      </c>
      <c r="F98" s="127">
        <f>IF(F23="Type IVA",1,interpolate(F51,'Type III Lookup'!A3:A4,'Type III Lookup'!B3:B4))</f>
        <v>-99</v>
      </c>
      <c r="G98" s="124" t="s">
        <v>45</v>
      </c>
      <c r="H98" s="141" t="s">
        <v>367</v>
      </c>
      <c r="J98" s="126" t="s">
        <v>11</v>
      </c>
      <c r="K98" s="126"/>
      <c r="Q98" s="122"/>
      <c r="S98" s="123" t="s">
        <v>366</v>
      </c>
      <c r="U98" s="117" t="s">
        <v>384</v>
      </c>
      <c r="W98" s="123" t="s">
        <v>366</v>
      </c>
    </row>
    <row r="99" spans="1:23" s="123" customFormat="1" ht="21" customHeight="1">
      <c r="A99" s="122"/>
      <c r="C99" s="117" t="s">
        <v>383</v>
      </c>
      <c r="E99" s="117" t="s">
        <v>362</v>
      </c>
      <c r="F99" s="127">
        <f>F50*F98</f>
        <v>-1.6886185451551883</v>
      </c>
      <c r="G99" s="124" t="s">
        <v>45</v>
      </c>
      <c r="H99" s="193" t="s">
        <v>382</v>
      </c>
      <c r="J99" s="126" t="s">
        <v>11</v>
      </c>
      <c r="K99" s="126"/>
      <c r="Q99" s="122"/>
      <c r="S99" s="123" t="s">
        <v>366</v>
      </c>
      <c r="U99" s="117" t="s">
        <v>381</v>
      </c>
      <c r="W99" s="123" t="s">
        <v>366</v>
      </c>
    </row>
    <row r="100" spans="1:23" s="123" customFormat="1" ht="21" customHeight="1">
      <c r="A100" s="122"/>
      <c r="C100" s="132" t="s">
        <v>380</v>
      </c>
      <c r="D100" s="190"/>
      <c r="E100" s="132" t="s">
        <v>379</v>
      </c>
      <c r="F100" s="180">
        <f>M100</f>
        <v>1.75</v>
      </c>
      <c r="G100" s="126" t="s">
        <v>26</v>
      </c>
      <c r="H100" s="192" t="s">
        <v>361</v>
      </c>
      <c r="J100" s="126" t="s">
        <v>11</v>
      </c>
      <c r="K100" s="126"/>
      <c r="L100" s="132"/>
      <c r="M100" s="191">
        <v>1.75</v>
      </c>
      <c r="N100" s="132" t="s">
        <v>26</v>
      </c>
      <c r="O100" s="132"/>
      <c r="Q100" s="122"/>
      <c r="S100" s="123" t="s">
        <v>361</v>
      </c>
      <c r="U100" s="132" t="s">
        <v>378</v>
      </c>
      <c r="W100" s="123" t="s">
        <v>361</v>
      </c>
    </row>
    <row r="101" spans="1:23" s="123" customFormat="1" ht="21" customHeight="1">
      <c r="A101" s="122"/>
      <c r="C101" s="117" t="s">
        <v>377</v>
      </c>
      <c r="E101" s="117" t="s">
        <v>370</v>
      </c>
      <c r="F101" s="127">
        <f>IF(F23="Type IVA",0.2*F50,0.2*F100)</f>
        <v>0.35000000000000003</v>
      </c>
      <c r="G101" s="124" t="s">
        <v>45</v>
      </c>
      <c r="H101" s="141" t="s">
        <v>376</v>
      </c>
      <c r="J101" s="126" t="s">
        <v>11</v>
      </c>
      <c r="K101" s="126"/>
      <c r="Q101" s="122"/>
      <c r="S101" s="123" t="s">
        <v>374</v>
      </c>
      <c r="U101" s="117" t="s">
        <v>375</v>
      </c>
      <c r="W101" s="123" t="s">
        <v>374</v>
      </c>
    </row>
    <row r="102" spans="1:23" s="123" customFormat="1" ht="21" customHeight="1">
      <c r="A102" s="122"/>
      <c r="C102" s="132" t="s">
        <v>373</v>
      </c>
      <c r="D102" s="190"/>
      <c r="E102" s="132" t="s">
        <v>364</v>
      </c>
      <c r="F102" s="180">
        <f>M102</f>
        <v>0.33300000000000002</v>
      </c>
      <c r="G102" s="126" t="s">
        <v>45</v>
      </c>
      <c r="H102" s="192" t="s">
        <v>361</v>
      </c>
      <c r="J102" s="126" t="s">
        <v>11</v>
      </c>
      <c r="K102" s="126"/>
      <c r="L102" s="132"/>
      <c r="M102" s="191">
        <v>0.33300000000000002</v>
      </c>
      <c r="N102" s="132" t="s">
        <v>26</v>
      </c>
      <c r="O102" s="132"/>
      <c r="Q102" s="122"/>
      <c r="S102" s="123" t="s">
        <v>361</v>
      </c>
      <c r="U102" s="117" t="s">
        <v>362</v>
      </c>
      <c r="W102" s="123" t="s">
        <v>361</v>
      </c>
    </row>
    <row r="103" spans="1:23" s="123" customFormat="1" ht="21" customHeight="1">
      <c r="A103" s="122"/>
      <c r="C103" s="117" t="s">
        <v>372</v>
      </c>
      <c r="E103" s="117" t="s">
        <v>362</v>
      </c>
      <c r="F103" s="127">
        <f>IF(F23="Type IVA",F99,0.75*F99)</f>
        <v>-1.2664639088663912</v>
      </c>
      <c r="G103" s="124" t="s">
        <v>45</v>
      </c>
      <c r="H103" s="141" t="s">
        <v>371</v>
      </c>
      <c r="J103" s="126" t="s">
        <v>11</v>
      </c>
      <c r="K103" s="126"/>
      <c r="Q103" s="122"/>
      <c r="S103" s="141" t="s">
        <v>367</v>
      </c>
      <c r="U103" s="132" t="s">
        <v>364</v>
      </c>
      <c r="W103" s="123" t="s">
        <v>366</v>
      </c>
    </row>
    <row r="104" spans="1:23" s="123" customFormat="1" ht="21" customHeight="1">
      <c r="A104" s="122"/>
      <c r="C104" s="132" t="s">
        <v>159</v>
      </c>
      <c r="D104" s="190"/>
      <c r="E104" s="132" t="s">
        <v>364</v>
      </c>
      <c r="F104" s="180">
        <f>M104</f>
        <v>1.333</v>
      </c>
      <c r="G104" s="126" t="s">
        <v>26</v>
      </c>
      <c r="H104" s="192" t="s">
        <v>361</v>
      </c>
      <c r="J104" s="126" t="s">
        <v>11</v>
      </c>
      <c r="K104" s="126"/>
      <c r="L104" s="132"/>
      <c r="M104" s="191">
        <v>1.333</v>
      </c>
      <c r="N104" s="132" t="s">
        <v>26</v>
      </c>
      <c r="O104" s="132"/>
      <c r="Q104" s="122"/>
      <c r="S104" s="123" t="s">
        <v>361</v>
      </c>
      <c r="U104" s="117" t="s">
        <v>370</v>
      </c>
      <c r="W104" s="123" t="s">
        <v>361</v>
      </c>
    </row>
    <row r="105" spans="1:23" s="123" customFormat="1" ht="21" customHeight="1">
      <c r="A105" s="122"/>
      <c r="C105" s="117" t="s">
        <v>369</v>
      </c>
      <c r="E105" s="117" t="s">
        <v>362</v>
      </c>
      <c r="F105" s="127">
        <f>0.375*F99</f>
        <v>-0.63323195443319558</v>
      </c>
      <c r="G105" s="124" t="s">
        <v>45</v>
      </c>
      <c r="H105" s="141" t="s">
        <v>368</v>
      </c>
      <c r="J105" s="126" t="s">
        <v>11</v>
      </c>
      <c r="K105" s="126"/>
      <c r="Q105" s="122"/>
      <c r="S105" s="141" t="s">
        <v>367</v>
      </c>
      <c r="U105" s="132" t="s">
        <v>364</v>
      </c>
      <c r="W105" s="123" t="s">
        <v>366</v>
      </c>
    </row>
    <row r="106" spans="1:23" s="123" customFormat="1" ht="22.5" customHeight="1">
      <c r="A106" s="122"/>
      <c r="C106" s="117" t="s">
        <v>365</v>
      </c>
      <c r="D106" s="190"/>
      <c r="E106" s="132" t="s">
        <v>364</v>
      </c>
      <c r="F106" s="127">
        <f>(F19-(F104*2*F22-F104))/2</f>
        <v>2.4165000000000001</v>
      </c>
      <c r="G106" s="124" t="s">
        <v>45</v>
      </c>
      <c r="H106" s="141"/>
      <c r="I106" s="190"/>
      <c r="J106" s="126" t="s">
        <v>11</v>
      </c>
      <c r="K106" s="126"/>
      <c r="L106" s="340" t="s">
        <v>363</v>
      </c>
      <c r="M106" s="341"/>
      <c r="N106" s="341"/>
      <c r="O106" s="341"/>
      <c r="Q106" s="122"/>
      <c r="S106" s="123" t="s">
        <v>361</v>
      </c>
      <c r="U106" s="117" t="s">
        <v>362</v>
      </c>
      <c r="W106" s="123" t="s">
        <v>361</v>
      </c>
    </row>
    <row r="107" spans="1:23" s="117" customFormat="1" ht="20.25" customHeight="1">
      <c r="A107" s="116"/>
      <c r="C107" s="132"/>
      <c r="I107" s="97"/>
      <c r="J107" s="97"/>
      <c r="K107" s="97"/>
      <c r="Q107" s="116"/>
    </row>
    <row r="108" spans="1:23" s="117" customFormat="1" ht="20.25" customHeight="1">
      <c r="A108" s="116"/>
      <c r="C108" s="132"/>
      <c r="I108" s="97"/>
      <c r="J108" s="97"/>
      <c r="K108" s="97"/>
      <c r="Q108" s="116"/>
    </row>
    <row r="109" spans="1:23" s="117" customFormat="1" ht="20.25" customHeight="1">
      <c r="A109" s="116"/>
      <c r="C109" s="132"/>
      <c r="I109" s="97"/>
      <c r="J109" s="97"/>
      <c r="K109" s="97"/>
      <c r="Q109" s="116"/>
    </row>
    <row r="110" spans="1:23" s="117" customFormat="1" ht="20.25" customHeight="1">
      <c r="A110" s="116"/>
      <c r="C110" s="132"/>
      <c r="I110" s="97"/>
      <c r="J110" s="97"/>
      <c r="K110" s="97"/>
      <c r="Q110" s="116"/>
    </row>
    <row r="111" spans="1:23" s="117" customFormat="1" ht="20.25" customHeight="1">
      <c r="A111" s="116"/>
      <c r="C111" s="132"/>
      <c r="I111" s="97"/>
      <c r="J111" s="97"/>
      <c r="K111" s="97"/>
      <c r="Q111" s="116"/>
    </row>
    <row r="112" spans="1:23" s="117" customFormat="1" ht="20.25" customHeight="1">
      <c r="A112" s="116"/>
      <c r="C112" s="132"/>
      <c r="I112" s="97"/>
      <c r="J112" s="97"/>
      <c r="K112" s="97"/>
      <c r="Q112" s="116"/>
    </row>
    <row r="113" spans="1:17" s="117" customFormat="1" ht="20.25" customHeight="1">
      <c r="A113" s="116"/>
      <c r="C113" s="132"/>
      <c r="I113" s="97"/>
      <c r="J113" s="97"/>
      <c r="K113" s="97"/>
      <c r="Q113" s="116"/>
    </row>
    <row r="114" spans="1:17" s="117" customFormat="1" ht="20.25" customHeight="1">
      <c r="A114" s="116"/>
      <c r="C114" s="132"/>
      <c r="I114" s="97"/>
      <c r="J114" s="97"/>
      <c r="K114" s="97"/>
      <c r="Q114" s="116"/>
    </row>
    <row r="115" spans="1:17" s="117" customFormat="1" ht="20.25" customHeight="1">
      <c r="A115" s="116"/>
      <c r="C115" s="132"/>
      <c r="I115" s="97"/>
      <c r="J115" s="97"/>
      <c r="K115" s="97"/>
      <c r="Q115" s="116"/>
    </row>
    <row r="116" spans="1:17" s="117" customFormat="1" ht="20.25" customHeight="1">
      <c r="A116" s="116"/>
      <c r="C116" s="132"/>
      <c r="I116" s="97"/>
      <c r="J116" s="97"/>
      <c r="K116" s="97"/>
      <c r="Q116" s="116"/>
    </row>
    <row r="117" spans="1:17" s="117" customFormat="1" ht="20.25" customHeight="1">
      <c r="A117" s="116"/>
      <c r="C117" s="132"/>
      <c r="I117" s="97"/>
      <c r="J117" s="97"/>
      <c r="K117" s="97"/>
      <c r="Q117" s="116"/>
    </row>
    <row r="118" spans="1:17" s="117" customFormat="1" ht="20.25" customHeight="1">
      <c r="A118" s="116"/>
      <c r="C118" s="132"/>
      <c r="I118" s="97"/>
      <c r="J118" s="97"/>
      <c r="K118" s="97"/>
      <c r="Q118" s="116"/>
    </row>
    <row r="119" spans="1:17" s="117" customFormat="1" ht="20.25" customHeight="1">
      <c r="A119" s="116"/>
      <c r="C119" s="132"/>
      <c r="I119" s="97"/>
      <c r="J119" s="97"/>
      <c r="K119" s="97"/>
      <c r="Q119" s="116"/>
    </row>
    <row r="120" spans="1:17" s="117" customFormat="1" ht="20.25" customHeight="1">
      <c r="A120" s="116"/>
      <c r="C120" s="132"/>
      <c r="I120" s="97"/>
      <c r="J120" s="97"/>
      <c r="K120" s="97"/>
      <c r="Q120" s="116"/>
    </row>
    <row r="121" spans="1:17" s="117" customFormat="1" ht="20.25" customHeight="1">
      <c r="A121" s="116"/>
      <c r="C121" s="132"/>
      <c r="I121" s="97"/>
      <c r="J121" s="97"/>
      <c r="K121" s="97"/>
      <c r="Q121" s="116"/>
    </row>
    <row r="122" spans="1:17" s="117" customFormat="1" ht="20.25" customHeight="1">
      <c r="A122" s="116"/>
      <c r="C122" s="132"/>
      <c r="I122" s="97"/>
      <c r="J122" s="97"/>
      <c r="K122" s="97"/>
      <c r="Q122" s="116"/>
    </row>
    <row r="123" spans="1:17" s="117" customFormat="1" ht="20.25" customHeight="1">
      <c r="A123" s="116"/>
      <c r="C123" s="132"/>
      <c r="I123" s="97"/>
      <c r="J123" s="97"/>
      <c r="K123" s="97"/>
      <c r="Q123" s="116"/>
    </row>
    <row r="124" spans="1:17" s="92" customFormat="1" ht="28.5" customHeight="1">
      <c r="A124" s="181"/>
      <c r="B124" s="94"/>
      <c r="C124" s="94"/>
      <c r="D124" s="94"/>
      <c r="E124" s="94"/>
      <c r="F124" s="173"/>
      <c r="G124" s="173"/>
      <c r="H124" s="183"/>
      <c r="I124" s="183"/>
      <c r="J124" s="182"/>
      <c r="K124" s="182"/>
      <c r="L124" s="333"/>
      <c r="M124" s="333"/>
      <c r="N124" s="333"/>
      <c r="O124" s="333"/>
      <c r="P124" s="94"/>
      <c r="Q124" s="181"/>
    </row>
  </sheetData>
  <mergeCells count="75">
    <mergeCell ref="L63:O63"/>
    <mergeCell ref="C91:D91"/>
    <mergeCell ref="C97:D97"/>
    <mergeCell ref="C90:D90"/>
    <mergeCell ref="C70:D70"/>
    <mergeCell ref="C68:D68"/>
    <mergeCell ref="L124:O124"/>
    <mergeCell ref="L106:O106"/>
    <mergeCell ref="C13:D13"/>
    <mergeCell ref="C69:D69"/>
    <mergeCell ref="C57:D57"/>
    <mergeCell ref="C50:D50"/>
    <mergeCell ref="C51:D51"/>
    <mergeCell ref="C55:D55"/>
    <mergeCell ref="C54:D54"/>
    <mergeCell ref="C47:D47"/>
    <mergeCell ref="C14:D14"/>
    <mergeCell ref="C16:D16"/>
    <mergeCell ref="C48:D48"/>
    <mergeCell ref="C49:D49"/>
    <mergeCell ref="C53:D53"/>
    <mergeCell ref="C56:D56"/>
    <mergeCell ref="C52:D52"/>
    <mergeCell ref="C18:D18"/>
    <mergeCell ref="C20:D20"/>
    <mergeCell ref="C15:D15"/>
    <mergeCell ref="G36:H36"/>
    <mergeCell ref="C17:D17"/>
    <mergeCell ref="C19:D19"/>
    <mergeCell ref="G31:H31"/>
    <mergeCell ref="C24:D24"/>
    <mergeCell ref="G30:H30"/>
    <mergeCell ref="G29:H29"/>
    <mergeCell ref="G33:H33"/>
    <mergeCell ref="C25:D25"/>
    <mergeCell ref="C26:D26"/>
    <mergeCell ref="G4:H4"/>
    <mergeCell ref="G5:H5"/>
    <mergeCell ref="F14:G14"/>
    <mergeCell ref="I30:J30"/>
    <mergeCell ref="M5:P5"/>
    <mergeCell ref="I4:J4"/>
    <mergeCell ref="I5:J5"/>
    <mergeCell ref="I6:J6"/>
    <mergeCell ref="G6:H6"/>
    <mergeCell ref="G28:H28"/>
    <mergeCell ref="F23:G23"/>
    <mergeCell ref="I29:J29"/>
    <mergeCell ref="I28:J28"/>
    <mergeCell ref="G27:H27"/>
    <mergeCell ref="I27:J27"/>
    <mergeCell ref="I32:J32"/>
    <mergeCell ref="I31:J31"/>
    <mergeCell ref="G34:H34"/>
    <mergeCell ref="G38:H38"/>
    <mergeCell ref="I38:J38"/>
    <mergeCell ref="I36:J36"/>
    <mergeCell ref="G37:H37"/>
    <mergeCell ref="I37:J37"/>
    <mergeCell ref="B1:L1"/>
    <mergeCell ref="C95:D95"/>
    <mergeCell ref="C96:D96"/>
    <mergeCell ref="C46:D46"/>
    <mergeCell ref="I34:J34"/>
    <mergeCell ref="G40:H40"/>
    <mergeCell ref="I40:J40"/>
    <mergeCell ref="C58:D58"/>
    <mergeCell ref="G35:H35"/>
    <mergeCell ref="I35:J35"/>
    <mergeCell ref="I39:J39"/>
    <mergeCell ref="L4:P4"/>
    <mergeCell ref="G39:H39"/>
    <mergeCell ref="C23:D23"/>
    <mergeCell ref="G32:H32"/>
    <mergeCell ref="I33:J33"/>
  </mergeCells>
  <dataValidations count="3">
    <dataValidation type="list" allowBlank="1" showInputMessage="1" showErrorMessage="1" sqref="F14" xr:uid="{A57F4E61-2C3A-487F-AA83-32B96E2B7413}">
      <formula1>$Y$13:$Y$15</formula1>
    </dataValidation>
    <dataValidation type="list" allowBlank="1" showInputMessage="1" showErrorMessage="1" sqref="F23:G23" xr:uid="{AFEF9FD3-62FC-4640-944A-33D668554C37}">
      <formula1>$W$18:$W$24</formula1>
    </dataValidation>
    <dataValidation type="textLength" allowBlank="1" showInputMessage="1" showErrorMessage="1" sqref="L124:O124 M75:N75 M73:N73 L64:O65 L81:O81 L92:O92 L43:O43 M100:N100 M77:N77 M87:N87 M85:N85 M91:N91 M79:N79 M97:N97 M89:N89 M102:N102 M104:N104 L106 M70:N70 K58 M58:O58" xr:uid="{1FDDB600-8E2C-4946-AABB-9076E594F621}">
      <formula1>0</formula1>
      <formula2>31</formula2>
    </dataValidation>
  </dataValidations>
  <pageMargins left="0.27" right="0.28000000000000003" top="0.25" bottom="0.4" header="0.25" footer="0.22"/>
  <pageSetup paperSize="9" scale="64" orientation="portrait" r:id="rId1"/>
  <headerFooter alignWithMargins="0">
    <oddFooter>&amp;L&amp;Z&amp;F</oddFooter>
  </headerFooter>
  <rowBreaks count="2" manualBreakCount="2">
    <brk id="41" max="16" man="1"/>
    <brk id="81" max="16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38670-8F38-4768-887B-EA8335950607}">
  <sheetPr codeName="Sheet2">
    <tabColor theme="7" tint="0.59999389629810485"/>
  </sheetPr>
  <dimension ref="A1:F14"/>
  <sheetViews>
    <sheetView zoomScale="85" zoomScaleNormal="85" workbookViewId="0">
      <selection activeCell="L50" sqref="L50:O50"/>
    </sheetView>
  </sheetViews>
  <sheetFormatPr defaultRowHeight="13.2"/>
  <cols>
    <col min="1" max="16384" width="8.88671875" style="90"/>
  </cols>
  <sheetData>
    <row r="1" spans="1:6">
      <c r="B1" s="90" t="s">
        <v>508</v>
      </c>
    </row>
    <row r="2" spans="1:6">
      <c r="A2" s="90" t="s">
        <v>51</v>
      </c>
      <c r="B2" s="90" t="s">
        <v>507</v>
      </c>
      <c r="C2" s="90" t="s">
        <v>506</v>
      </c>
      <c r="E2" s="90" t="s">
        <v>51</v>
      </c>
      <c r="F2" s="90" t="s">
        <v>505</v>
      </c>
    </row>
    <row r="3" spans="1:6">
      <c r="A3" s="90">
        <v>4</v>
      </c>
      <c r="B3" s="90">
        <v>1.3</v>
      </c>
      <c r="C3" s="90">
        <v>1.25</v>
      </c>
      <c r="E3" s="90">
        <v>5</v>
      </c>
      <c r="F3" s="90">
        <v>2.3199999999999998</v>
      </c>
    </row>
    <row r="4" spans="1:6">
      <c r="A4" s="90">
        <v>18</v>
      </c>
      <c r="B4" s="90">
        <v>3.66</v>
      </c>
      <c r="C4" s="90">
        <v>2</v>
      </c>
      <c r="E4" s="90">
        <v>6</v>
      </c>
      <c r="F4" s="90">
        <v>2.4500000000000002</v>
      </c>
    </row>
    <row r="5" spans="1:6">
      <c r="E5" s="90">
        <v>7</v>
      </c>
      <c r="F5" s="90">
        <v>2.5499999999999998</v>
      </c>
    </row>
    <row r="6" spans="1:6">
      <c r="E6" s="90">
        <v>8</v>
      </c>
    </row>
    <row r="7" spans="1:6">
      <c r="E7" s="90">
        <v>9</v>
      </c>
    </row>
    <row r="8" spans="1:6">
      <c r="E8" s="90">
        <v>10</v>
      </c>
    </row>
    <row r="9" spans="1:6">
      <c r="E9" s="90">
        <v>11</v>
      </c>
    </row>
    <row r="10" spans="1:6">
      <c r="E10" s="90">
        <v>12</v>
      </c>
    </row>
    <row r="11" spans="1:6">
      <c r="E11" s="90">
        <v>13</v>
      </c>
    </row>
    <row r="12" spans="1:6">
      <c r="E12" s="90">
        <v>14</v>
      </c>
    </row>
    <row r="13" spans="1:6">
      <c r="E13" s="90">
        <v>15</v>
      </c>
    </row>
    <row r="14" spans="1:6">
      <c r="E14" s="90">
        <v>16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CC63E-C895-4F8C-8261-DAC7CE1A0850}">
  <sheetPr codeName="Sheet1">
    <tabColor theme="7" tint="0.59999389629810485"/>
  </sheetPr>
  <dimension ref="B1:F12"/>
  <sheetViews>
    <sheetView zoomScale="85" zoomScaleNormal="85" workbookViewId="0">
      <selection activeCell="L50" sqref="L50:O50"/>
    </sheetView>
  </sheetViews>
  <sheetFormatPr defaultRowHeight="13.2"/>
  <cols>
    <col min="1" max="1" width="8.88671875" style="90"/>
    <col min="2" max="2" width="16.88671875" style="90" bestFit="1" customWidth="1"/>
    <col min="3" max="7" width="8.88671875" style="90"/>
    <col min="8" max="8" width="14.6640625" style="90" customWidth="1"/>
    <col min="9" max="9" width="11" style="90" customWidth="1"/>
    <col min="10" max="16384" width="8.88671875" style="90"/>
  </cols>
  <sheetData>
    <row r="1" spans="2:6">
      <c r="B1" s="90" t="s">
        <v>511</v>
      </c>
    </row>
    <row r="2" spans="2:6">
      <c r="B2" s="90" t="s">
        <v>51</v>
      </c>
      <c r="C2" s="207" t="s">
        <v>511</v>
      </c>
      <c r="D2" s="90" t="s">
        <v>510</v>
      </c>
      <c r="E2" s="90" t="s">
        <v>509</v>
      </c>
    </row>
    <row r="3" spans="2:6">
      <c r="B3" s="90">
        <v>2</v>
      </c>
      <c r="C3" s="207">
        <v>2.95</v>
      </c>
      <c r="E3" s="90">
        <v>2.5</v>
      </c>
      <c r="F3" s="90">
        <v>1.45</v>
      </c>
    </row>
    <row r="4" spans="2:6">
      <c r="B4" s="90">
        <v>7</v>
      </c>
      <c r="C4" s="207">
        <v>1.5</v>
      </c>
      <c r="E4" s="90">
        <v>2.75</v>
      </c>
      <c r="F4" s="90">
        <v>1.325</v>
      </c>
    </row>
    <row r="5" spans="2:6">
      <c r="C5" s="207"/>
      <c r="E5" s="90">
        <v>3</v>
      </c>
      <c r="F5" s="90">
        <v>1.25</v>
      </c>
    </row>
    <row r="6" spans="2:6">
      <c r="E6" s="90">
        <v>3.5</v>
      </c>
      <c r="F6" s="90">
        <v>1.125</v>
      </c>
    </row>
    <row r="7" spans="2:6">
      <c r="E7" s="90">
        <v>4</v>
      </c>
      <c r="F7" s="90">
        <v>1.0249999999999999</v>
      </c>
    </row>
    <row r="8" spans="2:6">
      <c r="E8" s="90">
        <v>4.5</v>
      </c>
      <c r="F8" s="90">
        <v>0.9</v>
      </c>
    </row>
    <row r="9" spans="2:6">
      <c r="E9" s="90">
        <v>5</v>
      </c>
      <c r="F9" s="90">
        <v>0.8</v>
      </c>
    </row>
    <row r="10" spans="2:6">
      <c r="E10" s="90">
        <v>5.5</v>
      </c>
      <c r="F10" s="90">
        <v>0.7</v>
      </c>
    </row>
    <row r="11" spans="2:6">
      <c r="E11" s="90">
        <v>6</v>
      </c>
      <c r="F11" s="90">
        <f>F10-(F$9-F$10)/(E$10-E$9)*(E11-E10)</f>
        <v>0.59999999999999987</v>
      </c>
    </row>
    <row r="12" spans="2:6">
      <c r="E12" s="90">
        <v>6.5</v>
      </c>
      <c r="F12" s="90">
        <f>F11-(F$9-F$10)/(E$10-E$9)*(E12-E11)</f>
        <v>0.49999999999999978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20</vt:i4>
      </vt:variant>
    </vt:vector>
  </HeadingPairs>
  <TitlesOfParts>
    <vt:vector size="32" baseType="lpstr">
      <vt:lpstr>InitailInput</vt:lpstr>
      <vt:lpstr>Slide Gate</vt:lpstr>
      <vt:lpstr>MRCurve</vt:lpstr>
      <vt:lpstr>Input_SB</vt:lpstr>
      <vt:lpstr>Condition 1</vt:lpstr>
      <vt:lpstr>Condition 2</vt:lpstr>
      <vt:lpstr>Condition 3</vt:lpstr>
      <vt:lpstr>Outputs</vt:lpstr>
      <vt:lpstr>Jump Lookup</vt:lpstr>
      <vt:lpstr>Calc</vt:lpstr>
      <vt:lpstr>Type III Lookup</vt:lpstr>
      <vt:lpstr>Type IV Lookup</vt:lpstr>
      <vt:lpstr>'Slide Gate'!b</vt:lpstr>
      <vt:lpstr>Calc!Print_Area</vt:lpstr>
      <vt:lpstr>'Condition 1'!Print_Area</vt:lpstr>
      <vt:lpstr>'Condition 2'!Print_Area</vt:lpstr>
      <vt:lpstr>'Condition 3'!Print_Area</vt:lpstr>
      <vt:lpstr>InitailInput!Print_Area</vt:lpstr>
      <vt:lpstr>Input_SB!Print_Area</vt:lpstr>
      <vt:lpstr>MRCurve!Print_Area</vt:lpstr>
      <vt:lpstr>Outputs!Print_Area</vt:lpstr>
      <vt:lpstr>'Slide Gate'!Print_Area</vt:lpstr>
      <vt:lpstr>Calc!Print_Titles</vt:lpstr>
      <vt:lpstr>'Condition 1'!Print_Titles</vt:lpstr>
      <vt:lpstr>'Condition 2'!Print_Titles</vt:lpstr>
      <vt:lpstr>'Condition 3'!Print_Titles</vt:lpstr>
      <vt:lpstr>InitailInput!Print_Titles</vt:lpstr>
      <vt:lpstr>Input_SB!Print_Titles</vt:lpstr>
      <vt:lpstr>MRCurve!Print_Titles</vt:lpstr>
      <vt:lpstr>Outputs!Print_Titles</vt:lpstr>
      <vt:lpstr>'Slide Gate'!Print_Titles</vt:lpstr>
      <vt:lpstr>'Slide Gate'!Q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Heri Purnama</cp:lastModifiedBy>
  <cp:lastPrinted>2011-05-07T09:56:24Z</cp:lastPrinted>
  <dcterms:created xsi:type="dcterms:W3CDTF">2006-08-06T19:52:04Z</dcterms:created>
  <dcterms:modified xsi:type="dcterms:W3CDTF">2024-09-10T04:02:36Z</dcterms:modified>
</cp:coreProperties>
</file>