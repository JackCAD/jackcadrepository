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Jackcad Komering Supervisi\Data\Long&amp;Cross\Irrigation Culvert Lempuing II\"/>
    </mc:Choice>
  </mc:AlternateContent>
  <xr:revisionPtr revIDLastSave="0" documentId="13_ncr:1_{27F8F72F-960B-4BF2-9FBE-2EFBD8CDA0A2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Irrigation Culvert" sheetId="6" r:id="rId1"/>
    <sheet name="Misc" sheetId="4" state="hidden" r:id="rId2"/>
  </sheets>
  <functionGroups builtInGroupCount="19"/>
  <definedNames>
    <definedName name="E2E1">'Irrigation Culvert'!$O$63</definedName>
    <definedName name="g">#REF!</definedName>
    <definedName name="h">#REF!</definedName>
    <definedName name="Ia">#REF!</definedName>
    <definedName name="Iv">#REF!</definedName>
    <definedName name="_xlnm.Print_Area" localSheetId="0">'Irrigation Culvert'!$A$1:$N$92</definedName>
    <definedName name="_xlnm.Print_Titles" localSheetId="0">'Irrigation Culvert'!$1:$6</definedName>
    <definedName name="x">#REF!</definedName>
    <definedName name="y">#REF!</definedName>
    <definedName name="y_culvert">'Irrigation Culvert'!$F$52</definedName>
  </definedNames>
  <calcPr calcId="191029" iterate="1" iterateDelta="1E-4"/>
</workbook>
</file>

<file path=xl/calcChain.xml><?xml version="1.0" encoding="utf-8"?>
<calcChain xmlns="http://schemas.openxmlformats.org/spreadsheetml/2006/main">
  <c r="T23" i="6" l="1"/>
  <c r="I31" i="6"/>
  <c r="I30" i="6"/>
  <c r="I29" i="6"/>
  <c r="I28" i="6"/>
  <c r="I26" i="6"/>
  <c r="I24" i="6"/>
  <c r="F40" i="6" l="1"/>
  <c r="F53" i="6" s="1"/>
  <c r="F54" i="6" s="1"/>
  <c r="F70" i="6"/>
  <c r="I35" i="6"/>
  <c r="F35" i="6"/>
  <c r="I27" i="6"/>
  <c r="F27" i="6"/>
  <c r="F38" i="6" s="1"/>
  <c r="F68" i="6" l="1"/>
  <c r="F69" i="6"/>
  <c r="H52" i="6"/>
  <c r="F59" i="6"/>
  <c r="F60" i="6"/>
  <c r="A4" i="6" l="1"/>
  <c r="F56" i="6"/>
  <c r="I32" i="6" l="1"/>
  <c r="F32" i="6"/>
  <c r="I33" i="6" l="1"/>
  <c r="I34" i="6" s="1"/>
  <c r="F61" i="6"/>
  <c r="F55" i="6"/>
  <c r="F57" i="6" s="1"/>
  <c r="F58" i="6" s="1"/>
  <c r="H58" i="6" s="1"/>
  <c r="F33" i="6"/>
  <c r="F34" i="6" s="1"/>
  <c r="F62" i="6" l="1"/>
  <c r="F65" i="6" s="1"/>
  <c r="F72" i="6" s="1"/>
  <c r="F63" i="6" l="1"/>
  <c r="O63" i="6" s="1"/>
</calcChain>
</file>

<file path=xl/sharedStrings.xml><?xml version="1.0" encoding="utf-8"?>
<sst xmlns="http://schemas.openxmlformats.org/spreadsheetml/2006/main" count="204" uniqueCount="155">
  <si>
    <t>Project</t>
  </si>
  <si>
    <t>Calc by</t>
  </si>
  <si>
    <t>Number of sheets</t>
  </si>
  <si>
    <t>Checked by</t>
  </si>
  <si>
    <t>of</t>
  </si>
  <si>
    <t>is to be provided</t>
  </si>
  <si>
    <t>Calculations for</t>
  </si>
  <si>
    <t>File No.</t>
  </si>
  <si>
    <t>m</t>
  </si>
  <si>
    <t>Froude</t>
  </si>
  <si>
    <t>Velocity head</t>
  </si>
  <si>
    <t>Energy Head</t>
  </si>
  <si>
    <t>DBL</t>
  </si>
  <si>
    <t>Full Supply Level</t>
  </si>
  <si>
    <t>Full Supply Depth</t>
  </si>
  <si>
    <t>Velocity</t>
  </si>
  <si>
    <t>Energy Level</t>
  </si>
  <si>
    <t>m/s</t>
  </si>
  <si>
    <t>Design Bed Level</t>
  </si>
  <si>
    <t>Sweep Jump</t>
  </si>
  <si>
    <t>Suruface Turbulance Only</t>
  </si>
  <si>
    <t>Oscillating Jump</t>
  </si>
  <si>
    <t>Wavy</t>
  </si>
  <si>
    <t>Steady Jump</t>
  </si>
  <si>
    <t>Best Performance</t>
  </si>
  <si>
    <t>Strong Jump</t>
  </si>
  <si>
    <t>Acceptable Performance</t>
  </si>
  <si>
    <t>Expensive Stilling Basin and Rough Surface Conditions</t>
  </si>
  <si>
    <t>Free Jump Characteristics</t>
  </si>
  <si>
    <t>Jump Type</t>
  </si>
  <si>
    <t>Performance</t>
  </si>
  <si>
    <t xml:space="preserve">Froude Number </t>
  </si>
  <si>
    <t>Basin Type</t>
  </si>
  <si>
    <t>Type</t>
  </si>
  <si>
    <t>Type I</t>
  </si>
  <si>
    <t>Type IVA</t>
  </si>
  <si>
    <t>Type III</t>
  </si>
  <si>
    <t>Komering Irrigation Project Phase 3 (KIP III)</t>
  </si>
  <si>
    <t>Transition Loss - inlet Contraction Coefficient</t>
  </si>
  <si>
    <r>
      <rPr>
        <sz val="8"/>
        <rFont val="Symbol"/>
        <family val="1"/>
        <charset val="2"/>
      </rPr>
      <t>x</t>
    </r>
    <r>
      <rPr>
        <vertAlign val="subscript"/>
        <sz val="8"/>
        <rFont val="Arial"/>
        <family val="2"/>
      </rPr>
      <t>in</t>
    </r>
  </si>
  <si>
    <r>
      <rPr>
        <sz val="8"/>
        <rFont val="Symbol"/>
        <family val="1"/>
        <charset val="2"/>
      </rPr>
      <t>x</t>
    </r>
    <r>
      <rPr>
        <vertAlign val="subscript"/>
        <sz val="8"/>
        <rFont val="Arial"/>
        <family val="2"/>
      </rPr>
      <t>out</t>
    </r>
  </si>
  <si>
    <r>
      <t>B</t>
    </r>
    <r>
      <rPr>
        <vertAlign val="subscript"/>
        <sz val="8"/>
        <rFont val="Arial"/>
        <family val="2"/>
      </rPr>
      <t>e</t>
    </r>
  </si>
  <si>
    <t>N</t>
  </si>
  <si>
    <t>Gw</t>
  </si>
  <si>
    <t>Velocity of Flow</t>
  </si>
  <si>
    <t>Design Discharge</t>
  </si>
  <si>
    <t>Q</t>
  </si>
  <si>
    <t>Cumec</t>
  </si>
  <si>
    <t>m/sec</t>
  </si>
  <si>
    <r>
      <t>E</t>
    </r>
    <r>
      <rPr>
        <vertAlign val="subscript"/>
        <sz val="8"/>
        <rFont val="Arial"/>
        <family val="2"/>
      </rPr>
      <t>f</t>
    </r>
  </si>
  <si>
    <t>Velocity Head</t>
  </si>
  <si>
    <r>
      <t>v</t>
    </r>
    <r>
      <rPr>
        <vertAlign val="subscript"/>
        <sz val="8"/>
        <rFont val="Arial"/>
        <family val="2"/>
      </rPr>
      <t>f</t>
    </r>
  </si>
  <si>
    <r>
      <t>V</t>
    </r>
    <r>
      <rPr>
        <vertAlign val="subscript"/>
        <sz val="8"/>
        <rFont val="Arial"/>
        <family val="2"/>
      </rPr>
      <t>hf</t>
    </r>
  </si>
  <si>
    <t>CL</t>
  </si>
  <si>
    <t>Head Loss at inlet</t>
  </si>
  <si>
    <t>Project ID</t>
  </si>
  <si>
    <t>Cal. No</t>
  </si>
  <si>
    <t>Name of Structure</t>
  </si>
  <si>
    <t>Culvert data</t>
  </si>
  <si>
    <t>Floor Level</t>
  </si>
  <si>
    <t>Number of Spans</t>
  </si>
  <si>
    <t>Width of Span</t>
  </si>
  <si>
    <t>Depth of flow in the Culvert</t>
  </si>
  <si>
    <t>Length of Culvert</t>
  </si>
  <si>
    <t>Hydraulic Mean Depth</t>
  </si>
  <si>
    <t>Area of Flow</t>
  </si>
  <si>
    <t>m2</t>
  </si>
  <si>
    <t>Wetted Perimeter</t>
  </si>
  <si>
    <t>Frictional Head Loss</t>
  </si>
  <si>
    <t>Head Loss at oulet</t>
  </si>
  <si>
    <t>Misc. Input</t>
  </si>
  <si>
    <t>K</t>
  </si>
  <si>
    <t>Energy Level at downstream to calculate backup</t>
  </si>
  <si>
    <t>Calculations for backup (headloss through Culverts)</t>
  </si>
  <si>
    <t>R</t>
  </si>
  <si>
    <t>KP 04 (5.2.3)</t>
  </si>
  <si>
    <t>Total head loss through Culvert</t>
  </si>
  <si>
    <r>
      <rPr>
        <sz val="8"/>
        <rFont val="Symbol"/>
        <family val="1"/>
        <charset val="2"/>
      </rPr>
      <t>H</t>
    </r>
    <r>
      <rPr>
        <vertAlign val="subscript"/>
        <sz val="8"/>
        <rFont val="Arial"/>
        <family val="2"/>
      </rPr>
      <t>loss</t>
    </r>
    <r>
      <rPr>
        <sz val="8"/>
        <rFont val="Symbol"/>
        <family val="1"/>
        <charset val="2"/>
      </rPr>
      <t xml:space="preserve"> = x</t>
    </r>
    <r>
      <rPr>
        <vertAlign val="subscript"/>
        <sz val="8"/>
        <rFont val="Arial"/>
        <family val="2"/>
      </rPr>
      <t>in</t>
    </r>
    <r>
      <rPr>
        <sz val="8"/>
        <rFont val="Arial"/>
        <family val="1"/>
        <charset val="2"/>
      </rPr>
      <t xml:space="preserve"> x (v</t>
    </r>
    <r>
      <rPr>
        <vertAlign val="subscript"/>
        <sz val="8"/>
        <rFont val="Arial"/>
        <family val="2"/>
      </rPr>
      <t>f</t>
    </r>
    <r>
      <rPr>
        <vertAlign val="superscript"/>
        <sz val="8"/>
        <rFont val="Arial"/>
        <family val="2"/>
      </rPr>
      <t>2</t>
    </r>
    <r>
      <rPr>
        <sz val="8"/>
        <rFont val="Arial"/>
        <family val="1"/>
        <charset val="2"/>
      </rPr>
      <t xml:space="preserve"> - v</t>
    </r>
    <r>
      <rPr>
        <vertAlign val="subscript"/>
        <sz val="8"/>
        <rFont val="Arial"/>
        <family val="2"/>
      </rPr>
      <t>1</t>
    </r>
    <r>
      <rPr>
        <vertAlign val="superscript"/>
        <sz val="8"/>
        <rFont val="Arial"/>
        <family val="2"/>
      </rPr>
      <t>2</t>
    </r>
    <r>
      <rPr>
        <sz val="8"/>
        <rFont val="Arial"/>
        <family val="1"/>
        <charset val="2"/>
      </rPr>
      <t>)/(2 x g)</t>
    </r>
  </si>
  <si>
    <t>WL</t>
  </si>
  <si>
    <r>
      <t>h</t>
    </r>
    <r>
      <rPr>
        <vertAlign val="subscript"/>
        <sz val="8"/>
        <rFont val="Arial"/>
        <family val="2"/>
      </rPr>
      <t>f</t>
    </r>
  </si>
  <si>
    <t>Station</t>
  </si>
  <si>
    <t>HM</t>
  </si>
  <si>
    <t>Name of Canal</t>
  </si>
  <si>
    <t>Hydraulic Calculations of Irrigation Culverts</t>
  </si>
  <si>
    <t>Blu</t>
  </si>
  <si>
    <t>Wlu</t>
  </si>
  <si>
    <t>Hu</t>
  </si>
  <si>
    <r>
      <t>v</t>
    </r>
    <r>
      <rPr>
        <vertAlign val="subscript"/>
        <sz val="8"/>
        <rFont val="Arial"/>
        <family val="2"/>
      </rPr>
      <t>u</t>
    </r>
  </si>
  <si>
    <r>
      <t>v</t>
    </r>
    <r>
      <rPr>
        <vertAlign val="subscript"/>
        <sz val="8"/>
        <rFont val="Arial"/>
        <family val="2"/>
      </rPr>
      <t>Hu</t>
    </r>
  </si>
  <si>
    <r>
      <t>E</t>
    </r>
    <r>
      <rPr>
        <vertAlign val="subscript"/>
        <sz val="8"/>
        <rFont val="Arial"/>
        <family val="2"/>
      </rPr>
      <t>u</t>
    </r>
  </si>
  <si>
    <r>
      <t>E</t>
    </r>
    <r>
      <rPr>
        <vertAlign val="subscript"/>
        <sz val="8"/>
        <rFont val="Arial"/>
        <family val="2"/>
      </rPr>
      <t>d</t>
    </r>
  </si>
  <si>
    <t>Canal Data</t>
  </si>
  <si>
    <t>Upstream</t>
  </si>
  <si>
    <t>Downstream</t>
  </si>
  <si>
    <r>
      <t>H</t>
    </r>
    <r>
      <rPr>
        <vertAlign val="subscript"/>
        <sz val="8"/>
        <rFont val="Arial"/>
        <family val="2"/>
      </rPr>
      <t>d</t>
    </r>
  </si>
  <si>
    <r>
      <t>v</t>
    </r>
    <r>
      <rPr>
        <vertAlign val="subscript"/>
        <sz val="8"/>
        <rFont val="Arial"/>
        <family val="2"/>
      </rPr>
      <t>d</t>
    </r>
  </si>
  <si>
    <r>
      <t>E</t>
    </r>
    <r>
      <rPr>
        <vertAlign val="subscript"/>
        <sz val="8"/>
        <rFont val="Arial"/>
        <family val="2"/>
      </rPr>
      <t>Lu</t>
    </r>
  </si>
  <si>
    <r>
      <t>E</t>
    </r>
    <r>
      <rPr>
        <vertAlign val="subscript"/>
        <sz val="8"/>
        <rFont val="Arial"/>
        <family val="2"/>
      </rPr>
      <t>Ld</t>
    </r>
  </si>
  <si>
    <t>Basic Geometry data</t>
  </si>
  <si>
    <t>Length of Upstream Transition</t>
  </si>
  <si>
    <t>Length of Downstream Transition</t>
  </si>
  <si>
    <t>Height of Culvert</t>
  </si>
  <si>
    <t>Water Surface Width</t>
  </si>
  <si>
    <t>Wu</t>
  </si>
  <si>
    <t>Wd</t>
  </si>
  <si>
    <t>Bed Widh</t>
  </si>
  <si>
    <r>
      <t>b</t>
    </r>
    <r>
      <rPr>
        <vertAlign val="subscript"/>
        <sz val="8"/>
        <rFont val="Arial"/>
        <family val="2"/>
      </rPr>
      <t>us</t>
    </r>
  </si>
  <si>
    <r>
      <t>b</t>
    </r>
    <r>
      <rPr>
        <vertAlign val="subscript"/>
        <sz val="8"/>
        <rFont val="Arial"/>
        <family val="2"/>
      </rPr>
      <t>ds</t>
    </r>
  </si>
  <si>
    <t>Side Slope</t>
  </si>
  <si>
    <t>H</t>
  </si>
  <si>
    <t>Li</t>
  </si>
  <si>
    <t>Lo</t>
  </si>
  <si>
    <t>US - Transition = 1.92098 (Wu-Wc)/2</t>
  </si>
  <si>
    <t>DS - Transition =2.41421 (Wd-Wc)/2</t>
  </si>
  <si>
    <t>Hu /(0.8)</t>
  </si>
  <si>
    <t>Longitudinal Slope</t>
  </si>
  <si>
    <t>Iu</t>
  </si>
  <si>
    <t>Id</t>
  </si>
  <si>
    <t>Ic</t>
  </si>
  <si>
    <t>Strikler Coefficient</t>
  </si>
  <si>
    <t>F40*F41-2*((F40-1)*F47)*F52</t>
  </si>
  <si>
    <t>Total Width of Culvert</t>
  </si>
  <si>
    <r>
      <rPr>
        <sz val="8"/>
        <rFont val="Symbol"/>
        <family val="1"/>
        <charset val="2"/>
      </rPr>
      <t>H</t>
    </r>
    <r>
      <rPr>
        <vertAlign val="subscript"/>
        <sz val="8"/>
        <rFont val="Arial"/>
        <family val="2"/>
      </rPr>
      <t>loss</t>
    </r>
    <r>
      <rPr>
        <sz val="8"/>
        <rFont val="Symbol"/>
        <family val="1"/>
        <charset val="2"/>
      </rPr>
      <t xml:space="preserve"> = x</t>
    </r>
    <r>
      <rPr>
        <vertAlign val="subscript"/>
        <sz val="8"/>
        <rFont val="Arial"/>
        <family val="2"/>
      </rPr>
      <t>in</t>
    </r>
    <r>
      <rPr>
        <sz val="8"/>
        <rFont val="Arial"/>
        <family val="1"/>
        <charset val="2"/>
      </rPr>
      <t xml:space="preserve"> x (v</t>
    </r>
    <r>
      <rPr>
        <vertAlign val="subscript"/>
        <sz val="8"/>
        <rFont val="Arial"/>
        <family val="2"/>
      </rPr>
      <t>2</t>
    </r>
    <r>
      <rPr>
        <sz val="8"/>
        <rFont val="Arial"/>
        <family val="1"/>
        <charset val="2"/>
      </rPr>
      <t xml:space="preserve"> - v</t>
    </r>
    <r>
      <rPr>
        <vertAlign val="subscript"/>
        <sz val="8"/>
        <rFont val="Arial"/>
        <family val="2"/>
      </rPr>
      <t>f</t>
    </r>
    <r>
      <rPr>
        <sz val="8"/>
        <rFont val="Arial"/>
        <family val="1"/>
        <charset val="2"/>
      </rPr>
      <t>)/(2 x g)</t>
    </r>
  </si>
  <si>
    <t>cm</t>
  </si>
  <si>
    <t>Transition Angle</t>
    <phoneticPr fontId="2"/>
  </si>
  <si>
    <t>U/stream</t>
    <phoneticPr fontId="2"/>
  </si>
  <si>
    <r>
      <t>27</t>
    </r>
    <r>
      <rPr>
        <vertAlign val="superscript"/>
        <sz val="10"/>
        <rFont val="Times New Roman"/>
        <family val="1"/>
      </rPr>
      <t>o</t>
    </r>
    <r>
      <rPr>
        <sz val="10"/>
        <rFont val="Times New Roman"/>
        <family val="1"/>
      </rPr>
      <t>30'</t>
    </r>
  </si>
  <si>
    <t>D/stream</t>
    <phoneticPr fontId="2"/>
  </si>
  <si>
    <r>
      <t>22</t>
    </r>
    <r>
      <rPr>
        <vertAlign val="superscript"/>
        <sz val="10"/>
        <rFont val="Times New Roman"/>
        <family val="1"/>
      </rPr>
      <t>o</t>
    </r>
    <r>
      <rPr>
        <sz val="10"/>
        <rFont val="Times New Roman"/>
        <family val="1"/>
      </rPr>
      <t>30'</t>
    </r>
  </si>
  <si>
    <t>US</t>
  </si>
  <si>
    <t>h</t>
  </si>
  <si>
    <t>b</t>
  </si>
  <si>
    <t>v</t>
  </si>
  <si>
    <t>i</t>
  </si>
  <si>
    <t>Headloss Requirement</t>
  </si>
  <si>
    <t>124,2</t>
  </si>
  <si>
    <t>Sek. BWS 1 - BWS 2</t>
  </si>
  <si>
    <t>ID</t>
  </si>
  <si>
    <t>Petak</t>
  </si>
  <si>
    <t>Saluran</t>
  </si>
  <si>
    <t>A</t>
  </si>
  <si>
    <t>w</t>
  </si>
  <si>
    <t>k</t>
  </si>
  <si>
    <t>n</t>
  </si>
  <si>
    <t>V</t>
  </si>
  <si>
    <t>Tersier</t>
  </si>
  <si>
    <t>(ha)</t>
  </si>
  <si>
    <t>(lt/dt)</t>
  </si>
  <si>
    <t>(m)</t>
  </si>
  <si>
    <t>(m1/3/dt)</t>
  </si>
  <si>
    <t>(m/dt)</t>
  </si>
  <si>
    <t>BWS 2e</t>
  </si>
  <si>
    <t>Wanasari SSC</t>
  </si>
  <si>
    <t>ZAN/HPA</t>
  </si>
  <si>
    <t>DW/JT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</si>
</sst>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64" formatCode="0.000"/>
    <numFmt numFmtId="165" formatCode="0.0"/>
    <numFmt numFmtId="166" formatCode="\&lt;\=\ 0.00&quot; m/s&quot;"/>
    <numFmt numFmtId="167" formatCode="0.0000"/>
    <numFmt numFmtId="168" formatCode="0.00000"/>
    <numFmt numFmtId="169" formatCode="0.000000"/>
  </numFmts>
  <fonts count="24">
    <font>
      <sz val="10"/>
      <name val="Arial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8"/>
      <name val="Arial"/>
      <family val="2"/>
    </font>
    <font>
      <sz val="12"/>
      <color indexed="8"/>
      <name val="Arial"/>
      <family val="2"/>
    </font>
    <font>
      <sz val="10"/>
      <color indexed="8"/>
      <name val="Arial"/>
      <family val="2"/>
    </font>
    <font>
      <sz val="9"/>
      <color indexed="8"/>
      <name val="Arial"/>
      <family val="2"/>
    </font>
    <font>
      <sz val="7"/>
      <color indexed="8"/>
      <name val="Arial"/>
      <family val="2"/>
    </font>
    <font>
      <sz val="10"/>
      <name val="Arial"/>
      <family val="2"/>
    </font>
    <font>
      <b/>
      <sz val="16"/>
      <name val="Arial"/>
      <family val="2"/>
    </font>
    <font>
      <b/>
      <sz val="8"/>
      <name val="Arial"/>
      <family val="2"/>
    </font>
    <font>
      <vertAlign val="superscript"/>
      <sz val="8"/>
      <name val="Arial"/>
      <family val="2"/>
    </font>
    <font>
      <sz val="8"/>
      <name val="Symbol"/>
      <family val="1"/>
      <charset val="2"/>
    </font>
    <font>
      <vertAlign val="subscript"/>
      <sz val="8"/>
      <name val="Arial"/>
      <family val="2"/>
    </font>
    <font>
      <b/>
      <u/>
      <sz val="8"/>
      <name val="Arial"/>
      <family val="2"/>
    </font>
    <font>
      <sz val="8"/>
      <name val="Arial"/>
      <family val="1"/>
      <charset val="2"/>
    </font>
    <font>
      <sz val="8"/>
      <color rgb="FF0070C0"/>
      <name val="Arial"/>
      <family val="2"/>
    </font>
    <font>
      <sz val="10"/>
      <color rgb="FF0070C0"/>
      <name val="Arial"/>
      <family val="2"/>
    </font>
    <font>
      <sz val="9"/>
      <color rgb="FF0070C0"/>
      <name val="Arial"/>
      <family val="2"/>
    </font>
    <font>
      <sz val="6"/>
      <color rgb="FF000000"/>
      <name val="Arial"/>
      <family val="2"/>
    </font>
    <font>
      <sz val="12"/>
      <name val="Osaka"/>
      <family val="3"/>
      <charset val="128"/>
    </font>
    <font>
      <sz val="10"/>
      <name val="Times New Roman"/>
      <family val="1"/>
    </font>
    <font>
      <vertAlign val="superscript"/>
      <sz val="10"/>
      <name val="Times New Roman"/>
      <family val="1"/>
    </font>
    <font>
      <sz val="11"/>
      <color theme="1"/>
      <name val="Calibri"/>
      <family val="2"/>
      <charset val="1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</borders>
  <cellStyleXfs count="10">
    <xf numFmtId="0" fontId="0" fillId="0" borderId="0"/>
    <xf numFmtId="0" fontId="8" fillId="0" borderId="0"/>
    <xf numFmtId="0" fontId="2" fillId="0" borderId="0"/>
    <xf numFmtId="0" fontId="1" fillId="0" borderId="0"/>
    <xf numFmtId="0" fontId="20" fillId="0" borderId="0"/>
    <xf numFmtId="0" fontId="8" fillId="0" borderId="0"/>
    <xf numFmtId="0" fontId="1" fillId="0" borderId="0"/>
    <xf numFmtId="0" fontId="21" fillId="0" borderId="0"/>
    <xf numFmtId="0" fontId="23" fillId="0" borderId="0"/>
    <xf numFmtId="41" fontId="23" fillId="0" borderId="0" applyFont="0" applyFill="0" applyBorder="0" applyAlignment="0" applyProtection="0"/>
  </cellStyleXfs>
  <cellXfs count="86">
    <xf numFmtId="0" fontId="0" fillId="0" borderId="0" xfId="0"/>
    <xf numFmtId="0" fontId="4" fillId="0" borderId="0" xfId="2" applyFont="1"/>
    <xf numFmtId="0" fontId="7" fillId="0" borderId="0" xfId="2" applyFont="1" applyAlignment="1">
      <alignment horizontal="center" vertical="center" wrapText="1"/>
    </xf>
    <xf numFmtId="0" fontId="4" fillId="0" borderId="3" xfId="2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3" xfId="0" applyBorder="1" applyAlignment="1">
      <alignment vertical="center"/>
    </xf>
    <xf numFmtId="0" fontId="3" fillId="0" borderId="0" xfId="0" applyFont="1"/>
    <xf numFmtId="0" fontId="10" fillId="0" borderId="2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3" fillId="0" borderId="3" xfId="0" applyFont="1" applyBorder="1" applyAlignment="1">
      <alignment vertical="center"/>
    </xf>
    <xf numFmtId="0" fontId="3" fillId="0" borderId="3" xfId="0" applyFont="1" applyBorder="1"/>
    <xf numFmtId="164" fontId="3" fillId="0" borderId="1" xfId="0" applyNumberFormat="1" applyFont="1" applyBorder="1" applyAlignment="1">
      <alignment horizontal="center" vertical="center"/>
    </xf>
    <xf numFmtId="2" fontId="3" fillId="0" borderId="1" xfId="0" applyNumberFormat="1" applyFont="1" applyBorder="1" applyAlignment="1">
      <alignment horizontal="center" vertical="center"/>
    </xf>
    <xf numFmtId="0" fontId="3" fillId="0" borderId="2" xfId="0" applyFont="1" applyBorder="1"/>
    <xf numFmtId="0" fontId="3" fillId="0" borderId="5" xfId="0" applyFont="1" applyBorder="1"/>
    <xf numFmtId="164" fontId="3" fillId="0" borderId="0" xfId="0" applyNumberFormat="1" applyFont="1"/>
    <xf numFmtId="2" fontId="16" fillId="2" borderId="1" xfId="0" applyNumberFormat="1" applyFont="1" applyFill="1" applyBorder="1" applyAlignment="1" applyProtection="1">
      <alignment horizontal="center" vertical="center"/>
      <protection locked="0"/>
    </xf>
    <xf numFmtId="164" fontId="16" fillId="2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8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165" fontId="0" fillId="0" borderId="1" xfId="0" applyNumberFormat="1" applyBorder="1" applyAlignment="1">
      <alignment horizontal="left" vertical="center"/>
    </xf>
    <xf numFmtId="2" fontId="0" fillId="0" borderId="0" xfId="0" applyNumberFormat="1" applyAlignment="1">
      <alignment horizontal="left" vertical="center"/>
    </xf>
    <xf numFmtId="164" fontId="3" fillId="0" borderId="1" xfId="0" applyNumberFormat="1" applyFont="1" applyBorder="1" applyAlignment="1">
      <alignment horizontal="left" vertical="center"/>
    </xf>
    <xf numFmtId="0" fontId="0" fillId="0" borderId="0" xfId="0" applyAlignment="1">
      <alignment horizontal="left"/>
    </xf>
    <xf numFmtId="14" fontId="18" fillId="2" borderId="1" xfId="2" applyNumberFormat="1" applyFont="1" applyFill="1" applyBorder="1" applyAlignment="1" applyProtection="1">
      <alignment horizontal="center" vertical="center"/>
      <protection locked="0"/>
    </xf>
    <xf numFmtId="0" fontId="4" fillId="2" borderId="1" xfId="2" applyFont="1" applyFill="1" applyBorder="1" applyAlignment="1" applyProtection="1">
      <alignment vertical="center"/>
      <protection locked="0"/>
    </xf>
    <xf numFmtId="0" fontId="5" fillId="0" borderId="1" xfId="2" applyFont="1" applyBorder="1" applyAlignment="1">
      <alignment horizontal="center" vertical="center"/>
    </xf>
    <xf numFmtId="0" fontId="0" fillId="2" borderId="1" xfId="0" applyFill="1" applyBorder="1" applyAlignment="1" applyProtection="1">
      <alignment vertical="center"/>
      <protection locked="0"/>
    </xf>
    <xf numFmtId="0" fontId="5" fillId="0" borderId="1" xfId="2" applyFont="1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0" xfId="0" applyAlignment="1">
      <alignment vertical="center" wrapText="1"/>
    </xf>
    <xf numFmtId="0" fontId="6" fillId="0" borderId="0" xfId="2" applyFont="1" applyAlignment="1">
      <alignment vertical="center"/>
    </xf>
    <xf numFmtId="0" fontId="6" fillId="0" borderId="0" xfId="2" applyFont="1" applyAlignment="1">
      <alignment horizontal="left" vertical="center"/>
    </xf>
    <xf numFmtId="14" fontId="6" fillId="0" borderId="0" xfId="2" applyNumberFormat="1" applyFont="1" applyAlignment="1">
      <alignment horizontal="left" vertical="center"/>
    </xf>
    <xf numFmtId="0" fontId="9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4" fillId="0" borderId="0" xfId="0" applyFont="1" applyAlignment="1">
      <alignment vertical="center" wrapText="1"/>
    </xf>
    <xf numFmtId="2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right" vertical="center" indent="1"/>
    </xf>
    <xf numFmtId="0" fontId="3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10" fillId="0" borderId="0" xfId="0" applyFont="1" applyAlignment="1">
      <alignment vertical="center"/>
    </xf>
    <xf numFmtId="0" fontId="15" fillId="0" borderId="0" xfId="0" applyFont="1" applyAlignment="1">
      <alignment horizontal="right" vertical="center" indent="1"/>
    </xf>
    <xf numFmtId="2" fontId="3" fillId="0" borderId="0" xfId="0" applyNumberFormat="1" applyFont="1" applyAlignment="1">
      <alignment horizontal="left" vertical="center"/>
    </xf>
    <xf numFmtId="0" fontId="0" fillId="0" borderId="6" xfId="0" applyBorder="1" applyAlignment="1">
      <alignment vertical="center"/>
    </xf>
    <xf numFmtId="0" fontId="18" fillId="2" borderId="1" xfId="2" applyFont="1" applyFill="1" applyBorder="1" applyAlignment="1" applyProtection="1">
      <alignment horizontal="center" vertical="center"/>
      <protection locked="0"/>
    </xf>
    <xf numFmtId="0" fontId="6" fillId="0" borderId="1" xfId="2" applyFont="1" applyBorder="1" applyAlignment="1">
      <alignment vertical="center"/>
    </xf>
    <xf numFmtId="166" fontId="3" fillId="0" borderId="0" xfId="0" applyNumberFormat="1" applyFont="1" applyAlignment="1">
      <alignment horizontal="left" vertical="center"/>
    </xf>
    <xf numFmtId="167" fontId="3" fillId="0" borderId="1" xfId="0" applyNumberFormat="1" applyFont="1" applyBorder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0" fontId="3" fillId="0" borderId="2" xfId="0" applyFont="1" applyBorder="1" applyAlignment="1">
      <alignment vertical="center"/>
    </xf>
    <xf numFmtId="0" fontId="3" fillId="0" borderId="2" xfId="0" applyFont="1" applyBorder="1" applyAlignment="1">
      <alignment vertical="center" wrapText="1"/>
    </xf>
    <xf numFmtId="0" fontId="3" fillId="0" borderId="2" xfId="0" applyFont="1" applyBorder="1" applyAlignment="1">
      <alignment horizontal="right" vertical="center" indent="1"/>
    </xf>
    <xf numFmtId="0" fontId="10" fillId="0" borderId="2" xfId="0" applyFont="1" applyBorder="1" applyAlignment="1">
      <alignment horizontal="left" vertical="center"/>
    </xf>
    <xf numFmtId="0" fontId="8" fillId="0" borderId="0" xfId="0" applyFont="1" applyAlignment="1">
      <alignment vertical="center"/>
    </xf>
    <xf numFmtId="0" fontId="21" fillId="0" borderId="0" xfId="4" applyFont="1"/>
    <xf numFmtId="168" fontId="16" fillId="2" borderId="1" xfId="0" applyNumberFormat="1" applyFont="1" applyFill="1" applyBorder="1" applyAlignment="1" applyProtection="1">
      <alignment horizontal="center" vertical="center"/>
      <protection locked="0"/>
    </xf>
    <xf numFmtId="165" fontId="16" fillId="2" borderId="1" xfId="0" applyNumberFormat="1" applyFont="1" applyFill="1" applyBorder="1" applyAlignment="1" applyProtection="1">
      <alignment horizontal="center" vertical="center"/>
      <protection locked="0"/>
    </xf>
    <xf numFmtId="168" fontId="3" fillId="0" borderId="1" xfId="0" applyNumberFormat="1" applyFont="1" applyBorder="1" applyAlignment="1">
      <alignment horizontal="center" vertical="center"/>
    </xf>
    <xf numFmtId="168" fontId="3" fillId="0" borderId="0" xfId="0" applyNumberFormat="1" applyFont="1" applyAlignment="1">
      <alignment horizontal="left" vertical="center"/>
    </xf>
    <xf numFmtId="1" fontId="16" fillId="2" borderId="1" xfId="0" applyNumberFormat="1" applyFont="1" applyFill="1" applyBorder="1" applyAlignment="1" applyProtection="1">
      <alignment horizontal="center" vertical="center"/>
      <protection locked="0"/>
    </xf>
    <xf numFmtId="165" fontId="3" fillId="0" borderId="1" xfId="0" applyNumberFormat="1" applyFont="1" applyBorder="1" applyAlignment="1">
      <alignment horizontal="center" vertical="center"/>
    </xf>
    <xf numFmtId="0" fontId="23" fillId="0" borderId="7" xfId="8" applyBorder="1" applyAlignment="1">
      <alignment horizontal="center"/>
    </xf>
    <xf numFmtId="0" fontId="23" fillId="0" borderId="8" xfId="8" applyBorder="1" applyAlignment="1">
      <alignment horizontal="center"/>
    </xf>
    <xf numFmtId="2" fontId="23" fillId="0" borderId="8" xfId="8" applyNumberFormat="1" applyBorder="1" applyAlignment="1">
      <alignment horizontal="center"/>
    </xf>
    <xf numFmtId="1" fontId="23" fillId="0" borderId="8" xfId="8" applyNumberFormat="1" applyBorder="1" applyAlignment="1">
      <alignment horizontal="center"/>
    </xf>
    <xf numFmtId="164" fontId="23" fillId="0" borderId="8" xfId="8" applyNumberFormat="1" applyBorder="1" applyAlignment="1">
      <alignment horizontal="center"/>
    </xf>
    <xf numFmtId="169" fontId="23" fillId="0" borderId="9" xfId="8" applyNumberFormat="1" applyBorder="1" applyAlignment="1">
      <alignment horizontal="center"/>
    </xf>
    <xf numFmtId="0" fontId="23" fillId="0" borderId="10" xfId="8" applyBorder="1" applyAlignment="1">
      <alignment horizontal="center"/>
    </xf>
    <xf numFmtId="0" fontId="23" fillId="0" borderId="11" xfId="8" applyBorder="1" applyAlignment="1">
      <alignment horizontal="center"/>
    </xf>
    <xf numFmtId="2" fontId="23" fillId="0" borderId="11" xfId="8" applyNumberFormat="1" applyBorder="1" applyAlignment="1">
      <alignment horizontal="center"/>
    </xf>
    <xf numFmtId="1" fontId="23" fillId="0" borderId="11" xfId="8" applyNumberFormat="1" applyBorder="1" applyAlignment="1">
      <alignment horizontal="center"/>
    </xf>
    <xf numFmtId="164" fontId="23" fillId="0" borderId="11" xfId="8" applyNumberFormat="1" applyBorder="1" applyAlignment="1">
      <alignment horizontal="center"/>
    </xf>
    <xf numFmtId="169" fontId="23" fillId="0" borderId="12" xfId="8" applyNumberFormat="1" applyBorder="1" applyAlignment="1">
      <alignment horizontal="center"/>
    </xf>
    <xf numFmtId="0" fontId="3" fillId="0" borderId="0" xfId="0" applyFont="1" applyAlignment="1">
      <alignment vertical="center" wrapText="1"/>
    </xf>
    <xf numFmtId="0" fontId="7" fillId="0" borderId="1" xfId="2" applyFont="1" applyBorder="1" applyAlignment="1">
      <alignment horizontal="center" vertical="center" wrapText="1"/>
    </xf>
    <xf numFmtId="0" fontId="18" fillId="2" borderId="1" xfId="2" applyFont="1" applyFill="1" applyBorder="1" applyAlignment="1" applyProtection="1">
      <alignment horizontal="center" vertical="center"/>
      <protection locked="0"/>
    </xf>
    <xf numFmtId="0" fontId="17" fillId="2" borderId="1" xfId="0" applyFont="1" applyFill="1" applyBorder="1" applyAlignment="1" applyProtection="1">
      <alignment horizontal="left" vertical="center" wrapText="1"/>
      <protection locked="0"/>
    </xf>
    <xf numFmtId="0" fontId="0" fillId="0" borderId="1" xfId="0" applyBorder="1" applyAlignment="1">
      <alignment horizontal="left" vertical="center"/>
    </xf>
    <xf numFmtId="0" fontId="17" fillId="2" borderId="1" xfId="0" applyFont="1" applyFill="1" applyBorder="1" applyAlignment="1" applyProtection="1">
      <alignment horizontal="left" vertical="center"/>
      <protection locked="0"/>
    </xf>
    <xf numFmtId="0" fontId="8" fillId="0" borderId="1" xfId="0" applyFont="1" applyBorder="1" applyAlignment="1">
      <alignment horizontal="left" vertical="center"/>
    </xf>
    <xf numFmtId="0" fontId="0" fillId="0" borderId="1" xfId="0" applyBorder="1" applyAlignment="1">
      <alignment horizontal="center" vertical="center"/>
    </xf>
  </cellXfs>
  <cellStyles count="10">
    <cellStyle name="Comma [0] 2" xfId="9" xr:uid="{73507F2C-A10E-4C38-AEDD-3144579875DD}"/>
    <cellStyle name="Normal" xfId="0" builtinId="0"/>
    <cellStyle name="Normal 2" xfId="1" xr:uid="{00000000-0005-0000-0000-000001000000}"/>
    <cellStyle name="Normal 2 2" xfId="7" xr:uid="{A78657D1-60B1-4A99-8D65-029463883842}"/>
    <cellStyle name="Normal 2 3" xfId="8" xr:uid="{EB166A02-1590-4E40-B6E4-77DB587D791C}"/>
    <cellStyle name="Normal 3" xfId="3" xr:uid="{AFBFF592-0DD3-4C57-9E48-98D5095C3A4F}"/>
    <cellStyle name="Normal 3 2" xfId="5" xr:uid="{4F4DEFF0-34FD-4E30-B218-A2D3D62E757E}"/>
    <cellStyle name="Normal 4 2" xfId="6" xr:uid="{CBA2E1B5-668E-4A69-93C7-EC6CB8458B3C}"/>
    <cellStyle name="Normal 5" xfId="4" xr:uid="{4ACBBE4A-E828-4038-B7AD-B4E4D10C48B6}"/>
    <cellStyle name="Normal_Camden Strut Design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268054</xdr:colOff>
      <xdr:row>0</xdr:row>
      <xdr:rowOff>64770</xdr:rowOff>
    </xdr:from>
    <xdr:to>
      <xdr:col>12</xdr:col>
      <xdr:colOff>358140</xdr:colOff>
      <xdr:row>3</xdr:row>
      <xdr:rowOff>133350</xdr:rowOff>
    </xdr:to>
    <xdr:pic>
      <xdr:nvPicPr>
        <xdr:cNvPr id="122903" name="Picture 2">
          <a:extLst>
            <a:ext uri="{FF2B5EF4-FFF2-40B4-BE49-F238E27FC236}">
              <a16:creationId xmlns:a16="http://schemas.microsoft.com/office/drawing/2014/main" id="{00000000-0008-0000-0000-000017E0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65094" y="64770"/>
          <a:ext cx="996866" cy="807720"/>
        </a:xfrm>
        <a:prstGeom prst="rect">
          <a:avLst/>
        </a:prstGeom>
        <a:noFill/>
        <a:ln w="9525">
          <a:solidFill>
            <a:srgbClr val="7F7F7F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62</xdr:row>
          <xdr:rowOff>0</xdr:rowOff>
        </xdr:from>
        <xdr:to>
          <xdr:col>8</xdr:col>
          <xdr:colOff>167640</xdr:colOff>
          <xdr:row>63</xdr:row>
          <xdr:rowOff>0</xdr:rowOff>
        </xdr:to>
        <xdr:sp macro="" textlink="">
          <xdr:nvSpPr>
            <xdr:cNvPr id="122884" name="Button 4" hidden="1">
              <a:extLst>
                <a:ext uri="{63B3BB69-23CF-44E3-9099-C40C66FF867C}">
                  <a14:compatExt spid="_x0000_s122884"/>
                </a:ext>
                <a:ext uri="{FF2B5EF4-FFF2-40B4-BE49-F238E27FC236}">
                  <a16:creationId xmlns:a16="http://schemas.microsoft.com/office/drawing/2014/main" id="{00000000-0008-0000-0000-000004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ID" sz="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Same Energy head as downstream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628651</xdr:colOff>
      <xdr:row>7</xdr:row>
      <xdr:rowOff>171452</xdr:rowOff>
    </xdr:from>
    <xdr:to>
      <xdr:col>9</xdr:col>
      <xdr:colOff>171451</xdr:colOff>
      <xdr:row>15</xdr:row>
      <xdr:rowOff>74376</xdr:rowOff>
    </xdr:to>
    <xdr:pic>
      <xdr:nvPicPr>
        <xdr:cNvPr id="2" name="ピクチャ 2">
          <a:extLst>
            <a:ext uri="{FF2B5EF4-FFF2-40B4-BE49-F238E27FC236}">
              <a16:creationId xmlns:a16="http://schemas.microsoft.com/office/drawing/2014/main" id="{07252143-7DAF-4437-A4E7-D68858B632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6301" y="1783082"/>
          <a:ext cx="5364480" cy="1914604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pageSetUpPr fitToPage="1"/>
  </sheetPr>
  <dimension ref="A1:AP96"/>
  <sheetViews>
    <sheetView showGridLines="0" tabSelected="1" view="pageBreakPreview" zoomScaleNormal="100" zoomScaleSheetLayoutView="100" workbookViewId="0">
      <selection activeCell="K10" sqref="K10"/>
    </sheetView>
  </sheetViews>
  <sheetFormatPr defaultRowHeight="13.2"/>
  <cols>
    <col min="1" max="1" width="3.5546875" customWidth="1"/>
    <col min="2" max="10" width="10.5546875" customWidth="1"/>
    <col min="11" max="11" width="6.88671875" customWidth="1"/>
    <col min="12" max="12" width="6.21875" customWidth="1"/>
    <col min="13" max="13" width="7.33203125" customWidth="1"/>
    <col min="14" max="14" width="4.33203125" customWidth="1"/>
  </cols>
  <sheetData>
    <row r="1" spans="1:14" ht="20.100000000000001" customHeight="1">
      <c r="A1" s="84" t="s">
        <v>0</v>
      </c>
      <c r="B1" s="84"/>
      <c r="C1" s="84"/>
      <c r="D1" s="84"/>
      <c r="E1" s="84"/>
      <c r="F1" s="84"/>
      <c r="G1" s="84"/>
      <c r="H1" s="31" t="s">
        <v>55</v>
      </c>
      <c r="I1" s="80">
        <v>422691</v>
      </c>
      <c r="J1" s="80"/>
      <c r="K1" s="79" t="s">
        <v>2</v>
      </c>
      <c r="L1" s="79"/>
      <c r="M1" s="79"/>
    </row>
    <row r="2" spans="1:14" ht="20.100000000000001" customHeight="1">
      <c r="A2" s="83" t="s">
        <v>37</v>
      </c>
      <c r="B2" s="83"/>
      <c r="C2" s="83"/>
      <c r="D2" s="83"/>
      <c r="E2" s="83"/>
      <c r="F2" s="83"/>
      <c r="G2" s="83"/>
      <c r="H2" s="31" t="s">
        <v>7</v>
      </c>
      <c r="I2" s="80"/>
      <c r="J2" s="80"/>
      <c r="K2" s="79"/>
      <c r="L2" s="79"/>
      <c r="M2" s="79"/>
    </row>
    <row r="3" spans="1:14" ht="20.100000000000001" customHeight="1">
      <c r="A3" s="82" t="s">
        <v>6</v>
      </c>
      <c r="B3" s="82"/>
      <c r="C3" s="82"/>
      <c r="D3" s="82"/>
      <c r="E3" s="82"/>
      <c r="F3" s="82"/>
      <c r="G3" s="82"/>
      <c r="H3" s="50" t="s">
        <v>56</v>
      </c>
      <c r="I3" s="80"/>
      <c r="J3" s="80"/>
      <c r="K3" s="79"/>
      <c r="L3" s="79"/>
      <c r="M3" s="79"/>
    </row>
    <row r="4" spans="1:14" ht="20.100000000000001" customHeight="1">
      <c r="A4" s="81" t="str">
        <f>"Hydraulic Calculation of Culvert - "&amp;" "&amp;F19</f>
        <v>Hydraulic Calculation of Culvert -  BWS 2e</v>
      </c>
      <c r="B4" s="81"/>
      <c r="C4" s="81"/>
      <c r="D4" s="81"/>
      <c r="E4" s="81"/>
      <c r="F4" s="81"/>
      <c r="G4" s="81"/>
      <c r="H4" s="50" t="s">
        <v>1</v>
      </c>
      <c r="I4" s="49" t="s">
        <v>153</v>
      </c>
      <c r="J4" s="27">
        <v>45539</v>
      </c>
      <c r="K4" s="79"/>
      <c r="L4" s="79"/>
      <c r="M4" s="79"/>
      <c r="N4" s="2"/>
    </row>
    <row r="5" spans="1:14" ht="20.100000000000001" customHeight="1">
      <c r="A5" s="81"/>
      <c r="B5" s="81"/>
      <c r="C5" s="81"/>
      <c r="D5" s="81"/>
      <c r="E5" s="81"/>
      <c r="F5" s="81"/>
      <c r="G5" s="81"/>
      <c r="H5" s="50" t="s">
        <v>3</v>
      </c>
      <c r="I5" s="49" t="s">
        <v>154</v>
      </c>
      <c r="J5" s="27"/>
      <c r="K5" s="28"/>
      <c r="L5" s="29" t="s">
        <v>4</v>
      </c>
      <c r="M5" s="30"/>
      <c r="N5" s="1"/>
    </row>
    <row r="6" spans="1:14" ht="8.1" customHeight="1">
      <c r="A6" s="32"/>
      <c r="B6" s="33"/>
      <c r="C6" s="33"/>
      <c r="D6" s="33"/>
      <c r="E6" s="33"/>
      <c r="F6" s="33"/>
      <c r="G6" s="33"/>
      <c r="H6" s="34"/>
      <c r="I6" s="34"/>
      <c r="J6" s="34"/>
      <c r="K6" s="35"/>
      <c r="L6" s="36"/>
      <c r="M6" s="3"/>
      <c r="N6" s="1"/>
    </row>
    <row r="7" spans="1:14" s="5" customFormat="1" ht="20.100000000000001" customHeight="1">
      <c r="A7" s="32"/>
      <c r="B7" s="37" t="s">
        <v>83</v>
      </c>
      <c r="C7" s="37"/>
      <c r="D7" s="37"/>
      <c r="E7" s="37"/>
      <c r="F7" s="37"/>
      <c r="M7" s="6"/>
    </row>
    <row r="8" spans="1:14" s="5" customFormat="1" ht="20.100000000000001" customHeight="1">
      <c r="A8" s="32"/>
      <c r="M8" s="6"/>
    </row>
    <row r="9" spans="1:14" s="5" customFormat="1" ht="20.100000000000001" customHeight="1">
      <c r="A9" s="32"/>
      <c r="M9" s="6"/>
    </row>
    <row r="10" spans="1:14" s="5" customFormat="1" ht="20.100000000000001" customHeight="1">
      <c r="A10" s="32"/>
      <c r="M10" s="6"/>
    </row>
    <row r="11" spans="1:14" s="5" customFormat="1" ht="20.100000000000001" customHeight="1">
      <c r="A11" s="32"/>
      <c r="M11" s="6"/>
    </row>
    <row r="12" spans="1:14" s="5" customFormat="1" ht="20.100000000000001" customHeight="1">
      <c r="A12" s="32"/>
      <c r="M12" s="6"/>
    </row>
    <row r="13" spans="1:14" s="5" customFormat="1" ht="20.100000000000001" customHeight="1">
      <c r="A13" s="32"/>
      <c r="M13" s="6"/>
    </row>
    <row r="14" spans="1:14" s="5" customFormat="1" ht="20.100000000000001" customHeight="1">
      <c r="A14" s="32"/>
      <c r="M14" s="6"/>
    </row>
    <row r="15" spans="1:14" s="5" customFormat="1" ht="20.100000000000001" customHeight="1">
      <c r="A15" s="32"/>
      <c r="M15" s="6"/>
    </row>
    <row r="16" spans="1:14" s="5" customFormat="1" ht="20.100000000000001" customHeight="1" thickBot="1">
      <c r="A16" s="32"/>
      <c r="M16" s="6"/>
    </row>
    <row r="17" spans="1:42" s="5" customFormat="1" ht="20.100000000000001" customHeight="1">
      <c r="A17" s="32"/>
      <c r="M17" s="6"/>
      <c r="P17" s="66" t="s">
        <v>137</v>
      </c>
      <c r="Q17" s="67" t="s">
        <v>138</v>
      </c>
      <c r="R17" s="67" t="s">
        <v>139</v>
      </c>
      <c r="S17" s="68" t="s">
        <v>140</v>
      </c>
      <c r="T17" s="69" t="s">
        <v>46</v>
      </c>
      <c r="U17" s="68" t="s">
        <v>131</v>
      </c>
      <c r="V17" s="68" t="s">
        <v>130</v>
      </c>
      <c r="W17" s="68" t="s">
        <v>141</v>
      </c>
      <c r="X17" s="68" t="s">
        <v>8</v>
      </c>
      <c r="Y17" s="69" t="s">
        <v>142</v>
      </c>
      <c r="Z17" s="68" t="s">
        <v>143</v>
      </c>
      <c r="AA17" s="70" t="s">
        <v>144</v>
      </c>
      <c r="AB17" s="71" t="s">
        <v>133</v>
      </c>
    </row>
    <row r="18" spans="1:42" s="5" customFormat="1" ht="20.100000000000001" customHeight="1">
      <c r="A18" s="32"/>
      <c r="M18" s="6"/>
      <c r="P18" s="72"/>
      <c r="Q18" s="73" t="s">
        <v>145</v>
      </c>
      <c r="R18" s="73"/>
      <c r="S18" s="74" t="s">
        <v>146</v>
      </c>
      <c r="T18" s="75" t="s">
        <v>147</v>
      </c>
      <c r="U18" s="74" t="s">
        <v>148</v>
      </c>
      <c r="V18" s="74" t="s">
        <v>148</v>
      </c>
      <c r="W18" s="74" t="s">
        <v>148</v>
      </c>
      <c r="X18" s="74"/>
      <c r="Y18" s="75" t="s">
        <v>149</v>
      </c>
      <c r="Z18" s="74"/>
      <c r="AA18" s="76" t="s">
        <v>150</v>
      </c>
      <c r="AB18" s="77"/>
    </row>
    <row r="19" spans="1:42" s="5" customFormat="1" ht="20.100000000000001" customHeight="1">
      <c r="A19" s="32"/>
      <c r="B19" s="58" t="s">
        <v>57</v>
      </c>
      <c r="C19" s="45"/>
      <c r="D19" s="45"/>
      <c r="E19" s="45"/>
      <c r="F19" s="18" t="s">
        <v>151</v>
      </c>
      <c r="M19" s="6"/>
      <c r="P19" s="5" t="s">
        <v>135</v>
      </c>
      <c r="R19" s="5" t="s">
        <v>136</v>
      </c>
      <c r="S19" s="5">
        <v>3759</v>
      </c>
      <c r="T19" s="5">
        <v>5.41296</v>
      </c>
      <c r="U19" s="5">
        <v>3.5</v>
      </c>
      <c r="V19" s="5">
        <v>1.3654848503113333</v>
      </c>
      <c r="W19" s="5">
        <v>0.75</v>
      </c>
      <c r="X19" s="5">
        <v>1.5</v>
      </c>
      <c r="Y19" s="5">
        <v>70</v>
      </c>
      <c r="Z19" s="5">
        <v>2.5631921139234852</v>
      </c>
      <c r="AA19" s="5">
        <v>0.71448594280148414</v>
      </c>
      <c r="AB19" s="5">
        <v>1.2E-4</v>
      </c>
      <c r="AC19" s="5">
        <v>2</v>
      </c>
      <c r="AD19" s="5">
        <v>5</v>
      </c>
      <c r="AE19" s="5">
        <v>1.5</v>
      </c>
      <c r="AF19" s="5">
        <v>0.3</v>
      </c>
      <c r="AG19" s="5">
        <v>0.1</v>
      </c>
      <c r="AH19" s="5">
        <v>2</v>
      </c>
      <c r="AI19" s="5">
        <v>0</v>
      </c>
      <c r="AJ19" s="5">
        <v>3</v>
      </c>
      <c r="AK19" s="5">
        <v>1</v>
      </c>
      <c r="AL19" s="5">
        <v>3</v>
      </c>
      <c r="AM19" s="5">
        <v>3</v>
      </c>
      <c r="AN19" s="5">
        <v>0</v>
      </c>
      <c r="AO19" s="5">
        <v>0.2</v>
      </c>
      <c r="AP19" s="5">
        <v>0.05</v>
      </c>
    </row>
    <row r="20" spans="1:42" s="5" customFormat="1" ht="20.100000000000001" customHeight="1">
      <c r="A20" s="32"/>
      <c r="B20" s="58" t="s">
        <v>82</v>
      </c>
      <c r="C20" s="45"/>
      <c r="D20" s="45"/>
      <c r="F20" s="18" t="s">
        <v>152</v>
      </c>
      <c r="H20" s="58"/>
      <c r="M20" s="6"/>
    </row>
    <row r="21" spans="1:42" s="5" customFormat="1" ht="20.100000000000001" customHeight="1">
      <c r="A21" s="32"/>
      <c r="B21" s="58" t="s">
        <v>80</v>
      </c>
      <c r="C21" s="45"/>
      <c r="D21" s="45"/>
      <c r="F21" s="18">
        <v>14000</v>
      </c>
      <c r="G21" s="43" t="s">
        <v>81</v>
      </c>
      <c r="H21" s="58"/>
      <c r="M21" s="6"/>
    </row>
    <row r="22" spans="1:42" s="5" customFormat="1" ht="20.100000000000001" customHeight="1">
      <c r="A22" s="32"/>
      <c r="B22" s="58"/>
      <c r="C22" s="45"/>
      <c r="D22" s="45"/>
      <c r="F22" s="39"/>
      <c r="G22" s="43"/>
      <c r="H22" s="58"/>
      <c r="M22" s="6"/>
    </row>
    <row r="23" spans="1:42" s="5" customFormat="1" ht="20.100000000000001" customHeight="1">
      <c r="A23" s="32"/>
      <c r="B23" s="38" t="s">
        <v>91</v>
      </c>
      <c r="C23" s="39"/>
      <c r="D23" s="39"/>
      <c r="F23" s="38" t="s">
        <v>92</v>
      </c>
      <c r="G23" s="40"/>
      <c r="I23" s="38" t="s">
        <v>93</v>
      </c>
      <c r="M23" s="6"/>
      <c r="T23" s="5">
        <f>T19/1000</f>
        <v>5.4129599999999996E-3</v>
      </c>
    </row>
    <row r="24" spans="1:42" s="7" customFormat="1" ht="20.100000000000001" customHeight="1">
      <c r="A24" s="32"/>
      <c r="B24" s="9" t="s">
        <v>45</v>
      </c>
      <c r="D24" s="7" t="s">
        <v>46</v>
      </c>
      <c r="E24" s="42" t="s">
        <v>46</v>
      </c>
      <c r="F24" s="61">
        <v>5.41296</v>
      </c>
      <c r="G24" s="43" t="s">
        <v>47</v>
      </c>
      <c r="H24" s="42" t="s">
        <v>46</v>
      </c>
      <c r="I24" s="61">
        <f>F24</f>
        <v>5.41296</v>
      </c>
      <c r="J24" s="43" t="s">
        <v>47</v>
      </c>
      <c r="K24" s="45"/>
      <c r="M24" s="11"/>
    </row>
    <row r="25" spans="1:42" s="5" customFormat="1" ht="20.100000000000001" customHeight="1">
      <c r="A25" s="32"/>
      <c r="B25" s="78" t="s">
        <v>13</v>
      </c>
      <c r="C25" s="78"/>
      <c r="D25" s="58" t="s">
        <v>129</v>
      </c>
      <c r="E25" s="42" t="s">
        <v>85</v>
      </c>
      <c r="F25" s="17">
        <v>25.379194564130586</v>
      </c>
      <c r="G25" s="43" t="s">
        <v>8</v>
      </c>
      <c r="H25" s="42" t="s">
        <v>78</v>
      </c>
      <c r="I25" s="17">
        <v>25.329194564130585</v>
      </c>
      <c r="J25" s="43" t="s">
        <v>8</v>
      </c>
      <c r="M25" s="6"/>
    </row>
    <row r="26" spans="1:42" s="5" customFormat="1" ht="20.100000000000001" customHeight="1">
      <c r="A26" s="32"/>
      <c r="B26" s="78" t="s">
        <v>14</v>
      </c>
      <c r="C26" s="78"/>
      <c r="D26" s="41" t="s">
        <v>130</v>
      </c>
      <c r="E26" s="42" t="s">
        <v>86</v>
      </c>
      <c r="F26" s="18">
        <v>1.3654848503113333</v>
      </c>
      <c r="G26" s="43" t="s">
        <v>8</v>
      </c>
      <c r="H26" s="42" t="s">
        <v>94</v>
      </c>
      <c r="I26" s="18">
        <f>F26</f>
        <v>1.3654848503113333</v>
      </c>
      <c r="J26" s="43" t="s">
        <v>8</v>
      </c>
      <c r="M26" s="6"/>
    </row>
    <row r="27" spans="1:42" s="5" customFormat="1" ht="20.100000000000001" customHeight="1">
      <c r="A27" s="32"/>
      <c r="B27" s="78" t="s">
        <v>18</v>
      </c>
      <c r="C27" s="78"/>
      <c r="D27" s="41"/>
      <c r="E27" s="42" t="s">
        <v>84</v>
      </c>
      <c r="F27" s="13">
        <f>F25-F26</f>
        <v>24.013709713819253</v>
      </c>
      <c r="G27" s="43" t="s">
        <v>8</v>
      </c>
      <c r="H27" s="42" t="s">
        <v>12</v>
      </c>
      <c r="I27" s="13">
        <f>I25-I26</f>
        <v>23.963709713819252</v>
      </c>
      <c r="J27" s="43" t="s">
        <v>8</v>
      </c>
      <c r="M27" s="6"/>
    </row>
    <row r="28" spans="1:42" s="5" customFormat="1" ht="20.100000000000001" customHeight="1">
      <c r="A28" s="32"/>
      <c r="B28" s="41" t="s">
        <v>105</v>
      </c>
      <c r="C28" s="41"/>
      <c r="D28" s="41" t="s">
        <v>131</v>
      </c>
      <c r="E28" s="42" t="s">
        <v>106</v>
      </c>
      <c r="F28" s="18">
        <v>3.5</v>
      </c>
      <c r="G28" s="43" t="s">
        <v>8</v>
      </c>
      <c r="H28" s="42" t="s">
        <v>107</v>
      </c>
      <c r="I28" s="18">
        <f>F28</f>
        <v>3.5</v>
      </c>
      <c r="J28" s="43" t="s">
        <v>8</v>
      </c>
      <c r="M28" s="6"/>
    </row>
    <row r="29" spans="1:42" s="5" customFormat="1" ht="20.100000000000001" customHeight="1">
      <c r="A29" s="32"/>
      <c r="B29" s="78" t="s">
        <v>15</v>
      </c>
      <c r="C29" s="78"/>
      <c r="D29" s="41" t="s">
        <v>132</v>
      </c>
      <c r="E29" s="42" t="s">
        <v>87</v>
      </c>
      <c r="F29" s="18">
        <v>0.71448594280148414</v>
      </c>
      <c r="G29" s="43" t="s">
        <v>17</v>
      </c>
      <c r="H29" s="42" t="s">
        <v>95</v>
      </c>
      <c r="I29" s="18">
        <f>F29</f>
        <v>0.71448594280148414</v>
      </c>
      <c r="J29" s="43" t="s">
        <v>17</v>
      </c>
      <c r="M29" s="6"/>
    </row>
    <row r="30" spans="1:42" s="5" customFormat="1" ht="20.100000000000001" customHeight="1">
      <c r="A30" s="32"/>
      <c r="B30" s="41" t="s">
        <v>108</v>
      </c>
      <c r="C30" s="41"/>
      <c r="D30" s="41" t="s">
        <v>8</v>
      </c>
      <c r="E30" s="42" t="s">
        <v>8</v>
      </c>
      <c r="F30" s="18">
        <v>1.5</v>
      </c>
      <c r="G30" s="43"/>
      <c r="H30" s="42" t="s">
        <v>8</v>
      </c>
      <c r="I30" s="18">
        <f>F30</f>
        <v>1.5</v>
      </c>
      <c r="J30" s="43"/>
      <c r="M30" s="6"/>
    </row>
    <row r="31" spans="1:42" s="5" customFormat="1" ht="20.100000000000001" customHeight="1">
      <c r="A31" s="32"/>
      <c r="B31" s="9" t="s">
        <v>115</v>
      </c>
      <c r="C31" s="41"/>
      <c r="D31" s="41" t="s">
        <v>133</v>
      </c>
      <c r="E31" s="42" t="s">
        <v>116</v>
      </c>
      <c r="F31" s="60">
        <v>1.2E-4</v>
      </c>
      <c r="G31" s="43"/>
      <c r="H31" s="42" t="s">
        <v>117</v>
      </c>
      <c r="I31" s="60">
        <f>F31</f>
        <v>1.2E-4</v>
      </c>
      <c r="J31" s="43"/>
      <c r="M31" s="6"/>
    </row>
    <row r="32" spans="1:42" s="5" customFormat="1" ht="20.100000000000001" customHeight="1">
      <c r="A32" s="32"/>
      <c r="B32" s="78" t="s">
        <v>10</v>
      </c>
      <c r="C32" s="78"/>
      <c r="D32" s="41"/>
      <c r="E32" s="42" t="s">
        <v>88</v>
      </c>
      <c r="F32" s="12">
        <f>F29^2/2/9.81</f>
        <v>2.601886658822251E-2</v>
      </c>
      <c r="G32" s="43" t="s">
        <v>8</v>
      </c>
      <c r="H32" s="42" t="s">
        <v>88</v>
      </c>
      <c r="I32" s="12">
        <f>I29^2/2/9.81</f>
        <v>2.601886658822251E-2</v>
      </c>
      <c r="J32" s="43" t="s">
        <v>8</v>
      </c>
      <c r="M32" s="6"/>
    </row>
    <row r="33" spans="1:26" s="5" customFormat="1" ht="20.100000000000001" customHeight="1">
      <c r="A33" s="32"/>
      <c r="B33" s="78" t="s">
        <v>11</v>
      </c>
      <c r="C33" s="78"/>
      <c r="D33" s="41"/>
      <c r="E33" s="42" t="s">
        <v>89</v>
      </c>
      <c r="F33" s="13">
        <f>F26+F32</f>
        <v>1.3915037168995559</v>
      </c>
      <c r="G33" s="43" t="s">
        <v>8</v>
      </c>
      <c r="H33" s="42" t="s">
        <v>90</v>
      </c>
      <c r="I33" s="13">
        <f>I26+I32</f>
        <v>1.3915037168995559</v>
      </c>
      <c r="J33" s="43" t="s">
        <v>8</v>
      </c>
      <c r="K33" s="45"/>
      <c r="L33" s="7"/>
      <c r="M33" s="6"/>
      <c r="Z33" s="5" t="s">
        <v>5</v>
      </c>
    </row>
    <row r="34" spans="1:26" s="9" customFormat="1" ht="20.100000000000001" customHeight="1">
      <c r="A34" s="32"/>
      <c r="B34" s="78" t="s">
        <v>16</v>
      </c>
      <c r="C34" s="78"/>
      <c r="D34" s="41"/>
      <c r="E34" s="42" t="s">
        <v>96</v>
      </c>
      <c r="F34" s="12">
        <f>F27+F33</f>
        <v>25.40521343071881</v>
      </c>
      <c r="G34" s="43" t="s">
        <v>8</v>
      </c>
      <c r="H34" s="42" t="s">
        <v>97</v>
      </c>
      <c r="I34" s="12">
        <f>I27+I33</f>
        <v>25.355213430718809</v>
      </c>
      <c r="J34" s="43" t="s">
        <v>8</v>
      </c>
      <c r="K34" s="45"/>
      <c r="L34" s="7"/>
      <c r="M34" s="10"/>
    </row>
    <row r="35" spans="1:26" s="9" customFormat="1" ht="20.100000000000001" customHeight="1">
      <c r="A35" s="32"/>
      <c r="B35" s="78" t="s">
        <v>102</v>
      </c>
      <c r="C35" s="78"/>
      <c r="D35" s="41"/>
      <c r="E35" s="42" t="s">
        <v>103</v>
      </c>
      <c r="F35" s="12">
        <f>F28+2*F30*F26</f>
        <v>7.5964545509340002</v>
      </c>
      <c r="G35" s="43" t="s">
        <v>8</v>
      </c>
      <c r="H35" s="42" t="s">
        <v>104</v>
      </c>
      <c r="I35" s="12">
        <f>I28+2*I30*I26</f>
        <v>7.5964545509340002</v>
      </c>
      <c r="J35" s="43" t="s">
        <v>8</v>
      </c>
      <c r="K35" s="45"/>
      <c r="L35" s="7"/>
      <c r="M35" s="10"/>
    </row>
    <row r="36" spans="1:26" s="7" customFormat="1" ht="20.100000000000001" customHeight="1">
      <c r="A36" s="32"/>
      <c r="H36" s="9"/>
      <c r="I36" s="9"/>
      <c r="J36" s="44"/>
      <c r="K36" s="45"/>
      <c r="M36" s="11"/>
    </row>
    <row r="37" spans="1:26" s="7" customFormat="1" ht="20.100000000000001" customHeight="1">
      <c r="A37" s="32"/>
      <c r="B37" s="38" t="s">
        <v>58</v>
      </c>
      <c r="C37" s="39"/>
      <c r="D37" s="39"/>
      <c r="J37" s="44"/>
      <c r="K37" s="45"/>
      <c r="M37" s="11"/>
    </row>
    <row r="38" spans="1:26" s="7" customFormat="1" ht="20.100000000000001" customHeight="1">
      <c r="A38" s="32"/>
      <c r="B38" s="78" t="s">
        <v>59</v>
      </c>
      <c r="C38" s="78"/>
      <c r="D38" s="41"/>
      <c r="E38" s="42" t="s">
        <v>53</v>
      </c>
      <c r="F38" s="17">
        <f>F27</f>
        <v>24.013709713819253</v>
      </c>
      <c r="G38" s="43" t="s">
        <v>8</v>
      </c>
      <c r="J38" s="44"/>
      <c r="K38" s="45"/>
      <c r="M38" s="11"/>
    </row>
    <row r="39" spans="1:26" s="7" customFormat="1" ht="20.100000000000001" customHeight="1">
      <c r="A39" s="32"/>
      <c r="B39" s="78" t="s">
        <v>60</v>
      </c>
      <c r="C39" s="78"/>
      <c r="D39" s="41"/>
      <c r="E39" s="42" t="s">
        <v>42</v>
      </c>
      <c r="F39" s="17">
        <v>1</v>
      </c>
      <c r="G39" s="43" t="s">
        <v>8</v>
      </c>
      <c r="J39" s="44"/>
      <c r="K39" s="45"/>
      <c r="M39" s="11"/>
    </row>
    <row r="40" spans="1:26" s="7" customFormat="1" ht="20.100000000000001" customHeight="1">
      <c r="A40" s="32"/>
      <c r="B40" s="78" t="s">
        <v>61</v>
      </c>
      <c r="C40" s="78"/>
      <c r="D40" s="41"/>
      <c r="E40" s="42" t="s">
        <v>43</v>
      </c>
      <c r="F40" s="17">
        <f>F28</f>
        <v>3.5</v>
      </c>
      <c r="G40" s="43" t="s">
        <v>8</v>
      </c>
      <c r="J40" s="44"/>
      <c r="K40" s="45"/>
      <c r="M40" s="11"/>
    </row>
    <row r="41" spans="1:26" s="7" customFormat="1" ht="20.100000000000001" customHeight="1">
      <c r="A41" s="32"/>
      <c r="B41" s="78" t="s">
        <v>63</v>
      </c>
      <c r="C41" s="78"/>
      <c r="D41" s="41"/>
      <c r="E41" s="42"/>
      <c r="F41" s="17">
        <v>6</v>
      </c>
      <c r="G41" s="43" t="s">
        <v>8</v>
      </c>
      <c r="J41" s="44"/>
      <c r="K41" s="45"/>
      <c r="M41" s="11"/>
    </row>
    <row r="42" spans="1:26" s="7" customFormat="1" ht="20.100000000000001" customHeight="1">
      <c r="A42" s="32"/>
      <c r="B42" s="41"/>
      <c r="C42" s="41"/>
      <c r="D42" s="41"/>
      <c r="E42" s="42"/>
      <c r="G42" s="43"/>
      <c r="J42" s="44"/>
      <c r="K42" s="45"/>
      <c r="M42" s="11"/>
    </row>
    <row r="43" spans="1:26" s="7" customFormat="1" ht="20.100000000000001" customHeight="1">
      <c r="A43" s="32"/>
      <c r="B43" s="38" t="s">
        <v>70</v>
      </c>
      <c r="C43" s="41"/>
      <c r="D43" s="41"/>
      <c r="E43" s="42"/>
      <c r="J43" s="44"/>
      <c r="K43" s="45"/>
      <c r="M43" s="11"/>
    </row>
    <row r="44" spans="1:26" s="7" customFormat="1" ht="20.100000000000001" customHeight="1">
      <c r="A44" s="32"/>
      <c r="B44" s="9" t="s">
        <v>38</v>
      </c>
      <c r="C44" s="41"/>
      <c r="D44" s="41"/>
      <c r="E44" s="46" t="s">
        <v>39</v>
      </c>
      <c r="F44" s="17">
        <v>0.3</v>
      </c>
      <c r="G44" s="43"/>
      <c r="I44" s="9" t="s">
        <v>75</v>
      </c>
      <c r="J44" s="44"/>
      <c r="K44" s="45"/>
      <c r="M44" s="11"/>
    </row>
    <row r="45" spans="1:26" s="7" customFormat="1" ht="20.100000000000001" customHeight="1">
      <c r="A45" s="32"/>
      <c r="B45" s="9" t="s">
        <v>38</v>
      </c>
      <c r="C45" s="41"/>
      <c r="D45" s="41"/>
      <c r="E45" s="46" t="s">
        <v>40</v>
      </c>
      <c r="F45" s="17">
        <v>0.6</v>
      </c>
      <c r="G45" s="43"/>
      <c r="I45" s="9" t="s">
        <v>75</v>
      </c>
      <c r="J45" s="44"/>
      <c r="K45" s="45"/>
      <c r="M45" s="11"/>
    </row>
    <row r="46" spans="1:26" s="7" customFormat="1" ht="20.100000000000001" customHeight="1">
      <c r="A46" s="32"/>
      <c r="B46" s="9" t="s">
        <v>119</v>
      </c>
      <c r="C46" s="41"/>
      <c r="D46" s="41"/>
      <c r="E46" s="42" t="s">
        <v>71</v>
      </c>
      <c r="F46" s="64">
        <v>70</v>
      </c>
      <c r="J46" s="44"/>
      <c r="K46" s="45"/>
      <c r="M46" s="11"/>
    </row>
    <row r="47" spans="1:26" s="7" customFormat="1" ht="20.100000000000001" customHeight="1">
      <c r="A47" s="32"/>
      <c r="B47" s="9"/>
      <c r="C47" s="41"/>
      <c r="D47" s="41"/>
      <c r="E47" s="42"/>
      <c r="J47" s="44"/>
      <c r="K47" s="45"/>
      <c r="M47" s="11"/>
    </row>
    <row r="48" spans="1:26" s="7" customFormat="1" ht="20.100000000000001" customHeight="1">
      <c r="A48" s="32"/>
      <c r="B48" s="9"/>
      <c r="C48" s="41"/>
      <c r="D48" s="41"/>
      <c r="E48" s="42"/>
      <c r="J48" s="44"/>
      <c r="K48" s="45"/>
      <c r="M48" s="11"/>
    </row>
    <row r="49" spans="1:16" s="7" customFormat="1" ht="20.100000000000001" customHeight="1">
      <c r="A49" s="48"/>
      <c r="B49" s="54"/>
      <c r="C49" s="55"/>
      <c r="D49" s="55"/>
      <c r="E49" s="56"/>
      <c r="F49" s="14"/>
      <c r="G49" s="14"/>
      <c r="H49" s="14"/>
      <c r="I49" s="14"/>
      <c r="J49" s="57"/>
      <c r="K49" s="8"/>
      <c r="L49" s="14"/>
      <c r="M49" s="15"/>
      <c r="N49" s="14"/>
    </row>
    <row r="50" spans="1:16" s="7" customFormat="1" ht="20.100000000000001" customHeight="1">
      <c r="A50" s="32"/>
      <c r="B50" s="9"/>
      <c r="C50" s="41"/>
      <c r="D50" s="41"/>
      <c r="E50" s="42"/>
      <c r="J50" s="44"/>
      <c r="K50" s="45"/>
      <c r="M50" s="11"/>
    </row>
    <row r="51" spans="1:16" s="7" customFormat="1" ht="20.100000000000001" customHeight="1">
      <c r="A51" s="32"/>
      <c r="B51" s="38" t="s">
        <v>73</v>
      </c>
      <c r="C51" s="41"/>
      <c r="D51" s="41"/>
      <c r="E51" s="42"/>
      <c r="J51" s="44"/>
      <c r="K51" s="45"/>
      <c r="M51" s="11"/>
    </row>
    <row r="52" spans="1:16" s="7" customFormat="1" ht="20.100000000000001" customHeight="1">
      <c r="A52" s="32"/>
      <c r="B52" s="78" t="s">
        <v>62</v>
      </c>
      <c r="C52" s="78"/>
      <c r="D52" s="41"/>
      <c r="E52" s="42" t="s">
        <v>79</v>
      </c>
      <c r="F52" s="12">
        <v>1.3114010668695821</v>
      </c>
      <c r="G52" s="43" t="s">
        <v>8</v>
      </c>
      <c r="H52" s="47" t="str">
        <f>"Should be &gt; Critical Depth "&amp;ROUND((((F24/F53)^2/9.81))^(1/3),2)</f>
        <v>Should be &gt; Critical Depth 0.62</v>
      </c>
      <c r="M52" s="11"/>
    </row>
    <row r="53" spans="1:16" s="7" customFormat="1" ht="20.100000000000001" customHeight="1">
      <c r="A53" s="32"/>
      <c r="B53" s="9" t="s">
        <v>121</v>
      </c>
      <c r="C53" s="41"/>
      <c r="D53" s="41"/>
      <c r="E53" s="42" t="s">
        <v>41</v>
      </c>
      <c r="F53" s="12">
        <f>F39*F40</f>
        <v>3.5</v>
      </c>
      <c r="G53" s="43"/>
      <c r="K53" s="45"/>
      <c r="M53" s="11"/>
      <c r="P53" s="44" t="s">
        <v>120</v>
      </c>
    </row>
    <row r="54" spans="1:16" s="7" customFormat="1" ht="20.100000000000001" customHeight="1">
      <c r="A54" s="32"/>
      <c r="B54" s="78" t="s">
        <v>44</v>
      </c>
      <c r="C54" s="78"/>
      <c r="D54" s="41"/>
      <c r="E54" s="42" t="s">
        <v>51</v>
      </c>
      <c r="F54" s="12">
        <f>F24/F52/F53</f>
        <v>1.1793188514721593</v>
      </c>
      <c r="G54" s="43" t="s">
        <v>48</v>
      </c>
      <c r="H54" s="51"/>
      <c r="K54" s="45"/>
      <c r="M54" s="11"/>
    </row>
    <row r="55" spans="1:16" s="7" customFormat="1" ht="20.100000000000001" customHeight="1">
      <c r="A55" s="32"/>
      <c r="B55" s="41" t="s">
        <v>65</v>
      </c>
      <c r="C55" s="41"/>
      <c r="D55" s="41"/>
      <c r="E55" s="42"/>
      <c r="F55" s="12">
        <f>F53*y_culvert</f>
        <v>4.5899037340435376</v>
      </c>
      <c r="G55" s="43" t="s">
        <v>66</v>
      </c>
      <c r="H55" s="51"/>
      <c r="K55" s="45"/>
      <c r="M55" s="11"/>
    </row>
    <row r="56" spans="1:16" s="7" customFormat="1" ht="20.100000000000001" customHeight="1">
      <c r="A56" s="32"/>
      <c r="B56" s="9" t="s">
        <v>67</v>
      </c>
      <c r="C56" s="41"/>
      <c r="D56" s="41"/>
      <c r="E56" s="42"/>
      <c r="F56" s="12">
        <f>2*y_culvert*F39</f>
        <v>2.6228021337391643</v>
      </c>
      <c r="G56" s="43" t="s">
        <v>8</v>
      </c>
      <c r="H56" s="51"/>
      <c r="K56" s="45"/>
      <c r="M56" s="11"/>
    </row>
    <row r="57" spans="1:16" s="7" customFormat="1" ht="20.100000000000001" customHeight="1">
      <c r="A57" s="32"/>
      <c r="B57" s="9" t="s">
        <v>64</v>
      </c>
      <c r="C57" s="41"/>
      <c r="D57" s="41"/>
      <c r="E57" s="42" t="s">
        <v>74</v>
      </c>
      <c r="F57" s="12">
        <f>F55/F56</f>
        <v>1.75</v>
      </c>
      <c r="G57" s="43" t="s">
        <v>8</v>
      </c>
      <c r="H57" s="63"/>
      <c r="K57" s="45"/>
      <c r="M57" s="11"/>
    </row>
    <row r="58" spans="1:16" s="7" customFormat="1" ht="20.100000000000001" customHeight="1">
      <c r="A58" s="32"/>
      <c r="B58" s="9" t="s">
        <v>115</v>
      </c>
      <c r="C58" s="41"/>
      <c r="D58" s="41"/>
      <c r="E58" s="42" t="s">
        <v>118</v>
      </c>
      <c r="F58" s="62">
        <f>((1/F46)*F54/(F57)^(2/3))^2</f>
        <v>1.3459089156633625E-4</v>
      </c>
      <c r="G58" s="43"/>
      <c r="H58" s="63">
        <f>F58*6</f>
        <v>8.0754534939801747E-4</v>
      </c>
      <c r="K58" s="45"/>
      <c r="M58" s="11"/>
    </row>
    <row r="59" spans="1:16" s="7" customFormat="1" ht="20.100000000000001" customHeight="1">
      <c r="A59" s="32"/>
      <c r="B59" s="9" t="s">
        <v>50</v>
      </c>
      <c r="C59" s="41"/>
      <c r="D59" s="41"/>
      <c r="E59" s="42" t="s">
        <v>52</v>
      </c>
      <c r="F59" s="12">
        <f>F54^2/9.81/2</f>
        <v>7.0886491000897695E-2</v>
      </c>
      <c r="G59" s="43" t="s">
        <v>8</v>
      </c>
      <c r="K59" s="45"/>
      <c r="M59" s="11"/>
    </row>
    <row r="60" spans="1:16" s="7" customFormat="1" ht="20.100000000000001" customHeight="1">
      <c r="A60" s="32"/>
      <c r="B60" s="9" t="s">
        <v>54</v>
      </c>
      <c r="C60" s="41"/>
      <c r="D60" s="41"/>
      <c r="E60" s="46" t="s">
        <v>77</v>
      </c>
      <c r="F60" s="52">
        <f>F44*(F54^2-F29^2)/2/9.81</f>
        <v>1.3460287323802556E-2</v>
      </c>
      <c r="G60" s="43" t="s">
        <v>8</v>
      </c>
      <c r="J60" s="16"/>
      <c r="K60" s="45"/>
      <c r="M60" s="11"/>
    </row>
    <row r="61" spans="1:16" s="7" customFormat="1" ht="20.100000000000001" customHeight="1">
      <c r="A61" s="32"/>
      <c r="B61" s="9" t="s">
        <v>69</v>
      </c>
      <c r="C61" s="41"/>
      <c r="D61" s="41"/>
      <c r="E61" s="46" t="s">
        <v>122</v>
      </c>
      <c r="F61" s="52">
        <f>F45*(F59-I32)</f>
        <v>2.6920574647605108E-2</v>
      </c>
      <c r="G61" s="43" t="s">
        <v>8</v>
      </c>
      <c r="J61" s="16"/>
      <c r="K61" s="45"/>
      <c r="M61" s="11"/>
    </row>
    <row r="62" spans="1:16" s="7" customFormat="1" ht="20.100000000000001" customHeight="1">
      <c r="A62" s="32"/>
      <c r="B62" s="9" t="s">
        <v>68</v>
      </c>
      <c r="C62" s="41"/>
      <c r="D62" s="41"/>
      <c r="E62" s="46"/>
      <c r="F62" s="52">
        <f>F41/(F46^2*F57^(4/3)*F54^2)</f>
        <v>4.1748603916009857E-4</v>
      </c>
      <c r="G62" s="43"/>
      <c r="J62" s="16"/>
      <c r="K62" s="45"/>
      <c r="M62" s="11"/>
    </row>
    <row r="63" spans="1:16" s="7" customFormat="1" ht="20.100000000000001" customHeight="1">
      <c r="A63" s="32"/>
      <c r="B63" s="78" t="s">
        <v>72</v>
      </c>
      <c r="C63" s="78"/>
      <c r="D63" s="41"/>
      <c r="E63" s="42" t="s">
        <v>49</v>
      </c>
      <c r="F63" s="12">
        <f>F38+F52+F59-F60-F61-F62</f>
        <v>25.355198923679165</v>
      </c>
      <c r="G63" s="43" t="s">
        <v>8</v>
      </c>
      <c r="K63" s="45"/>
      <c r="M63" s="11"/>
      <c r="O63" s="16">
        <f>F63-I34</f>
        <v>-1.450703964422928E-5</v>
      </c>
    </row>
    <row r="64" spans="1:16" s="7" customFormat="1" ht="20.100000000000001" customHeight="1">
      <c r="A64" s="32"/>
      <c r="B64" s="41"/>
      <c r="C64" s="41"/>
      <c r="D64" s="41"/>
      <c r="E64" s="42"/>
      <c r="F64" s="53"/>
      <c r="G64" s="43"/>
      <c r="K64" s="45"/>
      <c r="M64" s="11"/>
      <c r="O64" s="16"/>
    </row>
    <row r="65" spans="1:17" s="7" customFormat="1" ht="20.100000000000001" customHeight="1">
      <c r="A65" s="32"/>
      <c r="B65" s="9" t="s">
        <v>76</v>
      </c>
      <c r="C65" s="41"/>
      <c r="D65" s="41"/>
      <c r="E65" s="42"/>
      <c r="F65" s="65">
        <f>(F60+F61+F62)*100</f>
        <v>4.0798348010567764</v>
      </c>
      <c r="G65" s="43" t="s">
        <v>123</v>
      </c>
      <c r="H65" s="16"/>
      <c r="J65" s="16"/>
      <c r="K65" s="45"/>
      <c r="M65" s="11"/>
      <c r="O65" s="16"/>
    </row>
    <row r="66" spans="1:17" s="7" customFormat="1" ht="20.100000000000001" customHeight="1">
      <c r="A66" s="32"/>
      <c r="B66" s="9"/>
      <c r="C66" s="41"/>
      <c r="D66" s="41"/>
      <c r="E66" s="42"/>
      <c r="F66" s="53"/>
      <c r="G66" s="43"/>
      <c r="H66" s="16"/>
      <c r="J66" s="16"/>
      <c r="K66" s="45"/>
      <c r="M66" s="11"/>
      <c r="O66" s="16"/>
    </row>
    <row r="67" spans="1:17" s="7" customFormat="1" ht="20.100000000000001" customHeight="1">
      <c r="A67" s="32"/>
      <c r="B67" s="38" t="s">
        <v>98</v>
      </c>
      <c r="C67" s="41"/>
      <c r="D67" s="41"/>
      <c r="E67" s="42"/>
      <c r="J67" s="44"/>
      <c r="K67" s="45"/>
      <c r="M67" s="11"/>
      <c r="O67" s="16"/>
      <c r="P67" s="59" t="s">
        <v>124</v>
      </c>
      <c r="Q67" s="59"/>
    </row>
    <row r="68" spans="1:17" s="7" customFormat="1" ht="20.100000000000001" customHeight="1">
      <c r="A68" s="32"/>
      <c r="B68" s="9" t="s">
        <v>99</v>
      </c>
      <c r="C68" s="41"/>
      <c r="D68" s="41"/>
      <c r="E68" s="42" t="s">
        <v>110</v>
      </c>
      <c r="F68" s="13">
        <f>CEILING(1.92098*(F35-F39*F40+(F39-1)*0.8),0.25)</f>
        <v>8</v>
      </c>
      <c r="G68" s="43" t="s">
        <v>8</v>
      </c>
      <c r="H68" s="47" t="s">
        <v>112</v>
      </c>
      <c r="J68" s="44"/>
      <c r="K68" s="45"/>
      <c r="M68" s="11"/>
      <c r="O68" s="16"/>
      <c r="P68" s="59" t="s">
        <v>125</v>
      </c>
      <c r="Q68" s="59" t="s">
        <v>126</v>
      </c>
    </row>
    <row r="69" spans="1:17" s="7" customFormat="1" ht="20.100000000000001" customHeight="1">
      <c r="A69" s="32"/>
      <c r="B69" s="9" t="s">
        <v>100</v>
      </c>
      <c r="C69" s="41"/>
      <c r="D69" s="41"/>
      <c r="E69" s="42" t="s">
        <v>111</v>
      </c>
      <c r="F69" s="13">
        <f>CEILING(2.41421*(I35-F39*F40+(F39-1)*0.8),0.25)</f>
        <v>10</v>
      </c>
      <c r="G69" s="43" t="s">
        <v>8</v>
      </c>
      <c r="H69" s="47" t="s">
        <v>113</v>
      </c>
      <c r="J69" s="44"/>
      <c r="K69" s="45"/>
      <c r="M69" s="11"/>
      <c r="O69" s="16"/>
      <c r="P69" s="59" t="s">
        <v>127</v>
      </c>
      <c r="Q69" s="59" t="s">
        <v>128</v>
      </c>
    </row>
    <row r="70" spans="1:17" s="7" customFormat="1" ht="20.100000000000001" customHeight="1">
      <c r="A70" s="32"/>
      <c r="B70" s="9" t="s">
        <v>101</v>
      </c>
      <c r="C70" s="41"/>
      <c r="D70" s="41"/>
      <c r="E70" s="42" t="s">
        <v>109</v>
      </c>
      <c r="F70" s="13">
        <f>CEILING(y_culvert/0.8,0.1)</f>
        <v>1.7000000000000002</v>
      </c>
      <c r="G70" s="43" t="s">
        <v>8</v>
      </c>
      <c r="H70" s="7" t="s">
        <v>114</v>
      </c>
      <c r="J70" s="44"/>
      <c r="K70" s="45"/>
      <c r="M70" s="11"/>
      <c r="O70" s="16"/>
    </row>
    <row r="71" spans="1:17" s="7" customFormat="1" ht="20.100000000000001" customHeight="1">
      <c r="A71" s="32"/>
      <c r="B71" s="41"/>
      <c r="C71" s="41"/>
      <c r="D71" s="41"/>
      <c r="E71" s="42"/>
      <c r="F71" s="53"/>
      <c r="G71" s="43"/>
      <c r="K71" s="45"/>
      <c r="M71" s="11"/>
      <c r="O71" s="16"/>
    </row>
    <row r="72" spans="1:17" s="7" customFormat="1" ht="20.100000000000001" customHeight="1">
      <c r="A72" s="32"/>
      <c r="B72" s="9" t="s">
        <v>134</v>
      </c>
      <c r="C72" s="41"/>
      <c r="D72" s="41"/>
      <c r="E72" s="42"/>
      <c r="F72" s="12" t="str">
        <f>IF(F65&lt;5,"OK","NOT OK")</f>
        <v>OK</v>
      </c>
      <c r="G72" s="43"/>
      <c r="K72" s="45"/>
      <c r="M72" s="11"/>
      <c r="O72" s="16"/>
    </row>
    <row r="73" spans="1:17" s="7" customFormat="1" ht="20.100000000000001" customHeight="1">
      <c r="A73" s="32"/>
      <c r="B73" s="41"/>
      <c r="C73" s="41"/>
      <c r="D73" s="41"/>
      <c r="E73" s="42"/>
      <c r="F73" s="53"/>
      <c r="G73" s="43"/>
      <c r="K73" s="45"/>
      <c r="M73" s="11"/>
      <c r="O73" s="16"/>
    </row>
    <row r="74" spans="1:17" s="7" customFormat="1" ht="20.100000000000001" customHeight="1">
      <c r="A74" s="32"/>
      <c r="B74" s="41"/>
      <c r="C74" s="41"/>
      <c r="D74" s="41"/>
      <c r="E74" s="42"/>
      <c r="F74" s="53"/>
      <c r="G74" s="43"/>
      <c r="K74" s="45"/>
      <c r="M74" s="11"/>
      <c r="O74" s="16"/>
    </row>
    <row r="75" spans="1:17" s="7" customFormat="1" ht="20.100000000000001" customHeight="1">
      <c r="A75" s="32"/>
      <c r="B75" s="41"/>
      <c r="C75" s="41"/>
      <c r="D75" s="41"/>
      <c r="E75" s="42"/>
      <c r="F75" s="53"/>
      <c r="G75" s="43"/>
      <c r="K75" s="45"/>
      <c r="M75" s="11"/>
      <c r="O75" s="16"/>
    </row>
    <row r="76" spans="1:17" s="7" customFormat="1" ht="20.100000000000001" customHeight="1">
      <c r="A76" s="32"/>
      <c r="B76" s="41"/>
      <c r="C76" s="41"/>
      <c r="D76" s="41"/>
      <c r="E76" s="42"/>
      <c r="F76" s="53"/>
      <c r="G76" s="43"/>
      <c r="K76" s="45"/>
      <c r="M76" s="11"/>
      <c r="O76" s="16"/>
    </row>
    <row r="77" spans="1:17" s="7" customFormat="1" ht="20.100000000000001" customHeight="1">
      <c r="A77" s="32"/>
      <c r="B77" s="41"/>
      <c r="C77" s="41"/>
      <c r="D77" s="41"/>
      <c r="E77" s="42"/>
      <c r="F77" s="53"/>
      <c r="G77" s="43"/>
      <c r="K77" s="45"/>
      <c r="M77" s="11"/>
      <c r="O77" s="16"/>
    </row>
    <row r="78" spans="1:17" s="7" customFormat="1" ht="20.100000000000001" customHeight="1">
      <c r="A78" s="32"/>
      <c r="B78" s="41"/>
      <c r="C78" s="41"/>
      <c r="D78" s="41"/>
      <c r="E78" s="42"/>
      <c r="F78" s="53"/>
      <c r="G78" s="43"/>
      <c r="K78" s="45"/>
      <c r="M78" s="11"/>
      <c r="O78" s="16"/>
    </row>
    <row r="79" spans="1:17" s="7" customFormat="1" ht="20.100000000000001" customHeight="1">
      <c r="A79" s="32"/>
      <c r="B79" s="41"/>
      <c r="C79" s="41"/>
      <c r="D79" s="41"/>
      <c r="E79" s="42"/>
      <c r="F79" s="53"/>
      <c r="G79" s="43"/>
      <c r="K79" s="45"/>
      <c r="M79" s="11"/>
      <c r="O79" s="16"/>
    </row>
    <row r="80" spans="1:17" s="7" customFormat="1" ht="20.100000000000001" customHeight="1">
      <c r="A80" s="32"/>
      <c r="B80" s="41"/>
      <c r="C80" s="41"/>
      <c r="D80" s="41"/>
      <c r="E80" s="42"/>
      <c r="F80" s="53"/>
      <c r="G80" s="43"/>
      <c r="K80" s="45"/>
      <c r="M80" s="11"/>
      <c r="O80" s="16"/>
    </row>
    <row r="81" spans="1:15" s="7" customFormat="1" ht="20.100000000000001" customHeight="1">
      <c r="A81" s="32"/>
      <c r="B81" s="41"/>
      <c r="C81" s="41"/>
      <c r="D81" s="41"/>
      <c r="E81" s="42"/>
      <c r="F81" s="53"/>
      <c r="G81" s="43"/>
      <c r="K81" s="45"/>
      <c r="M81" s="11"/>
      <c r="O81" s="16"/>
    </row>
    <row r="82" spans="1:15" s="7" customFormat="1" ht="20.100000000000001" customHeight="1">
      <c r="A82" s="32"/>
      <c r="B82" s="41"/>
      <c r="C82" s="41"/>
      <c r="D82" s="41"/>
      <c r="E82" s="42"/>
      <c r="F82" s="53"/>
      <c r="G82" s="43"/>
      <c r="K82" s="45"/>
      <c r="M82" s="11"/>
      <c r="O82" s="16"/>
    </row>
    <row r="83" spans="1:15" s="7" customFormat="1" ht="20.100000000000001" customHeight="1">
      <c r="A83" s="32"/>
      <c r="B83" s="41"/>
      <c r="C83" s="41"/>
      <c r="D83" s="41"/>
      <c r="E83" s="42"/>
      <c r="F83" s="53"/>
      <c r="G83" s="43"/>
      <c r="K83" s="45"/>
      <c r="M83" s="11"/>
      <c r="O83" s="16"/>
    </row>
    <row r="84" spans="1:15" s="7" customFormat="1" ht="20.100000000000001" customHeight="1">
      <c r="A84" s="32"/>
      <c r="B84" s="41"/>
      <c r="C84" s="41"/>
      <c r="D84" s="41"/>
      <c r="E84" s="42"/>
      <c r="F84" s="53"/>
      <c r="G84" s="43"/>
      <c r="K84" s="45"/>
      <c r="M84" s="11"/>
      <c r="O84" s="16"/>
    </row>
    <row r="85" spans="1:15" s="7" customFormat="1" ht="20.100000000000001" customHeight="1">
      <c r="A85" s="32"/>
      <c r="B85" s="41"/>
      <c r="C85" s="41"/>
      <c r="D85" s="41"/>
      <c r="E85" s="42"/>
      <c r="F85" s="53"/>
      <c r="G85" s="43"/>
      <c r="K85" s="45"/>
      <c r="M85" s="11"/>
      <c r="O85" s="16"/>
    </row>
    <row r="86" spans="1:15" s="7" customFormat="1" ht="20.100000000000001" customHeight="1">
      <c r="A86" s="32"/>
      <c r="B86" s="41"/>
      <c r="C86" s="41"/>
      <c r="D86" s="41"/>
      <c r="E86" s="42"/>
      <c r="F86" s="53"/>
      <c r="G86" s="43"/>
      <c r="K86" s="45"/>
      <c r="M86" s="11"/>
      <c r="O86" s="16"/>
    </row>
    <row r="87" spans="1:15" s="7" customFormat="1" ht="20.100000000000001" customHeight="1">
      <c r="A87" s="32"/>
      <c r="B87" s="41"/>
      <c r="C87" s="41"/>
      <c r="D87" s="41"/>
      <c r="E87" s="42"/>
      <c r="F87" s="53"/>
      <c r="G87" s="43"/>
      <c r="K87" s="45"/>
      <c r="M87" s="11"/>
      <c r="O87" s="16"/>
    </row>
    <row r="88" spans="1:15" s="7" customFormat="1" ht="20.100000000000001" customHeight="1">
      <c r="A88" s="32"/>
      <c r="B88" s="41"/>
      <c r="C88" s="41"/>
      <c r="D88" s="41"/>
      <c r="E88" s="42"/>
      <c r="F88" s="53"/>
      <c r="G88" s="43"/>
      <c r="K88" s="45"/>
      <c r="M88" s="11"/>
      <c r="O88" s="16"/>
    </row>
    <row r="89" spans="1:15" s="7" customFormat="1" ht="20.100000000000001" customHeight="1">
      <c r="A89" s="32"/>
      <c r="B89" s="41"/>
      <c r="C89" s="41"/>
      <c r="D89" s="41"/>
      <c r="E89" s="42"/>
      <c r="F89" s="53"/>
      <c r="G89" s="43"/>
      <c r="K89" s="45"/>
      <c r="M89" s="11"/>
      <c r="O89" s="16"/>
    </row>
    <row r="90" spans="1:15" s="7" customFormat="1" ht="20.100000000000001" customHeight="1">
      <c r="A90" s="32"/>
      <c r="B90" s="41"/>
      <c r="C90" s="41"/>
      <c r="D90" s="41"/>
      <c r="E90" s="42"/>
      <c r="F90" s="53"/>
      <c r="G90" s="43"/>
      <c r="K90" s="45"/>
      <c r="M90" s="11"/>
      <c r="O90" s="16"/>
    </row>
    <row r="91" spans="1:15" s="7" customFormat="1" ht="20.100000000000001" customHeight="1">
      <c r="A91" s="32"/>
      <c r="B91" s="41"/>
      <c r="C91" s="41"/>
      <c r="D91" s="41"/>
      <c r="E91" s="42"/>
      <c r="F91" s="53"/>
      <c r="G91" s="43"/>
      <c r="K91" s="45"/>
      <c r="M91" s="11"/>
      <c r="O91" s="16"/>
    </row>
    <row r="92" spans="1:15" s="7" customFormat="1" ht="20.100000000000001" customHeight="1">
      <c r="A92" s="48"/>
      <c r="B92" s="55"/>
      <c r="C92" s="55"/>
      <c r="D92" s="55"/>
      <c r="E92" s="56"/>
      <c r="F92" s="14"/>
      <c r="G92" s="14"/>
      <c r="H92" s="14"/>
      <c r="I92" s="14"/>
      <c r="J92" s="14"/>
      <c r="K92" s="8"/>
      <c r="L92" s="14"/>
      <c r="M92" s="15"/>
      <c r="N92" s="14"/>
      <c r="O92" s="16"/>
    </row>
    <row r="93" spans="1:15" ht="20.100000000000001" customHeight="1"/>
    <row r="94" spans="1:15" ht="20.100000000000001" customHeight="1"/>
    <row r="95" spans="1:15" ht="20.100000000000001" customHeight="1"/>
    <row r="96" spans="1:15" ht="20.100000000000001" customHeight="1"/>
  </sheetData>
  <mergeCells count="23">
    <mergeCell ref="B33:C33"/>
    <mergeCell ref="B34:C34"/>
    <mergeCell ref="B35:C35"/>
    <mergeCell ref="K1:M4"/>
    <mergeCell ref="I1:J1"/>
    <mergeCell ref="I2:J2"/>
    <mergeCell ref="I3:J3"/>
    <mergeCell ref="A4:G5"/>
    <mergeCell ref="A3:G3"/>
    <mergeCell ref="A2:G2"/>
    <mergeCell ref="A1:G1"/>
    <mergeCell ref="B27:C27"/>
    <mergeCell ref="B25:C25"/>
    <mergeCell ref="B26:C26"/>
    <mergeCell ref="B29:C29"/>
    <mergeCell ref="B32:C32"/>
    <mergeCell ref="B63:C63"/>
    <mergeCell ref="B38:C38"/>
    <mergeCell ref="B41:C41"/>
    <mergeCell ref="B39:C39"/>
    <mergeCell ref="B40:C40"/>
    <mergeCell ref="B52:C52"/>
    <mergeCell ref="B54:C54"/>
  </mergeCells>
  <pageMargins left="0.27559055118110237" right="0.27559055118110237" top="0.23622047244094491" bottom="0.43307086614173229" header="0.23622047244094491" footer="0.23622047244094491"/>
  <pageSetup paperSize="9" scale="81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84" r:id="rId4" name="Button 4">
              <controlPr defaultSize="0" print="0" autoFill="0" autoPict="0" macro="[0]!Macro1">
                <anchor moveWithCells="1" sizeWithCells="1">
                  <from>
                    <xdr:col>6</xdr:col>
                    <xdr:colOff>381000</xdr:colOff>
                    <xdr:row>62</xdr:row>
                    <xdr:rowOff>0</xdr:rowOff>
                  </from>
                  <to>
                    <xdr:col>8</xdr:col>
                    <xdr:colOff>167640</xdr:colOff>
                    <xdr:row>63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P7"/>
  <sheetViews>
    <sheetView workbookViewId="0">
      <selection activeCell="C6" sqref="C6"/>
    </sheetView>
  </sheetViews>
  <sheetFormatPr defaultRowHeight="13.2"/>
  <cols>
    <col min="1" max="1" width="13.77734375" style="26" bestFit="1" customWidth="1"/>
    <col min="2" max="2" width="14" style="26" bestFit="1" customWidth="1"/>
    <col min="3" max="3" width="44.88671875" style="26" bestFit="1" customWidth="1"/>
    <col min="4" max="4" width="8.88671875" style="26" customWidth="1"/>
    <col min="5" max="6" width="10.88671875" style="26" customWidth="1"/>
    <col min="7" max="16384" width="8.88671875" style="26"/>
  </cols>
  <sheetData>
    <row r="1" spans="1:16" s="20" customFormat="1" ht="20.100000000000001" customHeight="1">
      <c r="A1" s="85" t="s">
        <v>28</v>
      </c>
      <c r="B1" s="85"/>
      <c r="C1" s="85"/>
      <c r="D1" s="19"/>
      <c r="E1" s="85" t="s">
        <v>32</v>
      </c>
      <c r="F1" s="85"/>
    </row>
    <row r="2" spans="1:16" s="20" customFormat="1" ht="20.100000000000001" customHeight="1">
      <c r="A2" s="21" t="s">
        <v>31</v>
      </c>
      <c r="B2" s="22" t="s">
        <v>29</v>
      </c>
      <c r="C2" s="22" t="s">
        <v>30</v>
      </c>
      <c r="D2" s="5"/>
      <c r="E2" s="4" t="s">
        <v>9</v>
      </c>
      <c r="F2" s="4" t="s">
        <v>33</v>
      </c>
    </row>
    <row r="3" spans="1:16" s="20" customFormat="1" ht="20.100000000000001" customHeight="1">
      <c r="A3" s="23">
        <v>0</v>
      </c>
      <c r="B3" s="4" t="s">
        <v>19</v>
      </c>
      <c r="C3" s="4" t="s">
        <v>20</v>
      </c>
      <c r="E3" s="4">
        <v>0</v>
      </c>
      <c r="F3" s="4"/>
      <c r="G3" s="24"/>
      <c r="H3" s="24"/>
      <c r="I3" s="24"/>
      <c r="P3" s="25"/>
    </row>
    <row r="4" spans="1:16" s="20" customFormat="1" ht="20.100000000000001" customHeight="1">
      <c r="A4" s="23">
        <v>2.5</v>
      </c>
      <c r="B4" s="4" t="s">
        <v>21</v>
      </c>
      <c r="C4" s="4" t="s">
        <v>22</v>
      </c>
      <c r="E4" s="4">
        <v>1.7</v>
      </c>
      <c r="F4" s="4" t="s">
        <v>34</v>
      </c>
      <c r="G4" s="24"/>
      <c r="H4" s="24"/>
      <c r="I4" s="24"/>
      <c r="P4" s="25"/>
    </row>
    <row r="5" spans="1:16" s="20" customFormat="1" ht="20.100000000000001" customHeight="1">
      <c r="A5" s="23">
        <v>4.5</v>
      </c>
      <c r="B5" s="4" t="s">
        <v>23</v>
      </c>
      <c r="C5" s="4" t="s">
        <v>24</v>
      </c>
      <c r="E5" s="4">
        <v>2.5</v>
      </c>
      <c r="F5" s="4" t="s">
        <v>35</v>
      </c>
    </row>
    <row r="6" spans="1:16" s="20" customFormat="1" ht="20.100000000000001" customHeight="1">
      <c r="A6" s="23">
        <v>9</v>
      </c>
      <c r="B6" s="4" t="s">
        <v>25</v>
      </c>
      <c r="C6" s="4" t="s">
        <v>26</v>
      </c>
      <c r="E6" s="4">
        <v>3.5</v>
      </c>
      <c r="F6" s="4" t="s">
        <v>35</v>
      </c>
    </row>
    <row r="7" spans="1:16" s="20" customFormat="1" ht="20.100000000000001" customHeight="1">
      <c r="A7" s="23">
        <v>13</v>
      </c>
      <c r="B7" s="4" t="s">
        <v>25</v>
      </c>
      <c r="C7" s="4" t="s">
        <v>27</v>
      </c>
      <c r="E7" s="4">
        <v>4.5</v>
      </c>
      <c r="F7" s="4" t="s">
        <v>36</v>
      </c>
    </row>
  </sheetData>
  <sheetProtection sheet="1" objects="1" scenarios="1" selectLockedCells="1" selectUnlockedCells="1"/>
  <mergeCells count="2">
    <mergeCell ref="A1:C1"/>
    <mergeCell ref="E1:F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Irrigation Culvert</vt:lpstr>
      <vt:lpstr>Misc</vt:lpstr>
      <vt:lpstr>E2E1</vt:lpstr>
      <vt:lpstr>'Irrigation Culvert'!Print_Area</vt:lpstr>
      <vt:lpstr>'Irrigation Culvert'!Print_Titles</vt:lpstr>
      <vt:lpstr>y_culvert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</dc:creator>
  <cp:lastModifiedBy>Heri Purnama</cp:lastModifiedBy>
  <cp:lastPrinted>2023-09-24T07:35:10Z</cp:lastPrinted>
  <dcterms:created xsi:type="dcterms:W3CDTF">2006-08-06T19:52:04Z</dcterms:created>
  <dcterms:modified xsi:type="dcterms:W3CDTF">2024-09-09T04:14:56Z</dcterms:modified>
</cp:coreProperties>
</file>