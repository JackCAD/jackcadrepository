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ackcad2024\TemplateExcel\"/>
    </mc:Choice>
  </mc:AlternateContent>
  <xr:revisionPtr revIDLastSave="0" documentId="13_ncr:1_{F26F0768-4511-447A-9B5C-CDC2D3AE9E90}" xr6:coauthVersionLast="47" xr6:coauthVersionMax="47" xr10:uidLastSave="{00000000-0000-0000-0000-000000000000}"/>
  <bookViews>
    <workbookView xWindow="-28920" yWindow="-120" windowWidth="29040" windowHeight="15840" xr2:uid="{2EF39490-389A-45C5-B08D-9AFBE2A1391C}"/>
  </bookViews>
  <sheets>
    <sheet name="GateStructure" sheetId="1" r:id="rId1"/>
    <sheet name="For Report (2)" sheetId="6" r:id="rId2"/>
  </sheets>
  <externalReferences>
    <externalReference r:id="rId3"/>
  </externalReferences>
  <definedNames>
    <definedName name="_1">#N/A</definedName>
    <definedName name="_a">#REF!</definedName>
    <definedName name="a" comment="cghm">#REF!</definedName>
    <definedName name="AAA">#REF!</definedName>
    <definedName name="Bagi">2</definedName>
    <definedName name="Bendung">1</definedName>
    <definedName name="H24_Formula">IF(ISBLANK(#REF!),"Tidak Ada",#REF!)</definedName>
    <definedName name="jrk">#REF!</definedName>
    <definedName name="_xlnm.Print_Area" localSheetId="1">'For Report (2)'!$B$5:$O$86</definedName>
    <definedName name="_xlnm.Print_Area" localSheetId="0">GateStructure!$A$1:$Q$506</definedName>
    <definedName name="_xlnm.Print_Area">#REF!</definedName>
    <definedName name="_xlnm.Print_Titles" localSheetId="1">'For Report (2)'!$1:$15</definedName>
    <definedName name="Q">#N/A</definedName>
    <definedName name="ttr">#REF!</definedName>
  </definedNames>
  <calcPr calcId="191029" iterateCount="500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9" i="1" l="1"/>
  <c r="AD39" i="1"/>
  <c r="AC43" i="1"/>
  <c r="AD43" i="1"/>
  <c r="AC61" i="1"/>
  <c r="AD61" i="1"/>
  <c r="AC65" i="1"/>
  <c r="AD65" i="1"/>
  <c r="AC73" i="1"/>
  <c r="AD73" i="1"/>
  <c r="AC79" i="1"/>
  <c r="AD79" i="1"/>
  <c r="AC87" i="1"/>
  <c r="AD87" i="1"/>
  <c r="AC103" i="1"/>
  <c r="AD103" i="1"/>
  <c r="AC107" i="1"/>
  <c r="AD107" i="1"/>
  <c r="AC117" i="1"/>
  <c r="AD117" i="1"/>
  <c r="AC121" i="1"/>
  <c r="AD121" i="1"/>
  <c r="AC129" i="1"/>
  <c r="AD129" i="1"/>
  <c r="AC147" i="1"/>
  <c r="AD147" i="1"/>
  <c r="AC151" i="1"/>
  <c r="AD151" i="1"/>
  <c r="AC163" i="1"/>
  <c r="AD163" i="1"/>
  <c r="AC169" i="1"/>
  <c r="AD169" i="1"/>
  <c r="AC197" i="1"/>
  <c r="AD197" i="1"/>
  <c r="AC201" i="1"/>
  <c r="AD201" i="1"/>
  <c r="AC207" i="1"/>
  <c r="AD207" i="1"/>
  <c r="AC211" i="1"/>
  <c r="AD211" i="1"/>
  <c r="AC219" i="1"/>
  <c r="AD219" i="1"/>
  <c r="AC223" i="1"/>
  <c r="AD223" i="1"/>
  <c r="AC227" i="1"/>
  <c r="AD227" i="1"/>
  <c r="AC229" i="1"/>
  <c r="AD229" i="1"/>
  <c r="AC255" i="1"/>
  <c r="AD255" i="1"/>
  <c r="AC273" i="1"/>
  <c r="AD273" i="1"/>
  <c r="AC281" i="1"/>
  <c r="AD281" i="1"/>
  <c r="AC285" i="1"/>
  <c r="AD285" i="1"/>
  <c r="AC287" i="1"/>
  <c r="AD287" i="1"/>
  <c r="AC295" i="1"/>
  <c r="AD295" i="1"/>
  <c r="AC301" i="1"/>
  <c r="AD301" i="1"/>
  <c r="AC305" i="1"/>
  <c r="AD305" i="1"/>
  <c r="AC307" i="1"/>
  <c r="AD307" i="1"/>
  <c r="AC309" i="1"/>
  <c r="AD309" i="1"/>
  <c r="AC351" i="1"/>
  <c r="AD351" i="1"/>
  <c r="AC353" i="1"/>
  <c r="AD353" i="1"/>
  <c r="AC355" i="1"/>
  <c r="AD355" i="1"/>
  <c r="AC361" i="1"/>
  <c r="AD361" i="1"/>
  <c r="AC363" i="1"/>
  <c r="AD363" i="1"/>
  <c r="AC365" i="1"/>
  <c r="AD365" i="1"/>
  <c r="AC367" i="1"/>
  <c r="AD367" i="1"/>
  <c r="AC369" i="1"/>
  <c r="AD369" i="1"/>
  <c r="AC389" i="1"/>
  <c r="AD389" i="1"/>
  <c r="AC403" i="1"/>
  <c r="AD403" i="1"/>
  <c r="AC407" i="1"/>
  <c r="AD407" i="1"/>
  <c r="AC409" i="1"/>
  <c r="AD409" i="1"/>
  <c r="AC413" i="1"/>
  <c r="AD413" i="1"/>
  <c r="AC427" i="1"/>
  <c r="AD427" i="1"/>
  <c r="AC429" i="1"/>
  <c r="AD429" i="1"/>
  <c r="AC435" i="1"/>
  <c r="AD435" i="1"/>
  <c r="AC437" i="1"/>
  <c r="AD437" i="1"/>
  <c r="AC439" i="1"/>
  <c r="AD439" i="1"/>
  <c r="AC463" i="1"/>
  <c r="AD463" i="1"/>
  <c r="AC469" i="1"/>
  <c r="AD469" i="1"/>
  <c r="AC473" i="1"/>
  <c r="AD473" i="1"/>
  <c r="AC475" i="1"/>
  <c r="AD475" i="1"/>
  <c r="AC499" i="1"/>
  <c r="AD499" i="1"/>
  <c r="AC501" i="1"/>
  <c r="AD501" i="1"/>
  <c r="AC25" i="1"/>
  <c r="AD25" i="1"/>
  <c r="Y503" i="1" l="1"/>
  <c r="Y501" i="1"/>
  <c r="Y499" i="1"/>
  <c r="Y497" i="1"/>
  <c r="Y495" i="1"/>
  <c r="Y493" i="1"/>
  <c r="Y491" i="1"/>
  <c r="Y489" i="1"/>
  <c r="Y487" i="1"/>
  <c r="Y485" i="1"/>
  <c r="Y483" i="1"/>
  <c r="Y481" i="1"/>
  <c r="Y479" i="1"/>
  <c r="Y477" i="1"/>
  <c r="Y475" i="1"/>
  <c r="Y473" i="1"/>
  <c r="Y471" i="1"/>
  <c r="Y469" i="1"/>
  <c r="Y467" i="1"/>
  <c r="Y465" i="1"/>
  <c r="Y463" i="1"/>
  <c r="Y461" i="1"/>
  <c r="Y459" i="1"/>
  <c r="Y457" i="1"/>
  <c r="Y455" i="1"/>
  <c r="Y453" i="1"/>
  <c r="Y451" i="1"/>
  <c r="Y449" i="1"/>
  <c r="Y447" i="1"/>
  <c r="Y445" i="1"/>
  <c r="Y443" i="1"/>
  <c r="Y441" i="1"/>
  <c r="Y439" i="1"/>
  <c r="Y437" i="1"/>
  <c r="Y435" i="1"/>
  <c r="Y433" i="1"/>
  <c r="Y431" i="1"/>
  <c r="Y429" i="1"/>
  <c r="Y427" i="1"/>
  <c r="Y425" i="1"/>
  <c r="Y423" i="1"/>
  <c r="Y421" i="1"/>
  <c r="Y419" i="1"/>
  <c r="Y417" i="1"/>
  <c r="Y415" i="1"/>
  <c r="Y413" i="1"/>
  <c r="Y411" i="1"/>
  <c r="Y409" i="1"/>
  <c r="Y407" i="1"/>
  <c r="Y405" i="1"/>
  <c r="Y403" i="1"/>
  <c r="Y401" i="1"/>
  <c r="Y399" i="1"/>
  <c r="Y397" i="1"/>
  <c r="Y395" i="1"/>
  <c r="Y393" i="1"/>
  <c r="Y391" i="1"/>
  <c r="Y389" i="1"/>
  <c r="Y387" i="1"/>
  <c r="Y385" i="1"/>
  <c r="Y383" i="1"/>
  <c r="Y381" i="1"/>
  <c r="Y379" i="1"/>
  <c r="Y377" i="1"/>
  <c r="Y375" i="1"/>
  <c r="Y373" i="1"/>
  <c r="Y371" i="1"/>
  <c r="Y369" i="1"/>
  <c r="Y367" i="1"/>
  <c r="Y365" i="1"/>
  <c r="Y363" i="1"/>
  <c r="Y361" i="1"/>
  <c r="Y359" i="1"/>
  <c r="Y357" i="1"/>
  <c r="Y355" i="1"/>
  <c r="Y353" i="1"/>
  <c r="Y351" i="1"/>
  <c r="Y349" i="1"/>
  <c r="Y347" i="1"/>
  <c r="Y345" i="1"/>
  <c r="Y343" i="1"/>
  <c r="Y341" i="1"/>
  <c r="Y339" i="1"/>
  <c r="Y337" i="1"/>
  <c r="Y335" i="1"/>
  <c r="Y333" i="1"/>
  <c r="Y331" i="1"/>
  <c r="Y329" i="1"/>
  <c r="Y327" i="1"/>
  <c r="Y325" i="1"/>
  <c r="Y323" i="1"/>
  <c r="Y321" i="1"/>
  <c r="Y319" i="1"/>
  <c r="Y317" i="1"/>
  <c r="Y315" i="1"/>
  <c r="Y313" i="1"/>
  <c r="Y311" i="1"/>
  <c r="Y309" i="1"/>
  <c r="Y307" i="1"/>
  <c r="Y305" i="1"/>
  <c r="Y303" i="1"/>
  <c r="Y301" i="1"/>
  <c r="Y299" i="1"/>
  <c r="Y297" i="1"/>
  <c r="Y295" i="1"/>
  <c r="Y293" i="1"/>
  <c r="Y291" i="1"/>
  <c r="Y289" i="1"/>
  <c r="Y287" i="1"/>
  <c r="Y285" i="1"/>
  <c r="Y283" i="1"/>
  <c r="Y281" i="1"/>
  <c r="Y279" i="1"/>
  <c r="Y277" i="1"/>
  <c r="Y275" i="1"/>
  <c r="Y273" i="1"/>
  <c r="Y271" i="1"/>
  <c r="Y269" i="1"/>
  <c r="Y267" i="1"/>
  <c r="Y265" i="1"/>
  <c r="Y263" i="1"/>
  <c r="Y261" i="1"/>
  <c r="Y259" i="1"/>
  <c r="Y257" i="1"/>
  <c r="Y255" i="1"/>
  <c r="Y253" i="1"/>
  <c r="Y251" i="1"/>
  <c r="Y249" i="1"/>
  <c r="Y247" i="1"/>
  <c r="Y245" i="1"/>
  <c r="Y243" i="1"/>
  <c r="Y241" i="1"/>
  <c r="Y239" i="1"/>
  <c r="Y237" i="1"/>
  <c r="Y235" i="1"/>
  <c r="Y233" i="1"/>
  <c r="Y231" i="1"/>
  <c r="Y225" i="1"/>
  <c r="Y221" i="1"/>
  <c r="Z217" i="1"/>
  <c r="Y213" i="1"/>
  <c r="Y209" i="1"/>
  <c r="Z205" i="1"/>
  <c r="Y203" i="1"/>
  <c r="Y199" i="1"/>
  <c r="Z195" i="1"/>
  <c r="Z193" i="1"/>
  <c r="Y193" i="1"/>
  <c r="Z189" i="1"/>
  <c r="Y189" i="1"/>
  <c r="Z187" i="1"/>
  <c r="Y187" i="1"/>
  <c r="Z185" i="1"/>
  <c r="Y185" i="1"/>
  <c r="Z183" i="1"/>
  <c r="Y183" i="1"/>
  <c r="Z181" i="1"/>
  <c r="Y181" i="1"/>
  <c r="Z179" i="1"/>
  <c r="Y179" i="1"/>
  <c r="Z177" i="1"/>
  <c r="Y177" i="1"/>
  <c r="Z173" i="1"/>
  <c r="Y173" i="1"/>
  <c r="Z171" i="1"/>
  <c r="Y171" i="1"/>
  <c r="Z167" i="1"/>
  <c r="Y165" i="1"/>
  <c r="Z161" i="1"/>
  <c r="Y161" i="1"/>
  <c r="Z159" i="1"/>
  <c r="Y159" i="1"/>
  <c r="Z157" i="1"/>
  <c r="Y157" i="1"/>
  <c r="Z155" i="1"/>
  <c r="Y155" i="1"/>
  <c r="Y153" i="1"/>
  <c r="Y149" i="1"/>
  <c r="Z145" i="1"/>
  <c r="Y145" i="1"/>
  <c r="Z143" i="1"/>
  <c r="Y143" i="1"/>
  <c r="Z141" i="1"/>
  <c r="Y141" i="1"/>
  <c r="Z139" i="1"/>
  <c r="Y139" i="1"/>
  <c r="Z137" i="1"/>
  <c r="Y137" i="1"/>
  <c r="Z135" i="1"/>
  <c r="Y135" i="1"/>
  <c r="Z131" i="1"/>
  <c r="Y131" i="1"/>
  <c r="Z127" i="1"/>
  <c r="Y123" i="1"/>
  <c r="Y119" i="1"/>
  <c r="Z115" i="1"/>
  <c r="Y115" i="1"/>
  <c r="Z113" i="1"/>
  <c r="Y113" i="1"/>
  <c r="Z111" i="1"/>
  <c r="Y111" i="1"/>
  <c r="Y105" i="1"/>
  <c r="Z101" i="1"/>
  <c r="Y101" i="1"/>
  <c r="Z99" i="1"/>
  <c r="Y99" i="1"/>
  <c r="Z95" i="1"/>
  <c r="Y95" i="1"/>
  <c r="Z93" i="1"/>
  <c r="Y93" i="1"/>
  <c r="Z91" i="1"/>
  <c r="Y91" i="1"/>
  <c r="Z89" i="1"/>
  <c r="Y89" i="1"/>
  <c r="Z85" i="1"/>
  <c r="Y81" i="1"/>
  <c r="Z77" i="1"/>
  <c r="Y75" i="1"/>
  <c r="Z71" i="1"/>
  <c r="Y71" i="1"/>
  <c r="Y67" i="1"/>
  <c r="Y63" i="1"/>
  <c r="Z59" i="1"/>
  <c r="Z57" i="1"/>
  <c r="Y57" i="1"/>
  <c r="Z55" i="1"/>
  <c r="Y55" i="1"/>
  <c r="Z53" i="1"/>
  <c r="Y53" i="1"/>
  <c r="Z51" i="1"/>
  <c r="Y51" i="1"/>
  <c r="Z49" i="1"/>
  <c r="Y49" i="1"/>
  <c r="Z47" i="1"/>
  <c r="Y47" i="1"/>
  <c r="Z45" i="1"/>
  <c r="Y45" i="1"/>
  <c r="Y41" i="1"/>
  <c r="Z37" i="1"/>
  <c r="Y37" i="1"/>
  <c r="Z35" i="1"/>
  <c r="Y35" i="1"/>
  <c r="Z33" i="1"/>
  <c r="Y33" i="1"/>
  <c r="Z29" i="1"/>
  <c r="Y29" i="1"/>
  <c r="Y27" i="1"/>
  <c r="Z23" i="1"/>
  <c r="Y23" i="1"/>
  <c r="Z19" i="1"/>
  <c r="Y19" i="1"/>
  <c r="Z17" i="1"/>
  <c r="Y17" i="1"/>
  <c r="Z15" i="1"/>
  <c r="Y15" i="1"/>
  <c r="R16" i="1" l="1"/>
  <c r="R18" i="1"/>
  <c r="R14" i="1"/>
  <c r="N86" i="6"/>
  <c r="O86" i="6" s="1"/>
  <c r="N85" i="6"/>
  <c r="O85" i="6" s="1"/>
  <c r="N84" i="6"/>
  <c r="O84" i="6" s="1"/>
  <c r="O83" i="6"/>
  <c r="N83" i="6"/>
  <c r="N82" i="6"/>
  <c r="O82" i="6" s="1"/>
  <c r="G82" i="6"/>
  <c r="H82" i="6" s="1"/>
  <c r="N81" i="6"/>
  <c r="O81" i="6" s="1"/>
  <c r="G81" i="6"/>
  <c r="H81" i="6" s="1"/>
  <c r="N80" i="6"/>
  <c r="O80" i="6" s="1"/>
  <c r="G80" i="6"/>
  <c r="H80" i="6" s="1"/>
  <c r="N79" i="6"/>
  <c r="O79" i="6" s="1"/>
  <c r="G79" i="6"/>
  <c r="H79" i="6" s="1"/>
  <c r="N78" i="6"/>
  <c r="O78" i="6" s="1"/>
  <c r="G78" i="6"/>
  <c r="H78" i="6" s="1"/>
  <c r="N77" i="6"/>
  <c r="O77" i="6" s="1"/>
  <c r="G77" i="6"/>
  <c r="H77" i="6" s="1"/>
  <c r="N76" i="6"/>
  <c r="O76" i="6" s="1"/>
  <c r="G76" i="6"/>
  <c r="H76" i="6" s="1"/>
  <c r="N75" i="6"/>
  <c r="O75" i="6" s="1"/>
  <c r="G75" i="6"/>
  <c r="H75" i="6" s="1"/>
  <c r="N74" i="6"/>
  <c r="O74" i="6" s="1"/>
  <c r="H74" i="6"/>
  <c r="G74" i="6"/>
  <c r="N73" i="6"/>
  <c r="O73" i="6" s="1"/>
  <c r="G73" i="6"/>
  <c r="H73" i="6" s="1"/>
  <c r="N72" i="6"/>
  <c r="O72" i="6" s="1"/>
  <c r="G72" i="6"/>
  <c r="H72" i="6" s="1"/>
  <c r="N71" i="6"/>
  <c r="O71" i="6" s="1"/>
  <c r="G71" i="6"/>
  <c r="H71" i="6" s="1"/>
  <c r="N70" i="6"/>
  <c r="O70" i="6" s="1"/>
  <c r="G70" i="6"/>
  <c r="H70" i="6" s="1"/>
  <c r="N69" i="6"/>
  <c r="O69" i="6" s="1"/>
  <c r="G69" i="6"/>
  <c r="H69" i="6" s="1"/>
  <c r="O68" i="6"/>
  <c r="N68" i="6"/>
  <c r="G68" i="6"/>
  <c r="H68" i="6" s="1"/>
  <c r="N67" i="6"/>
  <c r="O67" i="6" s="1"/>
  <c r="G67" i="6"/>
  <c r="H67" i="6" s="1"/>
  <c r="N66" i="6"/>
  <c r="O66" i="6" s="1"/>
  <c r="H66" i="6"/>
  <c r="G66" i="6"/>
  <c r="N65" i="6"/>
  <c r="O65" i="6" s="1"/>
  <c r="G65" i="6"/>
  <c r="H65" i="6" s="1"/>
  <c r="N64" i="6"/>
  <c r="O64" i="6" s="1"/>
  <c r="G64" i="6"/>
  <c r="H64" i="6" s="1"/>
  <c r="N63" i="6"/>
  <c r="O63" i="6" s="1"/>
  <c r="G63" i="6"/>
  <c r="H63" i="6" s="1"/>
  <c r="N62" i="6"/>
  <c r="O62" i="6" s="1"/>
  <c r="G62" i="6"/>
  <c r="H62" i="6" s="1"/>
  <c r="N61" i="6"/>
  <c r="O61" i="6" s="1"/>
  <c r="G61" i="6"/>
  <c r="H61" i="6" s="1"/>
  <c r="O60" i="6"/>
  <c r="N60" i="6"/>
  <c r="G60" i="6"/>
  <c r="H60" i="6" s="1"/>
  <c r="N59" i="6"/>
  <c r="O59" i="6" s="1"/>
  <c r="G59" i="6"/>
  <c r="H59" i="6" s="1"/>
  <c r="N58" i="6"/>
  <c r="O58" i="6" s="1"/>
  <c r="H58" i="6"/>
  <c r="G58" i="6"/>
  <c r="N57" i="6"/>
  <c r="O57" i="6" s="1"/>
  <c r="G57" i="6"/>
  <c r="H57" i="6" s="1"/>
  <c r="N56" i="6"/>
  <c r="O56" i="6" s="1"/>
  <c r="G56" i="6"/>
  <c r="H56" i="6" s="1"/>
  <c r="N55" i="6"/>
  <c r="O55" i="6" s="1"/>
  <c r="G55" i="6"/>
  <c r="H55" i="6" s="1"/>
  <c r="N54" i="6"/>
  <c r="O54" i="6" s="1"/>
  <c r="G54" i="6"/>
  <c r="H54" i="6" s="1"/>
  <c r="N53" i="6"/>
  <c r="O53" i="6" s="1"/>
  <c r="G53" i="6"/>
  <c r="H53" i="6" s="1"/>
  <c r="N52" i="6"/>
  <c r="O52" i="6" s="1"/>
  <c r="G52" i="6"/>
  <c r="H52" i="6" s="1"/>
  <c r="N51" i="6"/>
  <c r="O51" i="6" s="1"/>
  <c r="H51" i="6"/>
  <c r="G51" i="6"/>
  <c r="O50" i="6"/>
  <c r="N50" i="6"/>
  <c r="G50" i="6"/>
  <c r="H50" i="6" s="1"/>
  <c r="N49" i="6"/>
  <c r="O49" i="6" s="1"/>
  <c r="G49" i="6"/>
  <c r="H49" i="6" s="1"/>
  <c r="N48" i="6"/>
  <c r="O48" i="6" s="1"/>
  <c r="G48" i="6"/>
  <c r="H48" i="6" s="1"/>
  <c r="N47" i="6"/>
  <c r="O47" i="6" s="1"/>
  <c r="G47" i="6"/>
  <c r="H47" i="6" s="1"/>
  <c r="N46" i="6"/>
  <c r="O46" i="6" s="1"/>
  <c r="G46" i="6"/>
  <c r="H46" i="6" s="1"/>
  <c r="N45" i="6"/>
  <c r="O45" i="6" s="1"/>
  <c r="G45" i="6"/>
  <c r="H45" i="6" s="1"/>
  <c r="N44" i="6"/>
  <c r="O44" i="6" s="1"/>
  <c r="G44" i="6"/>
  <c r="H44" i="6" s="1"/>
  <c r="N43" i="6"/>
  <c r="O43" i="6" s="1"/>
  <c r="G43" i="6"/>
  <c r="H43" i="6" s="1"/>
  <c r="N42" i="6"/>
  <c r="O42" i="6" s="1"/>
  <c r="G42" i="6"/>
  <c r="H42" i="6" s="1"/>
  <c r="N41" i="6"/>
  <c r="O41" i="6" s="1"/>
  <c r="G41" i="6"/>
  <c r="H41" i="6" s="1"/>
  <c r="O40" i="6"/>
  <c r="N40" i="6"/>
  <c r="G40" i="6"/>
  <c r="H40" i="6" s="1"/>
  <c r="N39" i="6"/>
  <c r="O39" i="6" s="1"/>
  <c r="G39" i="6"/>
  <c r="H39" i="6" s="1"/>
  <c r="N38" i="6"/>
  <c r="O38" i="6" s="1"/>
  <c r="G38" i="6"/>
  <c r="H38" i="6" s="1"/>
  <c r="N37" i="6"/>
  <c r="O37" i="6" s="1"/>
  <c r="G37" i="6"/>
  <c r="H37" i="6" s="1"/>
  <c r="N36" i="6"/>
  <c r="O36" i="6" s="1"/>
  <c r="G36" i="6"/>
  <c r="H36" i="6" s="1"/>
  <c r="N35" i="6"/>
  <c r="O35" i="6" s="1"/>
  <c r="G35" i="6"/>
  <c r="H35" i="6" s="1"/>
  <c r="N34" i="6"/>
  <c r="O34" i="6" s="1"/>
  <c r="G34" i="6"/>
  <c r="H34" i="6" s="1"/>
  <c r="N33" i="6"/>
  <c r="O33" i="6" s="1"/>
  <c r="G33" i="6"/>
  <c r="H33" i="6" s="1"/>
  <c r="N32" i="6"/>
  <c r="O32" i="6" s="1"/>
  <c r="G32" i="6"/>
  <c r="H32" i="6" s="1"/>
  <c r="N31" i="6"/>
  <c r="O31" i="6" s="1"/>
  <c r="G31" i="6"/>
  <c r="H31" i="6" s="1"/>
  <c r="N30" i="6"/>
  <c r="O30" i="6" s="1"/>
  <c r="G30" i="6"/>
  <c r="H30" i="6" s="1"/>
  <c r="N29" i="6"/>
  <c r="O29" i="6" s="1"/>
  <c r="G29" i="6"/>
  <c r="H29" i="6" s="1"/>
  <c r="N28" i="6"/>
  <c r="O28" i="6" s="1"/>
  <c r="G28" i="6"/>
  <c r="H28" i="6" s="1"/>
  <c r="N27" i="6"/>
  <c r="O27" i="6" s="1"/>
  <c r="G27" i="6"/>
  <c r="H27" i="6" s="1"/>
  <c r="N26" i="6"/>
  <c r="O26" i="6" s="1"/>
  <c r="G26" i="6"/>
  <c r="H26" i="6" s="1"/>
  <c r="N25" i="6"/>
  <c r="O25" i="6" s="1"/>
  <c r="G25" i="6"/>
  <c r="H25" i="6" s="1"/>
  <c r="N24" i="6"/>
  <c r="O24" i="6" s="1"/>
  <c r="G24" i="6"/>
  <c r="H24" i="6" s="1"/>
  <c r="N23" i="6"/>
  <c r="O23" i="6" s="1"/>
  <c r="G23" i="6"/>
  <c r="H23" i="6" s="1"/>
  <c r="N22" i="6"/>
  <c r="O22" i="6" s="1"/>
  <c r="G22" i="6"/>
  <c r="H22" i="6" s="1"/>
  <c r="N21" i="6"/>
  <c r="O21" i="6" s="1"/>
  <c r="G21" i="6"/>
  <c r="H21" i="6" s="1"/>
  <c r="N20" i="6"/>
  <c r="O20" i="6" s="1"/>
  <c r="G20" i="6"/>
  <c r="H20" i="6" s="1"/>
  <c r="N19" i="6"/>
  <c r="O19" i="6" s="1"/>
  <c r="G19" i="6"/>
  <c r="H19" i="6" s="1"/>
  <c r="N18" i="6"/>
  <c r="O18" i="6" s="1"/>
  <c r="G18" i="6"/>
  <c r="H18" i="6" s="1"/>
  <c r="N17" i="6"/>
  <c r="O17" i="6" s="1"/>
  <c r="G17" i="6"/>
  <c r="H17" i="6" s="1"/>
  <c r="N16" i="6"/>
  <c r="O16" i="6" s="1"/>
  <c r="G16" i="6"/>
  <c r="H16" i="6" s="1"/>
  <c r="AC481" i="1" l="1"/>
  <c r="AD481" i="1"/>
  <c r="AC425" i="1"/>
  <c r="AD425" i="1"/>
  <c r="AC459" i="1"/>
  <c r="AD459" i="1"/>
  <c r="AC491" i="1"/>
  <c r="AD491" i="1"/>
  <c r="AD493" i="1"/>
  <c r="AC493" i="1"/>
  <c r="AD467" i="1"/>
  <c r="AC467" i="1"/>
  <c r="AC261" i="1"/>
  <c r="AD261" i="1"/>
  <c r="AC263" i="1"/>
  <c r="AD263" i="1"/>
  <c r="AC383" i="1"/>
  <c r="AD383" i="1"/>
  <c r="AC433" i="1"/>
  <c r="AD433" i="1"/>
  <c r="AC381" i="1"/>
  <c r="AD381" i="1"/>
  <c r="AC313" i="1"/>
  <c r="AD313" i="1"/>
  <c r="AC487" i="1"/>
  <c r="AD487" i="1"/>
  <c r="AD275" i="1"/>
  <c r="AC275" i="1"/>
  <c r="AD339" i="1"/>
  <c r="AC339" i="1"/>
  <c r="AC375" i="1"/>
  <c r="AD375" i="1"/>
  <c r="AC321" i="1"/>
  <c r="AD321" i="1"/>
  <c r="AC349" i="1"/>
  <c r="AD349" i="1"/>
  <c r="AC329" i="1"/>
  <c r="AD329" i="1"/>
  <c r="AD387" i="1"/>
  <c r="AC387" i="1"/>
  <c r="AD243" i="1"/>
  <c r="AC243" i="1"/>
  <c r="AC311" i="1"/>
  <c r="AD311" i="1"/>
  <c r="AC441" i="1"/>
  <c r="AD441" i="1"/>
  <c r="AC247" i="1"/>
  <c r="AD247" i="1"/>
  <c r="AC453" i="1"/>
  <c r="AD453" i="1"/>
  <c r="AC397" i="1"/>
  <c r="AD397" i="1"/>
  <c r="AC253" i="1"/>
  <c r="AD253" i="1"/>
  <c r="AC267" i="1"/>
  <c r="AD267" i="1"/>
  <c r="AC235" i="1"/>
  <c r="AD235" i="1"/>
  <c r="AD259" i="1"/>
  <c r="AC259" i="1"/>
  <c r="AC443" i="1"/>
  <c r="AD443" i="1"/>
  <c r="AC455" i="1"/>
  <c r="AD455" i="1"/>
  <c r="AD479" i="1"/>
  <c r="AC479" i="1"/>
  <c r="AC231" i="1"/>
  <c r="AD231" i="1"/>
  <c r="AC341" i="1"/>
  <c r="AD341" i="1"/>
  <c r="AC497" i="1"/>
  <c r="AD497" i="1"/>
  <c r="AC249" i="1"/>
  <c r="AD249" i="1"/>
  <c r="AD419" i="1"/>
  <c r="AC419" i="1"/>
  <c r="AC485" i="1"/>
  <c r="AD485" i="1"/>
  <c r="AC431" i="1"/>
  <c r="AD431" i="1"/>
  <c r="AC289" i="1"/>
  <c r="AD289" i="1"/>
  <c r="AC345" i="1"/>
  <c r="AD345" i="1"/>
  <c r="AC279" i="1"/>
  <c r="AD279" i="1"/>
  <c r="AC303" i="1"/>
  <c r="AD303" i="1"/>
  <c r="AD271" i="1"/>
  <c r="AC271" i="1"/>
  <c r="AC503" i="1"/>
  <c r="AD503" i="1"/>
  <c r="AC391" i="1"/>
  <c r="AD391" i="1"/>
  <c r="AC449" i="1"/>
  <c r="AD449" i="1"/>
  <c r="AC471" i="1"/>
  <c r="AD471" i="1"/>
  <c r="AC465" i="1"/>
  <c r="AD465" i="1"/>
  <c r="AC379" i="1"/>
  <c r="AD379" i="1"/>
  <c r="AC337" i="1"/>
  <c r="AD337" i="1"/>
  <c r="AC319" i="1"/>
  <c r="AD319" i="1"/>
  <c r="AC333" i="1"/>
  <c r="AD333" i="1"/>
  <c r="AC357" i="1"/>
  <c r="AD357" i="1"/>
  <c r="AC385" i="1"/>
  <c r="AD385" i="1"/>
  <c r="AD451" i="1"/>
  <c r="AC451" i="1"/>
  <c r="AD445" i="1"/>
  <c r="AC445" i="1"/>
  <c r="AD415" i="1"/>
  <c r="AC415" i="1"/>
  <c r="AD395" i="1"/>
  <c r="AC395" i="1"/>
  <c r="AC417" i="1"/>
  <c r="AD417" i="1"/>
  <c r="AC245" i="1"/>
  <c r="AD245" i="1"/>
  <c r="AD495" i="1"/>
  <c r="AC495" i="1"/>
  <c r="AC241" i="1"/>
  <c r="AD241" i="1"/>
  <c r="AC405" i="1"/>
  <c r="AD405" i="1"/>
  <c r="AC373" i="1"/>
  <c r="AD373" i="1"/>
  <c r="AC257" i="1"/>
  <c r="AD257" i="1"/>
  <c r="AC327" i="1"/>
  <c r="AD327" i="1"/>
  <c r="AC297" i="1"/>
  <c r="AD297" i="1"/>
  <c r="AC265" i="1"/>
  <c r="AD265" i="1"/>
  <c r="AC233" i="1"/>
  <c r="AD233" i="1"/>
  <c r="AD483" i="1"/>
  <c r="AC483" i="1"/>
  <c r="AC299" i="1"/>
  <c r="AD299" i="1"/>
  <c r="AC325" i="1"/>
  <c r="AD325" i="1"/>
  <c r="AC489" i="1"/>
  <c r="AD489" i="1"/>
  <c r="AC423" i="1"/>
  <c r="AD423" i="1"/>
  <c r="AD371" i="1"/>
  <c r="AC371" i="1"/>
  <c r="AD461" i="1"/>
  <c r="AC461" i="1"/>
  <c r="AC359" i="1"/>
  <c r="AD359" i="1"/>
  <c r="AC239" i="1"/>
  <c r="AD239" i="1"/>
  <c r="AC477" i="1"/>
  <c r="AD477" i="1"/>
  <c r="AC401" i="1"/>
  <c r="AD401" i="1"/>
  <c r="AC457" i="1"/>
  <c r="AD457" i="1"/>
  <c r="AD291" i="1"/>
  <c r="AC291" i="1"/>
  <c r="AC393" i="1"/>
  <c r="AD393" i="1"/>
  <c r="AC317" i="1"/>
  <c r="AD317" i="1"/>
  <c r="AC331" i="1"/>
  <c r="AD331" i="1"/>
  <c r="AC343" i="1"/>
  <c r="AD343" i="1"/>
  <c r="AC277" i="1"/>
  <c r="AD277" i="1"/>
  <c r="AC335" i="1"/>
  <c r="AD335" i="1"/>
  <c r="AC269" i="1"/>
  <c r="AD269" i="1"/>
  <c r="AC237" i="1"/>
  <c r="AD237" i="1"/>
  <c r="AC315" i="1"/>
  <c r="AD315" i="1"/>
  <c r="AC283" i="1"/>
  <c r="AD283" i="1"/>
  <c r="AC377" i="1"/>
  <c r="AD377" i="1"/>
  <c r="AD323" i="1"/>
  <c r="AC323" i="1"/>
  <c r="AC411" i="1"/>
  <c r="AD411" i="1"/>
  <c r="AC251" i="1"/>
  <c r="AD251" i="1"/>
  <c r="AC293" i="1"/>
  <c r="AD293" i="1"/>
  <c r="AC421" i="1"/>
  <c r="AD421" i="1"/>
  <c r="AC399" i="1"/>
  <c r="AD399" i="1"/>
  <c r="AD447" i="1"/>
  <c r="AC447" i="1"/>
  <c r="AC347" i="1"/>
  <c r="AD347" i="1"/>
  <c r="AC143" i="1" l="1"/>
  <c r="AD143" i="1"/>
  <c r="AC181" i="1"/>
  <c r="AD181" i="1"/>
  <c r="AC101" i="1"/>
  <c r="AD101" i="1"/>
  <c r="AC23" i="1"/>
  <c r="AD23" i="1"/>
  <c r="AC27" i="1"/>
  <c r="AD27" i="1"/>
  <c r="AC59" i="1"/>
  <c r="AD59" i="1"/>
  <c r="AC145" i="1"/>
  <c r="AD145" i="1"/>
  <c r="AC55" i="1"/>
  <c r="AD55" i="1"/>
  <c r="AC141" i="1"/>
  <c r="AD141" i="1"/>
  <c r="AC185" i="1"/>
  <c r="AD185" i="1"/>
  <c r="AC109" i="1"/>
  <c r="AD109" i="1"/>
  <c r="AC153" i="1"/>
  <c r="AD153" i="1"/>
  <c r="AC31" i="1"/>
  <c r="AD31" i="1"/>
  <c r="AC71" i="1"/>
  <c r="AD71" i="1"/>
  <c r="AC113" i="1"/>
  <c r="AD113" i="1"/>
  <c r="AC155" i="1"/>
  <c r="AD155" i="1"/>
  <c r="AD191" i="1"/>
  <c r="AC191" i="1"/>
  <c r="AC97" i="1"/>
  <c r="AD97" i="1"/>
  <c r="AC57" i="1"/>
  <c r="AD57" i="1"/>
  <c r="AC63" i="1"/>
  <c r="AD63" i="1"/>
  <c r="AC149" i="1"/>
  <c r="AD149" i="1"/>
  <c r="AC29" i="1"/>
  <c r="AD29" i="1"/>
  <c r="AC157" i="1"/>
  <c r="AD157" i="1"/>
  <c r="AD19" i="1"/>
  <c r="AC19" i="1"/>
  <c r="AD99" i="1"/>
  <c r="AC99" i="1"/>
  <c r="AC225" i="1"/>
  <c r="AD225" i="1"/>
  <c r="AD21" i="1"/>
  <c r="AC21" i="1"/>
  <c r="AC183" i="1"/>
  <c r="AD183" i="1"/>
  <c r="AC105" i="1"/>
  <c r="AD105" i="1"/>
  <c r="AD67" i="1"/>
  <c r="AC67" i="1"/>
  <c r="AC187" i="1"/>
  <c r="AD187" i="1"/>
  <c r="AC69" i="1"/>
  <c r="AD69" i="1"/>
  <c r="AC111" i="1"/>
  <c r="AD111" i="1"/>
  <c r="AC189" i="1"/>
  <c r="AD189" i="1"/>
  <c r="AC33" i="1"/>
  <c r="AD33" i="1"/>
  <c r="AC75" i="1"/>
  <c r="AD75" i="1"/>
  <c r="AD115" i="1"/>
  <c r="AC115" i="1"/>
  <c r="AC193" i="1"/>
  <c r="AD193" i="1"/>
  <c r="AD35" i="1"/>
  <c r="AC35" i="1"/>
  <c r="AC77" i="1"/>
  <c r="AD77" i="1"/>
  <c r="AC119" i="1"/>
  <c r="AD119" i="1"/>
  <c r="AD159" i="1"/>
  <c r="AC159" i="1"/>
  <c r="AD195" i="1"/>
  <c r="AC195" i="1"/>
  <c r="AC81" i="1"/>
  <c r="AD81" i="1"/>
  <c r="AC139" i="1"/>
  <c r="AD139" i="1"/>
  <c r="AC123" i="1"/>
  <c r="AD123" i="1"/>
  <c r="AD83" i="1"/>
  <c r="AC83" i="1"/>
  <c r="AC165" i="1"/>
  <c r="AD165" i="1"/>
  <c r="AC41" i="1"/>
  <c r="AD41" i="1"/>
  <c r="AC125" i="1"/>
  <c r="AD125" i="1"/>
  <c r="AC203" i="1"/>
  <c r="AD203" i="1"/>
  <c r="AC45" i="1"/>
  <c r="AD45" i="1"/>
  <c r="AC85" i="1"/>
  <c r="AD85" i="1"/>
  <c r="AD127" i="1"/>
  <c r="AC127" i="1"/>
  <c r="AC167" i="1"/>
  <c r="AD167" i="1"/>
  <c r="AC205" i="1"/>
  <c r="AD205" i="1"/>
  <c r="AD17" i="1"/>
  <c r="AC17" i="1"/>
  <c r="AC209" i="1"/>
  <c r="AD209" i="1"/>
  <c r="AC37" i="1"/>
  <c r="AD37" i="1"/>
  <c r="AC89" i="1"/>
  <c r="AD89" i="1"/>
  <c r="AC173" i="1"/>
  <c r="AD173" i="1"/>
  <c r="AD179" i="1"/>
  <c r="AC179" i="1"/>
  <c r="AC199" i="1"/>
  <c r="AD199" i="1"/>
  <c r="AC49" i="1"/>
  <c r="AD49" i="1"/>
  <c r="AC13" i="1"/>
  <c r="AD13" i="1"/>
  <c r="AC221" i="1"/>
  <c r="AD221" i="1"/>
  <c r="AC161" i="1"/>
  <c r="AD161" i="1"/>
  <c r="AC47" i="1"/>
  <c r="AD47" i="1"/>
  <c r="AD131" i="1"/>
  <c r="AC131" i="1"/>
  <c r="AC171" i="1"/>
  <c r="AD171" i="1"/>
  <c r="AC91" i="1"/>
  <c r="AD91" i="1"/>
  <c r="AC133" i="1"/>
  <c r="AD133" i="1"/>
  <c r="AC213" i="1"/>
  <c r="AD213" i="1"/>
  <c r="AD51" i="1"/>
  <c r="AC51" i="1"/>
  <c r="AC93" i="1"/>
  <c r="AD93" i="1"/>
  <c r="AC135" i="1"/>
  <c r="AD135" i="1"/>
  <c r="AC175" i="1"/>
  <c r="AD175" i="1"/>
  <c r="AC215" i="1"/>
  <c r="AD215" i="1"/>
  <c r="AD15" i="1"/>
  <c r="AC15" i="1"/>
  <c r="AC53" i="1"/>
  <c r="AD53" i="1"/>
  <c r="AD95" i="1"/>
  <c r="AC95" i="1"/>
  <c r="AC137" i="1"/>
  <c r="AD137" i="1"/>
  <c r="AC177" i="1"/>
  <c r="AD177" i="1"/>
  <c r="AC217" i="1"/>
  <c r="AD217" i="1"/>
  <c r="I11" i="1"/>
</calcChain>
</file>

<file path=xl/sharedStrings.xml><?xml version="1.0" encoding="utf-8"?>
<sst xmlns="http://schemas.openxmlformats.org/spreadsheetml/2006/main" count="2885" uniqueCount="1011">
  <si>
    <t>ID</t>
  </si>
  <si>
    <t>Gate</t>
  </si>
  <si>
    <t>122,1</t>
  </si>
  <si>
    <t>BL 15</t>
  </si>
  <si>
    <t>LII232</t>
  </si>
  <si>
    <t>122,2</t>
  </si>
  <si>
    <t>BL 16</t>
  </si>
  <si>
    <t>LII239</t>
  </si>
  <si>
    <t>Slide Gate</t>
  </si>
  <si>
    <t>122,3</t>
  </si>
  <si>
    <t>BL 17</t>
  </si>
  <si>
    <t>LII245</t>
  </si>
  <si>
    <t>122,4</t>
  </si>
  <si>
    <t>BL 18</t>
  </si>
  <si>
    <t>LII249</t>
  </si>
  <si>
    <t>122,5</t>
  </si>
  <si>
    <t>BL 19</t>
  </si>
  <si>
    <t>LII253</t>
  </si>
  <si>
    <t>122,6</t>
  </si>
  <si>
    <t>BL 20</t>
  </si>
  <si>
    <t>LII256</t>
  </si>
  <si>
    <t>122,7</t>
  </si>
  <si>
    <t>BL 21</t>
  </si>
  <si>
    <t>LII264</t>
  </si>
  <si>
    <t>123,1</t>
  </si>
  <si>
    <t>BTM 1</t>
  </si>
  <si>
    <t>LII267</t>
  </si>
  <si>
    <t>123,2</t>
  </si>
  <si>
    <t>BTM 2</t>
  </si>
  <si>
    <t>LII272</t>
  </si>
  <si>
    <t>123,3</t>
  </si>
  <si>
    <t>BTM 3</t>
  </si>
  <si>
    <t>LII280</t>
  </si>
  <si>
    <t>123,4</t>
  </si>
  <si>
    <t>BTM 4</t>
  </si>
  <si>
    <t>LII284</t>
  </si>
  <si>
    <t>123,5</t>
  </si>
  <si>
    <t>BTM 5</t>
  </si>
  <si>
    <t>LII286</t>
  </si>
  <si>
    <t>123,6</t>
  </si>
  <si>
    <t>Crump De Gruyter</t>
  </si>
  <si>
    <t>123,7</t>
  </si>
  <si>
    <t>128,1</t>
  </si>
  <si>
    <t>BMJ 1</t>
  </si>
  <si>
    <t>LII297</t>
  </si>
  <si>
    <t>128,2</t>
  </si>
  <si>
    <t>BMJ 2</t>
  </si>
  <si>
    <t>LII300</t>
  </si>
  <si>
    <t>128,3</t>
  </si>
  <si>
    <t>BMJ 3</t>
  </si>
  <si>
    <t>LII304</t>
  </si>
  <si>
    <t>128,4</t>
  </si>
  <si>
    <t>BMJ 4</t>
  </si>
  <si>
    <t>LII308</t>
  </si>
  <si>
    <t>128,5</t>
  </si>
  <si>
    <t>BMJ 5</t>
  </si>
  <si>
    <t>LII312</t>
  </si>
  <si>
    <t>128,6</t>
  </si>
  <si>
    <t>BMJ 6</t>
  </si>
  <si>
    <t>LII319</t>
  </si>
  <si>
    <t>128,7</t>
  </si>
  <si>
    <t>BMJ 7</t>
  </si>
  <si>
    <t>LII322</t>
  </si>
  <si>
    <t>128,8</t>
  </si>
  <si>
    <t>128,9</t>
  </si>
  <si>
    <t>128,10</t>
  </si>
  <si>
    <t>BMJ I.1</t>
  </si>
  <si>
    <t>LII338</t>
  </si>
  <si>
    <t>128,11</t>
  </si>
  <si>
    <t>BMJ I.2</t>
  </si>
  <si>
    <t>LII339</t>
  </si>
  <si>
    <t>128,12</t>
  </si>
  <si>
    <t>128,13</t>
  </si>
  <si>
    <t>BMJ II.1</t>
  </si>
  <si>
    <t>LII347</t>
  </si>
  <si>
    <t>128,14</t>
  </si>
  <si>
    <t>128,15</t>
  </si>
  <si>
    <t>BMJ III.1</t>
  </si>
  <si>
    <t>LII351</t>
  </si>
  <si>
    <t>128,16</t>
  </si>
  <si>
    <t>BMJ III.2</t>
  </si>
  <si>
    <t>LII355</t>
  </si>
  <si>
    <t>128,17</t>
  </si>
  <si>
    <t>126,1</t>
  </si>
  <si>
    <t>BLMB 1</t>
  </si>
  <si>
    <t>LII375</t>
  </si>
  <si>
    <t>126,2</t>
  </si>
  <si>
    <t>BLMB 2</t>
  </si>
  <si>
    <t>LII381</t>
  </si>
  <si>
    <t>126,3</t>
  </si>
  <si>
    <t>BLMB 3</t>
  </si>
  <si>
    <t>LII386</t>
  </si>
  <si>
    <t>126,4</t>
  </si>
  <si>
    <t>BLMB 4</t>
  </si>
  <si>
    <t>LII388</t>
  </si>
  <si>
    <t>126,5</t>
  </si>
  <si>
    <t>BLMB 5</t>
  </si>
  <si>
    <t>LII395</t>
  </si>
  <si>
    <t>126,6</t>
  </si>
  <si>
    <t>BLMB 6</t>
  </si>
  <si>
    <t>LII402</t>
  </si>
  <si>
    <t>126,7</t>
  </si>
  <si>
    <t>126,8</t>
  </si>
  <si>
    <t>127,1</t>
  </si>
  <si>
    <t>BLMT 1</t>
  </si>
  <si>
    <t>LII419</t>
  </si>
  <si>
    <t>127,2</t>
  </si>
  <si>
    <t>BLMT 2</t>
  </si>
  <si>
    <t>LII425</t>
  </si>
  <si>
    <t>127,3</t>
  </si>
  <si>
    <t>BLMT 3</t>
  </si>
  <si>
    <t>LII429</t>
  </si>
  <si>
    <t>127,4</t>
  </si>
  <si>
    <t>127,5</t>
  </si>
  <si>
    <t>127,6</t>
  </si>
  <si>
    <t>BLMT II.1</t>
  </si>
  <si>
    <t>LII438</t>
  </si>
  <si>
    <t>127,7</t>
  </si>
  <si>
    <t>BLMT II.2</t>
  </si>
  <si>
    <t>LII442</t>
  </si>
  <si>
    <t>127,8</t>
  </si>
  <si>
    <t>BWS 3</t>
  </si>
  <si>
    <t>LII523</t>
  </si>
  <si>
    <t>125,1</t>
  </si>
  <si>
    <t>BLS 1</t>
  </si>
  <si>
    <t>LII449</t>
  </si>
  <si>
    <t>125,2</t>
  </si>
  <si>
    <t>BLS 2</t>
  </si>
  <si>
    <t>LII451</t>
  </si>
  <si>
    <t>125,3</t>
  </si>
  <si>
    <t>BLS 3</t>
  </si>
  <si>
    <t>LII455</t>
  </si>
  <si>
    <t>125,4</t>
  </si>
  <si>
    <t>BLS 4</t>
  </si>
  <si>
    <t>LII459</t>
  </si>
  <si>
    <t>125,5</t>
  </si>
  <si>
    <t>BLS 5</t>
  </si>
  <si>
    <t>LII465</t>
  </si>
  <si>
    <t>125,6</t>
  </si>
  <si>
    <t>BLS 6</t>
  </si>
  <si>
    <t>LII467</t>
  </si>
  <si>
    <t>125,7</t>
  </si>
  <si>
    <t>BLS 7</t>
  </si>
  <si>
    <t>LII470</t>
  </si>
  <si>
    <t>125,8</t>
  </si>
  <si>
    <t>125,9</t>
  </si>
  <si>
    <t>125,10</t>
  </si>
  <si>
    <t>BLS I.1</t>
  </si>
  <si>
    <t>LII487</t>
  </si>
  <si>
    <t>125,11</t>
  </si>
  <si>
    <t>BLS I.2</t>
  </si>
  <si>
    <t>LII489</t>
  </si>
  <si>
    <t>125,12</t>
  </si>
  <si>
    <t>BLS I.3</t>
  </si>
  <si>
    <t>LII494</t>
  </si>
  <si>
    <t>125,13</t>
  </si>
  <si>
    <t>BLS I.4</t>
  </si>
  <si>
    <t>LII497</t>
  </si>
  <si>
    <t>125,14</t>
  </si>
  <si>
    <t>125,15</t>
  </si>
  <si>
    <t>BLS II.1</t>
  </si>
  <si>
    <t>LII504</t>
  </si>
  <si>
    <t>125,16</t>
  </si>
  <si>
    <t>124,1</t>
  </si>
  <si>
    <t>BWS 1</t>
  </si>
  <si>
    <t>LII512</t>
  </si>
  <si>
    <t>124,2</t>
  </si>
  <si>
    <t>BWS 2</t>
  </si>
  <si>
    <t>LII521</t>
  </si>
  <si>
    <t>124,3</t>
  </si>
  <si>
    <t>124,4</t>
  </si>
  <si>
    <t>BWS 4</t>
  </si>
  <si>
    <t>LII529</t>
  </si>
  <si>
    <t>124,5</t>
  </si>
  <si>
    <t>BWS 5</t>
  </si>
  <si>
    <t>LII532</t>
  </si>
  <si>
    <t>124,6</t>
  </si>
  <si>
    <t>BWS 6</t>
  </si>
  <si>
    <t>LII537</t>
  </si>
  <si>
    <t>124,7</t>
  </si>
  <si>
    <t>BWS 7</t>
  </si>
  <si>
    <t>LII671</t>
  </si>
  <si>
    <t>124,8</t>
  </si>
  <si>
    <t>BWS 8</t>
  </si>
  <si>
    <t>LII542</t>
  </si>
  <si>
    <t>124,9</t>
  </si>
  <si>
    <t>BWS 9</t>
  </si>
  <si>
    <t>LII691</t>
  </si>
  <si>
    <t>124,10</t>
  </si>
  <si>
    <t>BWS 10</t>
  </si>
  <si>
    <t>LII552</t>
  </si>
  <si>
    <t>124,11</t>
  </si>
  <si>
    <t>BWS 11</t>
  </si>
  <si>
    <t>LII554</t>
  </si>
  <si>
    <t>124,12</t>
  </si>
  <si>
    <t>BWS 12</t>
  </si>
  <si>
    <t>LII556</t>
  </si>
  <si>
    <t>124,13</t>
  </si>
  <si>
    <t>124,14</t>
  </si>
  <si>
    <t>124,15</t>
  </si>
  <si>
    <t>BWS I.1</t>
  </si>
  <si>
    <t>LII574</t>
  </si>
  <si>
    <t>124,16</t>
  </si>
  <si>
    <t>124,17</t>
  </si>
  <si>
    <t>124,20</t>
  </si>
  <si>
    <t>BWS II.1</t>
  </si>
  <si>
    <t>LII580</t>
  </si>
  <si>
    <t>124,21</t>
  </si>
  <si>
    <t>BWS II.2</t>
  </si>
  <si>
    <t>LII585</t>
  </si>
  <si>
    <t>124,22</t>
  </si>
  <si>
    <t>124,19</t>
  </si>
  <si>
    <t>124,18</t>
  </si>
  <si>
    <t>Name</t>
  </si>
  <si>
    <t>Minimum Headloss Requirement</t>
  </si>
  <si>
    <t>Project</t>
  </si>
  <si>
    <t>Project ID</t>
  </si>
  <si>
    <t>File No.</t>
  </si>
  <si>
    <t>Calculations for</t>
  </si>
  <si>
    <t>Calc. No.</t>
  </si>
  <si>
    <t>Number of sheets</t>
  </si>
  <si>
    <t>Checked by</t>
  </si>
  <si>
    <t>of</t>
  </si>
  <si>
    <t>Name of Structure</t>
  </si>
  <si>
    <t>Name Of U/S Canal</t>
  </si>
  <si>
    <t>ID Canal</t>
  </si>
  <si>
    <t>Slide Gate + BCW</t>
  </si>
  <si>
    <t>u/s</t>
  </si>
  <si>
    <t>d/s</t>
  </si>
  <si>
    <t>WL</t>
  </si>
  <si>
    <t>No Gate</t>
  </si>
  <si>
    <t>Lempuing SSC</t>
  </si>
  <si>
    <t>Tugumulyo SSC</t>
  </si>
  <si>
    <t>Mekarjaya SSC</t>
  </si>
  <si>
    <t xml:space="preserve">SM. MJ 1 kn 1 </t>
  </si>
  <si>
    <t>SM. TM 4 kr</t>
  </si>
  <si>
    <t>Mekarjaya I SSC</t>
  </si>
  <si>
    <t>Mekarjaya II SSC</t>
  </si>
  <si>
    <t>Mekarjaya III SSC</t>
  </si>
  <si>
    <t>Lubuk Makmur Barat SSC</t>
  </si>
  <si>
    <t>SM. LMB 6 kr 2</t>
  </si>
  <si>
    <t>Lubuk Makmur Timur SSC</t>
  </si>
  <si>
    <t>SM. LMT 1 kr 1</t>
  </si>
  <si>
    <t>Lubuk Makmur Timur I SSC</t>
  </si>
  <si>
    <t>Lubuk Seberuk SSC</t>
  </si>
  <si>
    <t>SM. LS 3 kn</t>
  </si>
  <si>
    <t>Lubuk Seberuk I SSC</t>
  </si>
  <si>
    <t>Lubuk Seberuk II SSC</t>
  </si>
  <si>
    <t>Wanasari SSC</t>
  </si>
  <si>
    <t>SM. WS 1 kn 1</t>
  </si>
  <si>
    <t>Wanasari I SSC</t>
  </si>
  <si>
    <t>SM. WS 8 kn 2</t>
  </si>
  <si>
    <t>Wanasari II SSC</t>
  </si>
  <si>
    <t>SM. WS 9 kn 2</t>
  </si>
  <si>
    <t>Wanasari III SSC</t>
  </si>
  <si>
    <t>Date</t>
  </si>
  <si>
    <t>Head Difference Available</t>
  </si>
  <si>
    <t>Check - Minimum Headloss Requirement</t>
  </si>
  <si>
    <t>b canal</t>
  </si>
  <si>
    <t>Width of gate</t>
  </si>
  <si>
    <t>No of Gate</t>
  </si>
  <si>
    <t>Prepaired by</t>
  </si>
  <si>
    <t>Lempuing</t>
  </si>
  <si>
    <t>Tertiary</t>
  </si>
  <si>
    <t>Lubuk Makmur Timur</t>
  </si>
  <si>
    <t>Lubuk Makmur Barat</t>
  </si>
  <si>
    <t>Lubuk Seberuk</t>
  </si>
  <si>
    <t>Mekar jaya</t>
  </si>
  <si>
    <t>Tugu Mulyo</t>
  </si>
  <si>
    <t>Wanasari</t>
  </si>
  <si>
    <t>Secondary</t>
  </si>
  <si>
    <t>Q(m3/s)</t>
  </si>
  <si>
    <t>b (m)</t>
    <phoneticPr fontId="1"/>
  </si>
  <si>
    <t>Where:</t>
    <phoneticPr fontId="3"/>
  </si>
  <si>
    <t>b =</t>
    <phoneticPr fontId="3"/>
  </si>
  <si>
    <t>Width of gate</t>
    <phoneticPr fontId="3"/>
  </si>
  <si>
    <t>K =</t>
  </si>
  <si>
    <t>Rate for min gate opening</t>
  </si>
  <si>
    <t>Q =</t>
    <phoneticPr fontId="3"/>
  </si>
  <si>
    <t>Discharge</t>
    <phoneticPr fontId="3"/>
  </si>
  <si>
    <t>α =</t>
  </si>
  <si>
    <t>Rate for max gate opening</t>
  </si>
  <si>
    <t>h =</t>
    <phoneticPr fontId="3"/>
  </si>
  <si>
    <t>Height</t>
    <phoneticPr fontId="3"/>
  </si>
  <si>
    <t>Δh =</t>
  </si>
  <si>
    <t>Head Loss</t>
  </si>
  <si>
    <t>w =</t>
    <phoneticPr fontId="3"/>
  </si>
  <si>
    <t>Gate open</t>
    <phoneticPr fontId="3"/>
  </si>
  <si>
    <t>2 turnout</t>
    <phoneticPr fontId="1"/>
  </si>
  <si>
    <t>Q(m3/s)</t>
    <phoneticPr fontId="1"/>
  </si>
  <si>
    <t>h(m)</t>
    <phoneticPr fontId="1"/>
  </si>
  <si>
    <t>W(m)</t>
    <phoneticPr fontId="1"/>
  </si>
  <si>
    <t>K</t>
    <phoneticPr fontId="1"/>
  </si>
  <si>
    <t>α</t>
    <phoneticPr fontId="1"/>
  </si>
  <si>
    <t>Δh</t>
    <phoneticPr fontId="1"/>
  </si>
  <si>
    <t>p</t>
    <phoneticPr fontId="3"/>
  </si>
  <si>
    <t>&lt;</t>
  </si>
  <si>
    <t xml:space="preserve">&lt; Q &lt; </t>
  </si>
  <si>
    <t xml:space="preserve"> &lt; Q &lt; </t>
  </si>
  <si>
    <t>Q</t>
  </si>
  <si>
    <t>ok</t>
  </si>
  <si>
    <t>As Tertiary Box</t>
  </si>
  <si>
    <t/>
  </si>
  <si>
    <t>To tertiary system</t>
  </si>
  <si>
    <t>Template</t>
  </si>
  <si>
    <t>b</t>
  </si>
  <si>
    <t>h</t>
  </si>
  <si>
    <t>Check - Discharge Capacity</t>
  </si>
  <si>
    <t>Sek. BL 14 - BL 15</t>
  </si>
  <si>
    <t>-</t>
  </si>
  <si>
    <t>Sek. BL 15 - BL 16</t>
  </si>
  <si>
    <t>Hydraulic Sizing Calculation for Check Structure - BL 16 - Sek. BL 16 - BL 17</t>
  </si>
  <si>
    <t>OK</t>
  </si>
  <si>
    <t>Sek. BL 16 - BL 17</t>
  </si>
  <si>
    <t>Hydraulic Sizing Calculation for Check Structure - BL 17 - Sek. BL 17 - BL 18</t>
  </si>
  <si>
    <t>Sek. BL 17 - BL 18</t>
  </si>
  <si>
    <t>Hydraulic Sizing Calculation for Check Structure - BL 18 - Sek. BL 18 - BL 19</t>
  </si>
  <si>
    <t>Sek. BL 18 - BL 19</t>
  </si>
  <si>
    <t>Sek. BL 19 - BL 20</t>
  </si>
  <si>
    <t>Hydraulic Sizing Calculation for Check Structure - BL 20 - Sek. BL 20 - BL 21</t>
  </si>
  <si>
    <t>Sek. BL 20 - BL 21</t>
  </si>
  <si>
    <t>BL 18 - Sek. BL 18 - BTM 1 - Input for design of Crump De Gruyter</t>
  </si>
  <si>
    <t>Sek. BL 18 - BTM 1</t>
  </si>
  <si>
    <t>Hydraulic Sizing Calculation for Check Structure - BTM 1 - Sek. BTM 1 - BTM 2</t>
  </si>
  <si>
    <t>Sek. BTM 1 - BTM 2</t>
  </si>
  <si>
    <t>Sek. BTM 2 - BTM 3</t>
  </si>
  <si>
    <t>Hydraulic Sizing Calculation for Check Structure - BTM 3 - Sek. BTM 3 - BTM 4</t>
  </si>
  <si>
    <t>Sek. BTM 3 - BTM 4</t>
  </si>
  <si>
    <t>Hydraulic Sizing Calculation for Check Structure - BTM 4 - Sek. BTM 4 - BTM 5</t>
  </si>
  <si>
    <t>Sek. BTM 4 - BTM 5</t>
  </si>
  <si>
    <t>Hydraulic Sizing Calculation for Check Structure - BTM 5 - Muka TM 5 tg</t>
  </si>
  <si>
    <t>Muka TM 5 tg</t>
  </si>
  <si>
    <t>BTM 4 - Muka TM 4kr - Input for design of Crump De Gruyter</t>
  </si>
  <si>
    <t>Muka TM 4kr</t>
  </si>
  <si>
    <t>Hydraulic Sizing Calculation for Check Structure - BL 20 - Sek. BL 20 - BMJ 1</t>
  </si>
  <si>
    <t>Sek. BL 20 - BMJ 1</t>
  </si>
  <si>
    <t>Hydraulic Sizing Calculation for Check Structure - BMJ 1 - Sek. BMJ 1 - BMJ 2</t>
  </si>
  <si>
    <t>Sek. BMJ 1 - BMJ 2</t>
  </si>
  <si>
    <t>Hydraulic Sizing Calculation for Check Structure - BMJ 2 - Sek. BMJ 2 - BMJ 3</t>
  </si>
  <si>
    <t>Sek. BMJ 2 - BMJ 3</t>
  </si>
  <si>
    <t>Hydraulic Sizing Calculation for Check Structure - BMJ 3 - Sek. BMJ 3 - BMJ 4</t>
  </si>
  <si>
    <t>Sek. BMJ 3 - BMJ 4</t>
  </si>
  <si>
    <t>Hydraulic Sizing Calculation for Check Structure - BMJ 4 - Sek. BMJ 4 - BMJ 5</t>
  </si>
  <si>
    <t>Sek. BMJ 4 - BMJ 5</t>
  </si>
  <si>
    <t>Hydraulic Sizing Calculation for Check Structure - BMJ 5 - Sek. BMJ 5 - BMJ 6</t>
  </si>
  <si>
    <t>Sek. BMJ 5 - BMJ 6</t>
  </si>
  <si>
    <t>Hydraulic Sizing Calculation for Check Structure - BMJ 6 - Sek. BMJ 6 - BMJ 7</t>
  </si>
  <si>
    <t>Sek. BMJ 6 - BMJ 7</t>
  </si>
  <si>
    <t>Hydraulic Sizing Calculation for Check Structure - BMJ 7 - Sek. BMJ 7 - BMJ 7tg</t>
  </si>
  <si>
    <t>Sek. BMJ 7 - BMJ 7tg</t>
  </si>
  <si>
    <t>BMJ 1 - Muka MJ 1kn1 - Input for design of Crump De Gruyter</t>
  </si>
  <si>
    <t>Muka MJ 1kn1</t>
  </si>
  <si>
    <t>BMJ 3 - Sek. BMJ 3 - BMJ I.1 - Input for design of Crump De Gruyter</t>
  </si>
  <si>
    <t>Sek. BMJ 3 - BMJ I.1</t>
  </si>
  <si>
    <t>Sek. BMJ I.1 - BMJ I.2</t>
  </si>
  <si>
    <t>Hydraulic Sizing Calculation for Check Structure - BMJ I.2 - Sek. BMJ I.2 - BMJ I.3</t>
  </si>
  <si>
    <t>Sek. BMJ I.2 - BMJ I.3</t>
  </si>
  <si>
    <t>BMJ 5 - Sek. BMJ 5 - BMJ II.1 - Input for design of Crump De Gruyter</t>
  </si>
  <si>
    <t>Sek. BMJ 5 - BMJ II.1</t>
  </si>
  <si>
    <t>Hydraulic Sizing Calculation for Check Structure - BMJ II.1 - Muka BMJ II.1 - BMMJ II.1kr</t>
  </si>
  <si>
    <t>Muka BMJ II.1 - BMMJ II.1kr</t>
  </si>
  <si>
    <t>BMJ 6 - Sek. BMJ 6 - BMJ III.1 - Input for design of Crump De Gruyter</t>
  </si>
  <si>
    <t>Sek. BMJ 6 - BMJ III.1</t>
  </si>
  <si>
    <t>Sek. BMJ III.1 - BMJ III.2</t>
  </si>
  <si>
    <t>Hydraulic Sizing Calculation for Check Structure - BMJ III.2 - Muka BMJ III.2 - BMJ III.2kn</t>
  </si>
  <si>
    <t>Muka BMJ III.2 - BMJ III.2kn</t>
  </si>
  <si>
    <t>BL 21 - Sek. BL 21 - BLMB 1 - Input for design of Slide Gate + BCW</t>
  </si>
  <si>
    <t>Sek. BL 21 - BLMB 1</t>
  </si>
  <si>
    <t>Hydraulic Sizing Calculation for Check Structure - BLMB 1 - Sek. BLMB 1 - BLMB 2</t>
  </si>
  <si>
    <t>Sek. BLMB 1 - BLMB 2</t>
  </si>
  <si>
    <t>Hydraulic Sizing Calculation for Check Structure - BLMB 2 - Sek. BLMB 2 - BLMB 3</t>
  </si>
  <si>
    <t>Sek. BLMB 2 - BLMB 3</t>
  </si>
  <si>
    <t>Hydraulic Sizing Calculation for Check Structure - BLMB 3 - Sek. BLMB 3 - BLMB 4</t>
  </si>
  <si>
    <t>Sek. BLMB 3 - BLMB 4</t>
  </si>
  <si>
    <t>Sek. BLMB 4 - BLMB 5</t>
  </si>
  <si>
    <t>Hydraulic Sizing Calculation for Check Structure - BLMB 5 - Sek. BLMB 5 - BLMB 6</t>
  </si>
  <si>
    <t>Sek. BLMB 5 - BLMB 6</t>
  </si>
  <si>
    <t>Hydraulic Sizing Calculation for Check Structure - BLMB 6 - Sek. BLMB 6 - BLMB 7</t>
  </si>
  <si>
    <t>Sek. BLMB 6 - BLMB 7</t>
  </si>
  <si>
    <t>BLMB 6 - Muka LMB 6kr2 - Input for design of Crump De Gruyter</t>
  </si>
  <si>
    <t>Muka LMB 6kr2</t>
  </si>
  <si>
    <t>BLMB 2 - Sek. BLMB 2 - BLMT 1 - Input for design of Crump De Gruyter</t>
  </si>
  <si>
    <t>Sek. BLMB 2 - BLMT 1</t>
  </si>
  <si>
    <t>Hydraulic Sizing Calculation for Check Structure - BLMT 1 - Sek. BLMT 1 - BLMT 2</t>
  </si>
  <si>
    <t>Sek. BLMT 1 - BLMT 2</t>
  </si>
  <si>
    <t>Hydraulic Sizing Calculation for Check Structure - BLMT 2 - Sek. BLMT 2 - BLMT 3</t>
  </si>
  <si>
    <t>Sek. BLMT 2 - BLMT 3</t>
  </si>
  <si>
    <t>Hydraulic Sizing Calculation for Check Structure - BLMT 3 - Sek. BLMT 3 - BMLMT 3kn</t>
  </si>
  <si>
    <t>Sek. BLMT 3 - BMLMT 3kn</t>
  </si>
  <si>
    <t>BLMT 1 - Muka LMT 1kr1 - Input for design of Crump De Gruyter</t>
  </si>
  <si>
    <t>Muka LMT 1kr1</t>
  </si>
  <si>
    <t>BLMT 2 - Sek. BLMT 2 - BLMT II.1 - Input for design of Crump De Gruyter</t>
  </si>
  <si>
    <t>Sek. BLMT 2 - BLMT II.1</t>
  </si>
  <si>
    <t>Sek. BLMT II.1 - BLMT II.2</t>
  </si>
  <si>
    <t>Hydraulic Sizing Calculation for Check Structure - BLMT II.2 - Sek. BLMT II.2 - BMLMT II.2kn</t>
  </si>
  <si>
    <t>Sek. BLMT II.2 - BMLMT II.2kn</t>
  </si>
  <si>
    <t>Sek. BWS 2 - BWS 3</t>
  </si>
  <si>
    <t>Hydraulic Sizing Calculation for Check Structure - BWS 3 - Sek. BWS 3 - BLS 1</t>
  </si>
  <si>
    <t>Sek. BWS 3 - BLS 1</t>
  </si>
  <si>
    <t>Sek. BLS 1 - BLS 2</t>
  </si>
  <si>
    <t>Hydraulic Sizing Calculation for Check Structure - BLS 2 - Sek. BLS 2 - BLS 3</t>
  </si>
  <si>
    <t>Sek. BLS 2 - BLS 3</t>
  </si>
  <si>
    <t>Hydraulic Sizing Calculation for Check Structure - BLS 3 - Sek. BLS 3 - BLS 4</t>
  </si>
  <si>
    <t>Sek. BLS 3 - BLS 4</t>
  </si>
  <si>
    <t>Hydraulic Sizing Calculation for Check Structure - BLS 4 - Sek. BLS 4 - BLS 5</t>
  </si>
  <si>
    <t>Sek. BLS 4 - BLS 5</t>
  </si>
  <si>
    <t>Hydraulic Sizing Calculation for Check Structure - BLS 5 - Sek. BLS 5 - BLS 6</t>
  </si>
  <si>
    <t>Sek. BLS 5 - BLS 6</t>
  </si>
  <si>
    <t>Hydraulic Sizing Calculation for Check Structure - BLS 6 - Sek. BLS 6 - BLS 7</t>
  </si>
  <si>
    <t>Sek. BLS 6 - BLS 7</t>
  </si>
  <si>
    <t>Hydraulic Sizing Calculation for Check Structure - BLS 7 - Sek. BLS 7 - BLS 8</t>
  </si>
  <si>
    <t>Sek. BLS 7 - BLS 8</t>
  </si>
  <si>
    <t>BLS 3 - Muka LS 3kn - Input for design of Crump De Gruyter</t>
  </si>
  <si>
    <t>Muka LS 3kn</t>
  </si>
  <si>
    <t>BLS 4 - Sek. BLS 4 - BLS I.1 - Input for design of Crump De Gruyter</t>
  </si>
  <si>
    <t>Sek. BLS 4 - BLS I.1</t>
  </si>
  <si>
    <t>Hydraulic Sizing Calculation for Check Structure - BLS I.1 - Sek. BLS I.1 - BLS I.2</t>
  </si>
  <si>
    <t>Sek. BLS I.1 - BLS I.2</t>
  </si>
  <si>
    <t>Hydraulic Sizing Calculation for Check Structure - BLS I.2 - Sek. BLS I.2 - BLS I.3</t>
  </si>
  <si>
    <t>Sek. BLS I.2 - BLS I.3</t>
  </si>
  <si>
    <t>Hydraulic Sizing Calculation for Check Structure - BLS I.3 - Sek. BLS I.3 - BLS I.4</t>
  </si>
  <si>
    <t>Sek. BLS I.3 - BLS I.4</t>
  </si>
  <si>
    <t>Hydraulic Sizing Calculation for Check Structure - BLS I.4 - Sek. BLS I.4 - BMLS I.4 tg</t>
  </si>
  <si>
    <t>Sek. BLS I.4 - BMLS I.4 tg</t>
  </si>
  <si>
    <t>BLS 7 - Sek. BLS 7 - BLS II.1 - Input for design of Crump De Gruyter</t>
  </si>
  <si>
    <t>Sek. BLS 7 - BLS II.1</t>
  </si>
  <si>
    <t>Hydraulic Sizing Calculation for Check Structure - BLS II.1 - Sek. BLS II.1 - BMLS II.1 tg</t>
  </si>
  <si>
    <t>Sek. BLS II.1 - BMLS II.1 tg</t>
  </si>
  <si>
    <t>Hydraulic Sizing Calculation for Check Structure - BL 21 - Sek. BL 21 - BWS 1</t>
  </si>
  <si>
    <t>Sek. BL 21 - BWS 1</t>
  </si>
  <si>
    <t>Hydraulic Sizing Calculation for Check Structure - BWS 1 - Sek. BWS 1 - BWS 2</t>
  </si>
  <si>
    <t>Sek. BWS 1 - BWS 2</t>
  </si>
  <si>
    <t>Hydraulic Sizing Calculation for Check Structure - BWS 3 - Sek. BWS 3 - BWS 4</t>
  </si>
  <si>
    <t>Sek. BWS 3 - BWS 4</t>
  </si>
  <si>
    <t>Hydraulic Sizing Calculation for Check Structure - BWS 4 - Sek. BWS 4 - BWS 5</t>
  </si>
  <si>
    <t>Sek. BWS 4 - BWS 5</t>
  </si>
  <si>
    <t>Hydraulic Sizing Calculation for Check Structure - BWS 5 - Sek. BWS 5 - BWS 6</t>
  </si>
  <si>
    <t>Sek. BWS 5 - BWS 6</t>
  </si>
  <si>
    <t>Hydraulic Sizing Calculation for Check Structure - BWS 6 - Sek. BWS 6 - BWS 7</t>
  </si>
  <si>
    <t>Sek. BWS 6 - BWS 7</t>
  </si>
  <si>
    <t>Hydraulic Sizing Calculation for Check Structure - BWS 7 - Sek. BWS 7 - BWS 8</t>
  </si>
  <si>
    <t>Sek. BWS 7 - BWS 8</t>
  </si>
  <si>
    <t>Hydraulic Sizing Calculation for Check Structure - BWS 8 - Sek. BWS 8 - BWS 9</t>
  </si>
  <si>
    <t>Sek. BWS 8 - BWS 9</t>
  </si>
  <si>
    <t>Hydraulic Sizing Calculation for Check Structure - BWS 9 - Sek. BWS 9 - BWS 10</t>
  </si>
  <si>
    <t>Sek. BWS 9 - BWS 10</t>
  </si>
  <si>
    <t>Sek. BWS 10 - BWS 11</t>
  </si>
  <si>
    <t>Hydraulic Sizing Calculation for Check Structure - BWS 11 - Sek. BWS 11 - BWS 12</t>
  </si>
  <si>
    <t>Sek. BWS 11 - BWS 12</t>
  </si>
  <si>
    <t>Hydraulic Sizing Calculation for Check Structure - BWS 12 - Muka WS 12kn</t>
  </si>
  <si>
    <t>Muka WS 12kn</t>
  </si>
  <si>
    <t>BWS 1 - Muka WS 1kn1 - Input for design of Crump De Gruyter</t>
  </si>
  <si>
    <t>Muka WS 1kn1</t>
  </si>
  <si>
    <t>BWS 7 - Sek. BWS 7 - BWS I.1 - Input for design of Crump De Gruyter</t>
  </si>
  <si>
    <t>Sek. BWS 7 - BWS I.1</t>
  </si>
  <si>
    <t>Hydraulic Sizing Calculation for Check Structure - BWS I.1 - Muka WS I.1 kn</t>
  </si>
  <si>
    <t>Muka WS I.1 kn</t>
  </si>
  <si>
    <t>BWS 8 - Muka WS 8kn2 - Input for design of Crump De Gruyter</t>
  </si>
  <si>
    <t>Muka WS 8kn2</t>
  </si>
  <si>
    <t>BWS 9 - Sek. BWS 9 - BWS II.1 - Input for design of Crump De Gruyter</t>
  </si>
  <si>
    <t>Sek. BWS 9 - BWS II.1</t>
  </si>
  <si>
    <t>Sek. BWS II.1 - BWS II.2</t>
  </si>
  <si>
    <t>Hydraulic Sizing Calculation for Check Structure - BWS II.2 - Sek. BWS II.2 - BWS II.3</t>
  </si>
  <si>
    <t>Sek. BWS II.2 - BWS II.3</t>
  </si>
  <si>
    <t>BWS 9 - Muka WS 9kn2 - Input for design of Crump De Gruyter</t>
  </si>
  <si>
    <t>Muka WS 9kn2</t>
  </si>
  <si>
    <t>BWS 11 - Sek. BWS 11 - BWS III.1 - Input for design of Crump De Gruyter</t>
  </si>
  <si>
    <t>Sek. BWS 11 - BWS III.1</t>
  </si>
  <si>
    <t>BL15</t>
  </si>
  <si>
    <t>BL15 - Block L15kr Tersier BL15-T1 - Input for design of Crump De Gruyter</t>
  </si>
  <si>
    <t>1,16</t>
  </si>
  <si>
    <t>Block L15kr Tersier BL15-T1</t>
  </si>
  <si>
    <t>BL16</t>
  </si>
  <si>
    <t>BL16 - Block L16kn Tersier BL16-K1 - Input for design of Crump De Gruyter</t>
  </si>
  <si>
    <t>2,4</t>
  </si>
  <si>
    <t>Block L16kn Tersier BL16-K1</t>
  </si>
  <si>
    <t>BL16 - Block L16kr Tersier BL.16-T1 - Input for design of Crump De Gruyter</t>
  </si>
  <si>
    <t>3,10</t>
  </si>
  <si>
    <t>Block L16kr Tersier BL.16-T1</t>
  </si>
  <si>
    <t>BL17</t>
  </si>
  <si>
    <t>BL17 - Block L17kn Tersier BL17-T1 - Input for design of Crump De Gruyter</t>
  </si>
  <si>
    <t>4,17</t>
  </si>
  <si>
    <t>Block L17kn Tersier BL17-T1</t>
  </si>
  <si>
    <t>BL17 - Block L17kr Tersier BL.17-T1 - Input for design of Crump De Gruyter</t>
  </si>
  <si>
    <t>5,13</t>
  </si>
  <si>
    <t>Block L17kr Tersier BL.17-T1</t>
  </si>
  <si>
    <t>BL18</t>
  </si>
  <si>
    <t>BL18 - Block L18kn Tersier BL18-T1 - Input for design of Crump De Gruyter</t>
  </si>
  <si>
    <t>6,9</t>
  </si>
  <si>
    <t>Block L18kn Tersier BL18-T1</t>
  </si>
  <si>
    <t>BL18 - Block L18kr Tersier BL18-K1 - Input for design of Crump De Gruyter</t>
  </si>
  <si>
    <t>7,4</t>
  </si>
  <si>
    <t>Block L18kr Tersier BL18-K1</t>
  </si>
  <si>
    <t>BL19</t>
  </si>
  <si>
    <t>BL19 - Block L19kn Tersier BL19-T1 - Input for design of Crump De Gruyter</t>
  </si>
  <si>
    <t>8,16</t>
  </si>
  <si>
    <t>Block L19kn Tersier BL19-T1</t>
  </si>
  <si>
    <t>BL20</t>
  </si>
  <si>
    <t>BL20 - Block L20kn Tersier BL20-T1 - Input for design of Crump De Gruyter</t>
  </si>
  <si>
    <t>9,6</t>
  </si>
  <si>
    <t>Block L20kn Tersier BL20-T1</t>
  </si>
  <si>
    <t>BL21</t>
  </si>
  <si>
    <t>BL21 - Block L21kn Tersier BL.21-T1 - Input for design of Crump De Gruyter</t>
  </si>
  <si>
    <t>10,21</t>
  </si>
  <si>
    <t>Block L21kn Tersier BL.21-T1</t>
  </si>
  <si>
    <t>BL21 - Block L21kr Kwarter a1 - Input for design of Crump De Gruyter</t>
  </si>
  <si>
    <t>11,1</t>
  </si>
  <si>
    <t>Block L21kr Kwarter a1</t>
  </si>
  <si>
    <t>BL21 - Block L21TG Tersier BL21-T1 - Input for design of Crump De Gruyter</t>
  </si>
  <si>
    <t>12,15</t>
  </si>
  <si>
    <t>Block L21TG Tersier BL21-T1</t>
  </si>
  <si>
    <t>BLMB1</t>
  </si>
  <si>
    <t>BLMB1 - Block LMB1kn Tersier BLMB1-T1 - Input for design of Crump De Gruyter</t>
  </si>
  <si>
    <t>13,17</t>
  </si>
  <si>
    <t>Block LMB1kn Tersier BLMB1-T1</t>
  </si>
  <si>
    <t>BLMB2</t>
  </si>
  <si>
    <t>BLMB2 - Block LMB2kn Tersier BLMB2-T1 - Input for design of Crump De Gruyter</t>
  </si>
  <si>
    <t>14,14</t>
  </si>
  <si>
    <t>Block LMB2kn Tersier BLMB2-T1</t>
  </si>
  <si>
    <t>BLMB3</t>
  </si>
  <si>
    <t>BLMB3 - Block LMB3kn Tersier BLMB3-T1 - Input for design of Crump De Gruyter</t>
  </si>
  <si>
    <t>15,16</t>
  </si>
  <si>
    <t>Block LMB3kn Tersier BLMB3-T1</t>
  </si>
  <si>
    <t>BLMB3 - Block LMB3kr Tersier BLMB3-T1 - Input for design of Crump De Gruyter</t>
  </si>
  <si>
    <t>16,11</t>
  </si>
  <si>
    <t>Block LMB3kr Tersier BLMB3-T1</t>
  </si>
  <si>
    <t>BLMB4</t>
  </si>
  <si>
    <t>BLMB4 - Block LMB4kn Tersier BLMB4-T1 - Input for design of Crump De Gruyter</t>
  </si>
  <si>
    <t>17,12</t>
  </si>
  <si>
    <t>Block LMB4kn Tersier BLMB4-T1</t>
  </si>
  <si>
    <t>BLMB5</t>
  </si>
  <si>
    <t>BLMB5 - Block LMB5kn Tersier BLMB5 -T1 - Input for design of Crump De Gruyter</t>
  </si>
  <si>
    <t>18,19</t>
  </si>
  <si>
    <t>Block LMB5kn Tersier BLMB5 -T1</t>
  </si>
  <si>
    <t>BLMB5 - Block LMB5kr Tersier BLMB5-T1 - Input for design of Crump De Gruyter</t>
  </si>
  <si>
    <t>19,20</t>
  </si>
  <si>
    <t>Block LMB5kr Tersier BLMB5-T1</t>
  </si>
  <si>
    <t>BLMB6</t>
  </si>
  <si>
    <t>BLMB6 - Block LMB6kr1 Tersier BLMB6-T1 - Input for design of Crump De Gruyter</t>
  </si>
  <si>
    <t>20,12</t>
  </si>
  <si>
    <t>Block LMB6kr1 Tersier BLMB6-T1</t>
  </si>
  <si>
    <t>BMLMB6kr2</t>
  </si>
  <si>
    <t>LII413</t>
  </si>
  <si>
    <t>BLMB6 - Block LMB6kr3 Tersier BLMB6-T1 - Input for design of Crump De Gruyter</t>
  </si>
  <si>
    <t>22,17</t>
  </si>
  <si>
    <t>Block LMB6kr3 Tersier BLMB6-T1</t>
  </si>
  <si>
    <t>BLMB7</t>
  </si>
  <si>
    <t>LII408</t>
  </si>
  <si>
    <t>BLMB7 - Block LMB7kn Tersier BLMB7-T1 - Input for design of Crump De Gruyter</t>
  </si>
  <si>
    <t>23,17</t>
  </si>
  <si>
    <t>Block LMB7kn Tersier BLMB7-T1</t>
  </si>
  <si>
    <t>BLMB7 - Block LMB7kr Tersier BLMB7-T1 - Input for design of Crump De Gruyter</t>
  </si>
  <si>
    <t>24,20</t>
  </si>
  <si>
    <t>Block LMB7kr Tersier BLMB7-T1</t>
  </si>
  <si>
    <t>BLMT1</t>
  </si>
  <si>
    <t>BLMT1 - Block LMT1kn Tersier BLMT1-T1 - Input for design of Crump De Gruyter</t>
  </si>
  <si>
    <t>25,11</t>
  </si>
  <si>
    <t>Block LMT1kn Tersier BLMT1-T1</t>
  </si>
  <si>
    <t>BMLMT1kr1</t>
  </si>
  <si>
    <t>LII436</t>
  </si>
  <si>
    <t>BLMT1 - Block LMT1kr2 Tersier BLMT1-T1 - Input for design of Crump De Gruyter</t>
  </si>
  <si>
    <t>27,13</t>
  </si>
  <si>
    <t>Block LMT1kr2 Tersier BLMT1-T1</t>
  </si>
  <si>
    <t>BLMT2</t>
  </si>
  <si>
    <t>BLMT2 - Block LMT2kn Kwarter a1 - Input for design of Crump De Gruyter</t>
  </si>
  <si>
    <t>28,1</t>
  </si>
  <si>
    <t>Block LMT2kn Kwarter a1</t>
  </si>
  <si>
    <t>BLMT2 - Block LMT2kr Tersier BLMT2-T1 - Input for design of Crump De Gruyter</t>
  </si>
  <si>
    <t>29,10</t>
  </si>
  <si>
    <t>Block LMT2kr Tersier BLMT2-T1</t>
  </si>
  <si>
    <t>BMLMT3kn</t>
  </si>
  <si>
    <t>LII435</t>
  </si>
  <si>
    <t>BLMT3</t>
  </si>
  <si>
    <t>BLMT3 - Block LMT3kr Tersier BLMT3-T1 - Input for design of Crump De Gruyter</t>
  </si>
  <si>
    <t>31,25</t>
  </si>
  <si>
    <t>Block LMT3kr Tersier BLMT3-T1</t>
  </si>
  <si>
    <t>BLMTII1</t>
  </si>
  <si>
    <t>BLMTII1 - Block LMTII.1kn Tersier BLMTII.1-T1 - Input for design of Crump De Gruyter</t>
  </si>
  <si>
    <t>32,8</t>
  </si>
  <si>
    <t>Block LMTII.1kn Tersier BLMTII.1-T1</t>
  </si>
  <si>
    <t>BMLMTII2kn</t>
  </si>
  <si>
    <t>LII446</t>
  </si>
  <si>
    <t>BLMTII2</t>
  </si>
  <si>
    <t>BLMTII2 - Block LMTII.2kr Tersier BLMT II.2-T1 - Input for design of Crump De Gruyter</t>
  </si>
  <si>
    <t>34,21</t>
  </si>
  <si>
    <t>Block LMTII.2kr Tersier BLMT II.2-T1</t>
  </si>
  <si>
    <t>BMLS3kn</t>
  </si>
  <si>
    <t>LII784</t>
  </si>
  <si>
    <t>BLS1</t>
  </si>
  <si>
    <t>BLS1 - Block LS1kn Tersier BLS 1-T1 - Input for design of Crump De Gruyter</t>
  </si>
  <si>
    <t>35,14</t>
  </si>
  <si>
    <t>Block LS1kn Tersier BLS 1-T1</t>
  </si>
  <si>
    <t>BLS2</t>
  </si>
  <si>
    <t>BLS2 - Block LS2kr Tersier BLS 2-T1 - Input for design of Crump De Gruyter</t>
  </si>
  <si>
    <t>36,14</t>
  </si>
  <si>
    <t>Block LS2kr Tersier BLS 2-T1</t>
  </si>
  <si>
    <t>BLS3</t>
  </si>
  <si>
    <t>BLS3 - Block LS3kr Tersier BLS3-T1 - Input for design of Crump De Gruyter</t>
  </si>
  <si>
    <t>38,12</t>
  </si>
  <si>
    <t>Block LS3kr Tersier BLS3-T1</t>
  </si>
  <si>
    <t>BLS4</t>
  </si>
  <si>
    <t>BLS4 - Block LS4kr1 Tersier BLS4-T1 - Input for design of Crump De Gruyter</t>
  </si>
  <si>
    <t>39,11</t>
  </si>
  <si>
    <t>Block LS4kr1 Tersier BLS4-T1</t>
  </si>
  <si>
    <t>BLS4 - Block LS4kr2 Tersier BLS4-T1 - Input for design of Crump De Gruyter</t>
  </si>
  <si>
    <t>40,14</t>
  </si>
  <si>
    <t>Block LS4kr2 Tersier BLS4-T1</t>
  </si>
  <si>
    <t>BLS5</t>
  </si>
  <si>
    <t>BLS5 - Block LS5kn Tersier BLS5-T1 - Input for design of Crump De Gruyter</t>
  </si>
  <si>
    <t>41,6</t>
  </si>
  <si>
    <t>Block LS5kn Tersier BLS5-T1</t>
  </si>
  <si>
    <t>BLS5 - Block LS5kr Tersier BLS5-T1 - Input for design of Crump De Gruyter</t>
  </si>
  <si>
    <t>42,10</t>
  </si>
  <si>
    <t>Block LS5kr Tersier BLS5-T1</t>
  </si>
  <si>
    <t>BLS6</t>
  </si>
  <si>
    <t>BLS6 - Block LS6kr Tersier BLS 6-T1 - Input for design of Crump De Gruyter</t>
  </si>
  <si>
    <t>43,13</t>
  </si>
  <si>
    <t>Block LS6kr Tersier BLS 6-T1</t>
  </si>
  <si>
    <t>BLS7</t>
  </si>
  <si>
    <t>BLS7 - Block LS7kn Tersier BLS 7-K1 - Input for design of Crump De Gruyter</t>
  </si>
  <si>
    <t>44,6</t>
  </si>
  <si>
    <t>Block LS7kn Tersier BLS 7-K1</t>
  </si>
  <si>
    <t>BLS7 - Block LS7kr1 Tersier BLS 7-T1 - Input for design of Crump De Gruyter</t>
  </si>
  <si>
    <t>45,17</t>
  </si>
  <si>
    <t>Block LS7kr1 Tersier BLS 7-T1</t>
  </si>
  <si>
    <t>BLS7 - Block LS7kr2 Tersier BLS 7-T1 - Input for design of Crump De Gruyter</t>
  </si>
  <si>
    <t>46,21</t>
  </si>
  <si>
    <t>Block LS7kr2 Tersier BLS 7-T1</t>
  </si>
  <si>
    <t>BLS8</t>
  </si>
  <si>
    <t>LII478</t>
  </si>
  <si>
    <t>BLS8 - Block LS8kn Tersier BLS 8-T1 - Input for design of Crump De Gruyter</t>
  </si>
  <si>
    <t>47,22</t>
  </si>
  <si>
    <t>Block LS8kn Tersier BLS 8-T1</t>
  </si>
  <si>
    <t>BLS8 - Block LS8kr Tersier BLS8-T1 - Input for design of Crump De Gruyter</t>
  </si>
  <si>
    <t>48,11</t>
  </si>
  <si>
    <t>Block LS8kr Tersier BLS8-T1</t>
  </si>
  <si>
    <t>BLSI1</t>
  </si>
  <si>
    <t>BLSI1 - Block LSI.1kn Tersier BLSI.1-K1 - Input for design of Crump De Gruyter</t>
  </si>
  <si>
    <t>49,4</t>
  </si>
  <si>
    <t>Block LSI.1kn Tersier BLSI.1-K1</t>
  </si>
  <si>
    <t>BLSI1 - Block LSI.1kr Tersier BLSI.1-T1 - Input for design of Crump De Gruyter</t>
  </si>
  <si>
    <t>50,16</t>
  </si>
  <si>
    <t>Block LSI.1kr Tersier BLSI.1-T1</t>
  </si>
  <si>
    <t>BLSI2</t>
  </si>
  <si>
    <t>BLSI2 - Block LSI.2kn Tersier BLSI.2-T1 - Input for design of Crump De Gruyter</t>
  </si>
  <si>
    <t>51,16</t>
  </si>
  <si>
    <t>Block LSI.2kn Tersier BLSI.2-T1</t>
  </si>
  <si>
    <t>BLSI3</t>
  </si>
  <si>
    <t>BLSI3 - Block LSI.3kn Tersier BLSI.3-T1 - Input for design of Crump De Gruyter</t>
  </si>
  <si>
    <t>52,16</t>
  </si>
  <si>
    <t>Block LSI.3kn Tersier BLSI.3-T1</t>
  </si>
  <si>
    <t>BLSI3 - Block LSI.3kr Tersier BLS I.3-K1 - Input for design of Crump De Gruyter</t>
  </si>
  <si>
    <t>53,7</t>
  </si>
  <si>
    <t>Block LSI.3kr Tersier BLS I.3-K1</t>
  </si>
  <si>
    <t>BLSI4</t>
  </si>
  <si>
    <t>BLSI4 - Block LSI.4kn Tersier BLSI.4-T1 - Input for design of Crump De Gruyter</t>
  </si>
  <si>
    <t>54,14</t>
  </si>
  <si>
    <t>Block LSI.4kn Tersier BLSI.4-T1</t>
  </si>
  <si>
    <t>BLSI4 - Block LSI.4kr Tersier BLSI.4-T1 - Input for design of Crump De Gruyter</t>
  </si>
  <si>
    <t>55,12</t>
  </si>
  <si>
    <t>Block LSI.4kr Tersier BLSI.4-T1</t>
  </si>
  <si>
    <t>BMLSI4tg</t>
  </si>
  <si>
    <t>LII500</t>
  </si>
  <si>
    <t>BLSII1</t>
  </si>
  <si>
    <t>BLSII1 - Block LSII.1kn Tersier BLSII.1-T1 - Input for design of Crump De Gruyter</t>
  </si>
  <si>
    <t>59,7</t>
  </si>
  <si>
    <t>Block LSII.1kn Tersier BLSII.1-T1</t>
  </si>
  <si>
    <t>BLSII1 - Block LSII.1kr Tersier BLSII.1-K1 - Input for design of Crump De Gruyter</t>
  </si>
  <si>
    <t>57,4</t>
  </si>
  <si>
    <t>Block LSII.1kr Tersier BLSII.1-K1</t>
  </si>
  <si>
    <t>BMLSII1tg</t>
  </si>
  <si>
    <t>LII508</t>
  </si>
  <si>
    <t>BMLSII1tg - Block LSII.1TG Tersier T1-T2 - Input for design of As Tertiary Box</t>
  </si>
  <si>
    <t>58,13</t>
  </si>
  <si>
    <t>Block LSII.1TG Tersier T1-T2</t>
  </si>
  <si>
    <t>BMMJ1kn1</t>
  </si>
  <si>
    <t>LII336</t>
  </si>
  <si>
    <t>BMJ1</t>
  </si>
  <si>
    <t>BMJ1 - Block MJ1kn2 Tersier BMJ1-T1 - Input for design of Crump De Gruyter</t>
  </si>
  <si>
    <t>61,11</t>
  </si>
  <si>
    <t>Block MJ1kn2 Tersier BMJ1-T1</t>
  </si>
  <si>
    <t>BMJ2</t>
  </si>
  <si>
    <t>BMJ2 - Block MJ2kn Tersier BMJ2-T1 - Input for design of Crump De Gruyter</t>
  </si>
  <si>
    <t>62,20</t>
  </si>
  <si>
    <t>Block MJ2kn Tersier BMJ2-T1</t>
  </si>
  <si>
    <t>BMJ3</t>
  </si>
  <si>
    <t>BMJ3 - Block MJ3kn1 Tersier BMJ3-K1 - Input for design of Crump De Gruyter</t>
  </si>
  <si>
    <t>63,3</t>
  </si>
  <si>
    <t>Block MJ3kn1 Tersier BMJ3-K1</t>
  </si>
  <si>
    <t>BMJ3 - Block MJ3kn2 Tersier BMJ3-T1 - Input for design of Crump De Gruyter</t>
  </si>
  <si>
    <t>64,15</t>
  </si>
  <si>
    <t>Block MJ3kn2 Tersier BMJ3-T1</t>
  </si>
  <si>
    <t>BMJ4</t>
  </si>
  <si>
    <t>BMJ4 - Block MJ4kn Tersier BMJ4-T1 - Input for design of Crump De Gruyter</t>
  </si>
  <si>
    <t>65,20</t>
  </si>
  <si>
    <t>Block MJ4kn Tersier BMJ4-T1</t>
  </si>
  <si>
    <t>BMJ5</t>
  </si>
  <si>
    <t>BMJ5 - Block MJ5kn Tersier BMJ 5-T1-T2 - Input for design of Crump De Gruyter</t>
  </si>
  <si>
    <t>66,13</t>
  </si>
  <si>
    <t>Block MJ5kn Tersier BMJ 5-T1-T2</t>
  </si>
  <si>
    <t>BMJ6</t>
  </si>
  <si>
    <t>BMJ6 - Block MJ6kn Tersier BMJ6-T1 - Input for design of Crump De Gruyter</t>
  </si>
  <si>
    <t>67,10</t>
  </si>
  <si>
    <t>Block MJ6kn Tersier BMJ6-T1</t>
  </si>
  <si>
    <t>BMJ7</t>
  </si>
  <si>
    <t>BMJ7 - Block MJ7kn Tersier BMJ7-T1 - Input for design of Crump De Gruyter</t>
  </si>
  <si>
    <t>68,22</t>
  </si>
  <si>
    <t>Block MJ7kn Tersier BMJ7-T1</t>
  </si>
  <si>
    <t>BMJ7 - Block MJ7kr Tersier BMJ7-T1 - Input for design of Crump De Gruyter</t>
  </si>
  <si>
    <t>69,24</t>
  </si>
  <si>
    <t>Block MJ7kr Tersier BMJ7-T1</t>
  </si>
  <si>
    <t>BMMJ7tg</t>
  </si>
  <si>
    <t>LII326</t>
  </si>
  <si>
    <t>BMJI1</t>
  </si>
  <si>
    <t>BMJI1 - Block MJI.1kn Kwarter a1 - Input for design of Crump De Gruyter</t>
  </si>
  <si>
    <t>71,1</t>
  </si>
  <si>
    <t>Block MJI.1kn Kwarter a1</t>
  </si>
  <si>
    <t>BMJI2</t>
  </si>
  <si>
    <t>BMJI2 - Block MJI.2kn Tersier BMJ I.2-T1 - Input for design of Crump De Gruyter</t>
  </si>
  <si>
    <t>72,8</t>
  </si>
  <si>
    <t>Block MJI.2kn Tersier BMJ I.2-T1</t>
  </si>
  <si>
    <t>BMJI2 - Block MJI.2kr Tersier BMJ I.2-T1 - Input for design of Crump De Gruyter</t>
  </si>
  <si>
    <t>73,6</t>
  </si>
  <si>
    <t>Block MJI.2kr Tersier BMJ I.2-T1</t>
  </si>
  <si>
    <t>BMJI3</t>
  </si>
  <si>
    <t>LII342</t>
  </si>
  <si>
    <t>BMJI3 - Block MJI.3kn Tersier BMJ I.3-T1 - Input for design of Crump De Gruyter</t>
  </si>
  <si>
    <t>74,21</t>
  </si>
  <si>
    <t>Block MJI.3kn Tersier BMJ I.3-T1</t>
  </si>
  <si>
    <t>BMJI3 - Block MJI.3kr Tersier BMJ I.3-T1 - Input for design of Crump De Gruyter</t>
  </si>
  <si>
    <t>75,11</t>
  </si>
  <si>
    <t>Block MJI.3kr Tersier BMJ I.3-T1</t>
  </si>
  <si>
    <t>BMJII1</t>
  </si>
  <si>
    <t>BMJII1 - Block MJII.1kn Tersier BMJ II.1-T1 - Input for design of Crump De Gruyter</t>
  </si>
  <si>
    <t>76,7</t>
  </si>
  <si>
    <t>Block MJII.1kn Tersier BMJ II.1-T1</t>
  </si>
  <si>
    <t>BMMJII.1kr</t>
  </si>
  <si>
    <t>LII349</t>
  </si>
  <si>
    <t>BMJIII1</t>
  </si>
  <si>
    <t>BMJIII1 - Block MJIII.1kr Tersier BMJ IV.1-T1 - Input for design of Crump De Gruyter</t>
  </si>
  <si>
    <t>78,10</t>
  </si>
  <si>
    <t>Block MJIII.1kr Tersier BMJ IV.1-T1</t>
  </si>
  <si>
    <t>BMMJIII2kn</t>
  </si>
  <si>
    <t>LII359</t>
  </si>
  <si>
    <t>BMJIII2</t>
  </si>
  <si>
    <t>BMJIII2 - Block MJIII.2kr Tersier BMJ III.2-T1 - Input for design of Crump De Gruyter</t>
  </si>
  <si>
    <t>80,14</t>
  </si>
  <si>
    <t>Block MJIII.2kr Tersier BMJ III.2-T1</t>
  </si>
  <si>
    <t>BTM1</t>
  </si>
  <si>
    <t>BTM1 - Block TM1kn Tersier BTM 1-T1 - Input for design of Crump De Gruyter</t>
  </si>
  <si>
    <t>81,15</t>
  </si>
  <si>
    <t>Block TM1kn Tersier BTM 1-T1</t>
  </si>
  <si>
    <t>BTM1 - Block TM1kr Tersier BTM1-T1 - Input for design of Crump De Gruyter</t>
  </si>
  <si>
    <t>82,6</t>
  </si>
  <si>
    <t>Block TM1kr Tersier BTM1-T1</t>
  </si>
  <si>
    <t>BTM2</t>
  </si>
  <si>
    <t>BTM2 - Block TM2kn Tersier BTM.2-T1 - Input for design of Crump De Gruyter</t>
  </si>
  <si>
    <t>83,5</t>
  </si>
  <si>
    <t>Block TM2kn Tersier BTM.2-T1</t>
  </si>
  <si>
    <t>BTM3</t>
  </si>
  <si>
    <t>BTM3 - Block TM3kn1 Tersier BTM3-T1 - Input for design of Crump De Gruyter</t>
  </si>
  <si>
    <t>84,15</t>
  </si>
  <si>
    <t>Block TM3kn1 Tersier BTM3-T1</t>
  </si>
  <si>
    <t>BTM3 - Block TM3kn2 Tersier BTM3-T1 - Input for design of Crump De Gruyter</t>
  </si>
  <si>
    <t>85,19</t>
  </si>
  <si>
    <t>Block TM3kn2 Tersier BTM3-T1</t>
  </si>
  <si>
    <t>BTM4</t>
  </si>
  <si>
    <t>BTM4 - Block TM4kn Tersier BTM4-K1 - Input for design of Crump De Gruyter</t>
  </si>
  <si>
    <t>86,4</t>
  </si>
  <si>
    <t>Block TM4kn Tersier BTM4-K1</t>
  </si>
  <si>
    <t>BMTM4kr</t>
  </si>
  <si>
    <t>LII293</t>
  </si>
  <si>
    <t>BTM5</t>
  </si>
  <si>
    <t>BTM5 - Block TM5kn Tersier BTM 5- K1 - Input for design of Crump De Gruyter</t>
  </si>
  <si>
    <t>88,4</t>
  </si>
  <si>
    <t>Block TM5kn Tersier BTM 5- K1</t>
  </si>
  <si>
    <t>BTM5 - Block TM5kr Tersier BTM5-K1 - Input for design of Crump De Gruyter</t>
  </si>
  <si>
    <t>89,4</t>
  </si>
  <si>
    <t>Block TM5kr Tersier BTM5-K1</t>
  </si>
  <si>
    <t>BMTM5tg</t>
  </si>
  <si>
    <t>LII287</t>
  </si>
  <si>
    <t>BMWS1kn1</t>
  </si>
  <si>
    <t>LII749</t>
  </si>
  <si>
    <t>BWS1</t>
  </si>
  <si>
    <t>BWS1 - Block WS1kn2 Tersier BWS1-T1 - Input for design of Crump De Gruyter</t>
  </si>
  <si>
    <t>92,26</t>
  </si>
  <si>
    <t>Block WS1kn2 Tersier BWS1-T1</t>
  </si>
  <si>
    <t>BWS2</t>
  </si>
  <si>
    <t>BWS2 - Block WS2kr Tersier BWS2-T1 - Input for design of Crump De Gruyter</t>
  </si>
  <si>
    <t>93,8</t>
  </si>
  <si>
    <t>Block WS2kr Tersier BWS2-T1</t>
  </si>
  <si>
    <t>BWS3</t>
  </si>
  <si>
    <t>BWS3 - Block WS3kn1 Tersier BWS3-T1 - Input for design of Crump De Gruyter</t>
  </si>
  <si>
    <t>94,31</t>
  </si>
  <si>
    <t>Block WS3kn1 Tersier BWS3-T1</t>
  </si>
  <si>
    <t>BWS3 - Block WS3kn2 Tersier BWS3-T1 - Input for design of Crump De Gruyter</t>
  </si>
  <si>
    <t>95,9</t>
  </si>
  <si>
    <t>Block WS3kn2 Tersier BWS3-T1</t>
  </si>
  <si>
    <t>BWS4</t>
  </si>
  <si>
    <t>BWS4 - Block WS4kn Tersier BWS4-K1 - Input for design of Crump De Gruyter</t>
  </si>
  <si>
    <t>96,4</t>
  </si>
  <si>
    <t>Block WS4kn Tersier BWS4-K1</t>
  </si>
  <si>
    <t>BWS4 - Block WS4kr Tersier BWS4-T1 - Input for design of Crump De Gruyter</t>
  </si>
  <si>
    <t>97,13</t>
  </si>
  <si>
    <t>Block WS4kr Tersier BWS4-T1</t>
  </si>
  <si>
    <t>BWS5</t>
  </si>
  <si>
    <t>BWS5 - Block WS5kn Tersier BWS5-T1 - Input for design of Crump De Gruyter</t>
  </si>
  <si>
    <t>98,12</t>
  </si>
  <si>
    <t>Block WS5kn Tersier BWS5-T1</t>
  </si>
  <si>
    <t>BWS5 - Block WS5kr Tersier BWS5-T1 - Input for design of Crump De Gruyter</t>
  </si>
  <si>
    <t>99,17</t>
  </si>
  <si>
    <t>Block WS5kr Tersier BWS5-T1</t>
  </si>
  <si>
    <t>BWS6</t>
  </si>
  <si>
    <t>BWS6 - Block WS6kn Tersier BWS6-T1 - Input for design of Crump De Gruyter</t>
  </si>
  <si>
    <t>100,14</t>
  </si>
  <si>
    <t>Block WS6kn Tersier BWS6-T1</t>
  </si>
  <si>
    <t>BWS7</t>
  </si>
  <si>
    <t>BWS7 - Block WS7kr Tersier BWS7-T1 - Input for design of Crump De Gruyter</t>
  </si>
  <si>
    <t>101,12</t>
  </si>
  <si>
    <t>Block WS7kr Tersier BWS7-T1</t>
  </si>
  <si>
    <t>BWS8</t>
  </si>
  <si>
    <t>BWS8 - Block WS8kn1 Tersier BWS8-T1 - Input for design of Crump De Gruyter</t>
  </si>
  <si>
    <t>102,17</t>
  </si>
  <si>
    <t>Block WS8kn1 Tersier BWS8-T1</t>
  </si>
  <si>
    <t>BMWS8kn2</t>
  </si>
  <si>
    <t>LII686</t>
  </si>
  <si>
    <t>BWS8 - Block WS8kn3 Tersier BWS8-T1 - Input for design of Crump De Gruyter</t>
  </si>
  <si>
    <t>104,6</t>
  </si>
  <si>
    <t>Block WS8kn3 Tersier BWS8-T1</t>
  </si>
  <si>
    <t>BWS9</t>
  </si>
  <si>
    <t>BWS9 - Block WS9kn1 Tersier BWS 9-T1 - Input for design of Crump De Gruyter</t>
  </si>
  <si>
    <t>105,8</t>
  </si>
  <si>
    <t>Block WS9kn1 Tersier BWS 9-T1</t>
  </si>
  <si>
    <t>BMWS9kn2</t>
  </si>
  <si>
    <t>LII711</t>
  </si>
  <si>
    <t>BWS9 - Block WS9kn3 Tersier BWS9-T1 - Input for design of Crump De Gruyter</t>
  </si>
  <si>
    <t>107,8</t>
  </si>
  <si>
    <t>Block WS9kn3 Tersier BWS9-T1</t>
  </si>
  <si>
    <t>BMWSI1kn</t>
  </si>
  <si>
    <t>LII577</t>
  </si>
  <si>
    <t>BWSI1</t>
  </si>
  <si>
    <t>BWSI1 - Block WSI.1kr Tersier BWS I.1-T1 - Input for design of Crump De Gruyter</t>
  </si>
  <si>
    <t>115,16</t>
  </si>
  <si>
    <t>Block WSI.1kr Tersier BWS I.1-T1</t>
  </si>
  <si>
    <t>BWSII1</t>
  </si>
  <si>
    <t>BWSII1 - Block WSII.1kn Tersier BWS II.1-T1 - Input for design of Crump De Gruyter</t>
  </si>
  <si>
    <t>116,14</t>
  </si>
  <si>
    <t>Block WSII.1kn Tersier BWS II.1-T1</t>
  </si>
  <si>
    <t>BWSII2</t>
  </si>
  <si>
    <t>BWSII2 - Block WSII.2kr Tersier BWSII.2-T1 - Input for design of Crump De Gruyter</t>
  </si>
  <si>
    <t>117,7</t>
  </si>
  <si>
    <t>Block WSII.2kr Tersier BWSII.2-T1</t>
  </si>
  <si>
    <t>BWSII3</t>
  </si>
  <si>
    <t>LII586</t>
  </si>
  <si>
    <t>BWSII3 - Block WSII.3kn Tersier BWSII.3-T1 - Input for design of Crump De Gruyter</t>
  </si>
  <si>
    <t>118,18</t>
  </si>
  <si>
    <t>Block WSII.3kn Tersier BWSII.3-T1</t>
  </si>
  <si>
    <t>BWSII3 - Block WSII.3kr Tersier BWSII.3-T1 - Input for design of Crump De Gruyter</t>
  </si>
  <si>
    <t>119,6</t>
  </si>
  <si>
    <t>Block WSII.3kr Tersier BWSII.3-T1</t>
  </si>
  <si>
    <t>BWSIII1</t>
  </si>
  <si>
    <t>LII590</t>
  </si>
  <si>
    <t>BWSIII1 - Block WSIII.1kn Tersier BWS III.1-T1 - Input for design of Crump De Gruyter</t>
  </si>
  <si>
    <t>120,10</t>
  </si>
  <si>
    <t>Block WSIII.1kn Tersier BWS III.1-T1</t>
  </si>
  <si>
    <t>BWSIII1 - Block WSIII.1kr Tersier BWSIII.1-T1 - Input for design of Crump De Gruyter</t>
  </si>
  <si>
    <t>121,9</t>
  </si>
  <si>
    <t>Block WSIII.1kr Tersier BWSIII.1-T1</t>
  </si>
  <si>
    <t>BWS10</t>
  </si>
  <si>
    <t>BWS10 - Block WS10kn Tersier BWS 10-T1 - Input for design of Crump De Gruyter</t>
  </si>
  <si>
    <t>108,14</t>
  </si>
  <si>
    <t>Block WS10kn Tersier BWS 10-T1</t>
  </si>
  <si>
    <t>BWS11</t>
  </si>
  <si>
    <t>BWS11 - Block WS11kn Tersier BWS11-K1 - Input for design of Crump De Gruyter</t>
  </si>
  <si>
    <t>109,4</t>
  </si>
  <si>
    <t>Block WS11kn Tersier BWS11-K1</t>
  </si>
  <si>
    <t>BWS11 - Block WS11kr1 Kwarter a1 - Input for design of Crump De Gruyter</t>
  </si>
  <si>
    <t>110,1</t>
  </si>
  <si>
    <t>Block WS11kr1 Kwarter a1</t>
  </si>
  <si>
    <t>BWS11 - Block WS11kr2 Tersier BWS11-K1 - Input for design of Crump De Gruyter</t>
  </si>
  <si>
    <t>111,3</t>
  </si>
  <si>
    <t>Block WS11kr2 Tersier BWS11-K1</t>
  </si>
  <si>
    <t>BMWS12kn</t>
  </si>
  <si>
    <t>LII708</t>
  </si>
  <si>
    <t>112,24</t>
  </si>
  <si>
    <t>112,16</t>
  </si>
  <si>
    <t>BWS12</t>
  </si>
  <si>
    <t>BWS12 - Block WS12kr Tersier BWS12-T1 - Input for design of Crump De Gruyter</t>
  </si>
  <si>
    <t>113,29</t>
  </si>
  <si>
    <t>Block WS12kr Tersier BWS12-T1</t>
  </si>
  <si>
    <t>L15kr</t>
  </si>
  <si>
    <t>L16kn</t>
  </si>
  <si>
    <t>L16kr</t>
  </si>
  <si>
    <t>L17kn</t>
  </si>
  <si>
    <t>L17kr</t>
  </si>
  <si>
    <t>L18kn</t>
  </si>
  <si>
    <t>L18kr</t>
  </si>
  <si>
    <t>L19kn</t>
  </si>
  <si>
    <t>L20kn</t>
  </si>
  <si>
    <t>L21kn</t>
  </si>
  <si>
    <t>L21kr</t>
  </si>
  <si>
    <t>L21TG</t>
  </si>
  <si>
    <t>LMB1kn</t>
  </si>
  <si>
    <t>LMB2kn</t>
  </si>
  <si>
    <t>LMB3kn</t>
  </si>
  <si>
    <t>LMB3kr</t>
  </si>
  <si>
    <t>LMB4kn</t>
  </si>
  <si>
    <t>LMB5kn</t>
  </si>
  <si>
    <t>LMB5kr</t>
  </si>
  <si>
    <t>LMB6kr1</t>
  </si>
  <si>
    <t>LMB6kr2</t>
  </si>
  <si>
    <t>LMB6kr3</t>
  </si>
  <si>
    <t>LMB7kn</t>
  </si>
  <si>
    <t>LMB7kr</t>
  </si>
  <si>
    <t>LMT1kn</t>
  </si>
  <si>
    <t>LMT1kr1</t>
  </si>
  <si>
    <t>LMT1kr2</t>
  </si>
  <si>
    <t>LMT2kn</t>
  </si>
  <si>
    <t>LMT2kr</t>
  </si>
  <si>
    <t>LMT3kn</t>
  </si>
  <si>
    <t>LMT3kr</t>
  </si>
  <si>
    <t>LMTII.1kn</t>
  </si>
  <si>
    <t>LMTII.2kn</t>
  </si>
  <si>
    <t>LMTII.2kr</t>
  </si>
  <si>
    <t>LS3kn</t>
  </si>
  <si>
    <t>LS1kn</t>
  </si>
  <si>
    <t>LS2kr</t>
  </si>
  <si>
    <t>LS3kr</t>
  </si>
  <si>
    <t>LS4kr1</t>
  </si>
  <si>
    <t>LS4kr2</t>
  </si>
  <si>
    <t>LS5kn</t>
  </si>
  <si>
    <t>LS5kr</t>
  </si>
  <si>
    <t>LS6kr</t>
  </si>
  <si>
    <t>LS7kn</t>
  </si>
  <si>
    <t>LS7kr1</t>
  </si>
  <si>
    <t>LS7kr2</t>
  </si>
  <si>
    <t>LS8kn</t>
  </si>
  <si>
    <t>LS8kr</t>
  </si>
  <si>
    <t>LSI.1kn</t>
  </si>
  <si>
    <t>LSI.1kr</t>
  </si>
  <si>
    <t>LSI.2kn</t>
  </si>
  <si>
    <t>LSI.3kn</t>
  </si>
  <si>
    <t>LSI.3kr</t>
  </si>
  <si>
    <t>LSI.4kn</t>
  </si>
  <si>
    <t>LSI.4kr</t>
  </si>
  <si>
    <t>LSI.4tg</t>
  </si>
  <si>
    <t>LSII.1kn</t>
  </si>
  <si>
    <t>LSII.1kr</t>
  </si>
  <si>
    <t>LSII.1TG</t>
  </si>
  <si>
    <t>MJ1kn1</t>
  </si>
  <si>
    <t>MJ1kn2</t>
  </si>
  <si>
    <t>MJ2kn</t>
  </si>
  <si>
    <t>MJ3kn1</t>
  </si>
  <si>
    <t>MJ3kn2</t>
  </si>
  <si>
    <t>MJ4kn</t>
  </si>
  <si>
    <t>MJ5kn</t>
  </si>
  <si>
    <t>MJ6kn</t>
  </si>
  <si>
    <t>MJ7kn</t>
  </si>
  <si>
    <t>MJ7kr</t>
  </si>
  <si>
    <t>MJ7TG</t>
  </si>
  <si>
    <t>MJI.1kn</t>
  </si>
  <si>
    <t>MJI.2kn</t>
  </si>
  <si>
    <t>MJI.2kr</t>
  </si>
  <si>
    <t>MJI.3kn</t>
  </si>
  <si>
    <t>MJI.3kr</t>
  </si>
  <si>
    <t>MJII.1kn</t>
  </si>
  <si>
    <t>MJII.1kr</t>
  </si>
  <si>
    <t>MJIII.1kr</t>
  </si>
  <si>
    <t>MJIII.2kn</t>
  </si>
  <si>
    <t>MJIII.2kr</t>
  </si>
  <si>
    <t>TM1kn</t>
  </si>
  <si>
    <t>TM1kr</t>
  </si>
  <si>
    <t>TM2kn</t>
  </si>
  <si>
    <t>TM3kn1</t>
  </si>
  <si>
    <t>TM3kn2</t>
  </si>
  <si>
    <t>TM4kn</t>
  </si>
  <si>
    <t>TM4kr</t>
  </si>
  <si>
    <t>TM5kn</t>
  </si>
  <si>
    <t>TM5kr</t>
  </si>
  <si>
    <t>TM5tg</t>
  </si>
  <si>
    <t>WS1kn1</t>
  </si>
  <si>
    <t>WS1kn2</t>
  </si>
  <si>
    <t>WS2kr</t>
  </si>
  <si>
    <t>WS3kn1</t>
  </si>
  <si>
    <t>WS3kn2</t>
  </si>
  <si>
    <t>WS4kn</t>
  </si>
  <si>
    <t>WS4kr</t>
  </si>
  <si>
    <t>WS5kn</t>
  </si>
  <si>
    <t>WS5kr</t>
  </si>
  <si>
    <t>WS6kn</t>
  </si>
  <si>
    <t>WS7kr</t>
  </si>
  <si>
    <t>WS8kn1</t>
  </si>
  <si>
    <t>WS8kn2</t>
  </si>
  <si>
    <t>WS8kn3</t>
  </si>
  <si>
    <t>WS9kn1</t>
  </si>
  <si>
    <t>WS9kn2</t>
  </si>
  <si>
    <t>WS9kn3</t>
  </si>
  <si>
    <t>WSI.1kn</t>
  </si>
  <si>
    <t>WSI.1kr</t>
  </si>
  <si>
    <t>WSII.1kn</t>
  </si>
  <si>
    <t>WSII.2kr</t>
  </si>
  <si>
    <t>WSII.3kn</t>
  </si>
  <si>
    <t>WSII.3kr</t>
  </si>
  <si>
    <t>WSIII.1kn</t>
  </si>
  <si>
    <t>WSIII.1kr</t>
  </si>
  <si>
    <t>WS10kn</t>
  </si>
  <si>
    <t>WS11kn</t>
  </si>
  <si>
    <t>WS11kr1</t>
  </si>
  <si>
    <t>WS11kr2</t>
  </si>
  <si>
    <t>WS12kn</t>
  </si>
  <si>
    <t>WS12kr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</si>
</sst>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_ "/>
    <numFmt numFmtId="165" formatCode="0.000_ "/>
    <numFmt numFmtId="166" formatCode="0.0_ "/>
  </numFmts>
  <fonts count="1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9"/>
      <color indexed="8"/>
      <name val="Arial"/>
      <family val="2"/>
    </font>
    <font>
      <sz val="9"/>
      <color rgb="FF0070C0"/>
      <name val="Arial"/>
      <family val="2"/>
    </font>
    <font>
      <sz val="10"/>
      <color rgb="FF0070C0"/>
      <name val="Arial"/>
      <family val="2"/>
    </font>
    <font>
      <sz val="12"/>
      <color indexed="8"/>
      <name val="Arial"/>
      <family val="2"/>
    </font>
    <font>
      <i/>
      <sz val="11"/>
      <color theme="1"/>
      <name val="Calibri"/>
      <family val="2"/>
      <scheme val="minor"/>
    </font>
    <font>
      <i/>
      <sz val="11"/>
      <color rgb="FF00B0F0"/>
      <name val="Calibri"/>
      <family val="2"/>
      <scheme val="minor"/>
    </font>
    <font>
      <i/>
      <sz val="10"/>
      <color rgb="FF0070C0"/>
      <name val="Arial"/>
      <family val="2"/>
    </font>
    <font>
      <i/>
      <sz val="10"/>
      <name val="Arial"/>
      <family val="2"/>
    </font>
    <font>
      <b/>
      <sz val="14"/>
      <name val="Arial"/>
      <family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sz val="12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4" fillId="0" borderId="0"/>
    <xf numFmtId="0" fontId="1" fillId="0" borderId="0"/>
    <xf numFmtId="0" fontId="15" fillId="0" borderId="0">
      <alignment vertical="center"/>
    </xf>
    <xf numFmtId="0" fontId="15" fillId="0" borderId="0"/>
  </cellStyleXfs>
  <cellXfs count="19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4" xfId="0" applyBorder="1"/>
    <xf numFmtId="0" fontId="5" fillId="0" borderId="4" xfId="1" applyFont="1" applyBorder="1" applyAlignment="1">
      <alignment vertical="center"/>
    </xf>
    <xf numFmtId="0" fontId="5" fillId="0" borderId="4" xfId="1" applyFont="1" applyBorder="1" applyAlignment="1">
      <alignment horizontal="left" vertical="center"/>
    </xf>
    <xf numFmtId="14" fontId="6" fillId="3" borderId="5" xfId="1" applyNumberFormat="1" applyFont="1" applyFill="1" applyBorder="1" applyAlignment="1" applyProtection="1">
      <alignment horizontal="center" vertical="center" shrinkToFit="1"/>
      <protection locked="0"/>
    </xf>
    <xf numFmtId="0" fontId="0" fillId="0" borderId="4" xfId="0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/>
    </xf>
    <xf numFmtId="0" fontId="7" fillId="0" borderId="0" xfId="0" applyFont="1" applyAlignment="1">
      <alignment vertical="center" wrapText="1"/>
    </xf>
    <xf numFmtId="0" fontId="6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14" fontId="6" fillId="0" borderId="0" xfId="1" applyNumberFormat="1" applyFont="1" applyAlignment="1" applyProtection="1">
      <alignment horizontal="center" vertical="center" shrinkToFit="1"/>
      <protection locked="0"/>
    </xf>
    <xf numFmtId="2" fontId="0" fillId="0" borderId="4" xfId="0" applyNumberFormat="1" applyBorder="1"/>
    <xf numFmtId="0" fontId="7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7" xfId="0" applyFill="1" applyBorder="1" applyAlignment="1">
      <alignment horizontal="center" vertical="center"/>
    </xf>
    <xf numFmtId="0" fontId="0" fillId="5" borderId="17" xfId="0" applyFill="1" applyBorder="1"/>
    <xf numFmtId="0" fontId="5" fillId="0" borderId="4" xfId="1" applyFont="1" applyBorder="1" applyAlignment="1">
      <alignment horizontal="right" vertical="center"/>
    </xf>
    <xf numFmtId="0" fontId="0" fillId="0" borderId="12" xfId="0" applyBorder="1"/>
    <xf numFmtId="0" fontId="0" fillId="0" borderId="13" xfId="0" applyBorder="1"/>
    <xf numFmtId="0" fontId="0" fillId="0" borderId="13" xfId="0" applyBorder="1" applyAlignment="1">
      <alignment horizontal="center" vertical="center"/>
    </xf>
    <xf numFmtId="0" fontId="0" fillId="0" borderId="14" xfId="0" applyBorder="1"/>
    <xf numFmtId="0" fontId="6" fillId="0" borderId="15" xfId="1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9" fillId="5" borderId="13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6" xfId="1" applyFont="1" applyBorder="1" applyAlignment="1">
      <alignment vertical="center"/>
    </xf>
    <xf numFmtId="0" fontId="5" fillId="0" borderId="6" xfId="1" applyFont="1" applyBorder="1" applyAlignment="1">
      <alignment horizontal="right" vertical="center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 vertical="center"/>
    </xf>
    <xf numFmtId="0" fontId="6" fillId="3" borderId="20" xfId="1" applyFont="1" applyFill="1" applyBorder="1" applyAlignment="1" applyProtection="1">
      <alignment horizontal="center" vertical="center"/>
      <protection locked="0"/>
    </xf>
    <xf numFmtId="0" fontId="0" fillId="5" borderId="36" xfId="0" applyFill="1" applyBorder="1"/>
    <xf numFmtId="0" fontId="0" fillId="5" borderId="32" xfId="0" applyFill="1" applyBorder="1"/>
    <xf numFmtId="0" fontId="9" fillId="0" borderId="6" xfId="0" applyFont="1" applyBorder="1" applyAlignment="1">
      <alignment horizontal="center" vertical="center"/>
    </xf>
    <xf numFmtId="2" fontId="0" fillId="0" borderId="6" xfId="0" applyNumberFormat="1" applyBorder="1"/>
    <xf numFmtId="0" fontId="0" fillId="0" borderId="6" xfId="0" applyBorder="1"/>
    <xf numFmtId="0" fontId="6" fillId="3" borderId="27" xfId="1" applyFont="1" applyFill="1" applyBorder="1" applyAlignment="1" applyProtection="1">
      <alignment horizontal="left" vertical="center"/>
      <protection locked="0"/>
    </xf>
    <xf numFmtId="0" fontId="6" fillId="3" borderId="28" xfId="1" applyFont="1" applyFill="1" applyBorder="1" applyAlignment="1" applyProtection="1">
      <alignment vertical="center"/>
      <protection locked="0"/>
    </xf>
    <xf numFmtId="0" fontId="6" fillId="3" borderId="10" xfId="1" applyFont="1" applyFill="1" applyBorder="1" applyAlignment="1" applyProtection="1">
      <alignment vertical="center"/>
      <protection locked="0"/>
    </xf>
    <xf numFmtId="0" fontId="6" fillId="3" borderId="11" xfId="1" applyFont="1" applyFill="1" applyBorder="1" applyAlignment="1" applyProtection="1">
      <alignment vertical="center"/>
      <protection locked="0"/>
    </xf>
    <xf numFmtId="2" fontId="0" fillId="0" borderId="0" xfId="0" applyNumberFormat="1" applyAlignment="1">
      <alignment horizontal="left"/>
    </xf>
    <xf numFmtId="0" fontId="13" fillId="2" borderId="0" xfId="0" applyFont="1" applyFill="1" applyAlignment="1">
      <alignment horizontal="left" vertical="center"/>
    </xf>
    <xf numFmtId="0" fontId="2" fillId="0" borderId="0" xfId="0" applyFont="1"/>
    <xf numFmtId="0" fontId="0" fillId="6" borderId="17" xfId="0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0" fillId="6" borderId="17" xfId="0" applyFill="1" applyBorder="1"/>
    <xf numFmtId="0" fontId="0" fillId="6" borderId="23" xfId="0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0" fontId="0" fillId="6" borderId="23" xfId="0" applyFill="1" applyBorder="1"/>
    <xf numFmtId="0" fontId="16" fillId="0" borderId="0" xfId="3" applyFont="1" applyAlignment="1">
      <alignment horizontal="center" vertical="center"/>
    </xf>
    <xf numFmtId="0" fontId="16" fillId="0" borderId="4" xfId="3" applyFont="1" applyBorder="1" applyAlignment="1">
      <alignment horizontal="center" vertical="center"/>
    </xf>
    <xf numFmtId="164" fontId="16" fillId="0" borderId="4" xfId="3" applyNumberFormat="1" applyFont="1" applyBorder="1" applyAlignment="1">
      <alignment horizontal="center" vertical="center"/>
    </xf>
    <xf numFmtId="0" fontId="16" fillId="0" borderId="0" xfId="3" applyFont="1" applyAlignment="1">
      <alignment horizontal="right" vertical="center"/>
    </xf>
    <xf numFmtId="0" fontId="16" fillId="0" borderId="0" xfId="3" applyFont="1" applyAlignment="1">
      <alignment horizontal="left" vertical="center"/>
    </xf>
    <xf numFmtId="0" fontId="16" fillId="0" borderId="43" xfId="3" applyFont="1" applyBorder="1" applyAlignment="1">
      <alignment horizontal="center" vertical="center"/>
    </xf>
    <xf numFmtId="0" fontId="16" fillId="0" borderId="44" xfId="3" applyFont="1" applyBorder="1" applyAlignment="1">
      <alignment horizontal="center" vertical="center"/>
    </xf>
    <xf numFmtId="0" fontId="16" fillId="0" borderId="11" xfId="3" applyFont="1" applyBorder="1" applyAlignment="1">
      <alignment horizontal="center" vertical="center"/>
    </xf>
    <xf numFmtId="0" fontId="16" fillId="0" borderId="5" xfId="3" applyFont="1" applyBorder="1" applyAlignment="1">
      <alignment horizontal="center" vertical="center"/>
    </xf>
    <xf numFmtId="165" fontId="16" fillId="0" borderId="46" xfId="3" applyNumberFormat="1" applyFont="1" applyBorder="1" applyAlignment="1">
      <alignment horizontal="center" vertical="center"/>
    </xf>
    <xf numFmtId="164" fontId="16" fillId="0" borderId="46" xfId="3" applyNumberFormat="1" applyFont="1" applyBorder="1" applyAlignment="1">
      <alignment horizontal="center" vertical="center"/>
    </xf>
    <xf numFmtId="165" fontId="16" fillId="0" borderId="46" xfId="4" applyNumberFormat="1" applyFont="1" applyBorder="1" applyAlignment="1">
      <alignment horizontal="center" wrapText="1"/>
    </xf>
    <xf numFmtId="165" fontId="16" fillId="0" borderId="0" xfId="3" applyNumberFormat="1" applyFont="1" applyAlignment="1">
      <alignment horizontal="center" vertical="center"/>
    </xf>
    <xf numFmtId="165" fontId="16" fillId="0" borderId="15" xfId="3" applyNumberFormat="1" applyFont="1" applyBorder="1" applyAlignment="1">
      <alignment horizontal="center" vertical="center"/>
    </xf>
    <xf numFmtId="165" fontId="16" fillId="0" borderId="50" xfId="3" applyNumberFormat="1" applyFont="1" applyBorder="1" applyAlignment="1">
      <alignment horizontal="center" vertical="center"/>
    </xf>
    <xf numFmtId="164" fontId="16" fillId="0" borderId="50" xfId="3" applyNumberFormat="1" applyFont="1" applyBorder="1" applyAlignment="1">
      <alignment horizontal="center" vertical="center"/>
    </xf>
    <xf numFmtId="165" fontId="16" fillId="0" borderId="50" xfId="4" applyNumberFormat="1" applyFont="1" applyBorder="1" applyAlignment="1">
      <alignment horizontal="center" wrapText="1"/>
    </xf>
    <xf numFmtId="165" fontId="16" fillId="0" borderId="17" xfId="3" applyNumberFormat="1" applyFont="1" applyBorder="1" applyAlignment="1">
      <alignment horizontal="center" vertical="center"/>
    </xf>
    <xf numFmtId="165" fontId="16" fillId="0" borderId="18" xfId="3" applyNumberFormat="1" applyFont="1" applyBorder="1" applyAlignment="1">
      <alignment horizontal="center" vertical="center"/>
    </xf>
    <xf numFmtId="164" fontId="16" fillId="0" borderId="0" xfId="3" applyNumberFormat="1" applyFont="1" applyAlignment="1">
      <alignment horizontal="center" vertical="center"/>
    </xf>
    <xf numFmtId="165" fontId="16" fillId="0" borderId="0" xfId="4" applyNumberFormat="1" applyFont="1" applyAlignment="1">
      <alignment horizontal="center" wrapText="1"/>
    </xf>
    <xf numFmtId="0" fontId="16" fillId="0" borderId="17" xfId="3" applyFont="1" applyBorder="1" applyAlignment="1">
      <alignment horizontal="center" vertical="center"/>
    </xf>
    <xf numFmtId="164" fontId="16" fillId="0" borderId="17" xfId="3" applyNumberFormat="1" applyFont="1" applyBorder="1" applyAlignment="1">
      <alignment horizontal="center" vertical="center"/>
    </xf>
    <xf numFmtId="165" fontId="16" fillId="0" borderId="17" xfId="4" applyNumberFormat="1" applyFont="1" applyBorder="1" applyAlignment="1">
      <alignment horizontal="center" wrapText="1"/>
    </xf>
    <xf numFmtId="166" fontId="16" fillId="0" borderId="0" xfId="3" applyNumberFormat="1" applyFont="1" applyAlignment="1">
      <alignment horizontal="center" vertical="center"/>
    </xf>
    <xf numFmtId="166" fontId="16" fillId="0" borderId="17" xfId="3" applyNumberFormat="1" applyFont="1" applyBorder="1" applyAlignment="1">
      <alignment horizontal="center" vertical="center"/>
    </xf>
    <xf numFmtId="0" fontId="16" fillId="0" borderId="10" xfId="3" applyFont="1" applyBorder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2" fontId="10" fillId="0" borderId="4" xfId="0" applyNumberFormat="1" applyFont="1" applyBorder="1"/>
    <xf numFmtId="9" fontId="0" fillId="7" borderId="15" xfId="0" applyNumberFormat="1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0" xfId="0" applyAlignment="1">
      <alignment vertical="center"/>
    </xf>
    <xf numFmtId="164" fontId="16" fillId="0" borderId="51" xfId="3" applyNumberFormat="1" applyFont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2" fontId="0" fillId="8" borderId="4" xfId="0" applyNumberFormat="1" applyFill="1" applyBorder="1"/>
    <xf numFmtId="0" fontId="0" fillId="8" borderId="4" xfId="0" applyFill="1" applyBorder="1"/>
    <xf numFmtId="2" fontId="0" fillId="0" borderId="0" xfId="0" applyNumberFormat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5" borderId="13" xfId="0" applyNumberFormat="1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2" fontId="0" fillId="6" borderId="23" xfId="0" applyNumberFormat="1" applyFill="1" applyBorder="1" applyAlignment="1">
      <alignment horizontal="center" vertical="center"/>
    </xf>
    <xf numFmtId="2" fontId="0" fillId="6" borderId="17" xfId="0" applyNumberForma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/>
    </xf>
    <xf numFmtId="0" fontId="7" fillId="3" borderId="30" xfId="0" applyFont="1" applyFill="1" applyBorder="1" applyAlignment="1">
      <alignment horizontal="left" vertical="center" wrapText="1"/>
    </xf>
    <xf numFmtId="0" fontId="7" fillId="3" borderId="4" xfId="0" applyFont="1" applyFill="1" applyBorder="1" applyAlignment="1">
      <alignment horizontal="left" vertical="center" wrapText="1"/>
    </xf>
    <xf numFmtId="0" fontId="3" fillId="4" borderId="3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2" fillId="5" borderId="35" xfId="0" applyFont="1" applyFill="1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2" fontId="0" fillId="8" borderId="8" xfId="0" applyNumberFormat="1" applyFill="1" applyBorder="1" applyAlignment="1">
      <alignment horizontal="center" vertical="center"/>
    </xf>
    <xf numFmtId="2" fontId="0" fillId="8" borderId="7" xfId="0" applyNumberFormat="1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7" fillId="3" borderId="34" xfId="0" applyFont="1" applyFill="1" applyBorder="1" applyAlignment="1">
      <alignment horizontal="left" vertical="center" wrapText="1"/>
    </xf>
    <xf numFmtId="0" fontId="7" fillId="3" borderId="6" xfId="0" applyFont="1" applyFill="1" applyBorder="1" applyAlignment="1">
      <alignment horizontal="left" vertical="center" wrapText="1"/>
    </xf>
    <xf numFmtId="0" fontId="0" fillId="0" borderId="1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0" fontId="14" fillId="6" borderId="23" xfId="0" applyFont="1" applyFill="1" applyBorder="1" applyAlignment="1">
      <alignment horizontal="left" vertical="center"/>
    </xf>
    <xf numFmtId="0" fontId="14" fillId="6" borderId="17" xfId="0" applyFont="1" applyFill="1" applyBorder="1" applyAlignment="1">
      <alignment horizontal="left" vertical="center"/>
    </xf>
    <xf numFmtId="2" fontId="0" fillId="7" borderId="8" xfId="0" applyNumberFormat="1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16" fillId="0" borderId="10" xfId="3" applyFont="1" applyBorder="1" applyAlignment="1">
      <alignment horizontal="center" vertical="center"/>
    </xf>
    <xf numFmtId="0" fontId="16" fillId="0" borderId="11" xfId="3" applyFont="1" applyBorder="1" applyAlignment="1">
      <alignment horizontal="center" vertical="center"/>
    </xf>
    <xf numFmtId="0" fontId="16" fillId="0" borderId="5" xfId="3" applyFont="1" applyBorder="1" applyAlignment="1">
      <alignment horizontal="center" vertical="center"/>
    </xf>
    <xf numFmtId="0" fontId="16" fillId="0" borderId="45" xfId="3" applyFont="1" applyBorder="1" applyAlignment="1">
      <alignment horizontal="center" vertical="center"/>
    </xf>
    <xf numFmtId="0" fontId="16" fillId="0" borderId="48" xfId="3" applyFont="1" applyBorder="1" applyAlignment="1">
      <alignment horizontal="center" vertical="center"/>
    </xf>
    <xf numFmtId="0" fontId="16" fillId="0" borderId="49" xfId="3" applyFont="1" applyBorder="1" applyAlignment="1">
      <alignment horizontal="center" vertical="center"/>
    </xf>
    <xf numFmtId="164" fontId="16" fillId="0" borderId="47" xfId="3" applyNumberFormat="1" applyFont="1" applyBorder="1" applyAlignment="1">
      <alignment horizontal="center" vertical="center"/>
    </xf>
    <xf numFmtId="164" fontId="16" fillId="0" borderId="46" xfId="3" applyNumberFormat="1" applyFont="1" applyBorder="1" applyAlignment="1">
      <alignment horizontal="center" vertical="center"/>
    </xf>
    <xf numFmtId="164" fontId="16" fillId="0" borderId="50" xfId="3" applyNumberFormat="1" applyFont="1" applyBorder="1" applyAlignment="1">
      <alignment horizontal="center" vertical="center"/>
    </xf>
    <xf numFmtId="166" fontId="16" fillId="0" borderId="45" xfId="3" applyNumberFormat="1" applyFont="1" applyBorder="1" applyAlignment="1">
      <alignment horizontal="center" vertical="center"/>
    </xf>
    <xf numFmtId="166" fontId="16" fillId="0" borderId="48" xfId="3" applyNumberFormat="1" applyFont="1" applyBorder="1" applyAlignment="1">
      <alignment horizontal="center" vertical="center"/>
    </xf>
    <xf numFmtId="166" fontId="16" fillId="0" borderId="49" xfId="3" applyNumberFormat="1" applyFont="1" applyBorder="1" applyAlignment="1">
      <alignment horizontal="center" vertical="center"/>
    </xf>
  </cellXfs>
  <cellStyles count="5">
    <cellStyle name="Normal" xfId="0" builtinId="0"/>
    <cellStyle name="Normal 2" xfId="2" xr:uid="{08D99828-5D42-4E86-A669-40BDFA8877B5}"/>
    <cellStyle name="Normal 3" xfId="3" xr:uid="{12A62F31-D103-4D67-AA02-BA1BD52D6158}"/>
    <cellStyle name="Normal_Camden Strut Design" xfId="1" xr:uid="{0D4CE102-293F-4E42-AAFD-D81910698AD1}"/>
    <cellStyle name="標準 2" xfId="4" xr:uid="{4F42996D-8D50-4D88-A273-6542FEB860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4</xdr:row>
          <xdr:rowOff>83820</xdr:rowOff>
        </xdr:from>
        <xdr:to>
          <xdr:col>7</xdr:col>
          <xdr:colOff>449580</xdr:colOff>
          <xdr:row>6</xdr:row>
          <xdr:rowOff>137160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Jackcad%20Komering%20Supervisi\Data\Long&amp;Cross\Data%20Desain%20Saluran.xlsm" TargetMode="External"/><Relationship Id="rId1" Type="http://schemas.openxmlformats.org/officeDocument/2006/relationships/externalLinkPath" Target="file:///D:\Jackcad%20Komering%20Supervisi\Data\Long&amp;Cross\Data%20Desain%20Salur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m"/>
      <sheetName val="Sheet1"/>
    </sheetNames>
    <sheetDataSet>
      <sheetData sheetId="0">
        <row r="1">
          <cell r="A1" t="str">
            <v>nfr</v>
          </cell>
          <cell r="C1">
            <v>1.8</v>
          </cell>
          <cell r="D1">
            <v>1.44</v>
          </cell>
          <cell r="G1" t="str">
            <v>DM</v>
          </cell>
        </row>
        <row r="2">
          <cell r="A2" t="str">
            <v>JackCad Form</v>
          </cell>
        </row>
        <row r="3">
          <cell r="A3" t="str">
            <v>ID</v>
          </cell>
          <cell r="B3" t="str">
            <v>Petak</v>
          </cell>
          <cell r="C3" t="str">
            <v>Saluran</v>
          </cell>
          <cell r="D3" t="str">
            <v>A</v>
          </cell>
          <cell r="E3" t="str">
            <v>Q</v>
          </cell>
          <cell r="F3" t="str">
            <v>b</v>
          </cell>
          <cell r="G3" t="str">
            <v>h</v>
          </cell>
        </row>
        <row r="4">
          <cell r="B4" t="str">
            <v>Tersier</v>
          </cell>
          <cell r="D4" t="str">
            <v>(ha)</v>
          </cell>
          <cell r="E4" t="str">
            <v>(lt/dt)</v>
          </cell>
          <cell r="F4" t="str">
            <v>(m)</v>
          </cell>
          <cell r="G4" t="str">
            <v>(m)</v>
          </cell>
        </row>
        <row r="6">
          <cell r="A6">
            <v>1</v>
          </cell>
          <cell r="B6" t="str">
            <v>L 15 kr</v>
          </cell>
          <cell r="D6">
            <v>37</v>
          </cell>
        </row>
        <row r="7">
          <cell r="A7" t="str">
            <v>1,1</v>
          </cell>
          <cell r="B7" t="str">
            <v>L 15 kr</v>
          </cell>
          <cell r="C7" t="str">
            <v>Kwarter a1</v>
          </cell>
          <cell r="D7">
            <v>3</v>
          </cell>
          <cell r="E7">
            <v>15</v>
          </cell>
          <cell r="F7">
            <v>0.3</v>
          </cell>
          <cell r="G7">
            <v>0.21450182246807867</v>
          </cell>
        </row>
        <row r="8">
          <cell r="A8" t="str">
            <v>1,2</v>
          </cell>
          <cell r="B8" t="str">
            <v>L 15 kr</v>
          </cell>
          <cell r="C8" t="str">
            <v>Kwarter a2</v>
          </cell>
          <cell r="D8">
            <v>2</v>
          </cell>
          <cell r="E8">
            <v>15</v>
          </cell>
          <cell r="F8">
            <v>0.3</v>
          </cell>
          <cell r="G8">
            <v>0.21450182246807867</v>
          </cell>
        </row>
        <row r="9">
          <cell r="A9" t="str">
            <v>1,3</v>
          </cell>
          <cell r="B9" t="str">
            <v>L 15 kr</v>
          </cell>
          <cell r="C9" t="str">
            <v>Kwarter a3</v>
          </cell>
          <cell r="D9">
            <v>2</v>
          </cell>
          <cell r="E9">
            <v>15</v>
          </cell>
          <cell r="F9">
            <v>0.3</v>
          </cell>
          <cell r="G9">
            <v>0.21450182246807867</v>
          </cell>
        </row>
        <row r="10">
          <cell r="A10" t="str">
            <v>1,4</v>
          </cell>
          <cell r="B10" t="str">
            <v>L 15 kr</v>
          </cell>
          <cell r="C10" t="str">
            <v>Kwarter a4</v>
          </cell>
          <cell r="D10">
            <v>2</v>
          </cell>
          <cell r="E10">
            <v>15</v>
          </cell>
          <cell r="F10">
            <v>0.3</v>
          </cell>
          <cell r="G10">
            <v>0.21450182246807867</v>
          </cell>
        </row>
        <row r="11">
          <cell r="A11" t="str">
            <v>1,5</v>
          </cell>
          <cell r="B11" t="str">
            <v>L 15 kr</v>
          </cell>
          <cell r="C11" t="str">
            <v>Kwarter b1</v>
          </cell>
          <cell r="D11">
            <v>7</v>
          </cell>
          <cell r="E11">
            <v>15</v>
          </cell>
          <cell r="F11">
            <v>0.3</v>
          </cell>
          <cell r="G11">
            <v>0.21450182246807867</v>
          </cell>
        </row>
        <row r="12">
          <cell r="A12" t="str">
            <v>1,6</v>
          </cell>
          <cell r="B12" t="str">
            <v>L 15 kr</v>
          </cell>
          <cell r="C12" t="str">
            <v>Kwarter b2</v>
          </cell>
          <cell r="D12">
            <v>5</v>
          </cell>
          <cell r="E12">
            <v>15</v>
          </cell>
          <cell r="F12">
            <v>0.3</v>
          </cell>
          <cell r="G12">
            <v>0.21450182246807867</v>
          </cell>
        </row>
        <row r="13">
          <cell r="A13" t="str">
            <v>1,7</v>
          </cell>
          <cell r="B13" t="str">
            <v>L 15 kr</v>
          </cell>
          <cell r="C13" t="str">
            <v>Kwarter b3</v>
          </cell>
          <cell r="D13">
            <v>2</v>
          </cell>
          <cell r="E13">
            <v>15</v>
          </cell>
          <cell r="F13">
            <v>0.3</v>
          </cell>
          <cell r="G13">
            <v>0.21450182246807867</v>
          </cell>
        </row>
        <row r="14">
          <cell r="A14" t="str">
            <v>1,8</v>
          </cell>
          <cell r="B14" t="str">
            <v>L 15 kr</v>
          </cell>
          <cell r="C14" t="str">
            <v>Kwarter c1</v>
          </cell>
          <cell r="D14">
            <v>2</v>
          </cell>
          <cell r="E14">
            <v>15</v>
          </cell>
          <cell r="F14">
            <v>0.3</v>
          </cell>
          <cell r="G14">
            <v>0.21450182246807867</v>
          </cell>
        </row>
        <row r="15">
          <cell r="A15" t="str">
            <v>1,9</v>
          </cell>
          <cell r="B15" t="str">
            <v>L 15 kr</v>
          </cell>
          <cell r="C15" t="str">
            <v>Kwarter c2</v>
          </cell>
          <cell r="D15">
            <v>6</v>
          </cell>
          <cell r="E15">
            <v>15</v>
          </cell>
          <cell r="F15">
            <v>0.3</v>
          </cell>
          <cell r="G15">
            <v>0.21450182246807867</v>
          </cell>
        </row>
        <row r="16">
          <cell r="A16" t="str">
            <v>1,10</v>
          </cell>
          <cell r="B16" t="str">
            <v>L 15 kr</v>
          </cell>
          <cell r="C16" t="str">
            <v>Kwarter c3</v>
          </cell>
          <cell r="D16">
            <v>6</v>
          </cell>
          <cell r="E16">
            <v>15</v>
          </cell>
          <cell r="F16">
            <v>0.3</v>
          </cell>
          <cell r="G16">
            <v>0.21450182246807867</v>
          </cell>
        </row>
        <row r="17">
          <cell r="A17" t="str">
            <v>1,11</v>
          </cell>
          <cell r="B17" t="str">
            <v>L 15 kr</v>
          </cell>
          <cell r="C17" t="str">
            <v>Muka c3</v>
          </cell>
          <cell r="D17">
            <v>6</v>
          </cell>
          <cell r="E17">
            <v>15</v>
          </cell>
          <cell r="F17">
            <v>0.3</v>
          </cell>
          <cell r="G17">
            <v>0.10851848762602735</v>
          </cell>
        </row>
        <row r="18">
          <cell r="A18" t="str">
            <v>1,12</v>
          </cell>
          <cell r="B18" t="str">
            <v>L 15 kr</v>
          </cell>
          <cell r="C18" t="str">
            <v>Tersier T4-K1</v>
          </cell>
          <cell r="D18">
            <v>8</v>
          </cell>
          <cell r="E18">
            <v>15</v>
          </cell>
          <cell r="F18">
            <v>0.3</v>
          </cell>
          <cell r="G18">
            <v>0.11004021834324135</v>
          </cell>
        </row>
        <row r="19">
          <cell r="A19" t="str">
            <v>1,13</v>
          </cell>
          <cell r="B19" t="str">
            <v>L 15 kr</v>
          </cell>
          <cell r="C19" t="str">
            <v>Tersier T3-T4</v>
          </cell>
          <cell r="D19">
            <v>15</v>
          </cell>
          <cell r="E19">
            <v>27</v>
          </cell>
          <cell r="F19">
            <v>0.3</v>
          </cell>
          <cell r="G19">
            <v>0.20184205966107993</v>
          </cell>
        </row>
        <row r="20">
          <cell r="A20" t="str">
            <v>1,14</v>
          </cell>
          <cell r="B20" t="str">
            <v>L 15 kr</v>
          </cell>
          <cell r="C20" t="str">
            <v>Tersier T2-T3</v>
          </cell>
          <cell r="D20">
            <v>19</v>
          </cell>
          <cell r="E20">
            <v>34.200000000000003</v>
          </cell>
          <cell r="F20">
            <v>0.35</v>
          </cell>
          <cell r="G20">
            <v>0.21590437339859322</v>
          </cell>
        </row>
        <row r="21">
          <cell r="A21" t="str">
            <v>1,15</v>
          </cell>
          <cell r="B21" t="str">
            <v>L 15 kr</v>
          </cell>
          <cell r="C21" t="str">
            <v>Tersier T1-T2</v>
          </cell>
          <cell r="D21">
            <v>21</v>
          </cell>
          <cell r="E21">
            <v>37.800000000000004</v>
          </cell>
          <cell r="F21">
            <v>0.35</v>
          </cell>
          <cell r="G21">
            <v>0.2276765117950087</v>
          </cell>
        </row>
        <row r="22">
          <cell r="A22" t="str">
            <v>1,16</v>
          </cell>
          <cell r="B22" t="str">
            <v>L 15 kr</v>
          </cell>
          <cell r="C22" t="str">
            <v>Tersier BL15-T1</v>
          </cell>
          <cell r="D22">
            <v>37</v>
          </cell>
          <cell r="E22">
            <v>66.600000000000009</v>
          </cell>
          <cell r="F22">
            <v>0.35</v>
          </cell>
          <cell r="G22">
            <v>0.31</v>
          </cell>
        </row>
        <row r="24">
          <cell r="A24">
            <v>2</v>
          </cell>
          <cell r="B24" t="str">
            <v>L 16 kn</v>
          </cell>
          <cell r="D24">
            <v>0</v>
          </cell>
        </row>
        <row r="25">
          <cell r="A25" t="str">
            <v>2,1</v>
          </cell>
          <cell r="B25" t="str">
            <v>L 16 kn</v>
          </cell>
          <cell r="C25" t="str">
            <v>Kwarter a1</v>
          </cell>
          <cell r="D25">
            <v>2</v>
          </cell>
          <cell r="E25">
            <v>15</v>
          </cell>
          <cell r="F25">
            <v>0.3</v>
          </cell>
          <cell r="G25">
            <v>0.21450182246807867</v>
          </cell>
        </row>
        <row r="26">
          <cell r="A26" t="str">
            <v>2,2</v>
          </cell>
          <cell r="B26" t="str">
            <v>L 16 kn</v>
          </cell>
          <cell r="C26" t="str">
            <v>Kwarter a2</v>
          </cell>
          <cell r="D26">
            <v>8</v>
          </cell>
          <cell r="E26">
            <v>15</v>
          </cell>
          <cell r="F26">
            <v>0.3</v>
          </cell>
          <cell r="G26">
            <v>0.21450182246807867</v>
          </cell>
        </row>
        <row r="27">
          <cell r="A27" t="str">
            <v>2,3</v>
          </cell>
          <cell r="B27" t="str">
            <v>L 16 kn</v>
          </cell>
          <cell r="C27" t="str">
            <v>Muka a2</v>
          </cell>
          <cell r="D27">
            <v>8</v>
          </cell>
          <cell r="E27">
            <v>15</v>
          </cell>
          <cell r="F27">
            <v>0.3</v>
          </cell>
          <cell r="G27">
            <v>0.11411454426456878</v>
          </cell>
        </row>
        <row r="28">
          <cell r="A28" t="str">
            <v>2,4</v>
          </cell>
          <cell r="B28" t="str">
            <v>L 16 kn</v>
          </cell>
          <cell r="C28" t="str">
            <v>Tersier BL16-K1</v>
          </cell>
          <cell r="D28">
            <v>10</v>
          </cell>
          <cell r="E28">
            <v>18</v>
          </cell>
          <cell r="F28">
            <v>0.3</v>
          </cell>
          <cell r="G28">
            <v>0.16351191834116924</v>
          </cell>
        </row>
        <row r="30">
          <cell r="A30">
            <v>3</v>
          </cell>
          <cell r="B30" t="str">
            <v>L 16kr</v>
          </cell>
          <cell r="D30">
            <v>0</v>
          </cell>
        </row>
        <row r="31">
          <cell r="A31" t="str">
            <v>3,1</v>
          </cell>
          <cell r="B31" t="str">
            <v>L 16kr</v>
          </cell>
          <cell r="C31" t="str">
            <v>Kwarter a1</v>
          </cell>
          <cell r="D31">
            <v>10</v>
          </cell>
          <cell r="E31">
            <v>18</v>
          </cell>
          <cell r="F31">
            <v>0.3</v>
          </cell>
          <cell r="G31">
            <v>0.23577879671478721</v>
          </cell>
        </row>
        <row r="32">
          <cell r="A32" t="str">
            <v>3,2</v>
          </cell>
          <cell r="B32" t="str">
            <v>L 16kr</v>
          </cell>
          <cell r="C32" t="str">
            <v>Kwarter a2</v>
          </cell>
          <cell r="D32">
            <v>11</v>
          </cell>
          <cell r="E32">
            <v>19.8</v>
          </cell>
          <cell r="F32">
            <v>0.3</v>
          </cell>
          <cell r="G32">
            <v>0.24760852941408978</v>
          </cell>
        </row>
        <row r="33">
          <cell r="A33" t="str">
            <v>3,3</v>
          </cell>
          <cell r="B33" t="str">
            <v>L 16kr</v>
          </cell>
          <cell r="C33" t="str">
            <v>Kwarter a3</v>
          </cell>
          <cell r="D33">
            <v>8</v>
          </cell>
          <cell r="E33">
            <v>15</v>
          </cell>
          <cell r="F33">
            <v>0.3</v>
          </cell>
          <cell r="G33">
            <v>0.21450182246807867</v>
          </cell>
        </row>
        <row r="34">
          <cell r="A34" t="str">
            <v>3,4</v>
          </cell>
          <cell r="B34" t="str">
            <v>L 16kr</v>
          </cell>
          <cell r="C34" t="str">
            <v>Kwarter b1</v>
          </cell>
          <cell r="D34">
            <v>7</v>
          </cell>
          <cell r="E34">
            <v>15</v>
          </cell>
          <cell r="F34">
            <v>0.3</v>
          </cell>
          <cell r="G34">
            <v>0.21450182246807867</v>
          </cell>
        </row>
        <row r="35">
          <cell r="A35" t="str">
            <v>3,5</v>
          </cell>
          <cell r="B35" t="str">
            <v>L 16kr</v>
          </cell>
          <cell r="C35" t="str">
            <v>Kwarter b2</v>
          </cell>
          <cell r="D35">
            <v>7</v>
          </cell>
          <cell r="E35">
            <v>15</v>
          </cell>
          <cell r="F35">
            <v>0.3</v>
          </cell>
          <cell r="G35">
            <v>0.21450182246807867</v>
          </cell>
        </row>
        <row r="36">
          <cell r="A36" t="str">
            <v>3,6</v>
          </cell>
          <cell r="B36" t="str">
            <v>L 16kr</v>
          </cell>
          <cell r="C36" t="str">
            <v>Kwarter b3</v>
          </cell>
          <cell r="D36">
            <v>4</v>
          </cell>
          <cell r="E36">
            <v>15</v>
          </cell>
          <cell r="F36">
            <v>0.3</v>
          </cell>
          <cell r="G36">
            <v>0.21450182246807867</v>
          </cell>
        </row>
        <row r="37">
          <cell r="A37" t="str">
            <v>3,7</v>
          </cell>
          <cell r="B37" t="str">
            <v>L 16kr</v>
          </cell>
          <cell r="C37" t="str">
            <v>Tersier T3-K1</v>
          </cell>
          <cell r="D37">
            <v>18</v>
          </cell>
          <cell r="E37">
            <v>32.4</v>
          </cell>
          <cell r="F37">
            <v>0.3</v>
          </cell>
          <cell r="G37">
            <v>0.22327235320472594</v>
          </cell>
        </row>
        <row r="38">
          <cell r="A38" t="str">
            <v>3,8</v>
          </cell>
          <cell r="B38" t="str">
            <v>L 16kr</v>
          </cell>
          <cell r="C38" t="str">
            <v>Tersier T2-T3</v>
          </cell>
          <cell r="D38">
            <v>26</v>
          </cell>
          <cell r="E38">
            <v>46.800000000000004</v>
          </cell>
          <cell r="F38">
            <v>0.35</v>
          </cell>
          <cell r="G38">
            <v>0.25467774083080758</v>
          </cell>
        </row>
        <row r="39">
          <cell r="A39" t="str">
            <v>3,9</v>
          </cell>
          <cell r="B39" t="str">
            <v>L 16kr</v>
          </cell>
          <cell r="C39" t="str">
            <v>Tersier T1-T2</v>
          </cell>
          <cell r="D39">
            <v>37</v>
          </cell>
          <cell r="E39">
            <v>66.600000000000009</v>
          </cell>
          <cell r="F39">
            <v>0.35</v>
          </cell>
          <cell r="G39">
            <v>0.3053567436625888</v>
          </cell>
        </row>
        <row r="40">
          <cell r="A40" t="str">
            <v>3,10</v>
          </cell>
          <cell r="B40" t="str">
            <v>L 16kr</v>
          </cell>
          <cell r="C40" t="str">
            <v>Tersier BL.16-T1</v>
          </cell>
          <cell r="D40">
            <v>47</v>
          </cell>
          <cell r="E40">
            <v>84.600000000000009</v>
          </cell>
          <cell r="F40">
            <v>0.4</v>
          </cell>
          <cell r="G40">
            <v>0.32878717831371629</v>
          </cell>
        </row>
        <row r="42">
          <cell r="A42">
            <v>4</v>
          </cell>
          <cell r="B42" t="str">
            <v>L 17 kn</v>
          </cell>
          <cell r="D42">
            <v>0</v>
          </cell>
        </row>
        <row r="43">
          <cell r="A43" t="str">
            <v>4,1</v>
          </cell>
          <cell r="B43" t="str">
            <v>L 17 kn</v>
          </cell>
          <cell r="C43" t="str">
            <v>Kwarter a1</v>
          </cell>
          <cell r="D43">
            <v>10</v>
          </cell>
          <cell r="E43">
            <v>18</v>
          </cell>
          <cell r="F43">
            <v>0.3</v>
          </cell>
          <cell r="G43">
            <v>0.23999999999999994</v>
          </cell>
        </row>
        <row r="44">
          <cell r="A44" t="str">
            <v>4,2</v>
          </cell>
          <cell r="B44" t="str">
            <v>L 17 kn</v>
          </cell>
          <cell r="C44" t="str">
            <v>Kwarter a2</v>
          </cell>
          <cell r="D44">
            <v>14</v>
          </cell>
          <cell r="E44">
            <v>25.2</v>
          </cell>
          <cell r="F44">
            <v>0.3</v>
          </cell>
          <cell r="G44">
            <v>0.27999999999999997</v>
          </cell>
        </row>
        <row r="45">
          <cell r="A45" t="str">
            <v>4,3</v>
          </cell>
          <cell r="B45" t="str">
            <v>L 17 kn</v>
          </cell>
          <cell r="C45" t="str">
            <v>Kwarter a3</v>
          </cell>
          <cell r="D45">
            <v>10</v>
          </cell>
          <cell r="E45">
            <v>18</v>
          </cell>
          <cell r="F45">
            <v>0.3</v>
          </cell>
          <cell r="G45">
            <v>0.23577879671478721</v>
          </cell>
        </row>
        <row r="46">
          <cell r="A46" t="str">
            <v>4,4</v>
          </cell>
          <cell r="B46" t="str">
            <v>L 17 kn</v>
          </cell>
          <cell r="C46" t="str">
            <v>Kwarter b1</v>
          </cell>
          <cell r="D46">
            <v>9</v>
          </cell>
          <cell r="E46">
            <v>16.2</v>
          </cell>
          <cell r="F46">
            <v>0.3</v>
          </cell>
          <cell r="G46">
            <v>0.2232716283144332</v>
          </cell>
        </row>
        <row r="47">
          <cell r="A47" t="str">
            <v>4,5</v>
          </cell>
          <cell r="B47" t="str">
            <v>L 17 kn</v>
          </cell>
          <cell r="C47" t="str">
            <v>Kwarter b2</v>
          </cell>
          <cell r="D47">
            <v>6</v>
          </cell>
          <cell r="E47">
            <v>15</v>
          </cell>
          <cell r="F47">
            <v>0.3</v>
          </cell>
          <cell r="G47">
            <v>0.21450182246807867</v>
          </cell>
        </row>
        <row r="48">
          <cell r="A48" t="str">
            <v>4,6</v>
          </cell>
          <cell r="B48" t="str">
            <v>L 17 kn</v>
          </cell>
          <cell r="C48" t="str">
            <v>Kwarter b3</v>
          </cell>
          <cell r="D48">
            <v>5</v>
          </cell>
          <cell r="E48">
            <v>15</v>
          </cell>
          <cell r="F48">
            <v>0.3</v>
          </cell>
          <cell r="G48">
            <v>0.21450182246807867</v>
          </cell>
        </row>
        <row r="49">
          <cell r="A49" t="str">
            <v>4,7</v>
          </cell>
          <cell r="B49" t="str">
            <v>L 17 kn</v>
          </cell>
          <cell r="C49" t="str">
            <v>Kwarter b4</v>
          </cell>
          <cell r="D49">
            <v>14</v>
          </cell>
          <cell r="E49">
            <v>25.2</v>
          </cell>
          <cell r="F49">
            <v>0.3</v>
          </cell>
          <cell r="G49">
            <v>0.2798454843014469</v>
          </cell>
        </row>
        <row r="50">
          <cell r="A50" t="str">
            <v>4,8</v>
          </cell>
          <cell r="B50" t="str">
            <v>L 17 kn</v>
          </cell>
          <cell r="C50" t="str">
            <v>Kwarter c1</v>
          </cell>
          <cell r="D50">
            <v>5</v>
          </cell>
          <cell r="E50">
            <v>15</v>
          </cell>
          <cell r="F50">
            <v>0.3</v>
          </cell>
          <cell r="G50">
            <v>0.21450182246807867</v>
          </cell>
        </row>
        <row r="51">
          <cell r="A51" t="str">
            <v>4,9</v>
          </cell>
          <cell r="B51" t="str">
            <v>L 17 kn</v>
          </cell>
          <cell r="C51" t="str">
            <v>Kwarter c2</v>
          </cell>
          <cell r="D51">
            <v>15</v>
          </cell>
          <cell r="E51">
            <v>27</v>
          </cell>
          <cell r="F51">
            <v>0.3</v>
          </cell>
          <cell r="G51">
            <v>0.28970512341744525</v>
          </cell>
        </row>
        <row r="52">
          <cell r="A52" t="str">
            <v>4,10</v>
          </cell>
          <cell r="B52" t="str">
            <v>L 17 kn</v>
          </cell>
          <cell r="C52" t="str">
            <v>Muka a3</v>
          </cell>
          <cell r="D52">
            <v>10</v>
          </cell>
          <cell r="E52">
            <v>18</v>
          </cell>
          <cell r="F52">
            <v>0.3</v>
          </cell>
          <cell r="G52">
            <v>0.12999999999999984</v>
          </cell>
        </row>
        <row r="53">
          <cell r="A53" t="str">
            <v>4,11</v>
          </cell>
          <cell r="B53" t="str">
            <v>L 17 kn</v>
          </cell>
          <cell r="C53" t="str">
            <v>Muka b3</v>
          </cell>
          <cell r="D53">
            <v>5</v>
          </cell>
          <cell r="E53">
            <v>15</v>
          </cell>
          <cell r="F53">
            <v>0.3</v>
          </cell>
          <cell r="G53">
            <v>0.14999999999999986</v>
          </cell>
        </row>
        <row r="54">
          <cell r="A54" t="str">
            <v>4,12</v>
          </cell>
          <cell r="B54" t="str">
            <v>L 17 kn</v>
          </cell>
          <cell r="C54" t="str">
            <v>Muka c1</v>
          </cell>
          <cell r="D54">
            <v>5</v>
          </cell>
          <cell r="E54">
            <v>15</v>
          </cell>
          <cell r="F54">
            <v>0.3</v>
          </cell>
          <cell r="G54">
            <v>0.12999999999999984</v>
          </cell>
        </row>
        <row r="55">
          <cell r="A55" t="str">
            <v>4,13</v>
          </cell>
          <cell r="B55" t="str">
            <v>L 17 kn</v>
          </cell>
          <cell r="C55" t="str">
            <v>Tersier T3-K2</v>
          </cell>
          <cell r="D55">
            <v>11</v>
          </cell>
          <cell r="E55">
            <v>19.8</v>
          </cell>
          <cell r="F55">
            <v>0.3</v>
          </cell>
          <cell r="G55">
            <v>8.9999999999999858E-2</v>
          </cell>
        </row>
        <row r="56">
          <cell r="A56" t="str">
            <v>4,14</v>
          </cell>
          <cell r="B56" t="str">
            <v>L 17 kn</v>
          </cell>
          <cell r="C56" t="str">
            <v>Tersier T2-T3</v>
          </cell>
          <cell r="D56">
            <v>25</v>
          </cell>
          <cell r="E56">
            <v>45</v>
          </cell>
          <cell r="F56">
            <v>0.35</v>
          </cell>
          <cell r="G56">
            <v>0.24999999999999989</v>
          </cell>
        </row>
        <row r="57">
          <cell r="A57" t="str">
            <v>4,15</v>
          </cell>
          <cell r="B57" t="str">
            <v>L 17 kn</v>
          </cell>
          <cell r="C57" t="str">
            <v>Tersier T2-K1</v>
          </cell>
          <cell r="D57">
            <v>20</v>
          </cell>
          <cell r="E57">
            <v>36</v>
          </cell>
          <cell r="F57">
            <v>0.3</v>
          </cell>
          <cell r="G57">
            <v>0.14999999999999986</v>
          </cell>
        </row>
        <row r="58">
          <cell r="A58" t="str">
            <v>4,16</v>
          </cell>
          <cell r="B58" t="str">
            <v>L 17 kn</v>
          </cell>
          <cell r="C58" t="str">
            <v>Tersier T1-T2</v>
          </cell>
          <cell r="D58">
            <v>54</v>
          </cell>
          <cell r="E58">
            <v>97.2</v>
          </cell>
          <cell r="F58">
            <v>0.39999999999999997</v>
          </cell>
          <cell r="G58">
            <v>0.35999999999999993</v>
          </cell>
        </row>
        <row r="59">
          <cell r="A59" t="str">
            <v>4,17</v>
          </cell>
          <cell r="B59" t="str">
            <v>L 17 kn</v>
          </cell>
          <cell r="C59" t="str">
            <v>Tersier BL17-T1</v>
          </cell>
          <cell r="D59">
            <v>88</v>
          </cell>
          <cell r="E59">
            <v>158.4</v>
          </cell>
          <cell r="F59">
            <v>0.44999999999999996</v>
          </cell>
          <cell r="G59">
            <v>0.43999999999999995</v>
          </cell>
        </row>
        <row r="61">
          <cell r="A61">
            <v>5</v>
          </cell>
          <cell r="B61" t="str">
            <v>L 17 kr</v>
          </cell>
          <cell r="D61">
            <v>0</v>
          </cell>
        </row>
        <row r="62">
          <cell r="A62" t="str">
            <v>5,1</v>
          </cell>
          <cell r="B62" t="str">
            <v>L 17 kr</v>
          </cell>
          <cell r="C62" t="str">
            <v>Kwarter a1</v>
          </cell>
          <cell r="D62">
            <v>7</v>
          </cell>
          <cell r="E62">
            <v>15</v>
          </cell>
          <cell r="F62">
            <v>0.3</v>
          </cell>
          <cell r="G62">
            <v>0.21450182246807867</v>
          </cell>
        </row>
        <row r="63">
          <cell r="A63" t="str">
            <v>5,2</v>
          </cell>
          <cell r="B63" t="str">
            <v>L 17 kr</v>
          </cell>
          <cell r="C63" t="str">
            <v>Kwarter a2</v>
          </cell>
          <cell r="D63">
            <v>11</v>
          </cell>
          <cell r="E63">
            <v>19.8</v>
          </cell>
          <cell r="F63">
            <v>0.3</v>
          </cell>
          <cell r="G63">
            <v>0.24760852941408978</v>
          </cell>
        </row>
        <row r="64">
          <cell r="A64" t="str">
            <v>5,3</v>
          </cell>
          <cell r="B64" t="str">
            <v>L 17 kr</v>
          </cell>
          <cell r="C64" t="str">
            <v>Kwarter a3</v>
          </cell>
          <cell r="D64">
            <v>4</v>
          </cell>
          <cell r="E64">
            <v>15</v>
          </cell>
          <cell r="F64">
            <v>0.3</v>
          </cell>
          <cell r="G64">
            <v>0.21450182246807867</v>
          </cell>
        </row>
        <row r="65">
          <cell r="A65" t="str">
            <v>5,4</v>
          </cell>
          <cell r="B65" t="str">
            <v>L 17 kr</v>
          </cell>
          <cell r="C65" t="str">
            <v>Kwarter b1</v>
          </cell>
          <cell r="D65">
            <v>3</v>
          </cell>
          <cell r="E65">
            <v>15</v>
          </cell>
          <cell r="F65">
            <v>0.3</v>
          </cell>
          <cell r="G65">
            <v>0.21450182246807867</v>
          </cell>
        </row>
        <row r="66">
          <cell r="A66" t="str">
            <v>5,5</v>
          </cell>
          <cell r="B66" t="str">
            <v>L 17 kr</v>
          </cell>
          <cell r="C66" t="str">
            <v>Kwarter b2</v>
          </cell>
          <cell r="D66">
            <v>4</v>
          </cell>
          <cell r="E66">
            <v>15</v>
          </cell>
          <cell r="F66">
            <v>0.3</v>
          </cell>
          <cell r="G66">
            <v>0.21450182246807867</v>
          </cell>
        </row>
        <row r="67">
          <cell r="A67" t="str">
            <v>5,6</v>
          </cell>
          <cell r="B67" t="str">
            <v>L 17 kr</v>
          </cell>
          <cell r="C67" t="str">
            <v>Kwarter b3</v>
          </cell>
          <cell r="D67">
            <v>6</v>
          </cell>
          <cell r="E67">
            <v>15</v>
          </cell>
          <cell r="F67">
            <v>0.3</v>
          </cell>
          <cell r="G67">
            <v>0.21450182246807867</v>
          </cell>
        </row>
        <row r="68">
          <cell r="A68" t="str">
            <v>5,7</v>
          </cell>
          <cell r="B68" t="str">
            <v>L 17 kr</v>
          </cell>
          <cell r="C68" t="str">
            <v>Kwarter b4</v>
          </cell>
          <cell r="D68">
            <v>4</v>
          </cell>
          <cell r="E68">
            <v>15</v>
          </cell>
          <cell r="F68">
            <v>0.3</v>
          </cell>
          <cell r="G68">
            <v>0.21450182246807867</v>
          </cell>
        </row>
        <row r="69">
          <cell r="A69" t="str">
            <v>5,8</v>
          </cell>
          <cell r="B69" t="str">
            <v>L 17 kr</v>
          </cell>
          <cell r="C69" t="str">
            <v>Muka a1</v>
          </cell>
          <cell r="D69">
            <v>7</v>
          </cell>
          <cell r="E69">
            <v>15</v>
          </cell>
          <cell r="F69">
            <v>0.3</v>
          </cell>
          <cell r="G69">
            <v>0.12</v>
          </cell>
        </row>
        <row r="70">
          <cell r="A70" t="str">
            <v>5,9</v>
          </cell>
          <cell r="B70" t="str">
            <v>L 17 kr</v>
          </cell>
          <cell r="C70" t="str">
            <v>Tersier T3-K2</v>
          </cell>
          <cell r="D70">
            <v>10</v>
          </cell>
          <cell r="E70">
            <v>18</v>
          </cell>
          <cell r="F70">
            <v>0.3</v>
          </cell>
          <cell r="G70">
            <v>0.1635133113502151</v>
          </cell>
        </row>
        <row r="71">
          <cell r="A71" t="str">
            <v>5,10</v>
          </cell>
          <cell r="B71" t="str">
            <v>L 17 kr</v>
          </cell>
          <cell r="C71" t="str">
            <v>Tersier T2-T3</v>
          </cell>
          <cell r="D71">
            <v>14</v>
          </cell>
          <cell r="E71">
            <v>25.2</v>
          </cell>
          <cell r="F71">
            <v>0.3</v>
          </cell>
          <cell r="G71">
            <v>0.19</v>
          </cell>
        </row>
        <row r="72">
          <cell r="A72" t="str">
            <v>5,11</v>
          </cell>
          <cell r="B72" t="str">
            <v>L 17 kr</v>
          </cell>
          <cell r="C72" t="str">
            <v>Tersier T1-T2</v>
          </cell>
          <cell r="D72">
            <v>17</v>
          </cell>
          <cell r="E72">
            <v>30.6</v>
          </cell>
          <cell r="F72">
            <v>0.3</v>
          </cell>
          <cell r="G72">
            <v>0.21672940893504364</v>
          </cell>
        </row>
        <row r="73">
          <cell r="A73" t="str">
            <v>5,12</v>
          </cell>
          <cell r="B73" t="str">
            <v>L 17 kr</v>
          </cell>
          <cell r="C73" t="str">
            <v>Tersier T1-K1</v>
          </cell>
          <cell r="D73">
            <v>18</v>
          </cell>
          <cell r="E73">
            <v>32.4</v>
          </cell>
          <cell r="F73">
            <v>0.3</v>
          </cell>
          <cell r="G73">
            <v>0.15</v>
          </cell>
        </row>
        <row r="74">
          <cell r="A74" t="str">
            <v>5,13</v>
          </cell>
          <cell r="B74" t="str">
            <v>L 17 kr</v>
          </cell>
          <cell r="C74" t="str">
            <v>Tersier BL.17-T1</v>
          </cell>
          <cell r="D74">
            <v>39</v>
          </cell>
          <cell r="E74">
            <v>70.2</v>
          </cell>
          <cell r="F74">
            <v>0.4</v>
          </cell>
          <cell r="G74">
            <v>0.29863008205086433</v>
          </cell>
        </row>
        <row r="76">
          <cell r="A76">
            <v>6</v>
          </cell>
          <cell r="B76" t="str">
            <v>L 18 kn</v>
          </cell>
          <cell r="D76">
            <v>0</v>
          </cell>
        </row>
        <row r="77">
          <cell r="A77" t="str">
            <v>6,1</v>
          </cell>
          <cell r="B77" t="str">
            <v>L 18 kn</v>
          </cell>
          <cell r="C77" t="str">
            <v>Kwarter a1</v>
          </cell>
          <cell r="D77">
            <v>14</v>
          </cell>
          <cell r="E77">
            <v>25.2</v>
          </cell>
          <cell r="F77">
            <v>0.3</v>
          </cell>
          <cell r="G77">
            <v>0.27984548813237042</v>
          </cell>
        </row>
        <row r="78">
          <cell r="A78" t="str">
            <v>6,2</v>
          </cell>
          <cell r="B78" t="str">
            <v>L 18 kn</v>
          </cell>
          <cell r="C78" t="str">
            <v>Kwarter cab a1</v>
          </cell>
          <cell r="E78">
            <v>15</v>
          </cell>
          <cell r="F78">
            <v>0.3</v>
          </cell>
          <cell r="G78">
            <v>0.21450182246807867</v>
          </cell>
        </row>
        <row r="79">
          <cell r="A79" t="str">
            <v>6,3</v>
          </cell>
          <cell r="B79" t="str">
            <v>L 18 kn</v>
          </cell>
          <cell r="C79" t="str">
            <v>Kwarter a2</v>
          </cell>
          <cell r="D79">
            <v>14</v>
          </cell>
          <cell r="E79">
            <v>25.2</v>
          </cell>
          <cell r="F79">
            <v>0.3</v>
          </cell>
          <cell r="G79">
            <v>0.27984548813237042</v>
          </cell>
        </row>
        <row r="80">
          <cell r="A80" t="str">
            <v>6,4</v>
          </cell>
          <cell r="B80" t="str">
            <v>L 18 kn</v>
          </cell>
          <cell r="C80" t="str">
            <v>Kwarter a3</v>
          </cell>
          <cell r="D80">
            <v>15</v>
          </cell>
          <cell r="E80">
            <v>27</v>
          </cell>
          <cell r="F80">
            <v>0.3</v>
          </cell>
          <cell r="G80">
            <v>0.2897051306494956</v>
          </cell>
        </row>
        <row r="81">
          <cell r="A81" t="str">
            <v>6,5</v>
          </cell>
          <cell r="B81" t="str">
            <v>L 18 kn</v>
          </cell>
          <cell r="C81" t="str">
            <v>Kwarter a4</v>
          </cell>
          <cell r="D81">
            <v>15</v>
          </cell>
          <cell r="E81">
            <v>27</v>
          </cell>
          <cell r="F81">
            <v>0.3</v>
          </cell>
          <cell r="G81">
            <v>0.2897051306494956</v>
          </cell>
        </row>
        <row r="82">
          <cell r="A82" t="str">
            <v>6,6</v>
          </cell>
          <cell r="B82" t="str">
            <v>L 18 kn</v>
          </cell>
          <cell r="C82" t="str">
            <v>Muka a4</v>
          </cell>
          <cell r="D82">
            <v>15</v>
          </cell>
          <cell r="E82">
            <v>27</v>
          </cell>
          <cell r="F82">
            <v>0.3</v>
          </cell>
          <cell r="G82">
            <v>0.15349322734978743</v>
          </cell>
        </row>
        <row r="83">
          <cell r="A83" t="str">
            <v>6,7</v>
          </cell>
          <cell r="B83" t="str">
            <v>L 18 kn</v>
          </cell>
          <cell r="C83" t="str">
            <v>Tersier T2-K1</v>
          </cell>
          <cell r="D83">
            <v>30</v>
          </cell>
          <cell r="E83">
            <v>54</v>
          </cell>
          <cell r="F83">
            <v>0.35</v>
          </cell>
          <cell r="G83">
            <v>0.27428186852390241</v>
          </cell>
        </row>
        <row r="84">
          <cell r="A84" t="str">
            <v>6,8</v>
          </cell>
          <cell r="B84" t="str">
            <v>L 18 kn</v>
          </cell>
          <cell r="C84" t="str">
            <v>Tersier T1-T2</v>
          </cell>
          <cell r="D84">
            <v>44</v>
          </cell>
          <cell r="E84">
            <v>79.2</v>
          </cell>
          <cell r="F84">
            <v>0.4</v>
          </cell>
          <cell r="G84">
            <v>0.317840024917174</v>
          </cell>
        </row>
        <row r="85">
          <cell r="A85" t="str">
            <v>6,9</v>
          </cell>
          <cell r="B85" t="str">
            <v>L 18 kn</v>
          </cell>
          <cell r="C85" t="str">
            <v>Tersier BL18-T1</v>
          </cell>
          <cell r="D85">
            <v>58</v>
          </cell>
          <cell r="E85">
            <v>104.4</v>
          </cell>
          <cell r="F85">
            <v>0.4</v>
          </cell>
          <cell r="G85">
            <v>0.36588317560606354</v>
          </cell>
        </row>
        <row r="87">
          <cell r="A87">
            <v>7</v>
          </cell>
          <cell r="B87" t="str">
            <v>L 18 kr</v>
          </cell>
          <cell r="D87">
            <v>0</v>
          </cell>
        </row>
        <row r="88">
          <cell r="A88" t="str">
            <v>7,1</v>
          </cell>
          <cell r="B88" t="str">
            <v>L 18 kr</v>
          </cell>
          <cell r="C88" t="str">
            <v>Kwarter a1</v>
          </cell>
          <cell r="D88">
            <v>13</v>
          </cell>
          <cell r="E88">
            <v>23.400000000000002</v>
          </cell>
          <cell r="F88">
            <v>0.3</v>
          </cell>
          <cell r="G88">
            <v>0.2695767640723864</v>
          </cell>
        </row>
        <row r="89">
          <cell r="A89" t="str">
            <v>7,2</v>
          </cell>
          <cell r="B89" t="str">
            <v>L 18 kr</v>
          </cell>
          <cell r="C89" t="str">
            <v>Kwarter a2</v>
          </cell>
          <cell r="D89">
            <v>6</v>
          </cell>
          <cell r="E89">
            <v>15</v>
          </cell>
          <cell r="F89">
            <v>0.3</v>
          </cell>
          <cell r="G89">
            <v>0.21450182246807867</v>
          </cell>
        </row>
        <row r="90">
          <cell r="A90" t="str">
            <v>7,3</v>
          </cell>
          <cell r="B90" t="str">
            <v>L 18 kr</v>
          </cell>
          <cell r="C90" t="str">
            <v>Muka a2</v>
          </cell>
          <cell r="D90">
            <v>6</v>
          </cell>
          <cell r="E90">
            <v>15</v>
          </cell>
          <cell r="F90">
            <v>0.3</v>
          </cell>
          <cell r="G90">
            <v>0.13344146881718863</v>
          </cell>
        </row>
        <row r="91">
          <cell r="A91" t="str">
            <v>7,4</v>
          </cell>
          <cell r="B91" t="str">
            <v>L 18 kr</v>
          </cell>
          <cell r="C91" t="str">
            <v>Tersier BL18-K1</v>
          </cell>
          <cell r="D91">
            <v>19</v>
          </cell>
          <cell r="E91">
            <v>34.200000000000003</v>
          </cell>
          <cell r="F91">
            <v>0.3</v>
          </cell>
          <cell r="G91">
            <v>0.22961638188784486</v>
          </cell>
        </row>
        <row r="93">
          <cell r="A93">
            <v>8</v>
          </cell>
          <cell r="B93" t="str">
            <v>L 19 kn</v>
          </cell>
          <cell r="D93">
            <v>0</v>
          </cell>
        </row>
        <row r="94">
          <cell r="A94" t="str">
            <v>8,1</v>
          </cell>
          <cell r="B94" t="str">
            <v>L 19 kn</v>
          </cell>
          <cell r="C94" t="str">
            <v>Kwarter a1</v>
          </cell>
          <cell r="D94">
            <v>10</v>
          </cell>
          <cell r="E94">
            <v>18</v>
          </cell>
          <cell r="F94">
            <v>0.3</v>
          </cell>
          <cell r="G94">
            <v>0.23577879671478721</v>
          </cell>
        </row>
        <row r="95">
          <cell r="A95" t="str">
            <v>8,2</v>
          </cell>
          <cell r="B95" t="str">
            <v>L 19 kn</v>
          </cell>
          <cell r="C95" t="str">
            <v>Kwarter a2</v>
          </cell>
          <cell r="D95">
            <v>8</v>
          </cell>
          <cell r="E95">
            <v>15</v>
          </cell>
          <cell r="F95">
            <v>0.3</v>
          </cell>
          <cell r="G95">
            <v>0.21450182246807867</v>
          </cell>
        </row>
        <row r="96">
          <cell r="A96" t="str">
            <v>8,3</v>
          </cell>
          <cell r="B96" t="str">
            <v>L 19 kn</v>
          </cell>
          <cell r="C96" t="str">
            <v>Kwarter a3</v>
          </cell>
          <cell r="D96">
            <v>5</v>
          </cell>
          <cell r="E96">
            <v>15</v>
          </cell>
          <cell r="F96">
            <v>0.3</v>
          </cell>
          <cell r="G96">
            <v>0.21450182246807867</v>
          </cell>
        </row>
        <row r="97">
          <cell r="A97" t="str">
            <v>8,4</v>
          </cell>
          <cell r="B97" t="str">
            <v>L 19 kn</v>
          </cell>
          <cell r="C97" t="str">
            <v>Kwarter b1</v>
          </cell>
          <cell r="D97">
            <v>8</v>
          </cell>
          <cell r="E97">
            <v>15</v>
          </cell>
          <cell r="F97">
            <v>0.3</v>
          </cell>
          <cell r="G97">
            <v>0.21450182246807867</v>
          </cell>
        </row>
        <row r="98">
          <cell r="A98" t="str">
            <v>8,5</v>
          </cell>
          <cell r="B98" t="str">
            <v>L 19 kn</v>
          </cell>
          <cell r="C98" t="str">
            <v>Kwarter b2</v>
          </cell>
          <cell r="D98">
            <v>9</v>
          </cell>
          <cell r="E98">
            <v>16.2</v>
          </cell>
          <cell r="F98">
            <v>0.3</v>
          </cell>
          <cell r="G98">
            <v>0.2232716283144332</v>
          </cell>
        </row>
        <row r="99">
          <cell r="A99" t="str">
            <v>8,6</v>
          </cell>
          <cell r="B99" t="str">
            <v>L 19 kn</v>
          </cell>
          <cell r="C99" t="str">
            <v>Kwarter b3</v>
          </cell>
          <cell r="D99">
            <v>13</v>
          </cell>
          <cell r="E99">
            <v>23.400000000000002</v>
          </cell>
          <cell r="F99">
            <v>0.3</v>
          </cell>
          <cell r="G99">
            <v>0.2695767640723864</v>
          </cell>
        </row>
        <row r="100">
          <cell r="A100" t="str">
            <v>8,7</v>
          </cell>
          <cell r="B100" t="str">
            <v>L 19 kn</v>
          </cell>
          <cell r="C100" t="str">
            <v>Kwarter c1</v>
          </cell>
          <cell r="D100">
            <v>11</v>
          </cell>
          <cell r="E100">
            <v>19.8</v>
          </cell>
          <cell r="F100">
            <v>0.3</v>
          </cell>
          <cell r="G100">
            <v>0.24760852941408978</v>
          </cell>
        </row>
        <row r="101">
          <cell r="A101" t="str">
            <v>8,8</v>
          </cell>
          <cell r="B101" t="str">
            <v>L 19 kn</v>
          </cell>
          <cell r="C101" t="str">
            <v>Kwarter c2</v>
          </cell>
          <cell r="D101">
            <v>11</v>
          </cell>
          <cell r="E101">
            <v>19.8</v>
          </cell>
          <cell r="F101">
            <v>0.3</v>
          </cell>
          <cell r="G101">
            <v>0.24760852941408978</v>
          </cell>
        </row>
        <row r="102">
          <cell r="A102" t="str">
            <v>8,9</v>
          </cell>
          <cell r="B102" t="str">
            <v>L 19 kn</v>
          </cell>
          <cell r="C102" t="str">
            <v>Muka a3</v>
          </cell>
          <cell r="D102">
            <v>5</v>
          </cell>
          <cell r="E102">
            <v>15</v>
          </cell>
          <cell r="F102">
            <v>0.35</v>
          </cell>
          <cell r="G102">
            <v>0.12399845974258845</v>
          </cell>
        </row>
        <row r="103">
          <cell r="A103" t="str">
            <v>8,10</v>
          </cell>
          <cell r="B103" t="str">
            <v>L 19 kn</v>
          </cell>
          <cell r="C103" t="str">
            <v>Muka c2</v>
          </cell>
          <cell r="D103">
            <v>11</v>
          </cell>
          <cell r="E103">
            <v>19.8</v>
          </cell>
          <cell r="F103">
            <v>0.35</v>
          </cell>
          <cell r="G103">
            <v>0.16056175167513137</v>
          </cell>
        </row>
        <row r="104">
          <cell r="A104" t="str">
            <v>8,11</v>
          </cell>
          <cell r="B104" t="str">
            <v>L 19 kn</v>
          </cell>
          <cell r="C104" t="str">
            <v>Tersier T4-K1</v>
          </cell>
          <cell r="D104">
            <v>22</v>
          </cell>
          <cell r="E104">
            <v>39.6</v>
          </cell>
          <cell r="F104">
            <v>0.35</v>
          </cell>
          <cell r="G104">
            <v>0.23333591856547078</v>
          </cell>
        </row>
        <row r="105">
          <cell r="A105" t="str">
            <v>8,12</v>
          </cell>
          <cell r="B105" t="str">
            <v>L 19 kn</v>
          </cell>
          <cell r="C105" t="str">
            <v>Tersier T3-T4</v>
          </cell>
          <cell r="D105">
            <v>35</v>
          </cell>
          <cell r="E105">
            <v>63</v>
          </cell>
          <cell r="F105">
            <v>0.35</v>
          </cell>
          <cell r="G105">
            <v>0.29684185225159132</v>
          </cell>
        </row>
        <row r="106">
          <cell r="A106" t="str">
            <v>8,13</v>
          </cell>
          <cell r="B106" t="str">
            <v>L 19 kn</v>
          </cell>
          <cell r="C106" t="str">
            <v>Tersier T2-T3</v>
          </cell>
          <cell r="D106">
            <v>44</v>
          </cell>
          <cell r="E106">
            <v>79.2</v>
          </cell>
          <cell r="F106">
            <v>0.4</v>
          </cell>
          <cell r="G106">
            <v>0.317840024917174</v>
          </cell>
        </row>
        <row r="107">
          <cell r="A107" t="str">
            <v>8,14</v>
          </cell>
          <cell r="B107" t="str">
            <v>L 19 kn</v>
          </cell>
          <cell r="C107" t="str">
            <v>Tersier T1-T2</v>
          </cell>
          <cell r="D107">
            <v>52</v>
          </cell>
          <cell r="E107">
            <v>93.600000000000009</v>
          </cell>
          <cell r="F107">
            <v>0.35</v>
          </cell>
          <cell r="G107">
            <v>0.29612973356457767</v>
          </cell>
        </row>
        <row r="108">
          <cell r="A108" t="str">
            <v>8,15</v>
          </cell>
          <cell r="B108" t="str">
            <v>L 19 kn</v>
          </cell>
          <cell r="C108" t="str">
            <v>Tersier T1-K2</v>
          </cell>
          <cell r="D108">
            <v>13</v>
          </cell>
          <cell r="E108">
            <v>23.400000000000002</v>
          </cell>
          <cell r="F108">
            <v>0.3</v>
          </cell>
          <cell r="G108">
            <v>0.1881943748633107</v>
          </cell>
        </row>
        <row r="109">
          <cell r="A109" t="str">
            <v>8,16</v>
          </cell>
          <cell r="B109" t="str">
            <v>L 19 kn</v>
          </cell>
          <cell r="C109" t="str">
            <v>Tersier BL19-T1</v>
          </cell>
          <cell r="D109">
            <v>75</v>
          </cell>
          <cell r="E109">
            <v>135</v>
          </cell>
          <cell r="F109">
            <v>0.45</v>
          </cell>
          <cell r="G109">
            <v>0.39991758724400367</v>
          </cell>
        </row>
        <row r="111">
          <cell r="A111">
            <v>9</v>
          </cell>
          <cell r="B111" t="str">
            <v>L 20 kn</v>
          </cell>
          <cell r="D111">
            <v>0</v>
          </cell>
        </row>
        <row r="112">
          <cell r="A112" t="str">
            <v>9,1</v>
          </cell>
          <cell r="B112" t="str">
            <v>L 20 kn</v>
          </cell>
          <cell r="C112" t="str">
            <v>Kwarter a1</v>
          </cell>
          <cell r="D112">
            <v>7</v>
          </cell>
          <cell r="E112">
            <v>15</v>
          </cell>
          <cell r="F112">
            <v>0.3</v>
          </cell>
          <cell r="G112">
            <v>0.21450182246807867</v>
          </cell>
        </row>
        <row r="113">
          <cell r="A113" t="str">
            <v>9,2</v>
          </cell>
          <cell r="B113" t="str">
            <v>L 20 kn</v>
          </cell>
          <cell r="C113" t="str">
            <v>Kwarter a2</v>
          </cell>
          <cell r="D113">
            <v>6</v>
          </cell>
          <cell r="E113">
            <v>15</v>
          </cell>
          <cell r="F113">
            <v>0.3</v>
          </cell>
          <cell r="G113">
            <v>0.21450182246807867</v>
          </cell>
        </row>
        <row r="114">
          <cell r="A114" t="str">
            <v>9,3</v>
          </cell>
          <cell r="B114" t="str">
            <v>L 20 kn</v>
          </cell>
          <cell r="C114" t="str">
            <v>Kwarter a3</v>
          </cell>
          <cell r="D114">
            <v>14</v>
          </cell>
          <cell r="E114">
            <v>25.2</v>
          </cell>
          <cell r="F114">
            <v>0.3</v>
          </cell>
          <cell r="G114">
            <v>0.27984548813237042</v>
          </cell>
        </row>
        <row r="115">
          <cell r="A115" t="str">
            <v>9,4</v>
          </cell>
          <cell r="B115" t="str">
            <v>L 20 kn</v>
          </cell>
          <cell r="C115" t="str">
            <v>Muka a3</v>
          </cell>
          <cell r="D115">
            <v>14</v>
          </cell>
          <cell r="E115">
            <v>25.2</v>
          </cell>
          <cell r="F115">
            <v>0.3</v>
          </cell>
          <cell r="G115">
            <v>0.18131860021490176</v>
          </cell>
        </row>
        <row r="116">
          <cell r="A116" t="str">
            <v>9,5</v>
          </cell>
          <cell r="B116" t="str">
            <v>L 20 kn</v>
          </cell>
          <cell r="C116" t="str">
            <v>Tersier T1-K1</v>
          </cell>
          <cell r="D116">
            <v>20</v>
          </cell>
          <cell r="E116">
            <v>36</v>
          </cell>
          <cell r="F116">
            <v>0.35</v>
          </cell>
          <cell r="G116">
            <v>0.22186962188085085</v>
          </cell>
        </row>
        <row r="117">
          <cell r="A117" t="str">
            <v>9,6</v>
          </cell>
          <cell r="B117" t="str">
            <v>L 20 kn</v>
          </cell>
          <cell r="C117" t="str">
            <v>Tersier BL20-T1</v>
          </cell>
          <cell r="D117">
            <v>27</v>
          </cell>
          <cell r="E117">
            <v>48.6</v>
          </cell>
          <cell r="F117">
            <v>0.3</v>
          </cell>
          <cell r="G117">
            <v>0.27476507048202303</v>
          </cell>
        </row>
        <row r="119">
          <cell r="A119">
            <v>10</v>
          </cell>
          <cell r="B119" t="str">
            <v>L 21 kn</v>
          </cell>
          <cell r="D119">
            <v>0</v>
          </cell>
        </row>
        <row r="120">
          <cell r="A120" t="str">
            <v>10,1</v>
          </cell>
          <cell r="B120" t="str">
            <v>L 21 kn</v>
          </cell>
          <cell r="C120" t="str">
            <v>Kwarter a1</v>
          </cell>
          <cell r="D120">
            <v>8</v>
          </cell>
          <cell r="E120">
            <v>15</v>
          </cell>
          <cell r="F120">
            <v>0.3</v>
          </cell>
          <cell r="G120">
            <v>0.21450182246807867</v>
          </cell>
        </row>
        <row r="121">
          <cell r="A121" t="str">
            <v>10,2</v>
          </cell>
          <cell r="B121" t="str">
            <v>L 21 kn</v>
          </cell>
          <cell r="C121" t="str">
            <v>Kwarter a2</v>
          </cell>
          <cell r="D121">
            <v>8</v>
          </cell>
          <cell r="E121">
            <v>15</v>
          </cell>
          <cell r="F121">
            <v>0.3</v>
          </cell>
          <cell r="G121">
            <v>0.21450182246807867</v>
          </cell>
        </row>
        <row r="122">
          <cell r="A122" t="str">
            <v>10,3</v>
          </cell>
          <cell r="B122" t="str">
            <v>L 21 kn</v>
          </cell>
          <cell r="C122" t="str">
            <v>Kwarter a3</v>
          </cell>
          <cell r="D122">
            <v>12</v>
          </cell>
          <cell r="E122">
            <v>21.6</v>
          </cell>
          <cell r="F122">
            <v>0.3</v>
          </cell>
          <cell r="G122">
            <v>0.25885059005180217</v>
          </cell>
        </row>
        <row r="123">
          <cell r="A123" t="str">
            <v>10,4</v>
          </cell>
          <cell r="B123" t="str">
            <v>L 21 kn</v>
          </cell>
          <cell r="C123" t="str">
            <v>Kwarter a4</v>
          </cell>
          <cell r="D123">
            <v>7</v>
          </cell>
          <cell r="E123">
            <v>15</v>
          </cell>
          <cell r="F123">
            <v>0.3</v>
          </cell>
          <cell r="G123">
            <v>0.21450182246807867</v>
          </cell>
        </row>
        <row r="124">
          <cell r="A124" t="str">
            <v>10,5</v>
          </cell>
          <cell r="B124" t="str">
            <v>L 21 kn</v>
          </cell>
          <cell r="C124" t="str">
            <v>Kwarter b1</v>
          </cell>
          <cell r="D124">
            <v>6</v>
          </cell>
          <cell r="E124">
            <v>15</v>
          </cell>
          <cell r="F124">
            <v>0.3</v>
          </cell>
          <cell r="G124">
            <v>0.21450182246807867</v>
          </cell>
        </row>
        <row r="125">
          <cell r="A125" t="str">
            <v>10,6</v>
          </cell>
          <cell r="B125" t="str">
            <v>L 21 kn</v>
          </cell>
          <cell r="C125" t="str">
            <v>Kwarter b2</v>
          </cell>
          <cell r="D125">
            <v>9</v>
          </cell>
          <cell r="E125">
            <v>16.2</v>
          </cell>
          <cell r="F125">
            <v>0.3</v>
          </cell>
          <cell r="G125">
            <v>0.2232716283144332</v>
          </cell>
        </row>
        <row r="126">
          <cell r="A126" t="str">
            <v>10,7</v>
          </cell>
          <cell r="B126" t="str">
            <v>L 21 kn</v>
          </cell>
          <cell r="C126" t="str">
            <v>Kwarter b3</v>
          </cell>
          <cell r="D126">
            <v>5</v>
          </cell>
          <cell r="E126">
            <v>15</v>
          </cell>
          <cell r="F126">
            <v>0.3</v>
          </cell>
          <cell r="G126">
            <v>0.21450182246807867</v>
          </cell>
        </row>
        <row r="127">
          <cell r="A127" t="str">
            <v>10,8</v>
          </cell>
          <cell r="B127" t="str">
            <v>L 21 kn</v>
          </cell>
          <cell r="C127" t="str">
            <v>Kwarter b4</v>
          </cell>
          <cell r="D127">
            <v>6</v>
          </cell>
          <cell r="E127">
            <v>15</v>
          </cell>
          <cell r="F127">
            <v>0.3</v>
          </cell>
          <cell r="G127">
            <v>0.21450182246807867</v>
          </cell>
        </row>
        <row r="128">
          <cell r="A128" t="str">
            <v>10,9</v>
          </cell>
          <cell r="B128" t="str">
            <v>L 21 kn</v>
          </cell>
          <cell r="C128" t="str">
            <v>Kwarter c1</v>
          </cell>
          <cell r="D128">
            <v>13</v>
          </cell>
          <cell r="E128">
            <v>23.400000000000002</v>
          </cell>
          <cell r="F128">
            <v>0.3</v>
          </cell>
          <cell r="G128">
            <v>0.2695767640723864</v>
          </cell>
        </row>
        <row r="129">
          <cell r="A129" t="str">
            <v>10,10</v>
          </cell>
          <cell r="B129" t="str">
            <v>L 21 kn</v>
          </cell>
          <cell r="C129" t="str">
            <v>Kwarter c2</v>
          </cell>
          <cell r="D129">
            <v>11</v>
          </cell>
          <cell r="E129">
            <v>19.8</v>
          </cell>
          <cell r="F129">
            <v>0.3</v>
          </cell>
          <cell r="G129">
            <v>0.24760852941408978</v>
          </cell>
        </row>
        <row r="130">
          <cell r="A130" t="str">
            <v>10,11</v>
          </cell>
          <cell r="B130" t="str">
            <v>L 21 kn</v>
          </cell>
          <cell r="C130" t="str">
            <v>Kwarter c3</v>
          </cell>
          <cell r="D130">
            <v>14</v>
          </cell>
          <cell r="E130">
            <v>25.2</v>
          </cell>
          <cell r="F130">
            <v>0.3</v>
          </cell>
          <cell r="G130">
            <v>0.27984548813237042</v>
          </cell>
        </row>
        <row r="131">
          <cell r="A131" t="str">
            <v>10,12</v>
          </cell>
          <cell r="B131" t="str">
            <v>L 21 kn</v>
          </cell>
          <cell r="C131" t="str">
            <v>Muka b4</v>
          </cell>
          <cell r="D131">
            <v>6</v>
          </cell>
          <cell r="E131">
            <v>15</v>
          </cell>
          <cell r="F131">
            <v>0.3</v>
          </cell>
          <cell r="G131">
            <v>0.14808412741810476</v>
          </cell>
        </row>
        <row r="132">
          <cell r="A132" t="str">
            <v>10,13</v>
          </cell>
          <cell r="B132" t="str">
            <v>L 21 kn</v>
          </cell>
          <cell r="C132" t="str">
            <v>Muka c3</v>
          </cell>
          <cell r="D132">
            <v>14</v>
          </cell>
          <cell r="E132">
            <v>25.2</v>
          </cell>
          <cell r="F132">
            <v>0.3</v>
          </cell>
          <cell r="G132">
            <v>0.14409934339807967</v>
          </cell>
        </row>
        <row r="133">
          <cell r="A133" t="str">
            <v>10,14</v>
          </cell>
          <cell r="B133" t="str">
            <v>L 21 kn</v>
          </cell>
          <cell r="C133" t="str">
            <v>Tersier T6-K2</v>
          </cell>
          <cell r="D133">
            <v>25</v>
          </cell>
          <cell r="E133">
            <v>45</v>
          </cell>
          <cell r="F133">
            <v>0.35</v>
          </cell>
          <cell r="G133">
            <v>0.24952097603792528</v>
          </cell>
        </row>
        <row r="134">
          <cell r="A134" t="str">
            <v>10,15</v>
          </cell>
          <cell r="B134" t="str">
            <v>L 21 kn</v>
          </cell>
          <cell r="C134" t="str">
            <v>Tersier T6-K1</v>
          </cell>
          <cell r="D134">
            <v>11</v>
          </cell>
          <cell r="E134">
            <v>19.8</v>
          </cell>
          <cell r="F134">
            <v>0.3</v>
          </cell>
          <cell r="G134">
            <v>0.17212946236022733</v>
          </cell>
        </row>
        <row r="135">
          <cell r="A135" t="str">
            <v>10,16</v>
          </cell>
          <cell r="B135" t="str">
            <v>L 21 kn</v>
          </cell>
          <cell r="C135" t="str">
            <v>Tersier T5-T6</v>
          </cell>
          <cell r="D135">
            <v>49</v>
          </cell>
          <cell r="E135">
            <v>88.2</v>
          </cell>
          <cell r="F135">
            <v>0.4</v>
          </cell>
          <cell r="G135">
            <v>0.33586963273396392</v>
          </cell>
        </row>
        <row r="136">
          <cell r="A136" t="str">
            <v>10,17</v>
          </cell>
          <cell r="B136" t="str">
            <v>L 21 kn</v>
          </cell>
          <cell r="C136" t="str">
            <v>Tersier T4-T5</v>
          </cell>
          <cell r="D136">
            <v>58</v>
          </cell>
          <cell r="E136">
            <v>104.4</v>
          </cell>
          <cell r="F136">
            <v>0.4</v>
          </cell>
          <cell r="G136">
            <v>0.36588317560606354</v>
          </cell>
        </row>
        <row r="137">
          <cell r="A137" t="str">
            <v>10,18</v>
          </cell>
          <cell r="B137" t="str">
            <v>L 21 kn</v>
          </cell>
          <cell r="C137" t="str">
            <v>Tersier T3-T4</v>
          </cell>
          <cell r="D137">
            <v>64</v>
          </cell>
          <cell r="E137">
            <v>115.2</v>
          </cell>
          <cell r="F137">
            <v>0.45</v>
          </cell>
          <cell r="G137">
            <v>0.36887271425047435</v>
          </cell>
        </row>
        <row r="138">
          <cell r="A138" t="str">
            <v>10,19</v>
          </cell>
          <cell r="B138" t="str">
            <v>L 21 kn</v>
          </cell>
          <cell r="C138" t="str">
            <v>Tersier T2-T3</v>
          </cell>
          <cell r="D138">
            <v>83</v>
          </cell>
          <cell r="E138">
            <v>149.4</v>
          </cell>
          <cell r="F138">
            <v>0.45</v>
          </cell>
          <cell r="G138">
            <v>0.42090911508619716</v>
          </cell>
        </row>
        <row r="139">
          <cell r="A139" t="str">
            <v>10,20</v>
          </cell>
          <cell r="B139" t="str">
            <v>L 21 kn</v>
          </cell>
          <cell r="C139" t="str">
            <v>Tersier T1-T2</v>
          </cell>
          <cell r="D139">
            <v>91</v>
          </cell>
          <cell r="E139">
            <v>163.80000000000001</v>
          </cell>
          <cell r="F139">
            <v>0.5</v>
          </cell>
          <cell r="G139">
            <v>0.42500747790670479</v>
          </cell>
        </row>
        <row r="140">
          <cell r="A140" t="str">
            <v>10,21</v>
          </cell>
          <cell r="B140" t="str">
            <v>L 21 kn</v>
          </cell>
          <cell r="C140" t="str">
            <v>Tersier BL.21-T1</v>
          </cell>
          <cell r="D140">
            <v>99</v>
          </cell>
          <cell r="E140">
            <v>178.20000000000002</v>
          </cell>
          <cell r="F140">
            <v>0.5</v>
          </cell>
          <cell r="G140">
            <v>0.44360389214608648</v>
          </cell>
        </row>
        <row r="142">
          <cell r="A142">
            <v>11</v>
          </cell>
          <cell r="B142" t="str">
            <v>L 21 kr</v>
          </cell>
          <cell r="D142">
            <v>0</v>
          </cell>
        </row>
        <row r="143">
          <cell r="A143" t="str">
            <v>11,1</v>
          </cell>
          <cell r="B143" t="str">
            <v>L 21 kr</v>
          </cell>
          <cell r="C143" t="str">
            <v>Kwarter a1</v>
          </cell>
          <cell r="D143">
            <v>13</v>
          </cell>
          <cell r="E143">
            <v>23.400000000000002</v>
          </cell>
          <cell r="F143">
            <v>0.3</v>
          </cell>
          <cell r="G143">
            <v>0.26957675539406051</v>
          </cell>
        </row>
        <row r="145">
          <cell r="A145">
            <v>12</v>
          </cell>
          <cell r="B145" t="str">
            <v>L 21 tg</v>
          </cell>
          <cell r="D145">
            <v>0</v>
          </cell>
        </row>
        <row r="146">
          <cell r="A146" t="str">
            <v>12,1</v>
          </cell>
          <cell r="B146" t="str">
            <v>L 21 tg</v>
          </cell>
          <cell r="C146" t="str">
            <v>Kwarter a1</v>
          </cell>
          <cell r="D146">
            <v>12</v>
          </cell>
          <cell r="E146">
            <v>21.6</v>
          </cell>
          <cell r="F146">
            <v>0.3</v>
          </cell>
          <cell r="G146">
            <v>0.25885059005180217</v>
          </cell>
        </row>
        <row r="147">
          <cell r="A147" t="str">
            <v>12,2</v>
          </cell>
          <cell r="B147" t="str">
            <v>L 21 tg</v>
          </cell>
          <cell r="C147" t="str">
            <v>Kwarter a2</v>
          </cell>
          <cell r="D147">
            <v>12</v>
          </cell>
          <cell r="E147">
            <v>21.6</v>
          </cell>
          <cell r="F147">
            <v>0.3</v>
          </cell>
          <cell r="G147">
            <v>0.25885059005180217</v>
          </cell>
        </row>
        <row r="148">
          <cell r="A148" t="str">
            <v>12,3</v>
          </cell>
          <cell r="B148" t="str">
            <v>L 21 tg</v>
          </cell>
          <cell r="C148" t="str">
            <v>Kwarter b1</v>
          </cell>
          <cell r="D148">
            <v>12</v>
          </cell>
          <cell r="E148">
            <v>21.6</v>
          </cell>
          <cell r="F148">
            <v>0.3</v>
          </cell>
          <cell r="G148">
            <v>0.25885059005180217</v>
          </cell>
        </row>
        <row r="149">
          <cell r="A149" t="str">
            <v>12,4</v>
          </cell>
          <cell r="B149" t="str">
            <v>L 21 tg</v>
          </cell>
          <cell r="C149" t="str">
            <v>Kwarter b2</v>
          </cell>
          <cell r="D149">
            <v>8</v>
          </cell>
          <cell r="E149">
            <v>15</v>
          </cell>
          <cell r="F149">
            <v>0.3</v>
          </cell>
          <cell r="G149">
            <v>0.21450182246807867</v>
          </cell>
        </row>
        <row r="150">
          <cell r="A150" t="str">
            <v>12,5</v>
          </cell>
          <cell r="B150" t="str">
            <v>L 21 tg</v>
          </cell>
          <cell r="C150" t="str">
            <v>Kwarter c1</v>
          </cell>
          <cell r="D150">
            <v>11</v>
          </cell>
          <cell r="E150">
            <v>19.8</v>
          </cell>
          <cell r="F150">
            <v>0.3</v>
          </cell>
          <cell r="G150">
            <v>0.24760852941408978</v>
          </cell>
        </row>
        <row r="151">
          <cell r="A151" t="str">
            <v>12,6</v>
          </cell>
          <cell r="B151" t="str">
            <v>L 21 tg</v>
          </cell>
          <cell r="C151" t="str">
            <v>Kwarter c2</v>
          </cell>
          <cell r="D151">
            <v>13</v>
          </cell>
          <cell r="E151">
            <v>23.400000000000002</v>
          </cell>
          <cell r="F151">
            <v>0.3</v>
          </cell>
          <cell r="G151">
            <v>0.2695767640723864</v>
          </cell>
        </row>
        <row r="152">
          <cell r="A152" t="str">
            <v>12,7</v>
          </cell>
          <cell r="B152" t="str">
            <v>L 21 tg</v>
          </cell>
          <cell r="C152" t="str">
            <v>Kwarter cab c2</v>
          </cell>
          <cell r="E152">
            <v>15</v>
          </cell>
          <cell r="F152">
            <v>0.3</v>
          </cell>
          <cell r="G152">
            <v>0.21450182246807867</v>
          </cell>
        </row>
        <row r="153">
          <cell r="A153" t="str">
            <v>12,8</v>
          </cell>
          <cell r="B153" t="str">
            <v>L 21 tg</v>
          </cell>
          <cell r="C153" t="str">
            <v>Kwarter c3</v>
          </cell>
          <cell r="D153">
            <v>10</v>
          </cell>
          <cell r="E153">
            <v>18</v>
          </cell>
          <cell r="F153">
            <v>0.3</v>
          </cell>
          <cell r="G153">
            <v>0.23577879671478721</v>
          </cell>
        </row>
        <row r="154">
          <cell r="A154" t="str">
            <v>12,9</v>
          </cell>
          <cell r="B154" t="str">
            <v>L 21 tg</v>
          </cell>
          <cell r="C154" t="str">
            <v>Muka c3</v>
          </cell>
          <cell r="D154">
            <v>10</v>
          </cell>
          <cell r="E154">
            <v>18</v>
          </cell>
          <cell r="F154">
            <v>0.3</v>
          </cell>
          <cell r="G154">
            <v>0.16351330600360972</v>
          </cell>
        </row>
        <row r="155">
          <cell r="A155" t="str">
            <v>12,10</v>
          </cell>
          <cell r="B155" t="str">
            <v>L 21 tg</v>
          </cell>
          <cell r="C155" t="str">
            <v>Tersier T5-K1</v>
          </cell>
          <cell r="D155">
            <v>23</v>
          </cell>
          <cell r="E155">
            <v>41.4</v>
          </cell>
          <cell r="F155">
            <v>0.35</v>
          </cell>
          <cell r="G155">
            <v>0.23885749436829873</v>
          </cell>
        </row>
        <row r="156">
          <cell r="A156" t="str">
            <v>12,11</v>
          </cell>
          <cell r="B156" t="str">
            <v>L 21 tg</v>
          </cell>
          <cell r="C156" t="str">
            <v>Tersier T4-T5</v>
          </cell>
          <cell r="D156">
            <v>34</v>
          </cell>
          <cell r="E156">
            <v>61.2</v>
          </cell>
          <cell r="F156">
            <v>0.4</v>
          </cell>
          <cell r="G156">
            <v>0.27800769159710437</v>
          </cell>
        </row>
        <row r="157">
          <cell r="A157" t="str">
            <v>12,12</v>
          </cell>
          <cell r="B157" t="str">
            <v>L 21 tg</v>
          </cell>
          <cell r="C157" t="str">
            <v>Tersier T3-T4</v>
          </cell>
          <cell r="D157">
            <v>42</v>
          </cell>
          <cell r="E157">
            <v>75.600000000000009</v>
          </cell>
          <cell r="F157">
            <v>0.35</v>
          </cell>
          <cell r="G157">
            <v>0.3255671066871651</v>
          </cell>
        </row>
        <row r="158">
          <cell r="A158" t="str">
            <v>12,13</v>
          </cell>
          <cell r="B158" t="str">
            <v>L 21 tg</v>
          </cell>
          <cell r="C158" t="str">
            <v>Tersier T2-T3</v>
          </cell>
          <cell r="D158">
            <v>54</v>
          </cell>
          <cell r="E158">
            <v>97.2</v>
          </cell>
          <cell r="F158">
            <v>0.4</v>
          </cell>
          <cell r="G158">
            <v>0.35289431599336746</v>
          </cell>
        </row>
        <row r="159">
          <cell r="A159" t="str">
            <v>12,14</v>
          </cell>
          <cell r="B159" t="str">
            <v>L 21 tg</v>
          </cell>
          <cell r="C159" t="str">
            <v>Tersier T1-T2</v>
          </cell>
          <cell r="D159">
            <v>66</v>
          </cell>
          <cell r="E159">
            <v>118.8</v>
          </cell>
          <cell r="F159">
            <v>0.45</v>
          </cell>
          <cell r="G159">
            <v>0.37472827450512064</v>
          </cell>
        </row>
        <row r="160">
          <cell r="A160" t="str">
            <v>12,15</v>
          </cell>
          <cell r="B160" t="str">
            <v>L 21 tg</v>
          </cell>
          <cell r="C160" t="str">
            <v>Tersier BL21-T1</v>
          </cell>
          <cell r="D160">
            <v>78</v>
          </cell>
          <cell r="E160">
            <v>140.4</v>
          </cell>
          <cell r="F160">
            <v>0.45</v>
          </cell>
          <cell r="G160">
            <v>0.40793162295720686</v>
          </cell>
        </row>
        <row r="162">
          <cell r="A162">
            <v>13</v>
          </cell>
          <cell r="B162" t="str">
            <v>LMB 1 kn</v>
          </cell>
          <cell r="D162">
            <v>0</v>
          </cell>
        </row>
        <row r="163">
          <cell r="A163" t="str">
            <v>13,1</v>
          </cell>
          <cell r="B163" t="str">
            <v>LMB 1 kn</v>
          </cell>
          <cell r="C163" t="str">
            <v>Kwarter a1</v>
          </cell>
          <cell r="D163">
            <v>4</v>
          </cell>
          <cell r="E163">
            <v>15</v>
          </cell>
          <cell r="F163">
            <v>0.3</v>
          </cell>
          <cell r="G163">
            <v>0.21450182246807867</v>
          </cell>
        </row>
        <row r="164">
          <cell r="A164" t="str">
            <v>13,2</v>
          </cell>
          <cell r="B164" t="str">
            <v>LMB 1 kn</v>
          </cell>
          <cell r="C164" t="str">
            <v>Kwarter a2</v>
          </cell>
          <cell r="D164">
            <v>11</v>
          </cell>
          <cell r="E164">
            <v>19.8</v>
          </cell>
          <cell r="F164">
            <v>0.3</v>
          </cell>
          <cell r="G164">
            <v>0.24760853239983971</v>
          </cell>
        </row>
        <row r="165">
          <cell r="A165" t="str">
            <v>13,3</v>
          </cell>
          <cell r="B165" t="str">
            <v>LMB 1 kn</v>
          </cell>
          <cell r="C165" t="str">
            <v>Kwarter a3</v>
          </cell>
          <cell r="D165">
            <v>8</v>
          </cell>
          <cell r="E165">
            <v>15</v>
          </cell>
          <cell r="F165">
            <v>0.3</v>
          </cell>
          <cell r="G165">
            <v>0.21450182246807867</v>
          </cell>
        </row>
        <row r="166">
          <cell r="A166" t="str">
            <v>13,4</v>
          </cell>
          <cell r="B166" t="str">
            <v>LMB 1 kn</v>
          </cell>
          <cell r="C166" t="str">
            <v>Kwarter a4</v>
          </cell>
          <cell r="D166">
            <v>9</v>
          </cell>
          <cell r="E166">
            <v>16.2</v>
          </cell>
          <cell r="F166">
            <v>0.3</v>
          </cell>
          <cell r="G166">
            <v>0.2232716283144332</v>
          </cell>
        </row>
        <row r="167">
          <cell r="A167" t="str">
            <v>13,5</v>
          </cell>
          <cell r="B167" t="str">
            <v>LMB 1 kn</v>
          </cell>
          <cell r="C167" t="str">
            <v>Kwarter b1</v>
          </cell>
          <cell r="D167">
            <v>6</v>
          </cell>
          <cell r="E167">
            <v>15</v>
          </cell>
          <cell r="F167">
            <v>0.3</v>
          </cell>
          <cell r="G167">
            <v>0.21450182246807867</v>
          </cell>
        </row>
        <row r="168">
          <cell r="A168" t="str">
            <v>13,6</v>
          </cell>
          <cell r="B168" t="str">
            <v>LMB 1 kn</v>
          </cell>
          <cell r="C168" t="str">
            <v>Kwarter b2</v>
          </cell>
          <cell r="D168">
            <v>8</v>
          </cell>
          <cell r="E168">
            <v>15</v>
          </cell>
          <cell r="F168">
            <v>0.3</v>
          </cell>
          <cell r="G168">
            <v>0.21450182246807867</v>
          </cell>
        </row>
        <row r="169">
          <cell r="A169" t="str">
            <v>13,7</v>
          </cell>
          <cell r="B169" t="str">
            <v>LMB 1 kn</v>
          </cell>
          <cell r="C169" t="str">
            <v>Kwarter b3</v>
          </cell>
          <cell r="D169">
            <v>8</v>
          </cell>
          <cell r="E169">
            <v>15</v>
          </cell>
          <cell r="F169">
            <v>0.3</v>
          </cell>
          <cell r="G169">
            <v>0.21450182246807867</v>
          </cell>
        </row>
        <row r="170">
          <cell r="A170" t="str">
            <v>13,8</v>
          </cell>
          <cell r="B170" t="str">
            <v>LMB 1 kn</v>
          </cell>
          <cell r="C170" t="str">
            <v>Kwarter c1</v>
          </cell>
          <cell r="D170">
            <v>7</v>
          </cell>
          <cell r="E170">
            <v>15</v>
          </cell>
          <cell r="F170">
            <v>0.3</v>
          </cell>
          <cell r="G170">
            <v>0.21450182246807867</v>
          </cell>
        </row>
        <row r="171">
          <cell r="A171" t="str">
            <v>13,9</v>
          </cell>
          <cell r="B171" t="str">
            <v>LMB 1 kn</v>
          </cell>
          <cell r="C171" t="str">
            <v>Kwarter c2</v>
          </cell>
          <cell r="D171">
            <v>11</v>
          </cell>
          <cell r="E171">
            <v>19.8</v>
          </cell>
          <cell r="F171">
            <v>0.3</v>
          </cell>
          <cell r="G171">
            <v>0.24760853239983971</v>
          </cell>
        </row>
        <row r="172">
          <cell r="A172" t="str">
            <v>13,10</v>
          </cell>
          <cell r="B172" t="str">
            <v>LMB 1 kn</v>
          </cell>
          <cell r="C172" t="str">
            <v>Kwarter c3</v>
          </cell>
          <cell r="D172">
            <v>6</v>
          </cell>
          <cell r="E172">
            <v>15</v>
          </cell>
          <cell r="F172">
            <v>0.3</v>
          </cell>
          <cell r="G172">
            <v>0.21450182246807867</v>
          </cell>
        </row>
        <row r="173">
          <cell r="A173" t="str">
            <v>13,11</v>
          </cell>
          <cell r="B173" t="str">
            <v>LMB 1 kn</v>
          </cell>
          <cell r="C173" t="str">
            <v>Muka a4</v>
          </cell>
          <cell r="D173">
            <v>9</v>
          </cell>
          <cell r="E173">
            <v>16.2</v>
          </cell>
          <cell r="F173">
            <v>0.3</v>
          </cell>
          <cell r="G173">
            <v>0.13455558551968516</v>
          </cell>
        </row>
        <row r="174">
          <cell r="A174" t="str">
            <v>13,12</v>
          </cell>
          <cell r="B174" t="str">
            <v>LMB 1 kn</v>
          </cell>
          <cell r="C174" t="str">
            <v>Tersier T4-K2</v>
          </cell>
          <cell r="D174">
            <v>17</v>
          </cell>
          <cell r="E174">
            <v>30.6</v>
          </cell>
          <cell r="F174">
            <v>0.3</v>
          </cell>
          <cell r="G174">
            <v>0.21672939427554808</v>
          </cell>
        </row>
        <row r="175">
          <cell r="A175" t="str">
            <v>13,13</v>
          </cell>
          <cell r="B175" t="str">
            <v>LMB 1 kn</v>
          </cell>
          <cell r="C175" t="str">
            <v>Tersier T3-T4</v>
          </cell>
          <cell r="D175">
            <v>40</v>
          </cell>
          <cell r="E175">
            <v>72</v>
          </cell>
          <cell r="F175">
            <v>0.35</v>
          </cell>
          <cell r="G175">
            <v>0.31770000000000354</v>
          </cell>
        </row>
        <row r="176">
          <cell r="A176" t="str">
            <v>13,14</v>
          </cell>
          <cell r="B176" t="str">
            <v>LMB 1 kn</v>
          </cell>
          <cell r="C176" t="str">
            <v>Tersier T2-T3</v>
          </cell>
          <cell r="D176">
            <v>46</v>
          </cell>
          <cell r="E176">
            <v>82.8</v>
          </cell>
          <cell r="F176">
            <v>0.4</v>
          </cell>
          <cell r="G176">
            <v>0.32518264181457346</v>
          </cell>
        </row>
        <row r="177">
          <cell r="A177" t="str">
            <v>13,15</v>
          </cell>
          <cell r="B177" t="str">
            <v>LMB 1 kn</v>
          </cell>
          <cell r="C177" t="str">
            <v>Tersier T1-T2</v>
          </cell>
          <cell r="D177">
            <v>57</v>
          </cell>
          <cell r="E177">
            <v>102.60000000000001</v>
          </cell>
          <cell r="F177">
            <v>0.4</v>
          </cell>
          <cell r="G177">
            <v>0.36268475904456859</v>
          </cell>
        </row>
        <row r="178">
          <cell r="A178" t="str">
            <v>13,16</v>
          </cell>
          <cell r="B178" t="str">
            <v>LMB 1 kn</v>
          </cell>
          <cell r="C178" t="str">
            <v>Tersier T1-K1</v>
          </cell>
          <cell r="D178">
            <v>17</v>
          </cell>
          <cell r="E178">
            <v>30.6</v>
          </cell>
          <cell r="F178">
            <v>0.3</v>
          </cell>
          <cell r="G178">
            <v>0.21672940893504364</v>
          </cell>
        </row>
        <row r="179">
          <cell r="A179" t="str">
            <v>13,17</v>
          </cell>
          <cell r="B179" t="str">
            <v>LMB 1 kn</v>
          </cell>
          <cell r="C179" t="str">
            <v>Tersier BLMB1-T1</v>
          </cell>
          <cell r="D179">
            <v>78</v>
          </cell>
          <cell r="E179">
            <v>140.4</v>
          </cell>
          <cell r="F179">
            <v>0.5</v>
          </cell>
          <cell r="G179">
            <v>0.39271661036722333</v>
          </cell>
        </row>
        <row r="181">
          <cell r="A181">
            <v>14</v>
          </cell>
          <cell r="B181" t="str">
            <v>LMB 2 kn</v>
          </cell>
          <cell r="D181">
            <v>0</v>
          </cell>
        </row>
        <row r="182">
          <cell r="A182" t="str">
            <v>14,1</v>
          </cell>
          <cell r="B182" t="str">
            <v>LMB 2 kn</v>
          </cell>
          <cell r="C182" t="str">
            <v>Kwarter a1</v>
          </cell>
          <cell r="D182">
            <v>15</v>
          </cell>
          <cell r="E182">
            <v>27</v>
          </cell>
          <cell r="F182">
            <v>0.3</v>
          </cell>
          <cell r="G182">
            <v>0.28970512341744525</v>
          </cell>
        </row>
        <row r="183">
          <cell r="A183" t="str">
            <v>14,2</v>
          </cell>
          <cell r="B183" t="str">
            <v>LMB 2 kn</v>
          </cell>
          <cell r="C183" t="str">
            <v>Kwarter a2</v>
          </cell>
          <cell r="D183">
            <v>13</v>
          </cell>
          <cell r="E183">
            <v>23.400000000000002</v>
          </cell>
          <cell r="F183">
            <v>0.3</v>
          </cell>
          <cell r="G183">
            <v>0.2695767640723864</v>
          </cell>
        </row>
        <row r="184">
          <cell r="A184" t="str">
            <v>14,3</v>
          </cell>
          <cell r="B184" t="str">
            <v>LMB 2 kn</v>
          </cell>
          <cell r="C184" t="str">
            <v>Kwarter a3</v>
          </cell>
          <cell r="D184">
            <v>8</v>
          </cell>
          <cell r="E184">
            <v>15</v>
          </cell>
          <cell r="F184">
            <v>0.3</v>
          </cell>
          <cell r="G184">
            <v>0.21450182246807867</v>
          </cell>
        </row>
        <row r="185">
          <cell r="A185" t="str">
            <v>14,4</v>
          </cell>
          <cell r="B185" t="str">
            <v>LMB 2 kn</v>
          </cell>
          <cell r="C185" t="str">
            <v>Kwarter b1</v>
          </cell>
          <cell r="D185">
            <v>13</v>
          </cell>
          <cell r="E185">
            <v>23.400000000000002</v>
          </cell>
          <cell r="F185">
            <v>0.3</v>
          </cell>
          <cell r="G185">
            <v>0.2695767640723864</v>
          </cell>
        </row>
        <row r="186">
          <cell r="A186" t="str">
            <v>14,5</v>
          </cell>
          <cell r="B186" t="str">
            <v>LMB 2 kn</v>
          </cell>
          <cell r="C186" t="str">
            <v>Kwarter b2</v>
          </cell>
          <cell r="D186">
            <v>10</v>
          </cell>
          <cell r="E186">
            <v>18</v>
          </cell>
          <cell r="F186">
            <v>0.3</v>
          </cell>
          <cell r="G186">
            <v>0.23577879671478721</v>
          </cell>
        </row>
        <row r="187">
          <cell r="A187" t="str">
            <v>14,6</v>
          </cell>
          <cell r="B187" t="str">
            <v>LMB 2 kn</v>
          </cell>
          <cell r="C187" t="str">
            <v>Kwarter b3</v>
          </cell>
          <cell r="D187">
            <v>15</v>
          </cell>
          <cell r="E187">
            <v>27</v>
          </cell>
          <cell r="F187">
            <v>0.3</v>
          </cell>
          <cell r="G187">
            <v>0.2897051306494956</v>
          </cell>
        </row>
        <row r="188">
          <cell r="A188" t="str">
            <v>14,7</v>
          </cell>
          <cell r="B188" t="str">
            <v>LMB 2 kn</v>
          </cell>
          <cell r="C188" t="str">
            <v>Kwarter b4</v>
          </cell>
          <cell r="D188">
            <v>14</v>
          </cell>
          <cell r="E188">
            <v>25.2</v>
          </cell>
          <cell r="F188">
            <v>0.3</v>
          </cell>
          <cell r="G188">
            <v>0.27984548813237042</v>
          </cell>
        </row>
        <row r="189">
          <cell r="A189" t="str">
            <v>14,8</v>
          </cell>
          <cell r="B189" t="str">
            <v>LMB 2 kn</v>
          </cell>
          <cell r="C189" t="str">
            <v>Muka b4</v>
          </cell>
          <cell r="D189">
            <v>14</v>
          </cell>
          <cell r="E189">
            <v>25.2</v>
          </cell>
          <cell r="F189">
            <v>0.3</v>
          </cell>
          <cell r="G189">
            <v>0.19573011867825413</v>
          </cell>
        </row>
        <row r="190">
          <cell r="A190" t="str">
            <v>14,9</v>
          </cell>
          <cell r="B190" t="str">
            <v>LMB 2 kn</v>
          </cell>
          <cell r="C190" t="str">
            <v>Tersier T5-K1</v>
          </cell>
          <cell r="D190">
            <v>29</v>
          </cell>
          <cell r="E190">
            <v>52.2</v>
          </cell>
          <cell r="F190">
            <v>0.35</v>
          </cell>
          <cell r="G190">
            <v>0.26952358133264165</v>
          </cell>
        </row>
        <row r="191">
          <cell r="A191" t="str">
            <v>14,10</v>
          </cell>
          <cell r="B191" t="str">
            <v>LMB 2 kn</v>
          </cell>
          <cell r="C191" t="str">
            <v>Tersier T4-T5</v>
          </cell>
          <cell r="D191">
            <v>39</v>
          </cell>
          <cell r="E191">
            <v>70.2</v>
          </cell>
          <cell r="F191">
            <v>0.35</v>
          </cell>
          <cell r="G191">
            <v>0.3136159258310236</v>
          </cell>
        </row>
        <row r="192">
          <cell r="A192" t="str">
            <v>14,11</v>
          </cell>
          <cell r="B192" t="str">
            <v>LMB 2 kn</v>
          </cell>
          <cell r="C192" t="str">
            <v>Tersier T3-T4</v>
          </cell>
          <cell r="D192">
            <v>52</v>
          </cell>
          <cell r="E192">
            <v>93.600000000000009</v>
          </cell>
          <cell r="F192">
            <v>0.4</v>
          </cell>
          <cell r="G192">
            <v>0.34619558197168038</v>
          </cell>
        </row>
        <row r="193">
          <cell r="A193" t="str">
            <v>14,12</v>
          </cell>
          <cell r="B193" t="str">
            <v>LMB 2 kn</v>
          </cell>
          <cell r="C193" t="str">
            <v>Tersier T2-T3</v>
          </cell>
          <cell r="D193">
            <v>60</v>
          </cell>
          <cell r="E193">
            <v>108</v>
          </cell>
          <cell r="F193">
            <v>0.45</v>
          </cell>
          <cell r="G193">
            <v>0.35684692680409064</v>
          </cell>
        </row>
        <row r="194">
          <cell r="A194" t="str">
            <v>14,13</v>
          </cell>
          <cell r="B194" t="str">
            <v>LMB 2 kn</v>
          </cell>
          <cell r="C194" t="str">
            <v>Tersier T1-T2</v>
          </cell>
          <cell r="D194">
            <v>73</v>
          </cell>
          <cell r="E194">
            <v>131.4</v>
          </cell>
          <cell r="F194">
            <v>0.45</v>
          </cell>
          <cell r="G194">
            <v>0.39447376263701839</v>
          </cell>
        </row>
        <row r="195">
          <cell r="A195" t="str">
            <v>14,14</v>
          </cell>
          <cell r="B195" t="str">
            <v>LMB 2 kn</v>
          </cell>
          <cell r="C195" t="str">
            <v>Tersier BLMB2-T1</v>
          </cell>
          <cell r="D195">
            <v>88</v>
          </cell>
          <cell r="E195">
            <v>158.4</v>
          </cell>
          <cell r="F195">
            <v>0.45</v>
          </cell>
          <cell r="G195">
            <v>0.43344917537290184</v>
          </cell>
        </row>
        <row r="197">
          <cell r="A197">
            <v>15</v>
          </cell>
          <cell r="B197" t="str">
            <v>LMB 3 kn</v>
          </cell>
          <cell r="D197">
            <v>0</v>
          </cell>
        </row>
        <row r="198">
          <cell r="A198" t="str">
            <v>15,1</v>
          </cell>
          <cell r="B198" t="str">
            <v>LMB 3 kn</v>
          </cell>
          <cell r="C198" t="str">
            <v>Kwarter a1</v>
          </cell>
          <cell r="D198">
            <v>15</v>
          </cell>
          <cell r="E198">
            <v>27</v>
          </cell>
          <cell r="F198">
            <v>0.3</v>
          </cell>
          <cell r="G198">
            <v>0.2897051306494956</v>
          </cell>
        </row>
        <row r="199">
          <cell r="A199" t="str">
            <v>15,2</v>
          </cell>
          <cell r="B199" t="str">
            <v>LMB 3 kn</v>
          </cell>
          <cell r="C199" t="str">
            <v>Kwarter a2</v>
          </cell>
          <cell r="D199">
            <v>6</v>
          </cell>
          <cell r="E199">
            <v>15</v>
          </cell>
          <cell r="F199">
            <v>0.3</v>
          </cell>
          <cell r="G199">
            <v>0.21450182246807867</v>
          </cell>
        </row>
        <row r="200">
          <cell r="A200" t="str">
            <v>15,3</v>
          </cell>
          <cell r="B200" t="str">
            <v>LMB 3 kn</v>
          </cell>
          <cell r="C200" t="str">
            <v>Kwarter cab a2</v>
          </cell>
          <cell r="E200">
            <v>15</v>
          </cell>
          <cell r="F200">
            <v>0.3</v>
          </cell>
          <cell r="G200">
            <v>0.21450182246807867</v>
          </cell>
        </row>
        <row r="201">
          <cell r="A201" t="str">
            <v>15,4</v>
          </cell>
          <cell r="B201" t="str">
            <v>LMB 3 kn</v>
          </cell>
          <cell r="C201" t="str">
            <v>Kwarter a3</v>
          </cell>
          <cell r="D201">
            <v>7</v>
          </cell>
          <cell r="E201">
            <v>15</v>
          </cell>
          <cell r="F201">
            <v>0.3</v>
          </cell>
          <cell r="G201">
            <v>0.21450182246807867</v>
          </cell>
        </row>
        <row r="202">
          <cell r="A202" t="str">
            <v>15,5</v>
          </cell>
          <cell r="B202" t="str">
            <v>LMB 3 kn</v>
          </cell>
          <cell r="C202" t="str">
            <v>Kwarter b1</v>
          </cell>
          <cell r="D202">
            <v>10</v>
          </cell>
          <cell r="E202">
            <v>18</v>
          </cell>
          <cell r="F202">
            <v>0.3</v>
          </cell>
          <cell r="G202">
            <v>0.23577879671478721</v>
          </cell>
        </row>
        <row r="203">
          <cell r="A203" t="str">
            <v>15,6</v>
          </cell>
          <cell r="B203" t="str">
            <v>LMB 3 kn</v>
          </cell>
          <cell r="C203" t="str">
            <v>Kwarter b2</v>
          </cell>
          <cell r="D203">
            <v>5</v>
          </cell>
          <cell r="E203">
            <v>15</v>
          </cell>
          <cell r="F203">
            <v>0.3</v>
          </cell>
          <cell r="G203">
            <v>0.21450182246807867</v>
          </cell>
        </row>
        <row r="204">
          <cell r="A204" t="str">
            <v>15,7</v>
          </cell>
          <cell r="B204" t="str">
            <v>LMB 3 kn</v>
          </cell>
          <cell r="C204" t="str">
            <v>Kwarter b3</v>
          </cell>
          <cell r="D204">
            <v>5</v>
          </cell>
          <cell r="E204">
            <v>15</v>
          </cell>
          <cell r="F204">
            <v>0.3</v>
          </cell>
          <cell r="G204">
            <v>0.21450182246807867</v>
          </cell>
        </row>
        <row r="205">
          <cell r="A205" t="str">
            <v>15,8</v>
          </cell>
          <cell r="B205" t="str">
            <v>LMB 3 kn</v>
          </cell>
          <cell r="C205" t="str">
            <v>Kwarter c1</v>
          </cell>
          <cell r="D205">
            <v>9</v>
          </cell>
          <cell r="E205">
            <v>16.2</v>
          </cell>
          <cell r="F205">
            <v>0.3</v>
          </cell>
          <cell r="G205">
            <v>0.2232716283144332</v>
          </cell>
        </row>
        <row r="206">
          <cell r="A206" t="str">
            <v>15,9</v>
          </cell>
          <cell r="B206" t="str">
            <v>LMB 3 kn</v>
          </cell>
          <cell r="C206" t="str">
            <v>Kwarter c2</v>
          </cell>
          <cell r="D206">
            <v>11</v>
          </cell>
          <cell r="E206">
            <v>19.8</v>
          </cell>
          <cell r="F206">
            <v>0.3</v>
          </cell>
          <cell r="G206">
            <v>0.24760852941408978</v>
          </cell>
        </row>
        <row r="207">
          <cell r="A207" t="str">
            <v>15,10</v>
          </cell>
          <cell r="B207" t="str">
            <v>LMB 3 kn</v>
          </cell>
          <cell r="C207" t="str">
            <v>Muka a3</v>
          </cell>
          <cell r="D207">
            <v>7</v>
          </cell>
          <cell r="E207">
            <v>15</v>
          </cell>
          <cell r="F207">
            <v>0.4</v>
          </cell>
          <cell r="G207">
            <v>8.0838421822510734E-2</v>
          </cell>
        </row>
        <row r="208">
          <cell r="A208" t="str">
            <v>15,11</v>
          </cell>
          <cell r="B208" t="str">
            <v>LMB 3 kn</v>
          </cell>
          <cell r="C208" t="str">
            <v>Muka c2</v>
          </cell>
          <cell r="D208">
            <v>11</v>
          </cell>
          <cell r="E208">
            <v>19.8</v>
          </cell>
          <cell r="F208">
            <v>0.3</v>
          </cell>
          <cell r="G208">
            <v>0.17212946212893912</v>
          </cell>
        </row>
        <row r="209">
          <cell r="A209" t="str">
            <v>15,12</v>
          </cell>
          <cell r="B209" t="str">
            <v>LMB 3 kn</v>
          </cell>
          <cell r="C209" t="str">
            <v>Tersier T4-K1</v>
          </cell>
          <cell r="D209">
            <v>20</v>
          </cell>
          <cell r="E209">
            <v>36</v>
          </cell>
          <cell r="F209">
            <v>0.35</v>
          </cell>
          <cell r="G209">
            <v>0.20827643800068471</v>
          </cell>
        </row>
        <row r="210">
          <cell r="A210" t="str">
            <v>15,13</v>
          </cell>
          <cell r="B210" t="str">
            <v>LMB 3 kn</v>
          </cell>
          <cell r="C210" t="str">
            <v>Tersier T3-T4</v>
          </cell>
          <cell r="D210">
            <v>25</v>
          </cell>
          <cell r="E210">
            <v>45</v>
          </cell>
          <cell r="F210">
            <v>0.35</v>
          </cell>
          <cell r="G210">
            <v>0.20068504738515036</v>
          </cell>
        </row>
        <row r="211">
          <cell r="A211" t="str">
            <v>15,14</v>
          </cell>
          <cell r="B211" t="str">
            <v>LMB 3 kn</v>
          </cell>
          <cell r="C211" t="str">
            <v>Tersier T2-T3</v>
          </cell>
          <cell r="D211">
            <v>30</v>
          </cell>
          <cell r="E211">
            <v>54</v>
          </cell>
          <cell r="F211">
            <v>0.5</v>
          </cell>
          <cell r="G211">
            <v>0.22135655718808378</v>
          </cell>
        </row>
        <row r="212">
          <cell r="A212" t="str">
            <v>15,15</v>
          </cell>
          <cell r="B212" t="str">
            <v>LMB 3 kn</v>
          </cell>
          <cell r="C212" t="str">
            <v>Tersier T1-T2</v>
          </cell>
          <cell r="D212">
            <v>47</v>
          </cell>
          <cell r="E212">
            <v>84.600000000000009</v>
          </cell>
          <cell r="F212">
            <v>0.5</v>
          </cell>
          <cell r="G212">
            <v>0.19505019664098336</v>
          </cell>
        </row>
        <row r="213">
          <cell r="A213" t="str">
            <v>15,16</v>
          </cell>
          <cell r="B213" t="str">
            <v>LMB 3 kn</v>
          </cell>
          <cell r="C213" t="str">
            <v>Tersier BLMB3-T1</v>
          </cell>
          <cell r="D213">
            <v>68</v>
          </cell>
          <cell r="E213">
            <v>122.4</v>
          </cell>
          <cell r="F213">
            <v>0.5</v>
          </cell>
          <cell r="G213">
            <v>0.36577749346433036</v>
          </cell>
        </row>
        <row r="215">
          <cell r="A215">
            <v>16</v>
          </cell>
          <cell r="B215" t="str">
            <v>LMB 3 kr</v>
          </cell>
          <cell r="D215">
            <v>0</v>
          </cell>
        </row>
        <row r="216">
          <cell r="A216" t="str">
            <v>16,1</v>
          </cell>
          <cell r="B216" t="str">
            <v>LMB 3 kr</v>
          </cell>
          <cell r="C216" t="str">
            <v>Kwarter a1</v>
          </cell>
          <cell r="D216">
            <v>10</v>
          </cell>
          <cell r="E216">
            <v>18</v>
          </cell>
          <cell r="F216">
            <v>0.3</v>
          </cell>
          <cell r="G216">
            <v>0.23577879671478721</v>
          </cell>
        </row>
        <row r="217">
          <cell r="A217" t="str">
            <v>16,2</v>
          </cell>
          <cell r="B217" t="str">
            <v>LMB 3 kr</v>
          </cell>
          <cell r="C217" t="str">
            <v>Kwarter a2</v>
          </cell>
          <cell r="D217">
            <v>6</v>
          </cell>
          <cell r="E217">
            <v>15</v>
          </cell>
          <cell r="F217">
            <v>0.3</v>
          </cell>
          <cell r="G217">
            <v>0.21450182246807867</v>
          </cell>
        </row>
        <row r="218">
          <cell r="A218" t="str">
            <v>16,3</v>
          </cell>
          <cell r="B218" t="str">
            <v>LMB 3 kr</v>
          </cell>
          <cell r="C218" t="str">
            <v>Kwarter a3</v>
          </cell>
          <cell r="D218">
            <v>6</v>
          </cell>
          <cell r="E218">
            <v>15</v>
          </cell>
          <cell r="F218">
            <v>0.3</v>
          </cell>
          <cell r="G218">
            <v>0.21450182246807867</v>
          </cell>
        </row>
        <row r="219">
          <cell r="A219" t="str">
            <v>16,4</v>
          </cell>
          <cell r="B219" t="str">
            <v>LMB 3 kr</v>
          </cell>
          <cell r="C219" t="str">
            <v>Kwarter b1</v>
          </cell>
          <cell r="D219">
            <v>12</v>
          </cell>
          <cell r="E219">
            <v>21.6</v>
          </cell>
          <cell r="F219">
            <v>0.3</v>
          </cell>
          <cell r="G219">
            <v>0.25885059005180217</v>
          </cell>
        </row>
        <row r="220">
          <cell r="A220" t="str">
            <v>16,5</v>
          </cell>
          <cell r="B220" t="str">
            <v>LMB 3 kr</v>
          </cell>
          <cell r="C220" t="str">
            <v>Kwarter cab b1</v>
          </cell>
          <cell r="E220">
            <v>15</v>
          </cell>
          <cell r="F220">
            <v>0.3</v>
          </cell>
          <cell r="G220">
            <v>0.21450182246807867</v>
          </cell>
        </row>
        <row r="221">
          <cell r="A221" t="str">
            <v>16,6</v>
          </cell>
          <cell r="B221" t="str">
            <v>LMB 3 kr</v>
          </cell>
          <cell r="C221" t="str">
            <v>Kwarter b2</v>
          </cell>
          <cell r="D221">
            <v>14</v>
          </cell>
          <cell r="E221">
            <v>25.2</v>
          </cell>
          <cell r="F221">
            <v>0.3</v>
          </cell>
          <cell r="G221">
            <v>0.27984548813237042</v>
          </cell>
        </row>
        <row r="222">
          <cell r="A222" t="str">
            <v>16,7</v>
          </cell>
          <cell r="B222" t="str">
            <v>LMB 3 kr</v>
          </cell>
          <cell r="C222" t="str">
            <v>Kwarter cab b2</v>
          </cell>
          <cell r="E222">
            <v>15</v>
          </cell>
          <cell r="F222">
            <v>0.3</v>
          </cell>
          <cell r="G222">
            <v>0.21450182246807867</v>
          </cell>
        </row>
        <row r="223">
          <cell r="A223" t="str">
            <v>16,8</v>
          </cell>
          <cell r="B223" t="str">
            <v>LMB 3 kr</v>
          </cell>
          <cell r="C223" t="str">
            <v>Tersier T3-K1</v>
          </cell>
          <cell r="D223">
            <v>26</v>
          </cell>
          <cell r="E223">
            <v>46.800000000000004</v>
          </cell>
          <cell r="F223">
            <v>0.35</v>
          </cell>
          <cell r="G223">
            <v>0.25467774083080758</v>
          </cell>
        </row>
        <row r="224">
          <cell r="A224" t="str">
            <v>16,9</v>
          </cell>
          <cell r="B224" t="str">
            <v>LMB 3 kr</v>
          </cell>
          <cell r="C224" t="str">
            <v>Tersier T2-T3</v>
          </cell>
          <cell r="D224">
            <v>32</v>
          </cell>
          <cell r="E224">
            <v>57.6</v>
          </cell>
          <cell r="F224">
            <v>0.35</v>
          </cell>
          <cell r="G224">
            <v>0.28354060966371847</v>
          </cell>
        </row>
        <row r="225">
          <cell r="A225" t="str">
            <v>16,10</v>
          </cell>
          <cell r="B225" t="str">
            <v>LMB 3 kr</v>
          </cell>
          <cell r="C225" t="str">
            <v>Tersier T1-T2</v>
          </cell>
          <cell r="D225">
            <v>38</v>
          </cell>
          <cell r="E225">
            <v>68.400000000000006</v>
          </cell>
          <cell r="F225">
            <v>0.35</v>
          </cell>
          <cell r="G225">
            <v>0.30951703691391663</v>
          </cell>
        </row>
        <row r="226">
          <cell r="A226" t="str">
            <v>16,11</v>
          </cell>
          <cell r="B226" t="str">
            <v>LMB 3 kr</v>
          </cell>
          <cell r="C226" t="str">
            <v>Tersier BLMB3-T1</v>
          </cell>
          <cell r="D226">
            <v>48</v>
          </cell>
          <cell r="E226">
            <v>86.4</v>
          </cell>
          <cell r="F226">
            <v>0.45</v>
          </cell>
          <cell r="G226">
            <v>0.31783443726088045</v>
          </cell>
        </row>
        <row r="228">
          <cell r="A228">
            <v>17</v>
          </cell>
          <cell r="B228" t="str">
            <v>LMB 4 kn</v>
          </cell>
          <cell r="D228">
            <v>0</v>
          </cell>
        </row>
        <row r="229">
          <cell r="A229" t="str">
            <v>17,1</v>
          </cell>
          <cell r="B229" t="str">
            <v>LMB 4 kn</v>
          </cell>
          <cell r="C229" t="str">
            <v>Kwarter a1</v>
          </cell>
          <cell r="D229">
            <v>12</v>
          </cell>
          <cell r="E229">
            <v>21.6</v>
          </cell>
          <cell r="F229">
            <v>0.3</v>
          </cell>
          <cell r="G229">
            <v>0.25885059005180217</v>
          </cell>
        </row>
        <row r="230">
          <cell r="A230" t="str">
            <v>17,2</v>
          </cell>
          <cell r="B230" t="str">
            <v>LMB 4 kn</v>
          </cell>
          <cell r="C230" t="str">
            <v>Kwarter cab a1</v>
          </cell>
          <cell r="E230">
            <v>15</v>
          </cell>
          <cell r="F230">
            <v>0.3</v>
          </cell>
          <cell r="G230">
            <v>0.21450182246807867</v>
          </cell>
        </row>
        <row r="231">
          <cell r="A231" t="str">
            <v>17,3</v>
          </cell>
          <cell r="B231" t="str">
            <v>LMB 4 kn</v>
          </cell>
          <cell r="C231" t="str">
            <v>Kwarter a2</v>
          </cell>
          <cell r="D231">
            <v>3</v>
          </cell>
          <cell r="E231">
            <v>15</v>
          </cell>
          <cell r="F231">
            <v>0.3</v>
          </cell>
          <cell r="G231">
            <v>0.21450182246807867</v>
          </cell>
        </row>
        <row r="232">
          <cell r="A232" t="str">
            <v>17,4</v>
          </cell>
          <cell r="B232" t="str">
            <v>LMB 4 kn</v>
          </cell>
          <cell r="C232" t="str">
            <v>Kwarter a3</v>
          </cell>
          <cell r="D232">
            <v>6</v>
          </cell>
          <cell r="E232">
            <v>15</v>
          </cell>
          <cell r="F232">
            <v>0.3</v>
          </cell>
          <cell r="G232">
            <v>0.21450182246807867</v>
          </cell>
        </row>
        <row r="233">
          <cell r="A233" t="str">
            <v>17,5</v>
          </cell>
          <cell r="B233" t="str">
            <v>LMB 4 kn</v>
          </cell>
          <cell r="C233" t="str">
            <v>Kwarter b1</v>
          </cell>
          <cell r="D233">
            <v>6</v>
          </cell>
          <cell r="E233">
            <v>15</v>
          </cell>
          <cell r="F233">
            <v>0.3</v>
          </cell>
          <cell r="G233">
            <v>0.21450182246807867</v>
          </cell>
        </row>
        <row r="234">
          <cell r="A234" t="str">
            <v>17,6</v>
          </cell>
          <cell r="B234" t="str">
            <v>LMB 4 kn</v>
          </cell>
          <cell r="C234" t="str">
            <v>Kwarter b2</v>
          </cell>
          <cell r="D234">
            <v>8</v>
          </cell>
          <cell r="E234">
            <v>15</v>
          </cell>
          <cell r="F234">
            <v>0.3</v>
          </cell>
          <cell r="G234">
            <v>0.21450182246807867</v>
          </cell>
        </row>
        <row r="235">
          <cell r="A235" t="str">
            <v>17,7</v>
          </cell>
          <cell r="B235" t="str">
            <v>LMB 4 kn</v>
          </cell>
          <cell r="C235" t="str">
            <v>Kwarter b3</v>
          </cell>
          <cell r="D235">
            <v>13</v>
          </cell>
          <cell r="E235">
            <v>23.400000000000002</v>
          </cell>
          <cell r="F235">
            <v>0.3</v>
          </cell>
          <cell r="G235">
            <v>0.2695767640723864</v>
          </cell>
        </row>
        <row r="236">
          <cell r="A236" t="str">
            <v>17,8</v>
          </cell>
          <cell r="B236" t="str">
            <v>LMB 4 kn</v>
          </cell>
          <cell r="C236" t="str">
            <v>Muka b3</v>
          </cell>
          <cell r="D236">
            <v>13</v>
          </cell>
          <cell r="E236">
            <v>23.400000000000002</v>
          </cell>
          <cell r="F236">
            <v>0.3</v>
          </cell>
          <cell r="G236">
            <v>0.18999999999999989</v>
          </cell>
        </row>
        <row r="237">
          <cell r="A237" t="str">
            <v>17,9</v>
          </cell>
          <cell r="B237" t="str">
            <v>LMB 4 kn</v>
          </cell>
          <cell r="C237" t="str">
            <v>Tersier T3-K1</v>
          </cell>
          <cell r="D237">
            <v>21</v>
          </cell>
          <cell r="E237">
            <v>37.800000000000004</v>
          </cell>
          <cell r="F237">
            <v>0.35</v>
          </cell>
          <cell r="G237">
            <v>0.22999999999999987</v>
          </cell>
        </row>
        <row r="238">
          <cell r="A238" t="str">
            <v>17,10</v>
          </cell>
          <cell r="B238" t="str">
            <v>LMB 4 kn</v>
          </cell>
          <cell r="C238" t="str">
            <v>Tersier T2-T3</v>
          </cell>
          <cell r="D238">
            <v>33</v>
          </cell>
          <cell r="E238">
            <v>59.4</v>
          </cell>
          <cell r="F238">
            <v>0.35</v>
          </cell>
          <cell r="G238">
            <v>0.28999999999999992</v>
          </cell>
        </row>
        <row r="239">
          <cell r="A239" t="str">
            <v>17,11</v>
          </cell>
          <cell r="B239" t="str">
            <v>LMB 4 kn</v>
          </cell>
          <cell r="C239" t="str">
            <v>Tersier T1-T2</v>
          </cell>
          <cell r="D239">
            <v>36</v>
          </cell>
          <cell r="E239">
            <v>64.8</v>
          </cell>
          <cell r="F239">
            <v>0.4</v>
          </cell>
          <cell r="G239">
            <v>0.28644410720904062</v>
          </cell>
        </row>
        <row r="240">
          <cell r="A240" t="str">
            <v>17,12</v>
          </cell>
          <cell r="B240" t="str">
            <v>LMB 4 kn</v>
          </cell>
          <cell r="C240" t="str">
            <v>Tersier BLMB4-T1</v>
          </cell>
          <cell r="D240">
            <v>48</v>
          </cell>
          <cell r="E240">
            <v>86.4</v>
          </cell>
          <cell r="F240">
            <v>0.35</v>
          </cell>
          <cell r="G240">
            <v>0.35</v>
          </cell>
        </row>
        <row r="242">
          <cell r="A242">
            <v>18</v>
          </cell>
          <cell r="B242" t="str">
            <v>LMB 5 kn</v>
          </cell>
          <cell r="D242">
            <v>0</v>
          </cell>
        </row>
        <row r="243">
          <cell r="A243" t="str">
            <v>18,1</v>
          </cell>
          <cell r="B243" t="str">
            <v>LMB 5 kn</v>
          </cell>
          <cell r="C243" t="str">
            <v>Kwarter a1</v>
          </cell>
          <cell r="D243">
            <v>10</v>
          </cell>
          <cell r="E243">
            <v>18</v>
          </cell>
          <cell r="F243">
            <v>0.3</v>
          </cell>
          <cell r="G243">
            <v>0.23577879671478721</v>
          </cell>
        </row>
        <row r="244">
          <cell r="A244" t="str">
            <v>18,2</v>
          </cell>
          <cell r="B244" t="str">
            <v>LMB 5 kn</v>
          </cell>
          <cell r="C244" t="str">
            <v>Kwarter a2</v>
          </cell>
          <cell r="D244">
            <v>8</v>
          </cell>
          <cell r="E244">
            <v>15</v>
          </cell>
          <cell r="F244">
            <v>0.3</v>
          </cell>
          <cell r="G244">
            <v>0.21450182246807867</v>
          </cell>
        </row>
        <row r="245">
          <cell r="A245" t="str">
            <v>18,3</v>
          </cell>
          <cell r="B245" t="str">
            <v>LMB 5 kn</v>
          </cell>
          <cell r="C245" t="str">
            <v>Kwarter a3</v>
          </cell>
          <cell r="D245">
            <v>13</v>
          </cell>
          <cell r="E245">
            <v>23.400000000000002</v>
          </cell>
          <cell r="F245">
            <v>0.3</v>
          </cell>
          <cell r="G245">
            <v>0.2695767640723864</v>
          </cell>
        </row>
        <row r="246">
          <cell r="A246" t="str">
            <v>18,4</v>
          </cell>
          <cell r="B246" t="str">
            <v>LMB 5 kn</v>
          </cell>
          <cell r="C246" t="str">
            <v>Kwarter a4</v>
          </cell>
          <cell r="D246">
            <v>7</v>
          </cell>
          <cell r="E246">
            <v>15</v>
          </cell>
          <cell r="F246">
            <v>0.3</v>
          </cell>
          <cell r="G246">
            <v>0.21450182246807867</v>
          </cell>
        </row>
        <row r="247">
          <cell r="A247" t="str">
            <v>18,5</v>
          </cell>
          <cell r="B247" t="str">
            <v>LMB 5 kn</v>
          </cell>
          <cell r="C247" t="str">
            <v>Kwarter b1</v>
          </cell>
          <cell r="D247">
            <v>4</v>
          </cell>
          <cell r="E247">
            <v>15</v>
          </cell>
          <cell r="F247">
            <v>0.3</v>
          </cell>
          <cell r="G247">
            <v>0.21450182246807867</v>
          </cell>
        </row>
        <row r="248">
          <cell r="A248" t="str">
            <v>18,6</v>
          </cell>
          <cell r="B248" t="str">
            <v>LMB 5 kn</v>
          </cell>
          <cell r="C248" t="str">
            <v>Kwarter b2</v>
          </cell>
          <cell r="D248">
            <v>7</v>
          </cell>
          <cell r="E248">
            <v>15</v>
          </cell>
          <cell r="F248">
            <v>0.3</v>
          </cell>
          <cell r="G248">
            <v>0.21450182246807867</v>
          </cell>
        </row>
        <row r="249">
          <cell r="A249" t="str">
            <v>18,7</v>
          </cell>
          <cell r="B249" t="str">
            <v>LMB 5 kn</v>
          </cell>
          <cell r="C249" t="str">
            <v>Kwarter b3</v>
          </cell>
          <cell r="D249">
            <v>10</v>
          </cell>
          <cell r="E249">
            <v>18</v>
          </cell>
          <cell r="F249">
            <v>0.3</v>
          </cell>
          <cell r="G249">
            <v>0.23577879671478721</v>
          </cell>
        </row>
        <row r="250">
          <cell r="A250" t="str">
            <v>18,8</v>
          </cell>
          <cell r="B250" t="str">
            <v>LMB 5 kn</v>
          </cell>
          <cell r="C250" t="str">
            <v>Kwarter c1</v>
          </cell>
          <cell r="D250">
            <v>4</v>
          </cell>
          <cell r="E250">
            <v>15</v>
          </cell>
          <cell r="F250">
            <v>0.3</v>
          </cell>
          <cell r="G250">
            <v>0.21450182246807867</v>
          </cell>
        </row>
        <row r="251">
          <cell r="A251" t="str">
            <v>18,9</v>
          </cell>
          <cell r="B251" t="str">
            <v>LMB 5 kn</v>
          </cell>
          <cell r="C251" t="str">
            <v>Kwarter c2</v>
          </cell>
          <cell r="D251">
            <v>4</v>
          </cell>
          <cell r="E251">
            <v>15</v>
          </cell>
          <cell r="F251">
            <v>0.3</v>
          </cell>
          <cell r="G251">
            <v>0.21450182246807867</v>
          </cell>
        </row>
        <row r="252">
          <cell r="A252" t="str">
            <v>18,10</v>
          </cell>
          <cell r="B252" t="str">
            <v>LMB 5 kn</v>
          </cell>
          <cell r="C252" t="str">
            <v>Kwarter c3</v>
          </cell>
          <cell r="D252">
            <v>12</v>
          </cell>
          <cell r="E252">
            <v>21.6</v>
          </cell>
          <cell r="F252">
            <v>0.3</v>
          </cell>
          <cell r="G252">
            <v>0.25885059005180217</v>
          </cell>
        </row>
        <row r="253">
          <cell r="A253" t="str">
            <v>18,11</v>
          </cell>
          <cell r="B253" t="str">
            <v>LMB 5 kn</v>
          </cell>
          <cell r="C253" t="str">
            <v>Muka a4</v>
          </cell>
          <cell r="D253">
            <v>7</v>
          </cell>
          <cell r="E253">
            <v>15</v>
          </cell>
          <cell r="F253">
            <v>0.3</v>
          </cell>
          <cell r="G253">
            <v>0.14999999999999986</v>
          </cell>
        </row>
        <row r="254">
          <cell r="A254" t="str">
            <v>18,12</v>
          </cell>
          <cell r="B254" t="str">
            <v>LMB 5 kn</v>
          </cell>
          <cell r="C254" t="str">
            <v>Muka c1</v>
          </cell>
          <cell r="D254">
            <v>4</v>
          </cell>
          <cell r="E254">
            <v>15</v>
          </cell>
          <cell r="F254">
            <v>0.3</v>
          </cell>
          <cell r="G254">
            <v>0.14808412742619273</v>
          </cell>
        </row>
        <row r="255">
          <cell r="A255" t="str">
            <v>18,13</v>
          </cell>
          <cell r="B255" t="str">
            <v>LMB 5 kn</v>
          </cell>
          <cell r="C255" t="str">
            <v>Muka c3</v>
          </cell>
          <cell r="D255">
            <v>12</v>
          </cell>
          <cell r="E255">
            <v>21.6</v>
          </cell>
          <cell r="F255">
            <v>0.35</v>
          </cell>
          <cell r="G255">
            <v>0.16842869219013673</v>
          </cell>
        </row>
        <row r="256">
          <cell r="A256" t="str">
            <v>18,14</v>
          </cell>
          <cell r="B256" t="str">
            <v>LMB 5 kn</v>
          </cell>
          <cell r="C256" t="str">
            <v>Tersier T4-K1</v>
          </cell>
          <cell r="D256">
            <v>20</v>
          </cell>
          <cell r="E256">
            <v>36</v>
          </cell>
          <cell r="F256">
            <v>0.35</v>
          </cell>
          <cell r="G256">
            <v>0.22999999999999987</v>
          </cell>
        </row>
        <row r="257">
          <cell r="A257" t="str">
            <v>18,15</v>
          </cell>
          <cell r="B257" t="str">
            <v>LMB 5 kn</v>
          </cell>
          <cell r="C257" t="str">
            <v>Tersier T1-T4</v>
          </cell>
          <cell r="D257">
            <v>28</v>
          </cell>
          <cell r="E257">
            <v>50.4</v>
          </cell>
          <cell r="F257">
            <v>0.35</v>
          </cell>
          <cell r="G257">
            <v>0.26999999999999991</v>
          </cell>
        </row>
        <row r="258">
          <cell r="A258" t="str">
            <v>18,16</v>
          </cell>
          <cell r="B258" t="str">
            <v>LMB 5 kn</v>
          </cell>
          <cell r="C258" t="str">
            <v>Tersier T3-K2</v>
          </cell>
          <cell r="D258">
            <v>20</v>
          </cell>
          <cell r="E258">
            <v>36</v>
          </cell>
          <cell r="F258">
            <v>0.35</v>
          </cell>
          <cell r="G258">
            <v>0.22186961495519433</v>
          </cell>
        </row>
        <row r="259">
          <cell r="A259" t="str">
            <v>18,17</v>
          </cell>
          <cell r="B259" t="str">
            <v>LMB 5 kn</v>
          </cell>
          <cell r="C259" t="str">
            <v>Tersier T2-T3</v>
          </cell>
          <cell r="D259">
            <v>30</v>
          </cell>
          <cell r="E259">
            <v>54</v>
          </cell>
          <cell r="F259">
            <v>0.35</v>
          </cell>
          <cell r="G259">
            <v>0.27400000000000002</v>
          </cell>
        </row>
        <row r="260">
          <cell r="A260" t="str">
            <v>18,18</v>
          </cell>
          <cell r="B260" t="str">
            <v>LMB 5 kn</v>
          </cell>
          <cell r="C260" t="str">
            <v>Tersier T1-T2</v>
          </cell>
          <cell r="D260">
            <v>37</v>
          </cell>
          <cell r="E260">
            <v>66.600000000000009</v>
          </cell>
          <cell r="F260">
            <v>0.4</v>
          </cell>
          <cell r="G260">
            <v>0.29056607906239984</v>
          </cell>
        </row>
        <row r="261">
          <cell r="A261" t="str">
            <v>18,19</v>
          </cell>
          <cell r="B261" t="str">
            <v>LMB 5 kn</v>
          </cell>
          <cell r="C261" t="str">
            <v>Tersier BLMB5 -T1</v>
          </cell>
          <cell r="D261">
            <v>79</v>
          </cell>
          <cell r="E261">
            <v>142.20000000000002</v>
          </cell>
          <cell r="F261">
            <v>0.45</v>
          </cell>
          <cell r="G261">
            <v>0.42</v>
          </cell>
        </row>
        <row r="263">
          <cell r="A263">
            <v>19</v>
          </cell>
          <cell r="B263" t="str">
            <v>LMB 5 kr</v>
          </cell>
          <cell r="D263">
            <v>0</v>
          </cell>
        </row>
        <row r="264">
          <cell r="A264" t="str">
            <v>19,1</v>
          </cell>
          <cell r="B264" t="str">
            <v>LMB 5 kr</v>
          </cell>
          <cell r="C264" t="str">
            <v>Kwarter a1</v>
          </cell>
          <cell r="D264">
            <v>11</v>
          </cell>
          <cell r="E264">
            <v>19.8</v>
          </cell>
          <cell r="F264">
            <v>0.3</v>
          </cell>
          <cell r="G264">
            <v>0.24760852941408978</v>
          </cell>
        </row>
        <row r="265">
          <cell r="A265" t="str">
            <v>19,2</v>
          </cell>
          <cell r="B265" t="str">
            <v>LMB 5 kr</v>
          </cell>
          <cell r="C265" t="str">
            <v>Kwarter a2</v>
          </cell>
          <cell r="D265">
            <v>11</v>
          </cell>
          <cell r="E265">
            <v>19.8</v>
          </cell>
          <cell r="F265">
            <v>0.3</v>
          </cell>
          <cell r="G265">
            <v>0.24760852941408978</v>
          </cell>
        </row>
        <row r="266">
          <cell r="A266" t="str">
            <v>19,3</v>
          </cell>
          <cell r="B266" t="str">
            <v>LMB 5 kr</v>
          </cell>
          <cell r="C266" t="str">
            <v>Kwarter a3</v>
          </cell>
          <cell r="D266">
            <v>8</v>
          </cell>
          <cell r="E266">
            <v>15</v>
          </cell>
          <cell r="F266">
            <v>0.3</v>
          </cell>
          <cell r="G266">
            <v>0.21450182246807867</v>
          </cell>
        </row>
        <row r="267">
          <cell r="A267" t="str">
            <v>19,4</v>
          </cell>
          <cell r="B267" t="str">
            <v>LMB 5 kr</v>
          </cell>
          <cell r="C267" t="str">
            <v>Kwarter a4</v>
          </cell>
          <cell r="D267">
            <v>6</v>
          </cell>
          <cell r="E267">
            <v>15</v>
          </cell>
          <cell r="F267">
            <v>0.3</v>
          </cell>
          <cell r="G267">
            <v>0.21450182246807867</v>
          </cell>
        </row>
        <row r="268">
          <cell r="A268" t="str">
            <v>19,5</v>
          </cell>
          <cell r="B268" t="str">
            <v>LMB 5 kr</v>
          </cell>
          <cell r="C268" t="str">
            <v>Kwarter b1</v>
          </cell>
          <cell r="D268">
            <v>10</v>
          </cell>
          <cell r="E268">
            <v>18</v>
          </cell>
          <cell r="F268">
            <v>0.3</v>
          </cell>
          <cell r="G268">
            <v>0.23577879671478721</v>
          </cell>
        </row>
        <row r="269">
          <cell r="A269" t="str">
            <v>19,6</v>
          </cell>
          <cell r="B269" t="str">
            <v>LMB 5 kr</v>
          </cell>
          <cell r="C269" t="str">
            <v>Kwarter b2</v>
          </cell>
          <cell r="D269">
            <v>8</v>
          </cell>
          <cell r="E269">
            <v>15</v>
          </cell>
          <cell r="F269">
            <v>0.3</v>
          </cell>
          <cell r="G269">
            <v>0.21450182246807867</v>
          </cell>
        </row>
        <row r="270">
          <cell r="A270" t="str">
            <v>19,7</v>
          </cell>
          <cell r="B270" t="str">
            <v>LMB 5 kr</v>
          </cell>
          <cell r="C270" t="str">
            <v>Kwarter b3</v>
          </cell>
          <cell r="D270">
            <v>7</v>
          </cell>
          <cell r="E270">
            <v>15</v>
          </cell>
          <cell r="F270">
            <v>0.3</v>
          </cell>
          <cell r="G270">
            <v>0.21450182246807867</v>
          </cell>
        </row>
        <row r="271">
          <cell r="A271" t="str">
            <v>19,8</v>
          </cell>
          <cell r="B271" t="str">
            <v>LMB 5 kr</v>
          </cell>
          <cell r="C271" t="str">
            <v>Kwarter b4</v>
          </cell>
          <cell r="D271">
            <v>8</v>
          </cell>
          <cell r="E271">
            <v>15</v>
          </cell>
          <cell r="F271">
            <v>0.3</v>
          </cell>
          <cell r="G271">
            <v>0.21450182246807867</v>
          </cell>
        </row>
        <row r="272">
          <cell r="A272" t="str">
            <v>19,9</v>
          </cell>
          <cell r="B272" t="str">
            <v>LMB 5 kr</v>
          </cell>
          <cell r="C272" t="str">
            <v>Kwarter c1</v>
          </cell>
          <cell r="D272">
            <v>10</v>
          </cell>
          <cell r="E272">
            <v>18</v>
          </cell>
          <cell r="F272">
            <v>0.3</v>
          </cell>
          <cell r="G272">
            <v>0.23577879671478721</v>
          </cell>
        </row>
        <row r="273">
          <cell r="A273" t="str">
            <v>19,10</v>
          </cell>
          <cell r="B273" t="str">
            <v>LMB 5 kr</v>
          </cell>
          <cell r="C273" t="str">
            <v>Kwarter c2</v>
          </cell>
          <cell r="D273">
            <v>7</v>
          </cell>
          <cell r="E273">
            <v>15</v>
          </cell>
          <cell r="F273">
            <v>0.3</v>
          </cell>
          <cell r="G273">
            <v>0.21450182246807867</v>
          </cell>
        </row>
        <row r="274">
          <cell r="A274" t="str">
            <v>19,11</v>
          </cell>
          <cell r="B274" t="str">
            <v>LMB 5 kr</v>
          </cell>
          <cell r="C274" t="str">
            <v>Kwarter c3</v>
          </cell>
          <cell r="D274">
            <v>8</v>
          </cell>
          <cell r="E274">
            <v>15</v>
          </cell>
          <cell r="F274">
            <v>0.3</v>
          </cell>
          <cell r="G274">
            <v>0.21450182246807867</v>
          </cell>
        </row>
        <row r="275">
          <cell r="A275" t="str">
            <v>19,12</v>
          </cell>
          <cell r="B275" t="str">
            <v>LMB 5 kr</v>
          </cell>
          <cell r="C275" t="str">
            <v>Muka b4</v>
          </cell>
          <cell r="D275">
            <v>8</v>
          </cell>
          <cell r="E275">
            <v>15</v>
          </cell>
          <cell r="F275">
            <v>0.35</v>
          </cell>
          <cell r="G275">
            <v>0.13770000000002336</v>
          </cell>
        </row>
        <row r="276">
          <cell r="A276" t="str">
            <v>19,13</v>
          </cell>
          <cell r="B276" t="str">
            <v>LMB 5 kr</v>
          </cell>
          <cell r="C276" t="str">
            <v>Muka c3</v>
          </cell>
          <cell r="D276">
            <v>8</v>
          </cell>
          <cell r="E276">
            <v>15</v>
          </cell>
          <cell r="F276">
            <v>0.3</v>
          </cell>
          <cell r="G276">
            <v>0.14808412741810476</v>
          </cell>
        </row>
        <row r="277">
          <cell r="A277" t="str">
            <v>19,14</v>
          </cell>
          <cell r="B277" t="str">
            <v>LMB 5 kr</v>
          </cell>
          <cell r="C277" t="str">
            <v>Tersier T4-K3</v>
          </cell>
          <cell r="D277">
            <v>25</v>
          </cell>
          <cell r="E277">
            <v>45</v>
          </cell>
          <cell r="F277">
            <v>0.4</v>
          </cell>
          <cell r="G277">
            <v>0.24952097795814321</v>
          </cell>
        </row>
        <row r="278">
          <cell r="A278" t="str">
            <v>19,15</v>
          </cell>
          <cell r="B278" t="str">
            <v>LMB 5 kr</v>
          </cell>
          <cell r="C278" t="str">
            <v>Tersier T1-T4</v>
          </cell>
          <cell r="D278">
            <v>40</v>
          </cell>
          <cell r="E278">
            <v>72</v>
          </cell>
          <cell r="F278">
            <v>0.4</v>
          </cell>
          <cell r="G278">
            <v>0.31765579465111643</v>
          </cell>
        </row>
        <row r="279">
          <cell r="A279" t="str">
            <v>19,16</v>
          </cell>
          <cell r="B279" t="str">
            <v>LMB 5 kr</v>
          </cell>
          <cell r="C279" t="str">
            <v>Tersier T3-K2</v>
          </cell>
          <cell r="D279">
            <v>14</v>
          </cell>
          <cell r="E279">
            <v>25.2</v>
          </cell>
          <cell r="F279">
            <v>0.35</v>
          </cell>
          <cell r="G279">
            <v>0.19573011867825413</v>
          </cell>
        </row>
        <row r="280">
          <cell r="A280" t="str">
            <v>19,17</v>
          </cell>
          <cell r="B280" t="str">
            <v>LMB 5 kr</v>
          </cell>
          <cell r="C280" t="str">
            <v>Tersier T2-T3</v>
          </cell>
          <cell r="D280">
            <v>22</v>
          </cell>
          <cell r="E280">
            <v>39.6</v>
          </cell>
          <cell r="F280">
            <v>0.35</v>
          </cell>
          <cell r="G280">
            <v>0.23333591156934322</v>
          </cell>
        </row>
        <row r="281">
          <cell r="A281" t="str">
            <v>19,18</v>
          </cell>
          <cell r="B281" t="str">
            <v>LMB 5 kr</v>
          </cell>
          <cell r="C281" t="str">
            <v>Tersier T2-K1</v>
          </cell>
          <cell r="D281">
            <v>22</v>
          </cell>
          <cell r="E281">
            <v>39.6</v>
          </cell>
          <cell r="F281">
            <v>0.35</v>
          </cell>
          <cell r="G281">
            <v>0.23333591156934322</v>
          </cell>
        </row>
        <row r="282">
          <cell r="A282" t="str">
            <v>19,19</v>
          </cell>
          <cell r="B282" t="str">
            <v>LMB 5 kr</v>
          </cell>
          <cell r="C282" t="str">
            <v>Tersier T1-T2</v>
          </cell>
          <cell r="D282">
            <v>44</v>
          </cell>
          <cell r="E282">
            <v>79.2</v>
          </cell>
          <cell r="F282">
            <v>0.4</v>
          </cell>
          <cell r="G282">
            <v>0.31784002844954323</v>
          </cell>
        </row>
        <row r="283">
          <cell r="A283" t="str">
            <v>19,20</v>
          </cell>
          <cell r="B283" t="str">
            <v>LMB 5 kr</v>
          </cell>
          <cell r="C283" t="str">
            <v>Tersier BLMB5-T1</v>
          </cell>
          <cell r="D283">
            <v>94</v>
          </cell>
          <cell r="E283">
            <v>169.20000000000002</v>
          </cell>
          <cell r="F283">
            <v>0.5</v>
          </cell>
          <cell r="G283">
            <v>0.43208511751682532</v>
          </cell>
        </row>
        <row r="285">
          <cell r="A285">
            <v>20</v>
          </cell>
          <cell r="B285" t="str">
            <v>LMB 6 kr1</v>
          </cell>
          <cell r="D285">
            <v>0</v>
          </cell>
        </row>
        <row r="286">
          <cell r="A286" t="str">
            <v>20,1</v>
          </cell>
          <cell r="B286" t="str">
            <v>LMB 6 kr1</v>
          </cell>
          <cell r="C286" t="str">
            <v>Kwarter a1</v>
          </cell>
          <cell r="D286">
            <v>13</v>
          </cell>
          <cell r="E286">
            <v>23.400000000000002</v>
          </cell>
          <cell r="F286">
            <v>0.3</v>
          </cell>
          <cell r="G286">
            <v>0.2695767640723864</v>
          </cell>
        </row>
        <row r="287">
          <cell r="A287" t="str">
            <v>20,2</v>
          </cell>
          <cell r="B287" t="str">
            <v>LMB 6 kr1</v>
          </cell>
          <cell r="C287" t="str">
            <v>Kwarter a2</v>
          </cell>
          <cell r="D287">
            <v>13</v>
          </cell>
          <cell r="E287">
            <v>23.400000000000002</v>
          </cell>
          <cell r="F287">
            <v>0.3</v>
          </cell>
          <cell r="G287">
            <v>0.2695767640723864</v>
          </cell>
        </row>
        <row r="288">
          <cell r="A288" t="str">
            <v>20,3</v>
          </cell>
          <cell r="B288" t="str">
            <v>LMB 6 kr1</v>
          </cell>
          <cell r="C288" t="str">
            <v>Kwarter a3</v>
          </cell>
          <cell r="D288">
            <v>11</v>
          </cell>
          <cell r="E288">
            <v>19.8</v>
          </cell>
          <cell r="F288">
            <v>0.3</v>
          </cell>
          <cell r="G288">
            <v>0.24760852941408978</v>
          </cell>
        </row>
        <row r="289">
          <cell r="A289" t="str">
            <v>20,4</v>
          </cell>
          <cell r="B289" t="str">
            <v>LMB 6 kr1</v>
          </cell>
          <cell r="C289" t="str">
            <v>Kwarter b1</v>
          </cell>
          <cell r="D289">
            <v>6</v>
          </cell>
          <cell r="E289">
            <v>15</v>
          </cell>
          <cell r="F289">
            <v>0.3</v>
          </cell>
          <cell r="G289">
            <v>0.21450182246807867</v>
          </cell>
        </row>
        <row r="290">
          <cell r="A290" t="str">
            <v>20,5</v>
          </cell>
          <cell r="B290" t="str">
            <v>LMB 6 kr1</v>
          </cell>
          <cell r="C290" t="str">
            <v>Kwarter b2</v>
          </cell>
          <cell r="D290">
            <v>10</v>
          </cell>
          <cell r="E290">
            <v>18</v>
          </cell>
          <cell r="F290">
            <v>0.3</v>
          </cell>
          <cell r="G290">
            <v>0.23577879671478721</v>
          </cell>
        </row>
        <row r="291">
          <cell r="A291" t="str">
            <v>20,6</v>
          </cell>
          <cell r="B291" t="str">
            <v>LMB 6 kr1</v>
          </cell>
          <cell r="C291" t="str">
            <v>Kwarter b3</v>
          </cell>
          <cell r="D291">
            <v>6</v>
          </cell>
          <cell r="E291">
            <v>15</v>
          </cell>
          <cell r="F291">
            <v>0.3</v>
          </cell>
          <cell r="G291">
            <v>0.21450182246807867</v>
          </cell>
        </row>
        <row r="292">
          <cell r="A292" t="str">
            <v>20,7</v>
          </cell>
          <cell r="B292" t="str">
            <v>LMB 6 kr1</v>
          </cell>
          <cell r="C292" t="str">
            <v>Kwarter b4</v>
          </cell>
          <cell r="D292">
            <v>7</v>
          </cell>
          <cell r="E292">
            <v>15</v>
          </cell>
          <cell r="F292">
            <v>0.3</v>
          </cell>
          <cell r="G292">
            <v>0.21450182246807867</v>
          </cell>
        </row>
        <row r="293">
          <cell r="A293" t="str">
            <v>20,8</v>
          </cell>
          <cell r="B293" t="str">
            <v>LMB 6 kr1</v>
          </cell>
          <cell r="C293" t="str">
            <v>Muka b4</v>
          </cell>
          <cell r="D293">
            <v>7</v>
          </cell>
          <cell r="E293">
            <v>15</v>
          </cell>
          <cell r="F293">
            <v>0.3</v>
          </cell>
          <cell r="G293">
            <v>0.14808412741810476</v>
          </cell>
        </row>
        <row r="294">
          <cell r="A294" t="str">
            <v>20,9</v>
          </cell>
          <cell r="B294" t="str">
            <v>LMB 6 kr1</v>
          </cell>
          <cell r="C294" t="str">
            <v>Tersier T3-K1</v>
          </cell>
          <cell r="D294">
            <v>23</v>
          </cell>
          <cell r="E294">
            <v>41.4</v>
          </cell>
          <cell r="F294">
            <v>0.35</v>
          </cell>
          <cell r="G294">
            <v>0.23999999999999988</v>
          </cell>
        </row>
        <row r="295">
          <cell r="A295" t="str">
            <v>20,10</v>
          </cell>
          <cell r="B295" t="str">
            <v>LMB 6 kr1</v>
          </cell>
          <cell r="C295" t="str">
            <v>Tersier T2-T3</v>
          </cell>
          <cell r="D295">
            <v>29</v>
          </cell>
          <cell r="E295">
            <v>52.2</v>
          </cell>
          <cell r="F295">
            <v>0.35</v>
          </cell>
          <cell r="G295">
            <v>0.26999999999999991</v>
          </cell>
        </row>
        <row r="296">
          <cell r="A296" t="str">
            <v>20,11</v>
          </cell>
          <cell r="B296" t="str">
            <v>LMB 6 kr1</v>
          </cell>
          <cell r="C296" t="str">
            <v>Tersier T1-T2</v>
          </cell>
          <cell r="D296">
            <v>53</v>
          </cell>
          <cell r="E296">
            <v>95.4</v>
          </cell>
          <cell r="F296">
            <v>0.4</v>
          </cell>
          <cell r="G296">
            <v>0.34956277809522457</v>
          </cell>
        </row>
        <row r="297">
          <cell r="A297" t="str">
            <v>20,12</v>
          </cell>
          <cell r="B297" t="str">
            <v>LMB 6 kr1</v>
          </cell>
          <cell r="C297" t="str">
            <v>Tersier BLMB6-T1</v>
          </cell>
          <cell r="D297">
            <v>66</v>
          </cell>
          <cell r="E297">
            <v>118.8</v>
          </cell>
          <cell r="F297">
            <v>0.45</v>
          </cell>
          <cell r="G297">
            <v>0.37472827450512064</v>
          </cell>
        </row>
        <row r="299">
          <cell r="A299">
            <v>21</v>
          </cell>
          <cell r="B299" t="str">
            <v>LMB 6 kr2</v>
          </cell>
          <cell r="D299">
            <v>0</v>
          </cell>
        </row>
        <row r="300">
          <cell r="A300" t="str">
            <v>21,1</v>
          </cell>
          <cell r="B300" t="str">
            <v>LMB 6 kr2</v>
          </cell>
          <cell r="C300" t="str">
            <v>Kwarter a1</v>
          </cell>
          <cell r="D300">
            <v>5</v>
          </cell>
          <cell r="E300">
            <v>15</v>
          </cell>
          <cell r="F300">
            <v>0.3</v>
          </cell>
          <cell r="G300">
            <v>0.21450182246807867</v>
          </cell>
        </row>
        <row r="301">
          <cell r="A301" t="str">
            <v>21,2</v>
          </cell>
          <cell r="B301" t="str">
            <v>LMB 6 kr2</v>
          </cell>
          <cell r="C301" t="str">
            <v>Kwarter a2</v>
          </cell>
          <cell r="D301">
            <v>4</v>
          </cell>
          <cell r="E301">
            <v>15</v>
          </cell>
          <cell r="F301">
            <v>0.3</v>
          </cell>
          <cell r="G301">
            <v>0.21450182246807867</v>
          </cell>
        </row>
        <row r="302">
          <cell r="A302" t="str">
            <v>21,3</v>
          </cell>
          <cell r="B302" t="str">
            <v>LMB 6 kr2</v>
          </cell>
          <cell r="C302" t="str">
            <v>Kwarter a3</v>
          </cell>
          <cell r="D302">
            <v>8</v>
          </cell>
          <cell r="E302">
            <v>15</v>
          </cell>
          <cell r="F302">
            <v>0.3</v>
          </cell>
          <cell r="G302">
            <v>0.21450182246807867</v>
          </cell>
        </row>
        <row r="303">
          <cell r="A303" t="str">
            <v>21,4</v>
          </cell>
          <cell r="B303" t="str">
            <v>LMB 6 kr2</v>
          </cell>
          <cell r="C303" t="str">
            <v>Kwarter b1</v>
          </cell>
          <cell r="D303">
            <v>8</v>
          </cell>
          <cell r="E303">
            <v>15</v>
          </cell>
          <cell r="F303">
            <v>0.3</v>
          </cell>
          <cell r="G303">
            <v>0.21450182246807867</v>
          </cell>
        </row>
        <row r="304">
          <cell r="A304" t="str">
            <v>21,5</v>
          </cell>
          <cell r="B304" t="str">
            <v>LMB 6 kr2</v>
          </cell>
          <cell r="C304" t="str">
            <v>Kwarter b2</v>
          </cell>
          <cell r="D304">
            <v>9</v>
          </cell>
          <cell r="E304">
            <v>16.2</v>
          </cell>
          <cell r="F304">
            <v>0.3</v>
          </cell>
          <cell r="G304">
            <v>0.2232716283144332</v>
          </cell>
        </row>
        <row r="305">
          <cell r="A305" t="str">
            <v>21,6</v>
          </cell>
          <cell r="B305" t="str">
            <v>LMB 6 kr2</v>
          </cell>
          <cell r="C305" t="str">
            <v>Kwarter b3</v>
          </cell>
          <cell r="D305">
            <v>9</v>
          </cell>
          <cell r="E305">
            <v>16.2</v>
          </cell>
          <cell r="F305">
            <v>0.3</v>
          </cell>
          <cell r="G305">
            <v>0.2232716283144332</v>
          </cell>
        </row>
        <row r="306">
          <cell r="A306" t="str">
            <v>21,7</v>
          </cell>
          <cell r="B306" t="str">
            <v>LMB 6 kr2</v>
          </cell>
          <cell r="C306" t="str">
            <v>Kwarter c1</v>
          </cell>
          <cell r="D306">
            <v>7</v>
          </cell>
          <cell r="E306">
            <v>15</v>
          </cell>
          <cell r="F306">
            <v>0.3</v>
          </cell>
          <cell r="G306">
            <v>0.21450182246807867</v>
          </cell>
        </row>
        <row r="307">
          <cell r="A307" t="str">
            <v>21,8</v>
          </cell>
          <cell r="B307" t="str">
            <v>LMB 6 kr2</v>
          </cell>
          <cell r="C307" t="str">
            <v>Kwarter c2</v>
          </cell>
          <cell r="D307">
            <v>9</v>
          </cell>
          <cell r="E307">
            <v>16.2</v>
          </cell>
          <cell r="F307">
            <v>0.3</v>
          </cell>
          <cell r="G307">
            <v>0.2232716283144332</v>
          </cell>
        </row>
        <row r="308">
          <cell r="A308" t="str">
            <v>21,9</v>
          </cell>
          <cell r="B308" t="str">
            <v>LMB 6 kr2</v>
          </cell>
          <cell r="C308" t="str">
            <v>Kwarter c3</v>
          </cell>
          <cell r="D308">
            <v>15</v>
          </cell>
          <cell r="E308">
            <v>27</v>
          </cell>
          <cell r="F308">
            <v>0.3</v>
          </cell>
          <cell r="G308">
            <v>0.28970512341744525</v>
          </cell>
        </row>
        <row r="309">
          <cell r="A309" t="str">
            <v>21,10</v>
          </cell>
          <cell r="B309" t="str">
            <v>LMB 6 kr2</v>
          </cell>
          <cell r="C309" t="str">
            <v>Muka c3</v>
          </cell>
          <cell r="D309">
            <v>15</v>
          </cell>
          <cell r="E309">
            <v>27</v>
          </cell>
          <cell r="F309">
            <v>0.3</v>
          </cell>
          <cell r="G309">
            <v>0.20298029723967093</v>
          </cell>
        </row>
        <row r="310">
          <cell r="A310" t="str">
            <v>21,11</v>
          </cell>
          <cell r="B310" t="str">
            <v>LMB 6 kr2</v>
          </cell>
          <cell r="C310" t="str">
            <v>Tersier T3-K1</v>
          </cell>
          <cell r="D310">
            <v>31</v>
          </cell>
          <cell r="E310">
            <v>55.800000000000004</v>
          </cell>
          <cell r="F310">
            <v>0.35</v>
          </cell>
          <cell r="G310">
            <v>0.27895283777898588</v>
          </cell>
        </row>
        <row r="311">
          <cell r="A311" t="str">
            <v>21,12</v>
          </cell>
          <cell r="B311" t="str">
            <v>LMB 6 kr2</v>
          </cell>
          <cell r="C311" t="str">
            <v>Tersier T2-T3</v>
          </cell>
          <cell r="D311">
            <v>49</v>
          </cell>
          <cell r="E311">
            <v>88.2</v>
          </cell>
          <cell r="F311">
            <v>0.45</v>
          </cell>
          <cell r="G311">
            <v>0.335869635534364</v>
          </cell>
        </row>
        <row r="312">
          <cell r="A312" t="str">
            <v>21,13</v>
          </cell>
          <cell r="B312" t="str">
            <v>LMB 6 kr2</v>
          </cell>
          <cell r="C312" t="str">
            <v>Tersier T1-T2</v>
          </cell>
          <cell r="D312">
            <v>65</v>
          </cell>
          <cell r="E312">
            <v>117</v>
          </cell>
          <cell r="F312">
            <v>0.39999999999999997</v>
          </cell>
          <cell r="G312">
            <v>0.38999999999999996</v>
          </cell>
        </row>
        <row r="313">
          <cell r="A313" t="str">
            <v>21,14</v>
          </cell>
          <cell r="B313" t="str">
            <v>LMB 6 kr2</v>
          </cell>
          <cell r="C313" t="str">
            <v>Muka BMLB 6-T1</v>
          </cell>
          <cell r="D313">
            <v>74</v>
          </cell>
          <cell r="E313">
            <v>133.20000000000002</v>
          </cell>
          <cell r="F313">
            <v>0.5</v>
          </cell>
          <cell r="G313">
            <v>0.39720606682714721</v>
          </cell>
        </row>
        <row r="315">
          <cell r="A315">
            <v>22</v>
          </cell>
          <cell r="B315" t="str">
            <v>LMB 6 kr3</v>
          </cell>
          <cell r="D315">
            <v>0</v>
          </cell>
        </row>
        <row r="316">
          <cell r="A316" t="str">
            <v>22,1</v>
          </cell>
          <cell r="B316" t="str">
            <v>LMB 6 kr3</v>
          </cell>
          <cell r="C316" t="str">
            <v>Kwarter a1</v>
          </cell>
          <cell r="D316">
            <v>5</v>
          </cell>
          <cell r="E316">
            <v>15</v>
          </cell>
          <cell r="F316">
            <v>0.3</v>
          </cell>
          <cell r="G316">
            <v>0.21450182246807867</v>
          </cell>
        </row>
        <row r="317">
          <cell r="A317" t="str">
            <v>22,2</v>
          </cell>
          <cell r="B317" t="str">
            <v>LMB 6 kr3</v>
          </cell>
          <cell r="C317" t="str">
            <v>Kwarter a2</v>
          </cell>
          <cell r="D317">
            <v>8</v>
          </cell>
          <cell r="E317">
            <v>15</v>
          </cell>
          <cell r="F317">
            <v>0.3</v>
          </cell>
          <cell r="G317">
            <v>0.21450182246807867</v>
          </cell>
        </row>
        <row r="318">
          <cell r="A318" t="str">
            <v>22,3</v>
          </cell>
          <cell r="B318" t="str">
            <v>LMB 6 kr3</v>
          </cell>
          <cell r="C318" t="str">
            <v>Kwarter a3</v>
          </cell>
          <cell r="D318">
            <v>6</v>
          </cell>
          <cell r="E318">
            <v>15</v>
          </cell>
          <cell r="F318">
            <v>0.3</v>
          </cell>
          <cell r="G318">
            <v>0.21450182246807867</v>
          </cell>
        </row>
        <row r="319">
          <cell r="A319" t="str">
            <v>22,4</v>
          </cell>
          <cell r="B319" t="str">
            <v>LMB 6 kr3</v>
          </cell>
          <cell r="C319" t="str">
            <v>Kwarter a4</v>
          </cell>
          <cell r="D319">
            <v>8</v>
          </cell>
          <cell r="E319">
            <v>15</v>
          </cell>
          <cell r="F319">
            <v>0.3</v>
          </cell>
          <cell r="G319">
            <v>0.21450182246807867</v>
          </cell>
        </row>
        <row r="320">
          <cell r="A320" t="str">
            <v>22,5</v>
          </cell>
          <cell r="B320" t="str">
            <v>LMB 6 kr3</v>
          </cell>
          <cell r="C320" t="str">
            <v>Kwarter b1</v>
          </cell>
          <cell r="D320">
            <v>10</v>
          </cell>
          <cell r="E320">
            <v>18</v>
          </cell>
          <cell r="F320">
            <v>0.3</v>
          </cell>
          <cell r="G320">
            <v>0.23577879671478721</v>
          </cell>
        </row>
        <row r="321">
          <cell r="A321" t="str">
            <v>22,6</v>
          </cell>
          <cell r="B321" t="str">
            <v>LMB 6 kr3</v>
          </cell>
          <cell r="C321" t="str">
            <v>Kwarter b2</v>
          </cell>
          <cell r="D321">
            <v>9</v>
          </cell>
          <cell r="E321">
            <v>16.2</v>
          </cell>
          <cell r="F321">
            <v>0.3</v>
          </cell>
          <cell r="G321">
            <v>0.2232716283144332</v>
          </cell>
        </row>
        <row r="322">
          <cell r="A322" t="str">
            <v>22,7</v>
          </cell>
          <cell r="B322" t="str">
            <v>LMB 6 kr3</v>
          </cell>
          <cell r="C322" t="str">
            <v>Kwarter c1</v>
          </cell>
          <cell r="D322">
            <v>7</v>
          </cell>
          <cell r="E322">
            <v>15</v>
          </cell>
          <cell r="F322">
            <v>0.3</v>
          </cell>
          <cell r="G322">
            <v>0.21450182246807867</v>
          </cell>
        </row>
        <row r="323">
          <cell r="A323" t="str">
            <v>22,8</v>
          </cell>
          <cell r="B323" t="str">
            <v>LMB 6 kr3</v>
          </cell>
          <cell r="C323" t="str">
            <v>Kwarter c2</v>
          </cell>
          <cell r="D323">
            <v>6</v>
          </cell>
          <cell r="E323">
            <v>15</v>
          </cell>
          <cell r="F323">
            <v>0.3</v>
          </cell>
          <cell r="G323">
            <v>0.21450182246807867</v>
          </cell>
        </row>
        <row r="324">
          <cell r="A324" t="str">
            <v>22,9</v>
          </cell>
          <cell r="B324" t="str">
            <v>LMB 6 kr3</v>
          </cell>
          <cell r="C324" t="str">
            <v>Kwarter c3</v>
          </cell>
          <cell r="D324">
            <v>11</v>
          </cell>
          <cell r="E324">
            <v>19.8</v>
          </cell>
          <cell r="F324">
            <v>0.3</v>
          </cell>
          <cell r="G324">
            <v>0.24760853239983971</v>
          </cell>
        </row>
        <row r="325">
          <cell r="A325" t="str">
            <v>22,10</v>
          </cell>
          <cell r="B325" t="str">
            <v>LMB 6 kr3</v>
          </cell>
          <cell r="C325" t="str">
            <v>Muka c3</v>
          </cell>
          <cell r="D325">
            <v>11</v>
          </cell>
          <cell r="E325">
            <v>19.8</v>
          </cell>
          <cell r="F325">
            <v>0.3</v>
          </cell>
          <cell r="G325">
            <v>0.17999999999999988</v>
          </cell>
        </row>
        <row r="326">
          <cell r="A326" t="str">
            <v>22,11</v>
          </cell>
          <cell r="B326" t="str">
            <v>LMB 6 kr3</v>
          </cell>
          <cell r="C326" t="str">
            <v>Tersier T5-K1</v>
          </cell>
          <cell r="D326">
            <v>17</v>
          </cell>
          <cell r="E326">
            <v>30.6</v>
          </cell>
          <cell r="F326">
            <v>0.35</v>
          </cell>
          <cell r="G326">
            <v>0.20999999999999985</v>
          </cell>
        </row>
        <row r="327">
          <cell r="A327" t="str">
            <v>22,12</v>
          </cell>
          <cell r="B327" t="str">
            <v>LMB 6 kr3</v>
          </cell>
          <cell r="C327" t="str">
            <v>Tersier T4-T5</v>
          </cell>
          <cell r="D327">
            <v>24</v>
          </cell>
          <cell r="E327">
            <v>43.2</v>
          </cell>
          <cell r="F327">
            <v>0.35</v>
          </cell>
          <cell r="G327">
            <v>0.24999999999999989</v>
          </cell>
        </row>
        <row r="328">
          <cell r="A328" t="str">
            <v>22,13</v>
          </cell>
          <cell r="B328" t="str">
            <v>LMB 6 kr3</v>
          </cell>
          <cell r="C328" t="str">
            <v>Tersier T1-T4</v>
          </cell>
          <cell r="D328">
            <v>32</v>
          </cell>
          <cell r="E328">
            <v>57.6</v>
          </cell>
          <cell r="F328">
            <v>0.35</v>
          </cell>
          <cell r="G328">
            <v>0.28999999999999992</v>
          </cell>
        </row>
        <row r="329">
          <cell r="A329" t="str">
            <v>22,14</v>
          </cell>
          <cell r="B329" t="str">
            <v>LMB 6 kr3</v>
          </cell>
          <cell r="C329" t="str">
            <v>Tersier T3-K2</v>
          </cell>
          <cell r="D329">
            <v>19</v>
          </cell>
          <cell r="E329">
            <v>34.200000000000003</v>
          </cell>
          <cell r="F329">
            <v>0.3</v>
          </cell>
          <cell r="G329">
            <v>0.22961638188784486</v>
          </cell>
        </row>
        <row r="330">
          <cell r="A330" t="str">
            <v>22,15</v>
          </cell>
          <cell r="B330" t="str">
            <v>LMB 6 kr3</v>
          </cell>
          <cell r="C330" t="str">
            <v>Tersier T2-T3</v>
          </cell>
          <cell r="D330">
            <v>27</v>
          </cell>
          <cell r="E330">
            <v>48.6</v>
          </cell>
          <cell r="F330">
            <v>0.35</v>
          </cell>
          <cell r="G330">
            <v>0.25972662521229839</v>
          </cell>
        </row>
        <row r="331">
          <cell r="A331" t="str">
            <v>22,16</v>
          </cell>
          <cell r="B331" t="str">
            <v>LMB 6 kr3</v>
          </cell>
          <cell r="C331" t="str">
            <v>Tersier T1-T2</v>
          </cell>
          <cell r="D331">
            <v>33</v>
          </cell>
          <cell r="E331">
            <v>59.4</v>
          </cell>
          <cell r="F331">
            <v>0.4</v>
          </cell>
          <cell r="G331">
            <v>0.27368771270112641</v>
          </cell>
        </row>
        <row r="332">
          <cell r="A332" t="str">
            <v>22,17</v>
          </cell>
          <cell r="B332" t="str">
            <v>LMB 6 kr3</v>
          </cell>
          <cell r="C332" t="str">
            <v>Tersier BLMB6-T1</v>
          </cell>
          <cell r="D332">
            <v>70</v>
          </cell>
          <cell r="E332">
            <v>126</v>
          </cell>
          <cell r="F332">
            <v>0.45</v>
          </cell>
          <cell r="G332">
            <v>0.38614790559491641</v>
          </cell>
        </row>
        <row r="334">
          <cell r="A334">
            <v>23</v>
          </cell>
          <cell r="B334" t="str">
            <v>LMB 7 kn</v>
          </cell>
          <cell r="D334">
            <v>0</v>
          </cell>
        </row>
        <row r="335">
          <cell r="A335" t="str">
            <v>23,1</v>
          </cell>
          <cell r="B335" t="str">
            <v>LMB 7 kn</v>
          </cell>
          <cell r="C335" t="str">
            <v>Kwarter a1</v>
          </cell>
          <cell r="D335">
            <v>11</v>
          </cell>
          <cell r="E335">
            <v>19.8</v>
          </cell>
          <cell r="F335">
            <v>0.3</v>
          </cell>
          <cell r="G335">
            <v>0.24760852941408978</v>
          </cell>
        </row>
        <row r="336">
          <cell r="A336" t="str">
            <v>23,2</v>
          </cell>
          <cell r="B336" t="str">
            <v>LMB 7 kn</v>
          </cell>
          <cell r="C336" t="str">
            <v>Kwarter a2</v>
          </cell>
          <cell r="D336">
            <v>7</v>
          </cell>
          <cell r="E336">
            <v>15</v>
          </cell>
          <cell r="F336">
            <v>0.3</v>
          </cell>
          <cell r="G336">
            <v>0.21450182246807867</v>
          </cell>
        </row>
        <row r="337">
          <cell r="A337" t="str">
            <v>23,3</v>
          </cell>
          <cell r="B337" t="str">
            <v>LMB 7 kn</v>
          </cell>
          <cell r="C337" t="str">
            <v>Kwarter a3</v>
          </cell>
          <cell r="D337">
            <v>10</v>
          </cell>
          <cell r="E337">
            <v>18</v>
          </cell>
          <cell r="F337">
            <v>0.3</v>
          </cell>
          <cell r="G337">
            <v>0.23577879671478721</v>
          </cell>
        </row>
        <row r="338">
          <cell r="A338" t="str">
            <v>23,4</v>
          </cell>
          <cell r="B338" t="str">
            <v>LMB 7 kn</v>
          </cell>
          <cell r="C338" t="str">
            <v>Kwarter b1</v>
          </cell>
          <cell r="D338">
            <v>5</v>
          </cell>
          <cell r="E338">
            <v>15</v>
          </cell>
          <cell r="F338">
            <v>0.3</v>
          </cell>
          <cell r="G338">
            <v>0.21450182246807867</v>
          </cell>
        </row>
        <row r="339">
          <cell r="A339" t="str">
            <v>23,5</v>
          </cell>
          <cell r="B339" t="str">
            <v>LMB 7 kn</v>
          </cell>
          <cell r="C339" t="str">
            <v>Kwarter b2</v>
          </cell>
          <cell r="D339">
            <v>8</v>
          </cell>
          <cell r="E339">
            <v>15</v>
          </cell>
          <cell r="F339">
            <v>0.3</v>
          </cell>
          <cell r="G339">
            <v>0.21450182246807867</v>
          </cell>
        </row>
        <row r="340">
          <cell r="A340" t="str">
            <v>23,6</v>
          </cell>
          <cell r="B340" t="str">
            <v>LMB 7 kn</v>
          </cell>
          <cell r="C340" t="str">
            <v>Kwarter b3</v>
          </cell>
          <cell r="D340">
            <v>11</v>
          </cell>
          <cell r="E340">
            <v>19.8</v>
          </cell>
          <cell r="F340">
            <v>0.3</v>
          </cell>
          <cell r="G340">
            <v>0.24760852941408978</v>
          </cell>
        </row>
        <row r="341">
          <cell r="A341" t="str">
            <v>23,7</v>
          </cell>
          <cell r="B341" t="str">
            <v>LMB 7 kn</v>
          </cell>
          <cell r="C341" t="str">
            <v>Kwarter cab b3</v>
          </cell>
          <cell r="E341">
            <v>15</v>
          </cell>
          <cell r="F341">
            <v>0.3</v>
          </cell>
          <cell r="G341">
            <v>0.21450182246807867</v>
          </cell>
        </row>
        <row r="342">
          <cell r="A342" t="str">
            <v>23,8</v>
          </cell>
          <cell r="B342" t="str">
            <v>LMB 7 kn</v>
          </cell>
          <cell r="C342" t="str">
            <v>Kwarter c1</v>
          </cell>
          <cell r="D342">
            <v>8</v>
          </cell>
          <cell r="E342">
            <v>15</v>
          </cell>
          <cell r="F342">
            <v>0.3</v>
          </cell>
          <cell r="G342">
            <v>0.21450182246807867</v>
          </cell>
        </row>
        <row r="343">
          <cell r="A343" t="str">
            <v>23,9</v>
          </cell>
          <cell r="B343" t="str">
            <v>LMB 7 kn</v>
          </cell>
          <cell r="C343" t="str">
            <v>Kwarter c2</v>
          </cell>
          <cell r="D343">
            <v>9</v>
          </cell>
          <cell r="E343">
            <v>16.2</v>
          </cell>
          <cell r="F343">
            <v>0.3</v>
          </cell>
          <cell r="G343">
            <v>0.2232716283144332</v>
          </cell>
        </row>
        <row r="344">
          <cell r="A344" t="str">
            <v>23,10</v>
          </cell>
          <cell r="B344" t="str">
            <v>LMB 7 kn</v>
          </cell>
          <cell r="C344" t="str">
            <v>Muka b1</v>
          </cell>
          <cell r="D344">
            <v>5</v>
          </cell>
          <cell r="E344">
            <v>15</v>
          </cell>
          <cell r="F344">
            <v>0.3</v>
          </cell>
          <cell r="G344">
            <v>0.14999999999999986</v>
          </cell>
        </row>
        <row r="345">
          <cell r="A345" t="str">
            <v>23,11</v>
          </cell>
          <cell r="B345" t="str">
            <v>LMB 7 kn</v>
          </cell>
          <cell r="C345" t="str">
            <v>Muka b3</v>
          </cell>
          <cell r="D345">
            <v>11</v>
          </cell>
          <cell r="E345">
            <v>19.8</v>
          </cell>
          <cell r="F345">
            <v>0.3</v>
          </cell>
          <cell r="G345">
            <v>0.17212946236022733</v>
          </cell>
        </row>
        <row r="346">
          <cell r="A346" t="str">
            <v>23,12</v>
          </cell>
          <cell r="B346" t="str">
            <v>LMB 7 kn</v>
          </cell>
          <cell r="C346" t="str">
            <v>Muka c2</v>
          </cell>
          <cell r="D346">
            <v>9</v>
          </cell>
          <cell r="E346">
            <v>16.2</v>
          </cell>
          <cell r="F346">
            <v>0.3</v>
          </cell>
          <cell r="G346">
            <v>0.15443256341809378</v>
          </cell>
        </row>
        <row r="347">
          <cell r="A347" t="str">
            <v>23,13</v>
          </cell>
          <cell r="B347" t="str">
            <v>LMB 7 kn</v>
          </cell>
          <cell r="C347" t="str">
            <v>Tersier T4-K1</v>
          </cell>
          <cell r="D347">
            <v>28</v>
          </cell>
          <cell r="E347">
            <v>50.4</v>
          </cell>
          <cell r="F347">
            <v>0.35</v>
          </cell>
          <cell r="G347">
            <v>0.26467345656888286</v>
          </cell>
        </row>
        <row r="348">
          <cell r="A348" t="str">
            <v>23,14</v>
          </cell>
          <cell r="B348" t="str">
            <v>LMB 7 kn</v>
          </cell>
          <cell r="C348" t="str">
            <v>Tersier T3-T4</v>
          </cell>
          <cell r="D348">
            <v>41</v>
          </cell>
          <cell r="E348">
            <v>73.8</v>
          </cell>
          <cell r="F348">
            <v>0.4</v>
          </cell>
          <cell r="G348">
            <v>0.30646900902347779</v>
          </cell>
        </row>
        <row r="349">
          <cell r="A349" t="str">
            <v>23,15</v>
          </cell>
          <cell r="B349" t="str">
            <v>LMB 7 kn</v>
          </cell>
          <cell r="C349" t="str">
            <v>Tersier T2-T3</v>
          </cell>
          <cell r="D349">
            <v>51</v>
          </cell>
          <cell r="E349">
            <v>91.8</v>
          </cell>
          <cell r="F349">
            <v>0.4</v>
          </cell>
          <cell r="G349">
            <v>0.34279172521982765</v>
          </cell>
        </row>
        <row r="350">
          <cell r="A350" t="str">
            <v>23,16</v>
          </cell>
          <cell r="B350" t="str">
            <v>LMB 7 kn</v>
          </cell>
          <cell r="C350" t="str">
            <v>Tersier T1-T2</v>
          </cell>
          <cell r="D350">
            <v>58</v>
          </cell>
          <cell r="E350">
            <v>104.4</v>
          </cell>
          <cell r="F350">
            <v>0.4</v>
          </cell>
          <cell r="G350">
            <v>0.36588317560606354</v>
          </cell>
        </row>
        <row r="351">
          <cell r="A351" t="str">
            <v>23,17</v>
          </cell>
          <cell r="B351" t="str">
            <v>LMB 7 kn</v>
          </cell>
          <cell r="C351" t="str">
            <v>Tersier BLMB7-T1</v>
          </cell>
          <cell r="D351">
            <v>69</v>
          </cell>
          <cell r="E351">
            <v>124.2</v>
          </cell>
          <cell r="F351">
            <v>0.45</v>
          </cell>
          <cell r="G351">
            <v>0.3833281054472607</v>
          </cell>
        </row>
        <row r="353">
          <cell r="A353">
            <v>24</v>
          </cell>
          <cell r="B353" t="str">
            <v>LMB 7 kr</v>
          </cell>
          <cell r="D353">
            <v>0</v>
          </cell>
        </row>
        <row r="354">
          <cell r="A354" t="str">
            <v>24,1</v>
          </cell>
          <cell r="B354" t="str">
            <v>LMB 7 kr</v>
          </cell>
          <cell r="C354" t="str">
            <v>Kwarter a1</v>
          </cell>
          <cell r="D354">
            <v>11</v>
          </cell>
          <cell r="E354">
            <v>19.8</v>
          </cell>
          <cell r="F354">
            <v>0.3</v>
          </cell>
          <cell r="G354">
            <v>0.24760852941408978</v>
          </cell>
        </row>
        <row r="355">
          <cell r="A355" t="str">
            <v>24,2</v>
          </cell>
          <cell r="B355" t="str">
            <v>LMB 7 kr</v>
          </cell>
          <cell r="C355" t="str">
            <v>Kwarter a2</v>
          </cell>
          <cell r="D355">
            <v>11</v>
          </cell>
          <cell r="E355">
            <v>19.8</v>
          </cell>
          <cell r="F355">
            <v>0.3</v>
          </cell>
          <cell r="G355">
            <v>0.24760852941408978</v>
          </cell>
        </row>
        <row r="356">
          <cell r="A356" t="str">
            <v>24,3</v>
          </cell>
          <cell r="B356" t="str">
            <v>LMB 7 kr</v>
          </cell>
          <cell r="C356" t="str">
            <v>Kwarter a3</v>
          </cell>
          <cell r="D356">
            <v>12</v>
          </cell>
          <cell r="E356">
            <v>21.6</v>
          </cell>
          <cell r="F356">
            <v>0.3</v>
          </cell>
          <cell r="G356">
            <v>0.25885059005180217</v>
          </cell>
        </row>
        <row r="357">
          <cell r="A357" t="str">
            <v>24,4</v>
          </cell>
          <cell r="B357" t="str">
            <v>LMB 7 kr</v>
          </cell>
          <cell r="C357" t="str">
            <v>Kwarter b1</v>
          </cell>
          <cell r="D357">
            <v>8</v>
          </cell>
          <cell r="E357">
            <v>15</v>
          </cell>
          <cell r="F357">
            <v>0.3</v>
          </cell>
          <cell r="G357">
            <v>0.21450182246807867</v>
          </cell>
        </row>
        <row r="358">
          <cell r="A358" t="str">
            <v>24,5</v>
          </cell>
          <cell r="B358" t="str">
            <v>LMB 7 kr</v>
          </cell>
          <cell r="C358" t="str">
            <v>Kwarter b2</v>
          </cell>
          <cell r="D358">
            <v>13</v>
          </cell>
          <cell r="E358">
            <v>23.400000000000002</v>
          </cell>
          <cell r="F358">
            <v>0.3</v>
          </cell>
          <cell r="G358">
            <v>0.2695767640723864</v>
          </cell>
        </row>
        <row r="359">
          <cell r="A359" t="str">
            <v>24,6</v>
          </cell>
          <cell r="B359" t="str">
            <v>LMB 7 kr</v>
          </cell>
          <cell r="C359" t="str">
            <v>Kwarter b3</v>
          </cell>
          <cell r="D359">
            <v>8</v>
          </cell>
          <cell r="E359">
            <v>15</v>
          </cell>
          <cell r="F359">
            <v>0.3</v>
          </cell>
          <cell r="G359">
            <v>0.21450182246807867</v>
          </cell>
        </row>
        <row r="360">
          <cell r="A360" t="str">
            <v>24,7</v>
          </cell>
          <cell r="B360" t="str">
            <v>LMB 7 kr</v>
          </cell>
          <cell r="C360" t="str">
            <v>Kwarter b4</v>
          </cell>
          <cell r="D360">
            <v>9</v>
          </cell>
          <cell r="E360">
            <v>16.2</v>
          </cell>
          <cell r="F360">
            <v>0.3</v>
          </cell>
          <cell r="G360">
            <v>0.2232716283144332</v>
          </cell>
        </row>
        <row r="361">
          <cell r="A361" t="str">
            <v>24,8</v>
          </cell>
          <cell r="B361" t="str">
            <v>LMB 7 kr</v>
          </cell>
          <cell r="C361" t="str">
            <v>Kwarter c1</v>
          </cell>
          <cell r="D361">
            <v>15</v>
          </cell>
          <cell r="E361">
            <v>27</v>
          </cell>
          <cell r="F361">
            <v>0.3</v>
          </cell>
          <cell r="G361">
            <v>0.2897051306494956</v>
          </cell>
        </row>
        <row r="362">
          <cell r="A362" t="str">
            <v>24,9</v>
          </cell>
          <cell r="B362" t="str">
            <v>LMB 7 kr</v>
          </cell>
          <cell r="C362" t="str">
            <v>Kwarter c2</v>
          </cell>
          <cell r="D362">
            <v>8</v>
          </cell>
          <cell r="E362">
            <v>15</v>
          </cell>
          <cell r="F362">
            <v>0.3</v>
          </cell>
          <cell r="G362">
            <v>0.21450182246807867</v>
          </cell>
        </row>
        <row r="363">
          <cell r="A363" t="str">
            <v>24,10</v>
          </cell>
          <cell r="B363" t="str">
            <v>LMB 7 kr</v>
          </cell>
          <cell r="C363" t="str">
            <v>Kwarter c3</v>
          </cell>
          <cell r="D363">
            <v>8</v>
          </cell>
          <cell r="E363">
            <v>15</v>
          </cell>
          <cell r="F363">
            <v>0.3</v>
          </cell>
          <cell r="G363">
            <v>0.21450182246807867</v>
          </cell>
        </row>
        <row r="364">
          <cell r="A364" t="str">
            <v>24,11</v>
          </cell>
          <cell r="B364" t="str">
            <v>LMB 7 kr</v>
          </cell>
          <cell r="C364" t="str">
            <v>Kwarter c4</v>
          </cell>
          <cell r="D364">
            <v>16</v>
          </cell>
          <cell r="E364">
            <v>28.8</v>
          </cell>
          <cell r="F364">
            <v>0.3</v>
          </cell>
          <cell r="G364">
            <v>0.29919620491337184</v>
          </cell>
        </row>
        <row r="365">
          <cell r="A365" t="str">
            <v>24,12</v>
          </cell>
          <cell r="B365" t="str">
            <v>LMB 7 kr</v>
          </cell>
          <cell r="C365" t="str">
            <v>Muka b2</v>
          </cell>
          <cell r="D365">
            <v>13</v>
          </cell>
          <cell r="E365">
            <v>23.400000000000002</v>
          </cell>
          <cell r="F365">
            <v>0.35</v>
          </cell>
          <cell r="G365">
            <v>0.1881943748633107</v>
          </cell>
        </row>
        <row r="366">
          <cell r="A366" t="str">
            <v>24,13</v>
          </cell>
          <cell r="B366" t="str">
            <v>LMB 7 kr</v>
          </cell>
          <cell r="C366" t="str">
            <v>Muka b4</v>
          </cell>
          <cell r="D366">
            <v>9</v>
          </cell>
          <cell r="E366">
            <v>16.2</v>
          </cell>
          <cell r="F366">
            <v>0.35</v>
          </cell>
          <cell r="G366">
            <v>0.15443256341809378</v>
          </cell>
        </row>
        <row r="367">
          <cell r="A367" t="str">
            <v>24,14</v>
          </cell>
          <cell r="B367" t="str">
            <v>LMB 7 kr</v>
          </cell>
          <cell r="C367" t="str">
            <v>Muka c4</v>
          </cell>
          <cell r="D367">
            <v>16</v>
          </cell>
          <cell r="E367">
            <v>28.8</v>
          </cell>
          <cell r="F367">
            <v>0.35</v>
          </cell>
          <cell r="G367">
            <v>0.20997228774260737</v>
          </cell>
        </row>
        <row r="368">
          <cell r="A368" t="str">
            <v>24,15</v>
          </cell>
          <cell r="B368" t="str">
            <v>LMB 7 kr</v>
          </cell>
          <cell r="C368" t="str">
            <v>Tersier T5-K1</v>
          </cell>
          <cell r="D368">
            <v>24</v>
          </cell>
          <cell r="E368">
            <v>43.2</v>
          </cell>
          <cell r="F368">
            <v>0.35</v>
          </cell>
          <cell r="G368">
            <v>0.24424990344253514</v>
          </cell>
        </row>
        <row r="369">
          <cell r="A369" t="str">
            <v>24,16</v>
          </cell>
          <cell r="B369" t="str">
            <v>LMB 7 kr</v>
          </cell>
          <cell r="C369" t="str">
            <v>Tersier T4-T5</v>
          </cell>
          <cell r="D369">
            <v>32</v>
          </cell>
          <cell r="E369">
            <v>57.6</v>
          </cell>
          <cell r="F369">
            <v>0.4</v>
          </cell>
          <cell r="G369">
            <v>0.28354060966371847</v>
          </cell>
        </row>
        <row r="370">
          <cell r="A370" t="str">
            <v>24,17</v>
          </cell>
          <cell r="B370" t="str">
            <v>LMB 7 kr</v>
          </cell>
          <cell r="C370" t="str">
            <v>Tersier T3-T4</v>
          </cell>
          <cell r="D370">
            <v>64</v>
          </cell>
          <cell r="E370">
            <v>115.2</v>
          </cell>
          <cell r="F370">
            <v>0.4</v>
          </cell>
          <cell r="G370">
            <v>0.38444654973193038</v>
          </cell>
        </row>
        <row r="371">
          <cell r="A371" t="str">
            <v>24,18</v>
          </cell>
          <cell r="B371" t="str">
            <v>LMB 7 kr</v>
          </cell>
          <cell r="C371" t="str">
            <v>Tersier T2-T3</v>
          </cell>
          <cell r="D371">
            <v>85</v>
          </cell>
          <cell r="E371">
            <v>153</v>
          </cell>
          <cell r="F371">
            <v>0.45</v>
          </cell>
          <cell r="G371">
            <v>0.42597543816267819</v>
          </cell>
        </row>
        <row r="372">
          <cell r="A372" t="str">
            <v>24,19</v>
          </cell>
          <cell r="B372" t="str">
            <v>LMB 7 kr</v>
          </cell>
          <cell r="C372" t="str">
            <v>Tersier T1-T2</v>
          </cell>
          <cell r="D372">
            <v>108</v>
          </cell>
          <cell r="E372">
            <v>194.4</v>
          </cell>
          <cell r="F372">
            <v>0.5</v>
          </cell>
          <cell r="G372">
            <v>0.46353632051752441</v>
          </cell>
        </row>
        <row r="373">
          <cell r="A373" t="str">
            <v>24,20</v>
          </cell>
          <cell r="B373" t="str">
            <v>LMB 7 kr</v>
          </cell>
          <cell r="C373" t="str">
            <v>Tersier BLMB7-T1</v>
          </cell>
          <cell r="D373">
            <v>119</v>
          </cell>
          <cell r="E373">
            <v>214.20000000000002</v>
          </cell>
          <cell r="F373">
            <v>0.5</v>
          </cell>
          <cell r="G373">
            <v>0.48665578282369387</v>
          </cell>
        </row>
        <row r="375">
          <cell r="A375">
            <v>25</v>
          </cell>
          <cell r="B375" t="str">
            <v>LMT 1 kn</v>
          </cell>
          <cell r="D375">
            <v>0</v>
          </cell>
        </row>
        <row r="376">
          <cell r="A376" t="str">
            <v>25,1</v>
          </cell>
          <cell r="B376" t="str">
            <v>LMT 1 kn</v>
          </cell>
          <cell r="C376" t="str">
            <v>Kwarter a1</v>
          </cell>
          <cell r="D376">
            <v>13</v>
          </cell>
          <cell r="E376">
            <v>23.400000000000002</v>
          </cell>
          <cell r="F376">
            <v>0.3</v>
          </cell>
          <cell r="G376">
            <v>0.2695767640723864</v>
          </cell>
        </row>
        <row r="377">
          <cell r="A377" t="str">
            <v>25,2</v>
          </cell>
          <cell r="B377" t="str">
            <v>LMT 1 kn</v>
          </cell>
          <cell r="C377" t="str">
            <v>Kwarter a2</v>
          </cell>
          <cell r="D377">
            <v>10</v>
          </cell>
          <cell r="E377">
            <v>18</v>
          </cell>
          <cell r="F377">
            <v>0.3</v>
          </cell>
          <cell r="G377">
            <v>0.23577879671478721</v>
          </cell>
        </row>
        <row r="378">
          <cell r="A378" t="str">
            <v>25,3</v>
          </cell>
          <cell r="B378" t="str">
            <v>LMT 1 kn</v>
          </cell>
          <cell r="C378" t="str">
            <v>Kwarter a3</v>
          </cell>
          <cell r="D378">
            <v>13</v>
          </cell>
          <cell r="E378">
            <v>23.400000000000002</v>
          </cell>
          <cell r="F378">
            <v>0.3</v>
          </cell>
          <cell r="G378">
            <v>0.2695767640723864</v>
          </cell>
        </row>
        <row r="379">
          <cell r="A379" t="str">
            <v>25,4</v>
          </cell>
          <cell r="B379" t="str">
            <v>LMT 1 kn</v>
          </cell>
          <cell r="C379" t="str">
            <v>Kwarter b1</v>
          </cell>
          <cell r="D379">
            <v>8</v>
          </cell>
          <cell r="E379">
            <v>15</v>
          </cell>
          <cell r="F379">
            <v>0.3</v>
          </cell>
          <cell r="G379">
            <v>0.21450182246807867</v>
          </cell>
        </row>
        <row r="380">
          <cell r="A380" t="str">
            <v>25,5</v>
          </cell>
          <cell r="B380" t="str">
            <v>LMT 1 kn</v>
          </cell>
          <cell r="C380" t="str">
            <v>Kwarter b2</v>
          </cell>
          <cell r="D380">
            <v>8</v>
          </cell>
          <cell r="E380">
            <v>15</v>
          </cell>
          <cell r="F380">
            <v>0.3</v>
          </cell>
          <cell r="G380">
            <v>0.21450182246807867</v>
          </cell>
        </row>
        <row r="381">
          <cell r="A381" t="str">
            <v>25,6</v>
          </cell>
          <cell r="B381" t="str">
            <v>LMT 1 kn</v>
          </cell>
          <cell r="C381" t="str">
            <v>Kwarter b3</v>
          </cell>
          <cell r="D381">
            <v>9</v>
          </cell>
          <cell r="E381">
            <v>16.2</v>
          </cell>
          <cell r="F381">
            <v>0.3</v>
          </cell>
          <cell r="G381">
            <v>0.2232716283144332</v>
          </cell>
        </row>
        <row r="382">
          <cell r="A382" t="str">
            <v>25,7</v>
          </cell>
          <cell r="B382" t="str">
            <v>LMT 1 kn</v>
          </cell>
          <cell r="C382" t="str">
            <v>Muka a3</v>
          </cell>
          <cell r="D382">
            <v>13</v>
          </cell>
          <cell r="E382">
            <v>23.400000000000002</v>
          </cell>
          <cell r="F382">
            <v>0.3</v>
          </cell>
          <cell r="G382">
            <v>0.18819437475228018</v>
          </cell>
        </row>
        <row r="383">
          <cell r="A383" t="str">
            <v>25,8</v>
          </cell>
          <cell r="B383" t="str">
            <v>LMT 1 kn</v>
          </cell>
          <cell r="C383" t="str">
            <v>Tersier T2-K2</v>
          </cell>
          <cell r="D383">
            <v>17</v>
          </cell>
          <cell r="E383">
            <v>30.6</v>
          </cell>
          <cell r="F383">
            <v>0.35</v>
          </cell>
          <cell r="G383">
            <v>0.20999999999999985</v>
          </cell>
        </row>
        <row r="384">
          <cell r="A384" t="str">
            <v>25,9</v>
          </cell>
          <cell r="B384" t="str">
            <v>LMT 1 kn</v>
          </cell>
          <cell r="C384" t="str">
            <v>Tersier T1-T2</v>
          </cell>
          <cell r="D384">
            <v>25</v>
          </cell>
          <cell r="E384">
            <v>45</v>
          </cell>
          <cell r="F384">
            <v>0.35</v>
          </cell>
          <cell r="G384">
            <v>0.24999999999999989</v>
          </cell>
        </row>
        <row r="385">
          <cell r="A385" t="str">
            <v>25,10</v>
          </cell>
          <cell r="B385" t="str">
            <v>LMT 1 kn</v>
          </cell>
          <cell r="C385" t="str">
            <v>Tersier T1-K1</v>
          </cell>
          <cell r="D385">
            <v>23</v>
          </cell>
          <cell r="E385">
            <v>41.4</v>
          </cell>
          <cell r="F385">
            <v>0.35</v>
          </cell>
          <cell r="G385">
            <v>0.23999999999999988</v>
          </cell>
        </row>
        <row r="386">
          <cell r="A386" t="str">
            <v>25,11</v>
          </cell>
          <cell r="B386" t="str">
            <v>LMT 1 kn</v>
          </cell>
          <cell r="C386" t="str">
            <v>Tersier BLMT1-T1</v>
          </cell>
          <cell r="D386">
            <v>61</v>
          </cell>
          <cell r="E386">
            <v>109.8</v>
          </cell>
          <cell r="F386">
            <v>0.45</v>
          </cell>
          <cell r="G386">
            <v>0.35989428111272198</v>
          </cell>
        </row>
        <row r="388">
          <cell r="A388">
            <v>26</v>
          </cell>
          <cell r="B388" t="str">
            <v>LMT 1 kr1</v>
          </cell>
          <cell r="D388">
            <v>0</v>
          </cell>
        </row>
        <row r="389">
          <cell r="A389" t="str">
            <v>26,1</v>
          </cell>
          <cell r="B389" t="str">
            <v>LMT 1 kr1</v>
          </cell>
          <cell r="C389" t="str">
            <v>Kwarter a1</v>
          </cell>
          <cell r="D389">
            <v>9</v>
          </cell>
          <cell r="E389">
            <v>16.2</v>
          </cell>
          <cell r="F389">
            <v>0.3</v>
          </cell>
          <cell r="G389">
            <v>0.2232716283144332</v>
          </cell>
        </row>
        <row r="390">
          <cell r="A390" t="str">
            <v>26,2</v>
          </cell>
          <cell r="B390" t="str">
            <v>LMT 1 kr1</v>
          </cell>
          <cell r="C390" t="str">
            <v>Kwarter a2</v>
          </cell>
          <cell r="D390">
            <v>7</v>
          </cell>
          <cell r="E390">
            <v>15</v>
          </cell>
          <cell r="F390">
            <v>0.3</v>
          </cell>
          <cell r="G390">
            <v>0.21450182246807867</v>
          </cell>
        </row>
        <row r="391">
          <cell r="A391" t="str">
            <v>26,3</v>
          </cell>
          <cell r="B391" t="str">
            <v>LMT 1 kr1</v>
          </cell>
          <cell r="C391" t="str">
            <v>Kwarter a3</v>
          </cell>
          <cell r="D391">
            <v>6</v>
          </cell>
          <cell r="E391">
            <v>15</v>
          </cell>
          <cell r="F391">
            <v>0.3</v>
          </cell>
          <cell r="G391">
            <v>0.21450182246807867</v>
          </cell>
        </row>
        <row r="392">
          <cell r="A392" t="str">
            <v>26,4</v>
          </cell>
          <cell r="B392" t="str">
            <v>LMT 1 kr1</v>
          </cell>
          <cell r="C392" t="str">
            <v>Kwarter a4</v>
          </cell>
          <cell r="D392">
            <v>9</v>
          </cell>
          <cell r="E392">
            <v>16.2</v>
          </cell>
          <cell r="F392">
            <v>0.3</v>
          </cell>
          <cell r="G392">
            <v>0.2232716283144332</v>
          </cell>
        </row>
        <row r="393">
          <cell r="A393" t="str">
            <v>26,5</v>
          </cell>
          <cell r="B393" t="str">
            <v>LMT 1 kr1</v>
          </cell>
          <cell r="C393" t="str">
            <v>Kwarter b1</v>
          </cell>
          <cell r="D393">
            <v>9</v>
          </cell>
          <cell r="E393">
            <v>16.2</v>
          </cell>
          <cell r="F393">
            <v>0.3</v>
          </cell>
          <cell r="G393">
            <v>0.2232716283144332</v>
          </cell>
        </row>
        <row r="394">
          <cell r="A394" t="str">
            <v>26,6</v>
          </cell>
          <cell r="B394" t="str">
            <v>LMT 1 kr1</v>
          </cell>
          <cell r="C394" t="str">
            <v>Kwarter b2</v>
          </cell>
          <cell r="D394">
            <v>8</v>
          </cell>
          <cell r="E394">
            <v>15</v>
          </cell>
          <cell r="F394">
            <v>0.3</v>
          </cell>
          <cell r="G394">
            <v>0.21450182246807867</v>
          </cell>
        </row>
        <row r="395">
          <cell r="A395" t="str">
            <v>26,7</v>
          </cell>
          <cell r="B395" t="str">
            <v>LMT 1 kr1</v>
          </cell>
          <cell r="C395" t="str">
            <v>Kwarter b3</v>
          </cell>
          <cell r="D395">
            <v>9</v>
          </cell>
          <cell r="E395">
            <v>16.2</v>
          </cell>
          <cell r="F395">
            <v>0.3</v>
          </cell>
          <cell r="G395">
            <v>0.2232716283144332</v>
          </cell>
        </row>
        <row r="396">
          <cell r="A396" t="str">
            <v>26,8</v>
          </cell>
          <cell r="B396" t="str">
            <v>LMT 1 kr1</v>
          </cell>
          <cell r="C396" t="str">
            <v>Kwarter c1</v>
          </cell>
          <cell r="D396">
            <v>6</v>
          </cell>
          <cell r="E396">
            <v>15</v>
          </cell>
          <cell r="F396">
            <v>0.3</v>
          </cell>
          <cell r="G396">
            <v>0.21450182246807867</v>
          </cell>
        </row>
        <row r="397">
          <cell r="A397" t="str">
            <v>26,9</v>
          </cell>
          <cell r="B397" t="str">
            <v>LMT 1 kr1</v>
          </cell>
          <cell r="C397" t="str">
            <v>Kwarter c2</v>
          </cell>
          <cell r="D397">
            <v>5</v>
          </cell>
          <cell r="E397">
            <v>15</v>
          </cell>
          <cell r="F397">
            <v>0.3</v>
          </cell>
          <cell r="G397">
            <v>0.21450182246807867</v>
          </cell>
        </row>
        <row r="398">
          <cell r="A398" t="str">
            <v>26,10</v>
          </cell>
          <cell r="B398" t="str">
            <v>LMT 1 kr1</v>
          </cell>
          <cell r="C398" t="str">
            <v>Kwarter c3</v>
          </cell>
          <cell r="D398">
            <v>6</v>
          </cell>
          <cell r="E398">
            <v>15</v>
          </cell>
          <cell r="F398">
            <v>0.3</v>
          </cell>
          <cell r="G398">
            <v>0.21450182246807867</v>
          </cell>
        </row>
        <row r="399">
          <cell r="A399" t="str">
            <v>26,11</v>
          </cell>
          <cell r="B399" t="str">
            <v>LMT 1 kr1</v>
          </cell>
          <cell r="C399" t="str">
            <v>Kwarter cab c3</v>
          </cell>
          <cell r="E399">
            <v>15</v>
          </cell>
          <cell r="F399">
            <v>0.3</v>
          </cell>
          <cell r="G399">
            <v>0.21450182246807867</v>
          </cell>
        </row>
        <row r="400">
          <cell r="A400" t="str">
            <v>26,12</v>
          </cell>
          <cell r="B400" t="str">
            <v>LMT 1 kr1</v>
          </cell>
          <cell r="C400" t="str">
            <v>Kwarter c4</v>
          </cell>
          <cell r="D400">
            <v>9</v>
          </cell>
          <cell r="E400">
            <v>16.2</v>
          </cell>
          <cell r="F400">
            <v>0.3</v>
          </cell>
          <cell r="G400">
            <v>0.2232716283144332</v>
          </cell>
        </row>
        <row r="401">
          <cell r="A401" t="str">
            <v>26,13</v>
          </cell>
          <cell r="B401" t="str">
            <v>LMT 1 kr1</v>
          </cell>
          <cell r="C401" t="str">
            <v>Muka a3</v>
          </cell>
          <cell r="D401">
            <v>6</v>
          </cell>
          <cell r="E401">
            <v>15</v>
          </cell>
          <cell r="F401">
            <v>0.3</v>
          </cell>
          <cell r="G401">
            <v>0.14999999999999986</v>
          </cell>
        </row>
        <row r="402">
          <cell r="A402" t="str">
            <v>26,14</v>
          </cell>
          <cell r="B402" t="str">
            <v>LMT 1 kr1</v>
          </cell>
          <cell r="C402" t="str">
            <v>Muka a4</v>
          </cell>
          <cell r="D402">
            <v>9</v>
          </cell>
          <cell r="E402">
            <v>16.2</v>
          </cell>
          <cell r="F402">
            <v>0.3</v>
          </cell>
          <cell r="G402">
            <v>0.15999999999999986</v>
          </cell>
        </row>
        <row r="403">
          <cell r="A403" t="str">
            <v>26,15</v>
          </cell>
          <cell r="B403" t="str">
            <v>LMT 1 kr1</v>
          </cell>
          <cell r="C403" t="str">
            <v>Muka b1</v>
          </cell>
          <cell r="D403">
            <v>9</v>
          </cell>
          <cell r="E403">
            <v>16.2</v>
          </cell>
          <cell r="F403">
            <v>0.3</v>
          </cell>
          <cell r="G403">
            <v>0.15443256341809378</v>
          </cell>
        </row>
        <row r="404">
          <cell r="A404" t="str">
            <v>26,16</v>
          </cell>
          <cell r="B404" t="str">
            <v>LMT 1 kr1</v>
          </cell>
          <cell r="C404" t="str">
            <v>Muka c3</v>
          </cell>
          <cell r="D404">
            <v>6</v>
          </cell>
          <cell r="E404">
            <v>15</v>
          </cell>
          <cell r="F404">
            <v>0.3</v>
          </cell>
          <cell r="G404">
            <v>0.1480841412385186</v>
          </cell>
        </row>
        <row r="405">
          <cell r="A405" t="str">
            <v>26,17</v>
          </cell>
          <cell r="B405" t="str">
            <v>LMT 1 kr1</v>
          </cell>
          <cell r="C405" t="str">
            <v>Tersier T3-K2</v>
          </cell>
          <cell r="D405">
            <v>15</v>
          </cell>
          <cell r="E405">
            <v>27</v>
          </cell>
          <cell r="F405">
            <v>0.3</v>
          </cell>
          <cell r="G405">
            <v>0.20999999999999991</v>
          </cell>
        </row>
        <row r="406">
          <cell r="A406" t="str">
            <v>26,18</v>
          </cell>
          <cell r="B406" t="str">
            <v>LMT 1 kr1</v>
          </cell>
          <cell r="C406" t="str">
            <v>Tersier T2-T3</v>
          </cell>
          <cell r="D406">
            <v>26</v>
          </cell>
          <cell r="E406">
            <v>46.800000000000004</v>
          </cell>
          <cell r="F406">
            <v>0.35</v>
          </cell>
          <cell r="G406">
            <v>0.2599999999999999</v>
          </cell>
        </row>
        <row r="407">
          <cell r="A407" t="str">
            <v>26,19</v>
          </cell>
          <cell r="B407" t="str">
            <v>LMT 1 kr1</v>
          </cell>
          <cell r="C407" t="str">
            <v>Tersier T1-T2</v>
          </cell>
          <cell r="D407">
            <v>52</v>
          </cell>
          <cell r="E407">
            <v>93.600000000000009</v>
          </cell>
          <cell r="F407">
            <v>0.39999999999999997</v>
          </cell>
          <cell r="G407">
            <v>0.34999999999999992</v>
          </cell>
        </row>
        <row r="408">
          <cell r="A408" t="str">
            <v>26,20</v>
          </cell>
          <cell r="B408" t="str">
            <v>LMT 1 kr1</v>
          </cell>
          <cell r="C408" t="str">
            <v>Tersier T1-K1</v>
          </cell>
          <cell r="D408">
            <v>31</v>
          </cell>
          <cell r="E408">
            <v>55.800000000000004</v>
          </cell>
          <cell r="F408">
            <v>0.35</v>
          </cell>
          <cell r="G408">
            <v>0.27999999999999992</v>
          </cell>
        </row>
        <row r="409">
          <cell r="A409" t="str">
            <v>26,21</v>
          </cell>
          <cell r="B409" t="str">
            <v>LMT 1 kr1</v>
          </cell>
          <cell r="C409" t="str">
            <v>Muka LMT 1kr1</v>
          </cell>
          <cell r="D409">
            <v>83</v>
          </cell>
          <cell r="E409">
            <v>149.4</v>
          </cell>
          <cell r="F409">
            <v>0.45</v>
          </cell>
          <cell r="G409">
            <v>0.42090911364967576</v>
          </cell>
        </row>
        <row r="411">
          <cell r="A411">
            <v>27</v>
          </cell>
          <cell r="B411" t="str">
            <v>LMT 1 kr2</v>
          </cell>
          <cell r="D411">
            <v>0</v>
          </cell>
        </row>
        <row r="412">
          <cell r="A412" t="str">
            <v>27,1</v>
          </cell>
          <cell r="B412" t="str">
            <v>LMT 1 kr2</v>
          </cell>
          <cell r="C412" t="str">
            <v>Kwarter a1</v>
          </cell>
          <cell r="D412">
            <v>7</v>
          </cell>
          <cell r="E412">
            <v>15</v>
          </cell>
          <cell r="F412">
            <v>0.3</v>
          </cell>
          <cell r="G412">
            <v>0.21450182246807867</v>
          </cell>
        </row>
        <row r="413">
          <cell r="A413" t="str">
            <v>27,2</v>
          </cell>
          <cell r="B413" t="str">
            <v>LMT 1 kr2</v>
          </cell>
          <cell r="C413" t="str">
            <v>Kwarter a2</v>
          </cell>
          <cell r="D413">
            <v>11</v>
          </cell>
          <cell r="E413">
            <v>19.8</v>
          </cell>
          <cell r="F413">
            <v>0.3</v>
          </cell>
          <cell r="G413">
            <v>0.24760852941408978</v>
          </cell>
        </row>
        <row r="414">
          <cell r="A414" t="str">
            <v>27,3</v>
          </cell>
          <cell r="B414" t="str">
            <v>LMT 1 kr2</v>
          </cell>
          <cell r="C414" t="str">
            <v>Kwarter a3</v>
          </cell>
          <cell r="D414">
            <v>6</v>
          </cell>
          <cell r="E414">
            <v>15</v>
          </cell>
          <cell r="F414">
            <v>0.3</v>
          </cell>
          <cell r="G414">
            <v>0.21450182246807867</v>
          </cell>
        </row>
        <row r="415">
          <cell r="A415" t="str">
            <v>27,4</v>
          </cell>
          <cell r="B415" t="str">
            <v>LMT 1 kr2</v>
          </cell>
          <cell r="C415" t="str">
            <v>Kwarter b1</v>
          </cell>
          <cell r="D415">
            <v>6</v>
          </cell>
          <cell r="E415">
            <v>15</v>
          </cell>
          <cell r="F415">
            <v>0.3</v>
          </cell>
          <cell r="G415">
            <v>0.21450182246807867</v>
          </cell>
        </row>
        <row r="416">
          <cell r="A416" t="str">
            <v>27,5</v>
          </cell>
          <cell r="B416" t="str">
            <v>LMT 1 kr2</v>
          </cell>
          <cell r="C416" t="str">
            <v>Kwarter b2</v>
          </cell>
          <cell r="D416">
            <v>9</v>
          </cell>
          <cell r="E416">
            <v>16.2</v>
          </cell>
          <cell r="F416">
            <v>0.3</v>
          </cell>
          <cell r="G416">
            <v>0.2232716283144332</v>
          </cell>
        </row>
        <row r="417">
          <cell r="A417" t="str">
            <v>27,6</v>
          </cell>
          <cell r="B417" t="str">
            <v>LMT 1 kr2</v>
          </cell>
          <cell r="C417" t="str">
            <v>Kwarter b3</v>
          </cell>
          <cell r="D417">
            <v>12</v>
          </cell>
          <cell r="E417">
            <v>21.6</v>
          </cell>
          <cell r="F417">
            <v>0.3</v>
          </cell>
          <cell r="G417">
            <v>0.25885059005180217</v>
          </cell>
        </row>
        <row r="418">
          <cell r="A418" t="str">
            <v>27,7</v>
          </cell>
          <cell r="B418" t="str">
            <v>LMT 1 kr2</v>
          </cell>
          <cell r="C418" t="str">
            <v>Kwarter b4</v>
          </cell>
          <cell r="D418">
            <v>11</v>
          </cell>
          <cell r="E418">
            <v>19.8</v>
          </cell>
          <cell r="F418">
            <v>0.3</v>
          </cell>
          <cell r="G418">
            <v>0.24760852941408978</v>
          </cell>
        </row>
        <row r="419">
          <cell r="A419" t="str">
            <v>27,8</v>
          </cell>
          <cell r="B419" t="str">
            <v>LMT 1 kr2</v>
          </cell>
          <cell r="C419" t="str">
            <v>Kwarter cab a1</v>
          </cell>
          <cell r="E419">
            <v>15</v>
          </cell>
          <cell r="F419">
            <v>0.3</v>
          </cell>
          <cell r="G419">
            <v>0.21450182246807867</v>
          </cell>
        </row>
        <row r="420">
          <cell r="A420" t="str">
            <v>27,9</v>
          </cell>
          <cell r="B420" t="str">
            <v>LMT 1 kr2</v>
          </cell>
          <cell r="C420" t="str">
            <v>Muka b3</v>
          </cell>
          <cell r="D420">
            <v>12</v>
          </cell>
          <cell r="E420">
            <v>21.6</v>
          </cell>
          <cell r="F420">
            <v>0.3</v>
          </cell>
          <cell r="G420">
            <v>0.18034054101774066</v>
          </cell>
        </row>
        <row r="421">
          <cell r="A421" t="str">
            <v>27,10</v>
          </cell>
          <cell r="B421" t="str">
            <v>LMT 1 kr2</v>
          </cell>
          <cell r="C421" t="str">
            <v>Tersier T3-K1</v>
          </cell>
          <cell r="D421">
            <v>21</v>
          </cell>
          <cell r="E421">
            <v>37.800000000000004</v>
          </cell>
          <cell r="F421">
            <v>0.35</v>
          </cell>
          <cell r="G421">
            <v>0.22999999999999987</v>
          </cell>
        </row>
        <row r="422">
          <cell r="A422" t="str">
            <v>27,11</v>
          </cell>
          <cell r="B422" t="str">
            <v>LMT 1 kr2</v>
          </cell>
          <cell r="C422" t="str">
            <v>Tersier T2-T3</v>
          </cell>
          <cell r="D422">
            <v>38</v>
          </cell>
          <cell r="E422">
            <v>68.400000000000006</v>
          </cell>
          <cell r="F422">
            <v>0.35</v>
          </cell>
          <cell r="G422">
            <v>0.30999999999999994</v>
          </cell>
        </row>
        <row r="423">
          <cell r="A423" t="str">
            <v>27,12</v>
          </cell>
          <cell r="B423" t="str">
            <v>LMT 1 kr2</v>
          </cell>
          <cell r="C423" t="str">
            <v>Tersier T1-T2</v>
          </cell>
          <cell r="D423">
            <v>55</v>
          </cell>
          <cell r="E423">
            <v>99</v>
          </cell>
          <cell r="F423">
            <v>0.39999999999999997</v>
          </cell>
          <cell r="G423">
            <v>0.35999999999999993</v>
          </cell>
        </row>
        <row r="424">
          <cell r="A424" t="str">
            <v>27,13</v>
          </cell>
          <cell r="B424" t="str">
            <v>LMT 1 kr2</v>
          </cell>
          <cell r="C424" t="str">
            <v>Tersier BLMT1-T1</v>
          </cell>
          <cell r="D424">
            <v>62</v>
          </cell>
          <cell r="E424">
            <v>111.60000000000001</v>
          </cell>
          <cell r="F424">
            <v>0.45</v>
          </cell>
          <cell r="G424">
            <v>0.36299999999999999</v>
          </cell>
        </row>
        <row r="426">
          <cell r="A426">
            <v>28</v>
          </cell>
          <cell r="B426" t="str">
            <v>LMT 2 kn</v>
          </cell>
          <cell r="D426">
            <v>0</v>
          </cell>
        </row>
        <row r="427">
          <cell r="A427" t="str">
            <v>28,1</v>
          </cell>
          <cell r="B427" t="str">
            <v>LMT 2 kn</v>
          </cell>
          <cell r="C427" t="str">
            <v>Kwarter a1</v>
          </cell>
          <cell r="D427">
            <v>12</v>
          </cell>
          <cell r="E427">
            <v>21.6</v>
          </cell>
          <cell r="F427">
            <v>0.3</v>
          </cell>
          <cell r="G427">
            <v>0.25885059005180217</v>
          </cell>
        </row>
        <row r="429">
          <cell r="A429">
            <v>29</v>
          </cell>
          <cell r="B429" t="str">
            <v>LMT 2 kr</v>
          </cell>
          <cell r="D429">
            <v>0</v>
          </cell>
        </row>
        <row r="430">
          <cell r="A430" t="str">
            <v>29,1</v>
          </cell>
          <cell r="B430" t="str">
            <v>LMT 2 kr</v>
          </cell>
          <cell r="C430" t="str">
            <v>Kwarter a1</v>
          </cell>
          <cell r="D430">
            <v>8</v>
          </cell>
          <cell r="E430">
            <v>15</v>
          </cell>
          <cell r="F430">
            <v>0.3</v>
          </cell>
          <cell r="G430">
            <v>0.21450182246807867</v>
          </cell>
        </row>
        <row r="431">
          <cell r="A431" t="str">
            <v>29,2</v>
          </cell>
          <cell r="B431" t="str">
            <v>LMT 2 kr</v>
          </cell>
          <cell r="C431" t="str">
            <v>Kwarter a2</v>
          </cell>
          <cell r="D431">
            <v>4</v>
          </cell>
          <cell r="E431">
            <v>15</v>
          </cell>
          <cell r="F431">
            <v>0.3</v>
          </cell>
          <cell r="G431">
            <v>0.21450182246807867</v>
          </cell>
        </row>
        <row r="432">
          <cell r="A432" t="str">
            <v>29,3</v>
          </cell>
          <cell r="B432" t="str">
            <v>LMT 2 kr</v>
          </cell>
          <cell r="C432" t="str">
            <v>Kwarter a3</v>
          </cell>
          <cell r="D432">
            <v>4</v>
          </cell>
          <cell r="E432">
            <v>15</v>
          </cell>
          <cell r="F432">
            <v>0.3</v>
          </cell>
          <cell r="G432">
            <v>0.21450182246807867</v>
          </cell>
        </row>
        <row r="433">
          <cell r="A433" t="str">
            <v>29,4</v>
          </cell>
          <cell r="B433" t="str">
            <v>LMT 2 kr</v>
          </cell>
          <cell r="C433" t="str">
            <v>Kwarter b1</v>
          </cell>
          <cell r="D433">
            <v>9</v>
          </cell>
          <cell r="E433">
            <v>16.2</v>
          </cell>
          <cell r="F433">
            <v>0.3</v>
          </cell>
          <cell r="G433">
            <v>0.2232716283144332</v>
          </cell>
        </row>
        <row r="434">
          <cell r="A434" t="str">
            <v>29,5</v>
          </cell>
          <cell r="B434" t="str">
            <v>LMT 2 kr</v>
          </cell>
          <cell r="C434" t="str">
            <v>Kwarter b2</v>
          </cell>
          <cell r="D434">
            <v>10</v>
          </cell>
          <cell r="E434">
            <v>18</v>
          </cell>
          <cell r="F434">
            <v>0.3</v>
          </cell>
          <cell r="G434">
            <v>0.23577879671478721</v>
          </cell>
        </row>
        <row r="435">
          <cell r="A435" t="str">
            <v>29,6</v>
          </cell>
          <cell r="B435" t="str">
            <v>LMT 2 kr</v>
          </cell>
          <cell r="C435" t="str">
            <v>Kwarter cab b1</v>
          </cell>
          <cell r="E435">
            <v>15</v>
          </cell>
          <cell r="F435">
            <v>0.3</v>
          </cell>
          <cell r="G435">
            <v>0.21450182246807867</v>
          </cell>
        </row>
        <row r="436">
          <cell r="A436" t="str">
            <v>29,7</v>
          </cell>
          <cell r="B436" t="str">
            <v>LMT 2 kr</v>
          </cell>
          <cell r="C436" t="str">
            <v>Muka b2</v>
          </cell>
          <cell r="D436">
            <v>10</v>
          </cell>
          <cell r="E436">
            <v>18</v>
          </cell>
          <cell r="F436">
            <v>0.4</v>
          </cell>
          <cell r="G436">
            <v>0.16351330633082431</v>
          </cell>
        </row>
        <row r="437">
          <cell r="A437" t="str">
            <v>29,8</v>
          </cell>
          <cell r="B437" t="str">
            <v>LMT 2 kr</v>
          </cell>
          <cell r="C437" t="str">
            <v>Tersier T2-K1</v>
          </cell>
          <cell r="D437">
            <v>19</v>
          </cell>
          <cell r="E437">
            <v>34.200000000000003</v>
          </cell>
          <cell r="F437">
            <v>0.4</v>
          </cell>
          <cell r="G437">
            <v>0.22961638188784486</v>
          </cell>
        </row>
        <row r="438">
          <cell r="A438" t="str">
            <v>29,9</v>
          </cell>
          <cell r="B438" t="str">
            <v>LMT 2 kr</v>
          </cell>
          <cell r="C438" t="str">
            <v>Tersier T1-T2</v>
          </cell>
          <cell r="D438">
            <v>23</v>
          </cell>
          <cell r="E438">
            <v>41.4</v>
          </cell>
          <cell r="F438">
            <v>0.4</v>
          </cell>
          <cell r="G438">
            <v>0.25329817374947827</v>
          </cell>
        </row>
        <row r="439">
          <cell r="A439" t="str">
            <v>29,10</v>
          </cell>
          <cell r="B439" t="str">
            <v>LMT 2 kr</v>
          </cell>
          <cell r="C439" t="str">
            <v>Tersier BLMT2-T1</v>
          </cell>
          <cell r="D439">
            <v>35</v>
          </cell>
          <cell r="E439">
            <v>63</v>
          </cell>
          <cell r="F439">
            <v>0.4</v>
          </cell>
          <cell r="G439">
            <v>0.29684184672606706</v>
          </cell>
        </row>
        <row r="441">
          <cell r="A441">
            <v>30</v>
          </cell>
          <cell r="B441" t="str">
            <v>LMT 3 kn</v>
          </cell>
          <cell r="D441">
            <v>0</v>
          </cell>
        </row>
        <row r="442">
          <cell r="A442" t="str">
            <v>30,1</v>
          </cell>
          <cell r="B442" t="str">
            <v>LMT 3 kn</v>
          </cell>
          <cell r="C442" t="str">
            <v>Kwarter a1</v>
          </cell>
          <cell r="D442">
            <v>6</v>
          </cell>
          <cell r="E442">
            <v>15</v>
          </cell>
          <cell r="F442">
            <v>0.3</v>
          </cell>
          <cell r="G442">
            <v>0.21450182246807867</v>
          </cell>
        </row>
        <row r="443">
          <cell r="A443" t="str">
            <v>30,2</v>
          </cell>
          <cell r="B443" t="str">
            <v>LMT 3 kn</v>
          </cell>
          <cell r="C443" t="str">
            <v>Kwarter a2</v>
          </cell>
          <cell r="D443">
            <v>6</v>
          </cell>
          <cell r="E443">
            <v>15</v>
          </cell>
          <cell r="F443">
            <v>0.3</v>
          </cell>
          <cell r="G443">
            <v>0.21450182246807867</v>
          </cell>
        </row>
        <row r="444">
          <cell r="A444" t="str">
            <v>30,3</v>
          </cell>
          <cell r="B444" t="str">
            <v>LMT 3 kn</v>
          </cell>
          <cell r="C444" t="str">
            <v>Kwarter a3</v>
          </cell>
          <cell r="D444">
            <v>6</v>
          </cell>
          <cell r="E444">
            <v>15</v>
          </cell>
          <cell r="F444">
            <v>0.3</v>
          </cell>
          <cell r="G444">
            <v>0.21450182246807867</v>
          </cell>
        </row>
        <row r="445">
          <cell r="A445" t="str">
            <v>30,4</v>
          </cell>
          <cell r="B445" t="str">
            <v>LMT 3 kn</v>
          </cell>
          <cell r="C445" t="str">
            <v>Kwarter a4</v>
          </cell>
          <cell r="D445">
            <v>7</v>
          </cell>
          <cell r="E445">
            <v>15</v>
          </cell>
          <cell r="F445">
            <v>0.3</v>
          </cell>
          <cell r="G445">
            <v>0.21450182246807867</v>
          </cell>
        </row>
        <row r="446">
          <cell r="A446" t="str">
            <v>30,5</v>
          </cell>
          <cell r="B446" t="str">
            <v>LMT 3 kn</v>
          </cell>
          <cell r="C446" t="str">
            <v>Kwarter a5</v>
          </cell>
          <cell r="D446">
            <v>8</v>
          </cell>
          <cell r="E446">
            <v>15</v>
          </cell>
          <cell r="F446">
            <v>0.3</v>
          </cell>
          <cell r="G446">
            <v>0.21450182246807867</v>
          </cell>
        </row>
        <row r="447">
          <cell r="A447" t="str">
            <v>30,6</v>
          </cell>
          <cell r="B447" t="str">
            <v>LMT 3 kn</v>
          </cell>
          <cell r="C447" t="str">
            <v>Kwarter a6</v>
          </cell>
          <cell r="D447">
            <v>6</v>
          </cell>
          <cell r="E447">
            <v>15</v>
          </cell>
          <cell r="F447">
            <v>0.3</v>
          </cell>
          <cell r="G447">
            <v>0.21450182246807867</v>
          </cell>
        </row>
        <row r="448">
          <cell r="A448" t="str">
            <v>30,7</v>
          </cell>
          <cell r="B448" t="str">
            <v>LMT 3 kn</v>
          </cell>
          <cell r="C448" t="str">
            <v>Kwarter b1</v>
          </cell>
          <cell r="D448">
            <v>6</v>
          </cell>
          <cell r="E448">
            <v>15</v>
          </cell>
          <cell r="F448">
            <v>0.3</v>
          </cell>
          <cell r="G448">
            <v>0.21450182246807867</v>
          </cell>
        </row>
        <row r="449">
          <cell r="A449" t="str">
            <v>30,8</v>
          </cell>
          <cell r="B449" t="str">
            <v>LMT 3 kn</v>
          </cell>
          <cell r="C449" t="str">
            <v>Kwarter b2</v>
          </cell>
          <cell r="D449">
            <v>9</v>
          </cell>
          <cell r="E449">
            <v>16.2</v>
          </cell>
          <cell r="F449">
            <v>0.3</v>
          </cell>
          <cell r="G449">
            <v>0.2232716283144332</v>
          </cell>
        </row>
        <row r="450">
          <cell r="A450" t="str">
            <v>30,9</v>
          </cell>
          <cell r="B450" t="str">
            <v>LMT 3 kn</v>
          </cell>
          <cell r="C450" t="str">
            <v>Kwarter b3</v>
          </cell>
          <cell r="D450">
            <v>4</v>
          </cell>
          <cell r="E450">
            <v>15</v>
          </cell>
          <cell r="F450">
            <v>0.3</v>
          </cell>
          <cell r="G450">
            <v>0.21450182246807867</v>
          </cell>
        </row>
        <row r="451">
          <cell r="A451" t="str">
            <v>30,10</v>
          </cell>
          <cell r="B451" t="str">
            <v>LMT 3 kn</v>
          </cell>
          <cell r="C451" t="str">
            <v>Kwarter b4</v>
          </cell>
          <cell r="D451">
            <v>13</v>
          </cell>
          <cell r="E451">
            <v>23.400000000000002</v>
          </cell>
          <cell r="F451">
            <v>0.3</v>
          </cell>
          <cell r="G451">
            <v>0.2695767640723864</v>
          </cell>
        </row>
        <row r="452">
          <cell r="A452" t="str">
            <v>30,11</v>
          </cell>
          <cell r="B452" t="str">
            <v>LMT 3 kn</v>
          </cell>
          <cell r="C452" t="str">
            <v>Kwarter b5</v>
          </cell>
          <cell r="D452">
            <v>5</v>
          </cell>
          <cell r="E452">
            <v>15</v>
          </cell>
          <cell r="F452">
            <v>0.3</v>
          </cell>
          <cell r="G452">
            <v>0.21450182246807867</v>
          </cell>
        </row>
        <row r="453">
          <cell r="A453" t="str">
            <v>30,12</v>
          </cell>
          <cell r="B453" t="str">
            <v>LMT 3 kn</v>
          </cell>
          <cell r="C453" t="str">
            <v>Kwarter b6</v>
          </cell>
          <cell r="D453">
            <v>9</v>
          </cell>
          <cell r="E453">
            <v>16.2</v>
          </cell>
          <cell r="F453">
            <v>0.3</v>
          </cell>
          <cell r="G453">
            <v>0.2232716283144332</v>
          </cell>
        </row>
        <row r="454">
          <cell r="A454" t="str">
            <v>30,13</v>
          </cell>
          <cell r="B454" t="str">
            <v>LMT 3 kn</v>
          </cell>
          <cell r="C454" t="str">
            <v>Kwarter c1</v>
          </cell>
          <cell r="D454">
            <v>8</v>
          </cell>
          <cell r="E454">
            <v>15</v>
          </cell>
          <cell r="F454">
            <v>0.3</v>
          </cell>
          <cell r="G454">
            <v>0.21450182246807867</v>
          </cell>
        </row>
        <row r="455">
          <cell r="A455" t="str">
            <v>30,14</v>
          </cell>
          <cell r="B455" t="str">
            <v>LMT 3 kn</v>
          </cell>
          <cell r="C455" t="str">
            <v>Kwarter c2</v>
          </cell>
          <cell r="D455">
            <v>7</v>
          </cell>
          <cell r="E455">
            <v>15</v>
          </cell>
          <cell r="F455">
            <v>0.3</v>
          </cell>
          <cell r="G455">
            <v>0.21450182246807867</v>
          </cell>
        </row>
        <row r="456">
          <cell r="A456" t="str">
            <v>30,15</v>
          </cell>
          <cell r="B456" t="str">
            <v>LMT 3 kn</v>
          </cell>
          <cell r="C456" t="str">
            <v>Kwarter c3</v>
          </cell>
          <cell r="D456">
            <v>8</v>
          </cell>
          <cell r="E456">
            <v>15</v>
          </cell>
          <cell r="F456">
            <v>0.3</v>
          </cell>
          <cell r="G456">
            <v>0.21450182246807867</v>
          </cell>
        </row>
        <row r="457">
          <cell r="A457" t="str">
            <v>30,16</v>
          </cell>
          <cell r="B457" t="str">
            <v>LMT 3 kn</v>
          </cell>
          <cell r="C457" t="str">
            <v>Kwarter c4</v>
          </cell>
          <cell r="D457">
            <v>9</v>
          </cell>
          <cell r="E457">
            <v>16.2</v>
          </cell>
          <cell r="F457">
            <v>0.3</v>
          </cell>
          <cell r="G457">
            <v>0.2232716283144332</v>
          </cell>
        </row>
        <row r="458">
          <cell r="A458" t="str">
            <v>30,17</v>
          </cell>
          <cell r="B458" t="str">
            <v>LMT 3 kn</v>
          </cell>
          <cell r="C458" t="str">
            <v>Kwarter c5</v>
          </cell>
          <cell r="D458">
            <v>5</v>
          </cell>
          <cell r="E458">
            <v>15</v>
          </cell>
          <cell r="F458">
            <v>0.3</v>
          </cell>
          <cell r="G458">
            <v>0.21450182246807867</v>
          </cell>
        </row>
        <row r="459">
          <cell r="A459" t="str">
            <v>30,18</v>
          </cell>
          <cell r="B459" t="str">
            <v>LMT 3 kn</v>
          </cell>
          <cell r="C459" t="str">
            <v>Kwarter c6</v>
          </cell>
          <cell r="D459">
            <v>7</v>
          </cell>
          <cell r="E459">
            <v>15</v>
          </cell>
          <cell r="F459">
            <v>0.3</v>
          </cell>
          <cell r="G459">
            <v>0.21450182246807867</v>
          </cell>
        </row>
        <row r="460">
          <cell r="A460" t="str">
            <v>30,19</v>
          </cell>
          <cell r="B460" t="str">
            <v>LMT 3 kn</v>
          </cell>
          <cell r="C460" t="str">
            <v>Kwarter c7</v>
          </cell>
          <cell r="D460">
            <v>11</v>
          </cell>
          <cell r="E460">
            <v>19.8</v>
          </cell>
          <cell r="F460">
            <v>0.3</v>
          </cell>
          <cell r="G460">
            <v>0.24760852941408978</v>
          </cell>
        </row>
        <row r="461">
          <cell r="A461" t="str">
            <v>30,20</v>
          </cell>
          <cell r="B461" t="str">
            <v>LMT 3 kn</v>
          </cell>
          <cell r="C461" t="str">
            <v>Kwarter cab b1</v>
          </cell>
          <cell r="E461">
            <v>15</v>
          </cell>
          <cell r="F461">
            <v>0.3</v>
          </cell>
          <cell r="G461">
            <v>0.21450182246807867</v>
          </cell>
        </row>
        <row r="462">
          <cell r="A462" t="str">
            <v>30,21</v>
          </cell>
          <cell r="B462" t="str">
            <v>LMT 3 kn</v>
          </cell>
          <cell r="C462" t="str">
            <v>Muka b1</v>
          </cell>
          <cell r="D462">
            <v>6</v>
          </cell>
          <cell r="E462">
            <v>15</v>
          </cell>
          <cell r="F462">
            <v>0.35</v>
          </cell>
          <cell r="G462">
            <v>0.1480841412385186</v>
          </cell>
        </row>
        <row r="463">
          <cell r="A463" t="str">
            <v>30,22</v>
          </cell>
          <cell r="B463" t="str">
            <v>LMT 3 kn</v>
          </cell>
          <cell r="C463" t="str">
            <v>Muka c6</v>
          </cell>
          <cell r="D463">
            <v>7</v>
          </cell>
          <cell r="E463">
            <v>15</v>
          </cell>
          <cell r="F463">
            <v>0.3</v>
          </cell>
          <cell r="G463">
            <v>0.1480841412385186</v>
          </cell>
        </row>
        <row r="464">
          <cell r="A464" t="str">
            <v>30,23</v>
          </cell>
          <cell r="B464" t="str">
            <v>LMT 3 kn</v>
          </cell>
          <cell r="C464" t="str">
            <v>Tersier T8-K2</v>
          </cell>
          <cell r="D464">
            <v>23</v>
          </cell>
          <cell r="E464">
            <v>41.4</v>
          </cell>
          <cell r="F464">
            <v>0.35</v>
          </cell>
          <cell r="G464">
            <v>0.23885749436829873</v>
          </cell>
        </row>
        <row r="465">
          <cell r="A465" t="str">
            <v>30,24</v>
          </cell>
          <cell r="B465" t="str">
            <v>LMT 3 kn</v>
          </cell>
          <cell r="C465" t="str">
            <v>Tersier T7-T8</v>
          </cell>
          <cell r="D465">
            <v>40</v>
          </cell>
          <cell r="E465">
            <v>72</v>
          </cell>
          <cell r="F465">
            <v>0.35</v>
          </cell>
          <cell r="G465">
            <v>0.31765579465111643</v>
          </cell>
        </row>
        <row r="466">
          <cell r="A466" t="str">
            <v>30,25</v>
          </cell>
          <cell r="B466" t="str">
            <v>LMT 3 kn</v>
          </cell>
          <cell r="C466" t="str">
            <v>Tersier T6-T7</v>
          </cell>
          <cell r="D466">
            <v>55</v>
          </cell>
          <cell r="E466">
            <v>99</v>
          </cell>
          <cell r="F466">
            <v>0.4</v>
          </cell>
          <cell r="G466">
            <v>0.35619121077700316</v>
          </cell>
        </row>
        <row r="467">
          <cell r="A467" t="str">
            <v>30,26</v>
          </cell>
          <cell r="B467" t="str">
            <v>LMT 3 kn</v>
          </cell>
          <cell r="C467" t="str">
            <v>Tersier T6-K1</v>
          </cell>
          <cell r="D467">
            <v>14</v>
          </cell>
          <cell r="E467">
            <v>25.2</v>
          </cell>
          <cell r="F467">
            <v>0.3</v>
          </cell>
          <cell r="G467">
            <v>0.1999999999999999</v>
          </cell>
        </row>
        <row r="468">
          <cell r="A468" t="str">
            <v>30,27</v>
          </cell>
          <cell r="B468" t="str">
            <v>LMT 3 kn</v>
          </cell>
          <cell r="C468" t="str">
            <v>Tersier T5-T6</v>
          </cell>
          <cell r="D468">
            <v>86</v>
          </cell>
          <cell r="E468">
            <v>154.80000000000001</v>
          </cell>
          <cell r="F468">
            <v>0.5</v>
          </cell>
          <cell r="G468">
            <v>0.41291398425341885</v>
          </cell>
        </row>
        <row r="469">
          <cell r="A469" t="str">
            <v>30,28</v>
          </cell>
          <cell r="B469" t="str">
            <v>LMT 3 kn</v>
          </cell>
          <cell r="C469" t="str">
            <v>Tersier T4-T5</v>
          </cell>
          <cell r="D469">
            <v>101</v>
          </cell>
          <cell r="E469">
            <v>181.8</v>
          </cell>
          <cell r="F469">
            <v>0.55000000000000004</v>
          </cell>
          <cell r="G469">
            <v>0.43293573897252646</v>
          </cell>
        </row>
        <row r="470">
          <cell r="A470" t="str">
            <v>30,29</v>
          </cell>
          <cell r="B470" t="str">
            <v>LMT 3 kn</v>
          </cell>
          <cell r="C470" t="str">
            <v>Tersier T3-T4</v>
          </cell>
          <cell r="D470">
            <v>115</v>
          </cell>
          <cell r="E470">
            <v>207</v>
          </cell>
          <cell r="F470">
            <v>0.55000000000000004</v>
          </cell>
          <cell r="G470">
            <v>0.46274172730005708</v>
          </cell>
        </row>
        <row r="471">
          <cell r="A471" t="str">
            <v>30,30</v>
          </cell>
          <cell r="B471" t="str">
            <v>LMT 3 kn</v>
          </cell>
          <cell r="C471" t="str">
            <v>Tersier T2-T3</v>
          </cell>
          <cell r="D471">
            <v>122</v>
          </cell>
          <cell r="E471">
            <v>219.6</v>
          </cell>
          <cell r="F471">
            <v>0.55000000000000004</v>
          </cell>
          <cell r="G471">
            <v>0.47688308851066141</v>
          </cell>
        </row>
        <row r="472">
          <cell r="A472" t="str">
            <v>30,31</v>
          </cell>
          <cell r="B472" t="str">
            <v>LMT 3 kn</v>
          </cell>
          <cell r="C472" t="str">
            <v>Tersier T1-T2</v>
          </cell>
          <cell r="D472">
            <v>128</v>
          </cell>
          <cell r="E472">
            <v>230.4</v>
          </cell>
          <cell r="F472">
            <v>0.55000000000000004</v>
          </cell>
          <cell r="G472">
            <v>0.48864463354190857</v>
          </cell>
        </row>
        <row r="473">
          <cell r="A473" t="str">
            <v>30,32</v>
          </cell>
          <cell r="B473" t="str">
            <v>LMT 3 kn</v>
          </cell>
          <cell r="C473" t="str">
            <v>Tersier BLMT3-T1</v>
          </cell>
          <cell r="D473">
            <v>140</v>
          </cell>
          <cell r="E473">
            <v>252</v>
          </cell>
          <cell r="F473">
            <v>0.55000000000000004</v>
          </cell>
          <cell r="G473">
            <v>0.51126539947794725</v>
          </cell>
        </row>
        <row r="475">
          <cell r="A475">
            <v>31</v>
          </cell>
          <cell r="B475" t="str">
            <v>LMT 3 kr</v>
          </cell>
          <cell r="D475">
            <v>0</v>
          </cell>
        </row>
        <row r="476">
          <cell r="A476" t="str">
            <v>31,1</v>
          </cell>
          <cell r="B476" t="str">
            <v>LMT 3 kr</v>
          </cell>
          <cell r="C476" t="str">
            <v>Kwarter a1</v>
          </cell>
          <cell r="D476">
            <v>12</v>
          </cell>
          <cell r="E476">
            <v>21.6</v>
          </cell>
          <cell r="F476">
            <v>0.3</v>
          </cell>
          <cell r="G476">
            <v>0.25885059005180217</v>
          </cell>
        </row>
        <row r="477">
          <cell r="A477" t="str">
            <v>31,2</v>
          </cell>
          <cell r="B477" t="str">
            <v>LMT 3 kr</v>
          </cell>
          <cell r="C477" t="str">
            <v>Kwarter a2</v>
          </cell>
          <cell r="D477">
            <v>10</v>
          </cell>
          <cell r="E477">
            <v>18</v>
          </cell>
          <cell r="F477">
            <v>0.3</v>
          </cell>
          <cell r="G477">
            <v>0.23577879671478721</v>
          </cell>
        </row>
        <row r="478">
          <cell r="A478" t="str">
            <v>31,3</v>
          </cell>
          <cell r="B478" t="str">
            <v>LMT 3 kr</v>
          </cell>
          <cell r="C478" t="str">
            <v>Kwarter a3</v>
          </cell>
          <cell r="D478">
            <v>9</v>
          </cell>
          <cell r="E478">
            <v>16.2</v>
          </cell>
          <cell r="F478">
            <v>0.3</v>
          </cell>
          <cell r="G478">
            <v>0.2232716283144332</v>
          </cell>
        </row>
        <row r="479">
          <cell r="A479" t="str">
            <v>31,4</v>
          </cell>
          <cell r="B479" t="str">
            <v>LMT 3 kr</v>
          </cell>
          <cell r="C479" t="str">
            <v>Kwarter a4</v>
          </cell>
          <cell r="D479">
            <v>10</v>
          </cell>
          <cell r="E479">
            <v>18</v>
          </cell>
          <cell r="F479">
            <v>0.3</v>
          </cell>
          <cell r="G479">
            <v>0.23577879671478721</v>
          </cell>
        </row>
        <row r="480">
          <cell r="A480" t="str">
            <v>31,5</v>
          </cell>
          <cell r="B480" t="str">
            <v>LMT 3 kr</v>
          </cell>
          <cell r="C480" t="str">
            <v>Kwarter a5</v>
          </cell>
          <cell r="D480">
            <v>12</v>
          </cell>
          <cell r="E480">
            <v>21.6</v>
          </cell>
          <cell r="F480">
            <v>0.3</v>
          </cell>
          <cell r="G480">
            <v>0.25885058861303623</v>
          </cell>
        </row>
        <row r="481">
          <cell r="A481" t="str">
            <v>31,6</v>
          </cell>
          <cell r="B481" t="str">
            <v>LMT 3 kr</v>
          </cell>
          <cell r="C481" t="str">
            <v>Kwarter b1</v>
          </cell>
          <cell r="D481">
            <v>14</v>
          </cell>
          <cell r="E481">
            <v>25.2</v>
          </cell>
          <cell r="F481">
            <v>0.3</v>
          </cell>
          <cell r="G481">
            <v>0.27984548813237042</v>
          </cell>
        </row>
        <row r="482">
          <cell r="A482" t="str">
            <v>31,7</v>
          </cell>
          <cell r="B482" t="str">
            <v>LMT 3 kr</v>
          </cell>
          <cell r="C482" t="str">
            <v>Kwarter b2</v>
          </cell>
          <cell r="D482">
            <v>8</v>
          </cell>
          <cell r="E482">
            <v>15</v>
          </cell>
          <cell r="F482">
            <v>0.3</v>
          </cell>
          <cell r="G482">
            <v>0.21450182246807867</v>
          </cell>
        </row>
        <row r="483">
          <cell r="A483" t="str">
            <v>31,8</v>
          </cell>
          <cell r="B483" t="str">
            <v>LMT 3 kr</v>
          </cell>
          <cell r="C483" t="str">
            <v>Kwarter b3</v>
          </cell>
          <cell r="D483">
            <v>5</v>
          </cell>
          <cell r="E483">
            <v>15</v>
          </cell>
          <cell r="F483">
            <v>0.3</v>
          </cell>
          <cell r="G483">
            <v>0.21450182246807867</v>
          </cell>
        </row>
        <row r="484">
          <cell r="A484" t="str">
            <v>31,9</v>
          </cell>
          <cell r="B484" t="str">
            <v>LMT 3 kr</v>
          </cell>
          <cell r="C484" t="str">
            <v>Kwarter b4</v>
          </cell>
          <cell r="D484">
            <v>11</v>
          </cell>
          <cell r="E484">
            <v>19.8</v>
          </cell>
          <cell r="F484">
            <v>0.3</v>
          </cell>
          <cell r="G484">
            <v>0.24760852941408978</v>
          </cell>
        </row>
        <row r="485">
          <cell r="A485" t="str">
            <v>31,10</v>
          </cell>
          <cell r="B485" t="str">
            <v>LMT 3 kr</v>
          </cell>
          <cell r="C485" t="str">
            <v>Kwarter b5</v>
          </cell>
          <cell r="D485">
            <v>14</v>
          </cell>
          <cell r="E485">
            <v>25.2</v>
          </cell>
          <cell r="F485">
            <v>0.3</v>
          </cell>
          <cell r="G485">
            <v>0.27984548813237042</v>
          </cell>
        </row>
        <row r="486">
          <cell r="A486" t="str">
            <v>31,11</v>
          </cell>
          <cell r="B486" t="str">
            <v>LMT 3 kr</v>
          </cell>
          <cell r="C486" t="str">
            <v>Kwarter c1</v>
          </cell>
          <cell r="D486">
            <v>11</v>
          </cell>
          <cell r="E486">
            <v>19.8</v>
          </cell>
          <cell r="F486">
            <v>0.3</v>
          </cell>
          <cell r="G486">
            <v>0.24760852941408978</v>
          </cell>
        </row>
        <row r="487">
          <cell r="A487" t="str">
            <v>31,12</v>
          </cell>
          <cell r="B487" t="str">
            <v>LMT 3 kr</v>
          </cell>
          <cell r="C487" t="str">
            <v>Kwarter c2</v>
          </cell>
          <cell r="D487">
            <v>8</v>
          </cell>
          <cell r="E487">
            <v>15</v>
          </cell>
          <cell r="F487">
            <v>0.3</v>
          </cell>
          <cell r="G487">
            <v>0.21450182246807867</v>
          </cell>
        </row>
        <row r="488">
          <cell r="A488" t="str">
            <v>31,13</v>
          </cell>
          <cell r="B488" t="str">
            <v>LMT 3 kr</v>
          </cell>
          <cell r="C488" t="str">
            <v>Kwarter c3</v>
          </cell>
          <cell r="D488">
            <v>8</v>
          </cell>
          <cell r="E488">
            <v>15</v>
          </cell>
          <cell r="F488">
            <v>0.3</v>
          </cell>
          <cell r="G488">
            <v>0.21450182246807867</v>
          </cell>
        </row>
        <row r="489">
          <cell r="A489" t="str">
            <v>31,14</v>
          </cell>
          <cell r="B489" t="str">
            <v>LMT 3 kr</v>
          </cell>
          <cell r="C489" t="str">
            <v>Kwarter c4</v>
          </cell>
          <cell r="D489">
            <v>14</v>
          </cell>
          <cell r="E489">
            <v>25.2</v>
          </cell>
          <cell r="F489">
            <v>0.3</v>
          </cell>
          <cell r="G489">
            <v>0.27984548813237042</v>
          </cell>
        </row>
        <row r="490">
          <cell r="A490" t="str">
            <v>31,15</v>
          </cell>
          <cell r="B490" t="str">
            <v>LMT 3 kr</v>
          </cell>
          <cell r="C490" t="str">
            <v>Muka a3</v>
          </cell>
          <cell r="D490">
            <v>9</v>
          </cell>
          <cell r="E490">
            <v>16.2</v>
          </cell>
          <cell r="F490">
            <v>0.3</v>
          </cell>
          <cell r="G490">
            <v>0.15443256341809378</v>
          </cell>
        </row>
        <row r="491">
          <cell r="A491" t="str">
            <v>31,16</v>
          </cell>
          <cell r="B491" t="str">
            <v>LMT 3 kr</v>
          </cell>
          <cell r="C491" t="str">
            <v>Muka b5</v>
          </cell>
          <cell r="D491">
            <v>14</v>
          </cell>
          <cell r="E491">
            <v>25.2</v>
          </cell>
          <cell r="F491">
            <v>0.3</v>
          </cell>
          <cell r="G491">
            <v>0.1999999999999999</v>
          </cell>
        </row>
        <row r="492">
          <cell r="A492" t="str">
            <v>31,17</v>
          </cell>
          <cell r="B492" t="str">
            <v>LMT 3 kr</v>
          </cell>
          <cell r="C492" t="str">
            <v>Muka c4</v>
          </cell>
          <cell r="D492">
            <v>14</v>
          </cell>
          <cell r="E492">
            <v>25.2</v>
          </cell>
          <cell r="F492">
            <v>0.3</v>
          </cell>
          <cell r="G492">
            <v>0.19573011867825413</v>
          </cell>
        </row>
        <row r="493">
          <cell r="A493" t="str">
            <v>31,18</v>
          </cell>
          <cell r="B493" t="str">
            <v>LMT 3 kr</v>
          </cell>
          <cell r="C493" t="str">
            <v>Tersier T5-K3</v>
          </cell>
          <cell r="D493">
            <v>30</v>
          </cell>
          <cell r="E493">
            <v>54</v>
          </cell>
          <cell r="F493">
            <v>0.35</v>
          </cell>
          <cell r="G493">
            <v>0.27428186226117168</v>
          </cell>
        </row>
        <row r="494">
          <cell r="A494" t="str">
            <v>31,19</v>
          </cell>
          <cell r="B494" t="str">
            <v>LMT 3 kr</v>
          </cell>
          <cell r="C494" t="str">
            <v>Tersier T4-T5</v>
          </cell>
          <cell r="D494">
            <v>41</v>
          </cell>
          <cell r="E494">
            <v>73.8</v>
          </cell>
          <cell r="F494">
            <v>0.45</v>
          </cell>
          <cell r="G494">
            <v>0.30646900902347779</v>
          </cell>
        </row>
        <row r="495">
          <cell r="A495" t="str">
            <v>31,20</v>
          </cell>
          <cell r="B495" t="str">
            <v>LMT 3 kr</v>
          </cell>
          <cell r="C495" t="str">
            <v>Tersier T3-T4</v>
          </cell>
          <cell r="D495">
            <v>57</v>
          </cell>
          <cell r="E495">
            <v>102.60000000000001</v>
          </cell>
          <cell r="F495">
            <v>0.5</v>
          </cell>
          <cell r="G495">
            <v>0.34753158101906284</v>
          </cell>
        </row>
        <row r="496">
          <cell r="A496" t="str">
            <v>31,21</v>
          </cell>
          <cell r="B496" t="str">
            <v>LMT 3 kr</v>
          </cell>
          <cell r="C496" t="str">
            <v>Tersier T3-K2</v>
          </cell>
          <cell r="D496">
            <v>19</v>
          </cell>
          <cell r="E496">
            <v>34.200000000000003</v>
          </cell>
          <cell r="F496">
            <v>0.3</v>
          </cell>
          <cell r="G496">
            <v>0.22961637567891305</v>
          </cell>
        </row>
        <row r="497">
          <cell r="A497" t="str">
            <v>31,22</v>
          </cell>
          <cell r="B497" t="str">
            <v>LMT 3 kr</v>
          </cell>
          <cell r="C497" t="str">
            <v>Tersier T1-T3</v>
          </cell>
          <cell r="D497">
            <v>86</v>
          </cell>
          <cell r="E497">
            <v>154.80000000000001</v>
          </cell>
          <cell r="F497">
            <v>0.55000000000000004</v>
          </cell>
          <cell r="G497">
            <v>0.4284831550490627</v>
          </cell>
        </row>
        <row r="498">
          <cell r="A498" t="str">
            <v>31,23</v>
          </cell>
          <cell r="B498" t="str">
            <v>LMT 3 kr</v>
          </cell>
          <cell r="C498" t="str">
            <v>Tersier T2-K1</v>
          </cell>
          <cell r="D498">
            <v>22</v>
          </cell>
          <cell r="E498">
            <v>39.6</v>
          </cell>
          <cell r="F498">
            <v>0.3</v>
          </cell>
          <cell r="G498">
            <v>0.24999999999999994</v>
          </cell>
        </row>
        <row r="499">
          <cell r="A499" t="str">
            <v>31,24</v>
          </cell>
          <cell r="B499" t="str">
            <v>LMT 3 kr</v>
          </cell>
          <cell r="C499" t="str">
            <v>Tersier T1-T2</v>
          </cell>
          <cell r="D499">
            <v>36</v>
          </cell>
          <cell r="E499">
            <v>64.8</v>
          </cell>
          <cell r="F499">
            <v>0.4</v>
          </cell>
          <cell r="G499">
            <v>0.28644410877531945</v>
          </cell>
        </row>
        <row r="500">
          <cell r="A500" t="str">
            <v>31,25</v>
          </cell>
          <cell r="B500" t="str">
            <v>LMT 3 kr</v>
          </cell>
          <cell r="C500" t="str">
            <v>Tersier BLMT3-T1</v>
          </cell>
          <cell r="D500">
            <v>146</v>
          </cell>
          <cell r="E500">
            <v>262.8</v>
          </cell>
          <cell r="F500">
            <v>0.55000000000000004</v>
          </cell>
          <cell r="G500">
            <v>0.52216341003660527</v>
          </cell>
        </row>
        <row r="502">
          <cell r="A502">
            <v>32</v>
          </cell>
          <cell r="B502" t="str">
            <v>LMT II.1 kn</v>
          </cell>
          <cell r="D502">
            <v>0</v>
          </cell>
        </row>
        <row r="503">
          <cell r="A503" t="str">
            <v>32,1</v>
          </cell>
          <cell r="B503" t="str">
            <v>LMT II.1 kn</v>
          </cell>
          <cell r="C503" t="str">
            <v>Kwarter a1</v>
          </cell>
          <cell r="D503">
            <v>5</v>
          </cell>
          <cell r="E503">
            <v>15</v>
          </cell>
          <cell r="F503">
            <v>0.3</v>
          </cell>
          <cell r="G503">
            <v>0.21450182246807867</v>
          </cell>
        </row>
        <row r="504">
          <cell r="A504" t="str">
            <v>32,2</v>
          </cell>
          <cell r="B504" t="str">
            <v>LMT II.1 kn</v>
          </cell>
          <cell r="C504" t="str">
            <v>Kwarter a2</v>
          </cell>
          <cell r="D504">
            <v>9</v>
          </cell>
          <cell r="E504">
            <v>16.2</v>
          </cell>
          <cell r="F504">
            <v>0.3</v>
          </cell>
          <cell r="G504">
            <v>0.2232716283144332</v>
          </cell>
        </row>
        <row r="505">
          <cell r="A505" t="str">
            <v>32,3</v>
          </cell>
          <cell r="B505" t="str">
            <v>LMT II.1 kn</v>
          </cell>
          <cell r="C505" t="str">
            <v>Kwarter b1</v>
          </cell>
          <cell r="D505">
            <v>6</v>
          </cell>
          <cell r="E505">
            <v>15</v>
          </cell>
          <cell r="F505">
            <v>0.3</v>
          </cell>
          <cell r="G505">
            <v>0.21450182246807867</v>
          </cell>
        </row>
        <row r="506">
          <cell r="A506" t="str">
            <v>32,4</v>
          </cell>
          <cell r="B506" t="str">
            <v>LMT II.1 kn</v>
          </cell>
          <cell r="C506" t="str">
            <v>Kwarter b2</v>
          </cell>
          <cell r="D506">
            <v>9</v>
          </cell>
          <cell r="E506">
            <v>16.2</v>
          </cell>
          <cell r="F506">
            <v>0.3</v>
          </cell>
          <cell r="G506">
            <v>0.2232716283144332</v>
          </cell>
        </row>
        <row r="507">
          <cell r="A507" t="str">
            <v>32,5</v>
          </cell>
          <cell r="B507" t="str">
            <v>LMT II.1 kn</v>
          </cell>
          <cell r="C507" t="str">
            <v>Muka a2</v>
          </cell>
          <cell r="D507">
            <v>9</v>
          </cell>
          <cell r="E507">
            <v>16.2</v>
          </cell>
          <cell r="F507">
            <v>0.3</v>
          </cell>
          <cell r="G507">
            <v>0.15443256341809378</v>
          </cell>
        </row>
        <row r="508">
          <cell r="A508" t="str">
            <v>32,6</v>
          </cell>
          <cell r="B508" t="str">
            <v>LMT II.1 kn</v>
          </cell>
          <cell r="C508" t="str">
            <v>Muka b2</v>
          </cell>
          <cell r="D508">
            <v>9</v>
          </cell>
          <cell r="E508">
            <v>16.2</v>
          </cell>
          <cell r="F508">
            <v>0.3</v>
          </cell>
          <cell r="G508">
            <v>0.15443256341809378</v>
          </cell>
        </row>
        <row r="509">
          <cell r="A509" t="str">
            <v>32,7</v>
          </cell>
          <cell r="B509" t="str">
            <v>LMT II.1 kn</v>
          </cell>
          <cell r="C509" t="str">
            <v>Tersier T1-K1</v>
          </cell>
          <cell r="D509">
            <v>24</v>
          </cell>
          <cell r="E509">
            <v>43.2</v>
          </cell>
          <cell r="F509">
            <v>0.3</v>
          </cell>
          <cell r="G509">
            <v>0.2588505996872289</v>
          </cell>
        </row>
        <row r="510">
          <cell r="A510" t="str">
            <v>32,8</v>
          </cell>
          <cell r="B510" t="str">
            <v>LMT II.1 kn</v>
          </cell>
          <cell r="C510" t="str">
            <v>Tersier BLMTII.1-T1</v>
          </cell>
          <cell r="D510">
            <v>29</v>
          </cell>
          <cell r="E510">
            <v>52.2</v>
          </cell>
          <cell r="F510">
            <v>0.3</v>
          </cell>
          <cell r="G510">
            <v>0.28482374554887308</v>
          </cell>
        </row>
        <row r="512">
          <cell r="A512">
            <v>33</v>
          </cell>
          <cell r="B512" t="str">
            <v>LMT II.2 kn</v>
          </cell>
          <cell r="D512">
            <v>0</v>
          </cell>
        </row>
        <row r="513">
          <cell r="A513" t="str">
            <v>33,1</v>
          </cell>
          <cell r="B513" t="str">
            <v>LMT II.2 kn</v>
          </cell>
          <cell r="C513" t="str">
            <v>Kwarter a1</v>
          </cell>
          <cell r="D513">
            <v>8</v>
          </cell>
          <cell r="E513">
            <v>15</v>
          </cell>
          <cell r="F513">
            <v>0.3</v>
          </cell>
          <cell r="G513">
            <v>0.21450182246807867</v>
          </cell>
        </row>
        <row r="514">
          <cell r="A514" t="str">
            <v>33,2</v>
          </cell>
          <cell r="B514" t="str">
            <v>LMT II.2 kn</v>
          </cell>
          <cell r="C514" t="str">
            <v>Kwarter a2</v>
          </cell>
          <cell r="D514">
            <v>4</v>
          </cell>
          <cell r="E514">
            <v>15</v>
          </cell>
          <cell r="F514">
            <v>0.3</v>
          </cell>
          <cell r="G514">
            <v>0.21450182246807867</v>
          </cell>
        </row>
        <row r="515">
          <cell r="A515" t="str">
            <v>33,3</v>
          </cell>
          <cell r="B515" t="str">
            <v>LMT II.2 kn</v>
          </cell>
          <cell r="C515" t="str">
            <v>Kwarter a3</v>
          </cell>
          <cell r="D515">
            <v>11</v>
          </cell>
          <cell r="E515">
            <v>19.8</v>
          </cell>
          <cell r="F515">
            <v>0.3</v>
          </cell>
          <cell r="G515">
            <v>0.24760852941408978</v>
          </cell>
        </row>
        <row r="516">
          <cell r="A516" t="str">
            <v>33,4</v>
          </cell>
          <cell r="B516" t="str">
            <v>LMT II.2 kn</v>
          </cell>
          <cell r="C516" t="str">
            <v>Kwarter a4</v>
          </cell>
          <cell r="D516">
            <v>5</v>
          </cell>
          <cell r="E516">
            <v>15</v>
          </cell>
          <cell r="F516">
            <v>0.3</v>
          </cell>
          <cell r="G516">
            <v>0.21450182246807867</v>
          </cell>
        </row>
        <row r="517">
          <cell r="A517" t="str">
            <v>33,5</v>
          </cell>
          <cell r="B517" t="str">
            <v>LMT II.2 kn</v>
          </cell>
          <cell r="C517" t="str">
            <v>Kwarter b1</v>
          </cell>
          <cell r="D517">
            <v>10</v>
          </cell>
          <cell r="E517">
            <v>18</v>
          </cell>
          <cell r="F517">
            <v>0.3</v>
          </cell>
          <cell r="G517">
            <v>0.23577879671478721</v>
          </cell>
        </row>
        <row r="518">
          <cell r="A518" t="str">
            <v>33,6</v>
          </cell>
          <cell r="B518" t="str">
            <v>LMT II.2 kn</v>
          </cell>
          <cell r="C518" t="str">
            <v>Kwarter b2</v>
          </cell>
          <cell r="D518">
            <v>11</v>
          </cell>
          <cell r="E518">
            <v>19.8</v>
          </cell>
          <cell r="F518">
            <v>0.3</v>
          </cell>
          <cell r="G518">
            <v>0.24760852941408978</v>
          </cell>
        </row>
        <row r="519">
          <cell r="A519" t="str">
            <v>33,7</v>
          </cell>
          <cell r="B519" t="str">
            <v>LMT II.2 kn</v>
          </cell>
          <cell r="C519" t="str">
            <v>Kwarter b3</v>
          </cell>
          <cell r="D519">
            <v>7</v>
          </cell>
          <cell r="E519">
            <v>15</v>
          </cell>
          <cell r="F519">
            <v>0.3</v>
          </cell>
          <cell r="G519">
            <v>0.21450182246807867</v>
          </cell>
        </row>
        <row r="520">
          <cell r="A520" t="str">
            <v>33,8</v>
          </cell>
          <cell r="B520" t="str">
            <v>LMT II.2 kn</v>
          </cell>
          <cell r="C520" t="str">
            <v>Kwarter b4</v>
          </cell>
          <cell r="D520">
            <v>7</v>
          </cell>
          <cell r="E520">
            <v>15</v>
          </cell>
          <cell r="F520">
            <v>0.3</v>
          </cell>
          <cell r="G520">
            <v>0.21450182246807867</v>
          </cell>
        </row>
        <row r="521">
          <cell r="A521" t="str">
            <v>33,9</v>
          </cell>
          <cell r="B521" t="str">
            <v>LMT II.2 kn</v>
          </cell>
          <cell r="C521" t="str">
            <v>Kwarter c1</v>
          </cell>
          <cell r="D521">
            <v>15</v>
          </cell>
          <cell r="E521">
            <v>27</v>
          </cell>
          <cell r="F521">
            <v>0.3</v>
          </cell>
          <cell r="G521">
            <v>0.2897051306494956</v>
          </cell>
        </row>
        <row r="522">
          <cell r="A522" t="str">
            <v>33,10</v>
          </cell>
          <cell r="B522" t="str">
            <v>LMT II.2 kn</v>
          </cell>
          <cell r="C522" t="str">
            <v>Kwarter c2</v>
          </cell>
          <cell r="D522">
            <v>13</v>
          </cell>
          <cell r="E522">
            <v>23.400000000000002</v>
          </cell>
          <cell r="F522">
            <v>0.3</v>
          </cell>
          <cell r="G522">
            <v>0.2695767640723864</v>
          </cell>
        </row>
        <row r="523">
          <cell r="A523" t="str">
            <v>33,11</v>
          </cell>
          <cell r="B523" t="str">
            <v>LMT II.2 kn</v>
          </cell>
          <cell r="C523" t="str">
            <v>Kwarter c3</v>
          </cell>
          <cell r="D523">
            <v>12</v>
          </cell>
          <cell r="E523">
            <v>21.6</v>
          </cell>
          <cell r="F523">
            <v>0.3</v>
          </cell>
          <cell r="G523">
            <v>0.25885059005180217</v>
          </cell>
        </row>
        <row r="524">
          <cell r="A524" t="str">
            <v>33,12</v>
          </cell>
          <cell r="B524" t="str">
            <v>LMT II.2 kn</v>
          </cell>
          <cell r="C524" t="str">
            <v>Kwarter c4</v>
          </cell>
          <cell r="D524">
            <v>7</v>
          </cell>
          <cell r="E524">
            <v>15</v>
          </cell>
          <cell r="F524">
            <v>0.3</v>
          </cell>
          <cell r="G524">
            <v>0.21450182246807867</v>
          </cell>
        </row>
        <row r="525">
          <cell r="A525" t="str">
            <v>33,13</v>
          </cell>
          <cell r="B525" t="str">
            <v>LMT II.2 kn</v>
          </cell>
          <cell r="C525" t="str">
            <v>Muka a3</v>
          </cell>
          <cell r="D525">
            <v>11</v>
          </cell>
          <cell r="E525">
            <v>19.8</v>
          </cell>
          <cell r="F525">
            <v>0.3</v>
          </cell>
          <cell r="G525">
            <v>0.17999999999999988</v>
          </cell>
        </row>
        <row r="526">
          <cell r="A526" t="str">
            <v>33,14</v>
          </cell>
          <cell r="B526" t="str">
            <v>LMT II.2 kn</v>
          </cell>
          <cell r="C526" t="str">
            <v>Muka c2</v>
          </cell>
          <cell r="D526">
            <v>13</v>
          </cell>
          <cell r="E526">
            <v>23.400000000000002</v>
          </cell>
          <cell r="F526">
            <v>0.3</v>
          </cell>
          <cell r="G526">
            <v>0.1881943748633107</v>
          </cell>
        </row>
        <row r="527">
          <cell r="A527" t="str">
            <v>33,15</v>
          </cell>
          <cell r="B527" t="str">
            <v>LMT II.2 kn</v>
          </cell>
          <cell r="C527" t="str">
            <v>Tersier T7-K1</v>
          </cell>
          <cell r="D527">
            <v>19</v>
          </cell>
          <cell r="E527">
            <v>34.200000000000003</v>
          </cell>
          <cell r="F527">
            <v>0.3</v>
          </cell>
          <cell r="G527">
            <v>0.22961638188784486</v>
          </cell>
        </row>
        <row r="528">
          <cell r="A528" t="str">
            <v>33,16</v>
          </cell>
          <cell r="B528" t="str">
            <v>LMT II.2 kn</v>
          </cell>
          <cell r="C528" t="str">
            <v>Tersier T6-T7</v>
          </cell>
          <cell r="D528">
            <v>26</v>
          </cell>
          <cell r="E528">
            <v>46.800000000000004</v>
          </cell>
          <cell r="F528">
            <v>0.3</v>
          </cell>
          <cell r="G528">
            <v>0.26957675539406051</v>
          </cell>
        </row>
        <row r="529">
          <cell r="A529" t="str">
            <v>33,17</v>
          </cell>
          <cell r="B529" t="str">
            <v>LMT II.2 kn</v>
          </cell>
          <cell r="C529" t="str">
            <v>Tersier T5-T6</v>
          </cell>
          <cell r="D529">
            <v>61</v>
          </cell>
          <cell r="E529">
            <v>109.8</v>
          </cell>
          <cell r="F529">
            <v>0.4</v>
          </cell>
          <cell r="G529">
            <v>0.37529478925380211</v>
          </cell>
        </row>
        <row r="530">
          <cell r="A530" t="str">
            <v>33,18</v>
          </cell>
          <cell r="B530" t="str">
            <v>LMT II.2 kn</v>
          </cell>
          <cell r="C530" t="str">
            <v>Tersier T4-T5</v>
          </cell>
          <cell r="D530">
            <v>72</v>
          </cell>
          <cell r="E530">
            <v>129.6</v>
          </cell>
          <cell r="F530">
            <v>0.45</v>
          </cell>
          <cell r="G530">
            <v>0.39172026922704117</v>
          </cell>
        </row>
        <row r="531">
          <cell r="A531" t="str">
            <v>33,19</v>
          </cell>
          <cell r="B531" t="str">
            <v>LMT II.2 kn</v>
          </cell>
          <cell r="C531" t="str">
            <v>Tersier T3-T4</v>
          </cell>
          <cell r="D531">
            <v>82</v>
          </cell>
          <cell r="E531">
            <v>147.6</v>
          </cell>
          <cell r="F531">
            <v>0.45</v>
          </cell>
          <cell r="G531">
            <v>0.41834989068782502</v>
          </cell>
        </row>
        <row r="532">
          <cell r="A532" t="str">
            <v>33,20</v>
          </cell>
          <cell r="B532" t="str">
            <v>LMT II.2 kn</v>
          </cell>
          <cell r="C532" t="str">
            <v>Tersier T2-T3</v>
          </cell>
          <cell r="D532">
            <v>98</v>
          </cell>
          <cell r="E532">
            <v>176.4</v>
          </cell>
          <cell r="F532">
            <v>0.5</v>
          </cell>
          <cell r="G532">
            <v>0.44132686393513576</v>
          </cell>
        </row>
        <row r="533">
          <cell r="A533" t="str">
            <v>33,21</v>
          </cell>
          <cell r="B533" t="str">
            <v>LMT II.2 kn</v>
          </cell>
          <cell r="C533" t="str">
            <v>Tersier T1-T2</v>
          </cell>
          <cell r="D533">
            <v>102</v>
          </cell>
          <cell r="E533">
            <v>183.6</v>
          </cell>
          <cell r="F533">
            <v>0.5</v>
          </cell>
          <cell r="G533">
            <v>0.45035799255969433</v>
          </cell>
        </row>
        <row r="534">
          <cell r="A534" t="str">
            <v>33,22</v>
          </cell>
          <cell r="B534" t="str">
            <v>LMT II.2 kn</v>
          </cell>
          <cell r="C534" t="str">
            <v>Muka LMT II.2kn</v>
          </cell>
          <cell r="D534">
            <v>110</v>
          </cell>
          <cell r="E534">
            <v>198</v>
          </cell>
          <cell r="F534">
            <v>0.5</v>
          </cell>
          <cell r="G534">
            <v>0.46783637638845454</v>
          </cell>
        </row>
        <row r="536">
          <cell r="A536">
            <v>34</v>
          </cell>
          <cell r="B536" t="str">
            <v>LMT II.2 kr</v>
          </cell>
          <cell r="D536">
            <v>0</v>
          </cell>
        </row>
        <row r="537">
          <cell r="A537" t="str">
            <v>34,1</v>
          </cell>
          <cell r="B537" t="str">
            <v>LMT II.2 kr</v>
          </cell>
          <cell r="C537" t="str">
            <v>Kwarter a1</v>
          </cell>
          <cell r="D537">
            <v>11</v>
          </cell>
          <cell r="E537">
            <v>19.8</v>
          </cell>
          <cell r="F537">
            <v>0.3</v>
          </cell>
          <cell r="G537">
            <v>0.24760852941408978</v>
          </cell>
        </row>
        <row r="538">
          <cell r="A538" t="str">
            <v>34,2</v>
          </cell>
          <cell r="B538" t="str">
            <v>LMT II.2 kr</v>
          </cell>
          <cell r="C538" t="str">
            <v>Kwarter a2</v>
          </cell>
          <cell r="D538">
            <v>10</v>
          </cell>
          <cell r="E538">
            <v>18</v>
          </cell>
          <cell r="F538">
            <v>0.3</v>
          </cell>
          <cell r="G538">
            <v>0.23577879671478721</v>
          </cell>
        </row>
        <row r="539">
          <cell r="A539" t="str">
            <v>34,3</v>
          </cell>
          <cell r="B539" t="str">
            <v>LMT II.2 kr</v>
          </cell>
          <cell r="C539" t="str">
            <v>Kwarter a3</v>
          </cell>
          <cell r="D539">
            <v>10</v>
          </cell>
          <cell r="E539">
            <v>18</v>
          </cell>
          <cell r="F539">
            <v>0.3</v>
          </cell>
          <cell r="G539">
            <v>0.23577879671478721</v>
          </cell>
        </row>
        <row r="540">
          <cell r="A540" t="str">
            <v>34,4</v>
          </cell>
          <cell r="B540" t="str">
            <v>LMT II.2 kr</v>
          </cell>
          <cell r="C540" t="str">
            <v>Kwarter b1</v>
          </cell>
          <cell r="D540">
            <v>10</v>
          </cell>
          <cell r="E540">
            <v>18</v>
          </cell>
          <cell r="F540">
            <v>0.3</v>
          </cell>
          <cell r="G540">
            <v>0.23577879671478721</v>
          </cell>
        </row>
        <row r="541">
          <cell r="A541" t="str">
            <v>34,5</v>
          </cell>
          <cell r="B541" t="str">
            <v>LMT II.2 kr</v>
          </cell>
          <cell r="C541" t="str">
            <v>Kwarter b2</v>
          </cell>
          <cell r="D541">
            <v>8</v>
          </cell>
          <cell r="E541">
            <v>15</v>
          </cell>
          <cell r="F541">
            <v>0.3</v>
          </cell>
          <cell r="G541">
            <v>0.21450182246807867</v>
          </cell>
        </row>
        <row r="542">
          <cell r="A542" t="str">
            <v>34,6</v>
          </cell>
          <cell r="B542" t="str">
            <v>LMT II.2 kr</v>
          </cell>
          <cell r="C542" t="str">
            <v>Kwarter b3</v>
          </cell>
          <cell r="D542">
            <v>6</v>
          </cell>
          <cell r="E542">
            <v>15</v>
          </cell>
          <cell r="F542">
            <v>0.3</v>
          </cell>
          <cell r="G542">
            <v>0.21450182246807867</v>
          </cell>
        </row>
        <row r="543">
          <cell r="A543" t="str">
            <v>34,7</v>
          </cell>
          <cell r="B543" t="str">
            <v>LMT II.2 kr</v>
          </cell>
          <cell r="C543" t="str">
            <v>Kwarter c1</v>
          </cell>
          <cell r="D543">
            <v>6</v>
          </cell>
          <cell r="E543">
            <v>15</v>
          </cell>
          <cell r="F543">
            <v>0.3</v>
          </cell>
          <cell r="G543">
            <v>0.21450182246807867</v>
          </cell>
        </row>
        <row r="544">
          <cell r="A544" t="str">
            <v>34,8</v>
          </cell>
          <cell r="B544" t="str">
            <v>LMT II.2 kr</v>
          </cell>
          <cell r="C544" t="str">
            <v>Kwarter c2</v>
          </cell>
          <cell r="D544">
            <v>4</v>
          </cell>
          <cell r="E544">
            <v>15</v>
          </cell>
          <cell r="F544">
            <v>0.3</v>
          </cell>
          <cell r="G544">
            <v>0.21450182246807867</v>
          </cell>
        </row>
        <row r="545">
          <cell r="A545" t="str">
            <v>34,9</v>
          </cell>
          <cell r="B545" t="str">
            <v>LMT II.2 kr</v>
          </cell>
          <cell r="C545" t="str">
            <v>Kwarter c3</v>
          </cell>
          <cell r="D545">
            <v>10</v>
          </cell>
          <cell r="E545">
            <v>18</v>
          </cell>
          <cell r="F545">
            <v>0.3</v>
          </cell>
          <cell r="G545">
            <v>0.23577879671478721</v>
          </cell>
        </row>
        <row r="546">
          <cell r="A546" t="str">
            <v>34,10</v>
          </cell>
          <cell r="B546" t="str">
            <v>LMT II.2 kr</v>
          </cell>
          <cell r="C546" t="str">
            <v>Kwarter c4</v>
          </cell>
          <cell r="D546">
            <v>12</v>
          </cell>
          <cell r="E546">
            <v>21.6</v>
          </cell>
          <cell r="F546">
            <v>0.3</v>
          </cell>
          <cell r="G546">
            <v>0.25885059005180217</v>
          </cell>
        </row>
        <row r="547">
          <cell r="A547" t="str">
            <v>34,11</v>
          </cell>
          <cell r="B547" t="str">
            <v>LMT II.2 kr</v>
          </cell>
          <cell r="C547" t="str">
            <v>Kwarter cab a1</v>
          </cell>
          <cell r="E547">
            <v>15</v>
          </cell>
          <cell r="F547">
            <v>0.3</v>
          </cell>
          <cell r="G547">
            <v>0.21450182246807867</v>
          </cell>
        </row>
        <row r="548">
          <cell r="A548" t="str">
            <v>34,12</v>
          </cell>
          <cell r="B548" t="str">
            <v>LMT II.2 kr</v>
          </cell>
          <cell r="C548" t="str">
            <v>Kwarter cab b1</v>
          </cell>
          <cell r="E548">
            <v>15</v>
          </cell>
          <cell r="F548">
            <v>0.3</v>
          </cell>
          <cell r="G548">
            <v>0.21450182246807867</v>
          </cell>
        </row>
        <row r="549">
          <cell r="A549" t="str">
            <v>34,13</v>
          </cell>
          <cell r="B549" t="str">
            <v>LMT II.2 kr</v>
          </cell>
          <cell r="C549" t="str">
            <v>Kwarter cab b2</v>
          </cell>
          <cell r="E549">
            <v>15</v>
          </cell>
          <cell r="F549">
            <v>0.3</v>
          </cell>
          <cell r="G549">
            <v>0.21450182246807867</v>
          </cell>
        </row>
        <row r="550">
          <cell r="A550" t="str">
            <v>34,14</v>
          </cell>
          <cell r="B550" t="str">
            <v>LMT II.2 kr</v>
          </cell>
          <cell r="C550" t="str">
            <v>Tersier T7-K1</v>
          </cell>
          <cell r="D550">
            <v>22</v>
          </cell>
          <cell r="E550">
            <v>39.6</v>
          </cell>
          <cell r="F550">
            <v>0.3</v>
          </cell>
          <cell r="G550">
            <v>0.24760852941408978</v>
          </cell>
        </row>
        <row r="551">
          <cell r="A551" t="str">
            <v>34,15</v>
          </cell>
          <cell r="B551" t="str">
            <v>LMT II.2 kr</v>
          </cell>
          <cell r="C551" t="str">
            <v>Tersier T6-T7</v>
          </cell>
          <cell r="D551">
            <v>32</v>
          </cell>
          <cell r="E551">
            <v>57.6</v>
          </cell>
          <cell r="F551">
            <v>0.35</v>
          </cell>
          <cell r="G551">
            <v>0.28354060966371847</v>
          </cell>
        </row>
        <row r="552">
          <cell r="A552" t="str">
            <v>34,16</v>
          </cell>
          <cell r="B552" t="str">
            <v>LMT II.2 kr</v>
          </cell>
          <cell r="C552" t="str">
            <v>Tersier T5-T6</v>
          </cell>
          <cell r="D552">
            <v>38</v>
          </cell>
          <cell r="E552">
            <v>68.400000000000006</v>
          </cell>
          <cell r="F552">
            <v>0.35</v>
          </cell>
          <cell r="G552">
            <v>0.30951703691391663</v>
          </cell>
        </row>
        <row r="553">
          <cell r="A553" t="str">
            <v>34,17</v>
          </cell>
          <cell r="B553" t="str">
            <v>LMT II.2 kr</v>
          </cell>
          <cell r="C553" t="str">
            <v>Tersier T4-T5</v>
          </cell>
          <cell r="D553">
            <v>46</v>
          </cell>
          <cell r="E553">
            <v>82.8</v>
          </cell>
          <cell r="F553">
            <v>0.4</v>
          </cell>
          <cell r="G553">
            <v>0.32518264181457346</v>
          </cell>
        </row>
        <row r="554">
          <cell r="A554" t="str">
            <v>34,18</v>
          </cell>
          <cell r="B554" t="str">
            <v>LMT II.2 kr</v>
          </cell>
          <cell r="C554" t="str">
            <v>Tersier T3-T4</v>
          </cell>
          <cell r="D554">
            <v>56</v>
          </cell>
          <cell r="E554">
            <v>100.8</v>
          </cell>
          <cell r="F554">
            <v>0.4</v>
          </cell>
          <cell r="G554">
            <v>0.35945440392925643</v>
          </cell>
        </row>
        <row r="555">
          <cell r="A555" t="str">
            <v>34,19</v>
          </cell>
          <cell r="B555" t="str">
            <v>LMT II.2 kr</v>
          </cell>
          <cell r="C555" t="str">
            <v>Tersier T2-T3</v>
          </cell>
          <cell r="D555">
            <v>66</v>
          </cell>
          <cell r="E555">
            <v>118.8</v>
          </cell>
          <cell r="F555">
            <v>0.45</v>
          </cell>
          <cell r="G555">
            <v>0.37472827450512064</v>
          </cell>
        </row>
        <row r="556">
          <cell r="A556" t="str">
            <v>34,20</v>
          </cell>
          <cell r="B556" t="str">
            <v>LMT II.2 kr</v>
          </cell>
          <cell r="C556" t="str">
            <v>Tersier T1-T2</v>
          </cell>
          <cell r="D556">
            <v>76</v>
          </cell>
          <cell r="E556">
            <v>136.80000000000001</v>
          </cell>
          <cell r="F556">
            <v>0.45</v>
          </cell>
          <cell r="G556">
            <v>0.40260875700784515</v>
          </cell>
        </row>
        <row r="557">
          <cell r="A557" t="str">
            <v>34,21</v>
          </cell>
          <cell r="B557" t="str">
            <v>LMT II.2 kr</v>
          </cell>
          <cell r="C557" t="str">
            <v>Tersier BLMT II.2-T1</v>
          </cell>
          <cell r="D557">
            <v>87</v>
          </cell>
          <cell r="E557">
            <v>156.6</v>
          </cell>
          <cell r="F557">
            <v>0.5</v>
          </cell>
          <cell r="G557">
            <v>0.41536360028182301</v>
          </cell>
        </row>
        <row r="559">
          <cell r="A559">
            <v>35</v>
          </cell>
          <cell r="B559" t="str">
            <v>LS 1 kn</v>
          </cell>
          <cell r="D559">
            <v>0</v>
          </cell>
        </row>
        <row r="560">
          <cell r="A560" t="str">
            <v>35,1</v>
          </cell>
          <cell r="B560" t="str">
            <v>LS 1 kn</v>
          </cell>
          <cell r="C560" t="str">
            <v>Kwarter a1</v>
          </cell>
          <cell r="D560">
            <v>6</v>
          </cell>
          <cell r="E560">
            <v>15</v>
          </cell>
          <cell r="F560">
            <v>0.3</v>
          </cell>
          <cell r="G560">
            <v>0.21450182246807867</v>
          </cell>
        </row>
        <row r="561">
          <cell r="A561" t="str">
            <v>35,2</v>
          </cell>
          <cell r="B561" t="str">
            <v>LS 1 kn</v>
          </cell>
          <cell r="C561" t="str">
            <v>Kwarter a2</v>
          </cell>
          <cell r="D561">
            <v>14</v>
          </cell>
          <cell r="E561">
            <v>25.2</v>
          </cell>
          <cell r="F561">
            <v>0.3</v>
          </cell>
          <cell r="G561">
            <v>0.27984548813237042</v>
          </cell>
        </row>
        <row r="562">
          <cell r="A562" t="str">
            <v>35,3</v>
          </cell>
          <cell r="B562" t="str">
            <v>LS 1 kn</v>
          </cell>
          <cell r="C562" t="str">
            <v>Kwarter a3</v>
          </cell>
          <cell r="D562">
            <v>6</v>
          </cell>
          <cell r="E562">
            <v>15</v>
          </cell>
          <cell r="F562">
            <v>0.3</v>
          </cell>
          <cell r="G562">
            <v>0.21450182246807867</v>
          </cell>
        </row>
        <row r="563">
          <cell r="A563" t="str">
            <v>35,4</v>
          </cell>
          <cell r="B563" t="str">
            <v>LS 1 kn</v>
          </cell>
          <cell r="C563" t="str">
            <v>Kwarter b1</v>
          </cell>
          <cell r="D563">
            <v>15</v>
          </cell>
          <cell r="E563">
            <v>27</v>
          </cell>
          <cell r="F563">
            <v>0.3</v>
          </cell>
          <cell r="G563">
            <v>0.2897051306494956</v>
          </cell>
        </row>
        <row r="564">
          <cell r="A564" t="str">
            <v>35,5</v>
          </cell>
          <cell r="B564" t="str">
            <v>LS 1 kn</v>
          </cell>
          <cell r="C564" t="str">
            <v>Kwarter b2</v>
          </cell>
          <cell r="D564">
            <v>8</v>
          </cell>
          <cell r="E564">
            <v>15</v>
          </cell>
          <cell r="F564">
            <v>0.3</v>
          </cell>
          <cell r="G564">
            <v>0.21450182246807867</v>
          </cell>
        </row>
        <row r="565">
          <cell r="A565" t="str">
            <v>35,6</v>
          </cell>
          <cell r="B565" t="str">
            <v>LS 1 kn</v>
          </cell>
          <cell r="C565" t="str">
            <v>Kwarter b3</v>
          </cell>
          <cell r="D565">
            <v>11</v>
          </cell>
          <cell r="E565">
            <v>19.8</v>
          </cell>
          <cell r="F565">
            <v>0.3</v>
          </cell>
          <cell r="G565">
            <v>0.24760852941408978</v>
          </cell>
        </row>
        <row r="566">
          <cell r="A566" t="str">
            <v>35,7</v>
          </cell>
          <cell r="B566" t="str">
            <v>LS 1 kn</v>
          </cell>
          <cell r="C566" t="str">
            <v>Kwarter c1</v>
          </cell>
          <cell r="D566">
            <v>14</v>
          </cell>
          <cell r="E566">
            <v>25.2</v>
          </cell>
          <cell r="F566">
            <v>0.3</v>
          </cell>
          <cell r="G566">
            <v>0.27984548813237042</v>
          </cell>
        </row>
        <row r="567">
          <cell r="A567" t="str">
            <v>35,8</v>
          </cell>
          <cell r="B567" t="str">
            <v>LS 1 kn</v>
          </cell>
          <cell r="C567" t="str">
            <v>Kwarter c2</v>
          </cell>
          <cell r="D567">
            <v>16</v>
          </cell>
          <cell r="E567">
            <v>28.8</v>
          </cell>
          <cell r="F567">
            <v>0.3</v>
          </cell>
          <cell r="G567">
            <v>0.29919620491337184</v>
          </cell>
        </row>
        <row r="568">
          <cell r="A568" t="str">
            <v>35,9</v>
          </cell>
          <cell r="B568" t="str">
            <v>LS 1 kn</v>
          </cell>
          <cell r="C568" t="str">
            <v>Muka b3</v>
          </cell>
          <cell r="D568">
            <v>11</v>
          </cell>
          <cell r="E568">
            <v>19.8</v>
          </cell>
          <cell r="F568">
            <v>0.3</v>
          </cell>
          <cell r="G568">
            <v>0.17212946236022733</v>
          </cell>
        </row>
        <row r="569">
          <cell r="A569" t="str">
            <v>35,10</v>
          </cell>
          <cell r="B569" t="str">
            <v>LS 1 kn</v>
          </cell>
          <cell r="C569" t="str">
            <v>Muka c2</v>
          </cell>
          <cell r="D569">
            <v>16</v>
          </cell>
          <cell r="E569">
            <v>28.8</v>
          </cell>
          <cell r="F569">
            <v>0.3</v>
          </cell>
          <cell r="G569">
            <v>0.20997228774260737</v>
          </cell>
        </row>
        <row r="570">
          <cell r="A570" t="str">
            <v>35,11</v>
          </cell>
          <cell r="B570" t="str">
            <v>LS 1 kn</v>
          </cell>
          <cell r="C570" t="str">
            <v>Tersier T2-K2</v>
          </cell>
          <cell r="D570">
            <v>30</v>
          </cell>
          <cell r="E570">
            <v>54</v>
          </cell>
          <cell r="F570">
            <v>0.35</v>
          </cell>
          <cell r="G570">
            <v>0.27428186226117168</v>
          </cell>
        </row>
        <row r="571">
          <cell r="A571" t="str">
            <v>35,12</v>
          </cell>
          <cell r="B571" t="str">
            <v>LS 1 kn</v>
          </cell>
          <cell r="C571" t="str">
            <v>Tersier T2-K1</v>
          </cell>
          <cell r="D571">
            <v>34</v>
          </cell>
          <cell r="E571">
            <v>61.2</v>
          </cell>
          <cell r="F571">
            <v>0.3</v>
          </cell>
          <cell r="G571">
            <v>0.18</v>
          </cell>
        </row>
        <row r="572">
          <cell r="A572" t="str">
            <v>35,13</v>
          </cell>
          <cell r="B572" t="str">
            <v>LS 1 kn</v>
          </cell>
          <cell r="C572" t="str">
            <v>Tersier T1-T2</v>
          </cell>
          <cell r="D572">
            <v>84</v>
          </cell>
          <cell r="E572">
            <v>151.20000000000002</v>
          </cell>
          <cell r="F572">
            <v>0.45</v>
          </cell>
          <cell r="G572">
            <v>0.42345085842064778</v>
          </cell>
        </row>
        <row r="573">
          <cell r="A573" t="str">
            <v>35,14</v>
          </cell>
          <cell r="B573" t="str">
            <v>LS 1 kn</v>
          </cell>
          <cell r="C573" t="str">
            <v>Tersier BLS 1-T1</v>
          </cell>
          <cell r="D573">
            <v>90</v>
          </cell>
          <cell r="E573">
            <v>162</v>
          </cell>
          <cell r="F573">
            <v>0.5</v>
          </cell>
          <cell r="G573">
            <v>0.42261917910659486</v>
          </cell>
        </row>
        <row r="575">
          <cell r="A575">
            <v>36</v>
          </cell>
          <cell r="B575" t="str">
            <v>LS 2 kr</v>
          </cell>
          <cell r="D575">
            <v>0</v>
          </cell>
        </row>
        <row r="576">
          <cell r="A576" t="str">
            <v>36,1</v>
          </cell>
          <cell r="B576" t="str">
            <v>LS 2 kr</v>
          </cell>
          <cell r="C576" t="str">
            <v>Kwarter a1</v>
          </cell>
          <cell r="D576">
            <v>14</v>
          </cell>
          <cell r="E576">
            <v>25.2</v>
          </cell>
          <cell r="F576">
            <v>0.3</v>
          </cell>
          <cell r="G576">
            <v>0.27984548813237042</v>
          </cell>
        </row>
        <row r="577">
          <cell r="A577" t="str">
            <v>36,2</v>
          </cell>
          <cell r="B577" t="str">
            <v>LS 2 kr</v>
          </cell>
          <cell r="C577" t="str">
            <v>Kwarter a2</v>
          </cell>
          <cell r="D577">
            <v>9</v>
          </cell>
          <cell r="E577">
            <v>16.2</v>
          </cell>
          <cell r="F577">
            <v>0.3</v>
          </cell>
          <cell r="G577">
            <v>0.2232716283144332</v>
          </cell>
        </row>
        <row r="578">
          <cell r="A578" t="str">
            <v>36,3</v>
          </cell>
          <cell r="B578" t="str">
            <v>LS 2 kr</v>
          </cell>
          <cell r="C578" t="str">
            <v>Kwarter a3</v>
          </cell>
          <cell r="D578">
            <v>12</v>
          </cell>
          <cell r="E578">
            <v>21.6</v>
          </cell>
          <cell r="F578">
            <v>0.3</v>
          </cell>
          <cell r="G578">
            <v>0.25885059005180217</v>
          </cell>
        </row>
        <row r="579">
          <cell r="A579" t="str">
            <v>36,4</v>
          </cell>
          <cell r="B579" t="str">
            <v>LS 2 kr</v>
          </cell>
          <cell r="C579" t="str">
            <v>Kwarter b1</v>
          </cell>
          <cell r="D579">
            <v>14</v>
          </cell>
          <cell r="E579">
            <v>25.2</v>
          </cell>
          <cell r="F579">
            <v>0.3</v>
          </cell>
          <cell r="G579">
            <v>0.27984548813237042</v>
          </cell>
        </row>
        <row r="580">
          <cell r="A580" t="str">
            <v>36,5</v>
          </cell>
          <cell r="B580" t="str">
            <v>LS 2 kr</v>
          </cell>
          <cell r="C580" t="str">
            <v>Kwarter b2</v>
          </cell>
          <cell r="D580">
            <v>10</v>
          </cell>
          <cell r="E580">
            <v>18</v>
          </cell>
          <cell r="F580">
            <v>0.3</v>
          </cell>
          <cell r="G580">
            <v>0.23577879671478721</v>
          </cell>
        </row>
        <row r="581">
          <cell r="A581" t="str">
            <v>36,6</v>
          </cell>
          <cell r="B581" t="str">
            <v>LS 2 kr</v>
          </cell>
          <cell r="C581" t="str">
            <v>Kwarter b3</v>
          </cell>
          <cell r="D581">
            <v>9</v>
          </cell>
          <cell r="E581">
            <v>16.2</v>
          </cell>
          <cell r="F581">
            <v>0.3</v>
          </cell>
          <cell r="G581">
            <v>0.2232716283144332</v>
          </cell>
        </row>
        <row r="582">
          <cell r="A582" t="str">
            <v>36,7</v>
          </cell>
          <cell r="B582" t="str">
            <v>LS 2 kr</v>
          </cell>
          <cell r="C582" t="str">
            <v>Kwarter c1</v>
          </cell>
          <cell r="D582">
            <v>14</v>
          </cell>
          <cell r="E582">
            <v>25.2</v>
          </cell>
          <cell r="F582">
            <v>0.3</v>
          </cell>
          <cell r="G582">
            <v>0.27984548813237042</v>
          </cell>
        </row>
        <row r="583">
          <cell r="A583" t="str">
            <v>36,8</v>
          </cell>
          <cell r="B583" t="str">
            <v>LS 2 kr</v>
          </cell>
          <cell r="C583" t="str">
            <v>Kwarter c2</v>
          </cell>
          <cell r="D583">
            <v>10</v>
          </cell>
          <cell r="E583">
            <v>18</v>
          </cell>
          <cell r="F583">
            <v>0.3</v>
          </cell>
          <cell r="G583">
            <v>0.23577879671478721</v>
          </cell>
        </row>
        <row r="584">
          <cell r="A584" t="str">
            <v>36,9</v>
          </cell>
          <cell r="B584" t="str">
            <v>LS 2 kr</v>
          </cell>
          <cell r="C584" t="str">
            <v>Kwarter c3</v>
          </cell>
          <cell r="D584">
            <v>10</v>
          </cell>
          <cell r="E584">
            <v>18</v>
          </cell>
          <cell r="F584">
            <v>0.3</v>
          </cell>
          <cell r="G584">
            <v>0.23577879671478721</v>
          </cell>
        </row>
        <row r="585">
          <cell r="A585" t="str">
            <v>36,10</v>
          </cell>
          <cell r="B585" t="str">
            <v>LS 2 kr</v>
          </cell>
          <cell r="C585" t="str">
            <v>Muka c2</v>
          </cell>
          <cell r="D585">
            <v>10</v>
          </cell>
          <cell r="E585">
            <v>18</v>
          </cell>
          <cell r="F585">
            <v>0.3</v>
          </cell>
          <cell r="G585">
            <v>0.14456561731552095</v>
          </cell>
        </row>
        <row r="586">
          <cell r="A586" t="str">
            <v>36,11</v>
          </cell>
          <cell r="B586" t="str">
            <v>LS 2 kr</v>
          </cell>
          <cell r="C586" t="str">
            <v>Tersier T3-K1</v>
          </cell>
          <cell r="D586">
            <v>43</v>
          </cell>
          <cell r="E586">
            <v>77.400000000000006</v>
          </cell>
          <cell r="F586">
            <v>0.35</v>
          </cell>
          <cell r="G586">
            <v>0.30421204090585524</v>
          </cell>
        </row>
        <row r="587">
          <cell r="A587" t="str">
            <v>36,12</v>
          </cell>
          <cell r="B587" t="str">
            <v>LS 2 kr</v>
          </cell>
          <cell r="C587" t="str">
            <v>Tersier T2-T3</v>
          </cell>
          <cell r="D587">
            <v>65</v>
          </cell>
          <cell r="E587">
            <v>117</v>
          </cell>
          <cell r="F587">
            <v>0.4</v>
          </cell>
          <cell r="G587">
            <v>0.35102505094915282</v>
          </cell>
        </row>
        <row r="588">
          <cell r="A588" t="str">
            <v>36,13</v>
          </cell>
          <cell r="B588" t="str">
            <v>LS 2 kr</v>
          </cell>
          <cell r="C588" t="str">
            <v>Tersier T1-T2</v>
          </cell>
          <cell r="D588">
            <v>79</v>
          </cell>
          <cell r="E588">
            <v>142.20000000000002</v>
          </cell>
          <cell r="F588">
            <v>0.45</v>
          </cell>
          <cell r="G588">
            <v>0.40451655364466327</v>
          </cell>
        </row>
        <row r="589">
          <cell r="A589" t="str">
            <v>36,14</v>
          </cell>
          <cell r="B589" t="str">
            <v>LS 2 kr</v>
          </cell>
          <cell r="C589" t="str">
            <v>Tersier BLS 2-T1</v>
          </cell>
          <cell r="D589">
            <v>102</v>
          </cell>
          <cell r="E589">
            <v>183.6</v>
          </cell>
          <cell r="F589">
            <v>0.5</v>
          </cell>
          <cell r="G589">
            <v>0.45035799255969433</v>
          </cell>
        </row>
        <row r="591">
          <cell r="A591">
            <v>37</v>
          </cell>
          <cell r="B591" t="str">
            <v>LS 3 kn</v>
          </cell>
          <cell r="D591">
            <v>0</v>
          </cell>
        </row>
        <row r="592">
          <cell r="A592" t="str">
            <v>37,1</v>
          </cell>
          <cell r="B592" t="str">
            <v>LS 3 kn</v>
          </cell>
          <cell r="C592" t="str">
            <v>Kwarter a1</v>
          </cell>
          <cell r="D592">
            <v>14</v>
          </cell>
          <cell r="E592">
            <v>25.2</v>
          </cell>
          <cell r="F592">
            <v>0.3</v>
          </cell>
          <cell r="G592">
            <v>0.27984548813237042</v>
          </cell>
        </row>
        <row r="593">
          <cell r="A593" t="str">
            <v>37,2</v>
          </cell>
          <cell r="B593" t="str">
            <v>LS 3 kn</v>
          </cell>
          <cell r="C593" t="str">
            <v>Kwarter a2</v>
          </cell>
          <cell r="D593">
            <v>9</v>
          </cell>
          <cell r="E593">
            <v>16.2</v>
          </cell>
          <cell r="F593">
            <v>0.3</v>
          </cell>
          <cell r="G593">
            <v>0.2232716283144332</v>
          </cell>
        </row>
        <row r="594">
          <cell r="A594" t="str">
            <v>37,3</v>
          </cell>
          <cell r="B594" t="str">
            <v>LS 3 kn</v>
          </cell>
          <cell r="C594" t="str">
            <v>Kwarter a3</v>
          </cell>
          <cell r="D594">
            <v>15</v>
          </cell>
          <cell r="E594">
            <v>27</v>
          </cell>
          <cell r="F594">
            <v>0.3</v>
          </cell>
          <cell r="G594">
            <v>0.2897051306494956</v>
          </cell>
        </row>
        <row r="595">
          <cell r="A595" t="str">
            <v>37,4</v>
          </cell>
          <cell r="B595" t="str">
            <v>LS 3 kn</v>
          </cell>
          <cell r="C595" t="str">
            <v>Kwarter b1</v>
          </cell>
          <cell r="D595">
            <v>11</v>
          </cell>
          <cell r="E595">
            <v>19.8</v>
          </cell>
          <cell r="F595">
            <v>0.3</v>
          </cell>
          <cell r="G595">
            <v>0.24760852941408978</v>
          </cell>
        </row>
        <row r="596">
          <cell r="A596" t="str">
            <v>37,5</v>
          </cell>
          <cell r="B596" t="str">
            <v>LS 3 kn</v>
          </cell>
          <cell r="C596" t="str">
            <v>Kwarter b2</v>
          </cell>
          <cell r="D596">
            <v>13</v>
          </cell>
          <cell r="E596">
            <v>23.400000000000002</v>
          </cell>
          <cell r="F596">
            <v>0.3</v>
          </cell>
          <cell r="G596">
            <v>0.2695767640723864</v>
          </cell>
        </row>
        <row r="597">
          <cell r="A597" t="str">
            <v>37,6</v>
          </cell>
          <cell r="B597" t="str">
            <v>LS 3 kn</v>
          </cell>
          <cell r="C597" t="str">
            <v>Kwarter c1</v>
          </cell>
          <cell r="D597">
            <v>8</v>
          </cell>
          <cell r="E597">
            <v>15</v>
          </cell>
          <cell r="F597">
            <v>0.3</v>
          </cell>
          <cell r="G597">
            <v>0.21450182246807867</v>
          </cell>
        </row>
        <row r="598">
          <cell r="A598" t="str">
            <v>37,7</v>
          </cell>
          <cell r="B598" t="str">
            <v>LS 3 kn</v>
          </cell>
          <cell r="C598" t="str">
            <v>Kwarter c2</v>
          </cell>
          <cell r="D598">
            <v>9</v>
          </cell>
          <cell r="E598">
            <v>16.2</v>
          </cell>
          <cell r="F598">
            <v>0.3</v>
          </cell>
          <cell r="G598">
            <v>0.2232716283144332</v>
          </cell>
        </row>
        <row r="599">
          <cell r="A599" t="str">
            <v>37,8</v>
          </cell>
          <cell r="B599" t="str">
            <v>LS 3 kn</v>
          </cell>
          <cell r="C599" t="str">
            <v>Kwarter c3</v>
          </cell>
          <cell r="D599">
            <v>8</v>
          </cell>
          <cell r="E599">
            <v>15</v>
          </cell>
          <cell r="F599">
            <v>0.3</v>
          </cell>
          <cell r="G599">
            <v>0.21450182246807867</v>
          </cell>
        </row>
        <row r="600">
          <cell r="A600" t="str">
            <v>37,9</v>
          </cell>
          <cell r="B600" t="str">
            <v>LS 3 kn</v>
          </cell>
          <cell r="C600" t="str">
            <v>Kwarter c4</v>
          </cell>
          <cell r="D600">
            <v>8</v>
          </cell>
          <cell r="E600">
            <v>15</v>
          </cell>
          <cell r="F600">
            <v>0.3</v>
          </cell>
          <cell r="G600">
            <v>0.21450182246807867</v>
          </cell>
        </row>
        <row r="601">
          <cell r="A601" t="str">
            <v>37,10</v>
          </cell>
          <cell r="B601" t="str">
            <v>LS 3 kn</v>
          </cell>
          <cell r="C601" t="str">
            <v>Kwarter c5</v>
          </cell>
          <cell r="D601">
            <v>10</v>
          </cell>
          <cell r="E601">
            <v>18</v>
          </cell>
          <cell r="F601">
            <v>0.3</v>
          </cell>
          <cell r="G601">
            <v>0.23577879671478721</v>
          </cell>
        </row>
        <row r="602">
          <cell r="A602" t="str">
            <v>37,11</v>
          </cell>
          <cell r="B602" t="str">
            <v>LS 3 kn</v>
          </cell>
          <cell r="C602" t="str">
            <v>Kwarter d1</v>
          </cell>
          <cell r="D602">
            <v>10</v>
          </cell>
          <cell r="E602">
            <v>18</v>
          </cell>
          <cell r="F602">
            <v>0.3</v>
          </cell>
          <cell r="G602">
            <v>0.23577879671478721</v>
          </cell>
        </row>
        <row r="603">
          <cell r="A603" t="str">
            <v>37,12</v>
          </cell>
          <cell r="B603" t="str">
            <v>LS 3 kn</v>
          </cell>
          <cell r="C603" t="str">
            <v>Kwarter d2</v>
          </cell>
          <cell r="D603">
            <v>11</v>
          </cell>
          <cell r="E603">
            <v>19.8</v>
          </cell>
          <cell r="F603">
            <v>0.3</v>
          </cell>
          <cell r="G603">
            <v>0.24760852941408978</v>
          </cell>
        </row>
        <row r="604">
          <cell r="A604" t="str">
            <v>37,13</v>
          </cell>
          <cell r="B604" t="str">
            <v>LS 3 kn</v>
          </cell>
          <cell r="C604" t="str">
            <v>Kwarter d3</v>
          </cell>
          <cell r="D604">
            <v>10</v>
          </cell>
          <cell r="E604">
            <v>18</v>
          </cell>
          <cell r="F604">
            <v>0.3</v>
          </cell>
          <cell r="G604">
            <v>0.23577879671478721</v>
          </cell>
        </row>
        <row r="605">
          <cell r="A605" t="str">
            <v>37,14</v>
          </cell>
          <cell r="B605" t="str">
            <v>LS 3 kn</v>
          </cell>
          <cell r="C605" t="str">
            <v>Kwarter d4</v>
          </cell>
          <cell r="D605">
            <v>8</v>
          </cell>
          <cell r="E605">
            <v>15</v>
          </cell>
          <cell r="F605">
            <v>0.3</v>
          </cell>
          <cell r="G605">
            <v>0.21450182246807867</v>
          </cell>
        </row>
        <row r="606">
          <cell r="A606" t="str">
            <v>37,15</v>
          </cell>
          <cell r="B606" t="str">
            <v>LS 3 kn</v>
          </cell>
          <cell r="C606" t="str">
            <v>Muka a3</v>
          </cell>
          <cell r="D606">
            <v>15</v>
          </cell>
          <cell r="E606">
            <v>27</v>
          </cell>
          <cell r="F606">
            <v>0.3</v>
          </cell>
          <cell r="G606">
            <v>0.17682250348904874</v>
          </cell>
        </row>
        <row r="607">
          <cell r="A607" t="str">
            <v>37,16</v>
          </cell>
          <cell r="B607" t="str">
            <v>LS 3 kn</v>
          </cell>
          <cell r="C607" t="str">
            <v>Muka b2</v>
          </cell>
          <cell r="D607">
            <v>13</v>
          </cell>
          <cell r="E607">
            <v>23.400000000000002</v>
          </cell>
          <cell r="F607">
            <v>0.3</v>
          </cell>
          <cell r="G607">
            <v>0.1881943748633107</v>
          </cell>
        </row>
        <row r="608">
          <cell r="A608" t="str">
            <v>37,17</v>
          </cell>
          <cell r="B608" t="str">
            <v>LS 3 kn</v>
          </cell>
          <cell r="C608" t="str">
            <v>Muka d1</v>
          </cell>
          <cell r="D608">
            <v>10</v>
          </cell>
          <cell r="E608">
            <v>18</v>
          </cell>
          <cell r="F608">
            <v>0.3</v>
          </cell>
          <cell r="G608">
            <v>0.16351330633082431</v>
          </cell>
        </row>
        <row r="609">
          <cell r="A609" t="str">
            <v>37,18</v>
          </cell>
          <cell r="B609" t="str">
            <v>LS 3 kn</v>
          </cell>
          <cell r="C609" t="str">
            <v>Muka d4</v>
          </cell>
          <cell r="D609">
            <v>8</v>
          </cell>
          <cell r="E609">
            <v>15</v>
          </cell>
          <cell r="F609">
            <v>0.3</v>
          </cell>
          <cell r="G609">
            <v>0.1480841412385186</v>
          </cell>
        </row>
        <row r="610">
          <cell r="A610" t="str">
            <v>37,19</v>
          </cell>
          <cell r="B610" t="str">
            <v>LS 3 kn</v>
          </cell>
          <cell r="C610" t="str">
            <v>Tersier T8-K2</v>
          </cell>
          <cell r="D610">
            <v>29</v>
          </cell>
          <cell r="E610">
            <v>52.2</v>
          </cell>
          <cell r="F610">
            <v>0.35</v>
          </cell>
          <cell r="G610">
            <v>0.26952358133264165</v>
          </cell>
        </row>
        <row r="611">
          <cell r="A611" t="str">
            <v>37,20</v>
          </cell>
          <cell r="B611" t="str">
            <v>LS 3 kn</v>
          </cell>
          <cell r="C611" t="str">
            <v>Tersier T7-T8</v>
          </cell>
          <cell r="D611">
            <v>39</v>
          </cell>
          <cell r="E611">
            <v>70.2</v>
          </cell>
          <cell r="F611">
            <v>0.35</v>
          </cell>
          <cell r="G611">
            <v>0.3136159258310236</v>
          </cell>
        </row>
        <row r="612">
          <cell r="A612" t="str">
            <v>37,21</v>
          </cell>
          <cell r="B612" t="str">
            <v>LS 3 kn</v>
          </cell>
          <cell r="C612" t="str">
            <v>Tersier T6-T7</v>
          </cell>
          <cell r="D612">
            <v>49</v>
          </cell>
          <cell r="E612">
            <v>88.2</v>
          </cell>
          <cell r="F612">
            <v>0.4</v>
          </cell>
          <cell r="G612">
            <v>0.335869635534364</v>
          </cell>
        </row>
        <row r="613">
          <cell r="A613" t="str">
            <v>37,22</v>
          </cell>
          <cell r="B613" t="str">
            <v>LS 3 kn</v>
          </cell>
          <cell r="C613" t="str">
            <v>Tersier T5-T6</v>
          </cell>
          <cell r="D613">
            <v>57</v>
          </cell>
          <cell r="E613">
            <v>102.60000000000001</v>
          </cell>
          <cell r="F613">
            <v>0.4</v>
          </cell>
          <cell r="G613">
            <v>0.36268475904456859</v>
          </cell>
        </row>
        <row r="614">
          <cell r="A614" t="str">
            <v>37,23</v>
          </cell>
          <cell r="B614" t="str">
            <v>LS 3 kn</v>
          </cell>
          <cell r="C614" t="str">
            <v>Tersier T4-T5</v>
          </cell>
          <cell r="D614">
            <v>65</v>
          </cell>
          <cell r="E614">
            <v>117</v>
          </cell>
          <cell r="F614">
            <v>0.45</v>
          </cell>
          <cell r="G614">
            <v>0.37181309911650096</v>
          </cell>
        </row>
        <row r="615">
          <cell r="A615" t="str">
            <v>37,24</v>
          </cell>
          <cell r="B615" t="str">
            <v>LS 3 kn</v>
          </cell>
          <cell r="C615" t="str">
            <v>Tersier T1-T4</v>
          </cell>
          <cell r="D615">
            <v>89</v>
          </cell>
          <cell r="E615">
            <v>160.20000000000002</v>
          </cell>
          <cell r="F615">
            <v>0.45</v>
          </cell>
          <cell r="G615">
            <v>0.4359080445243903</v>
          </cell>
        </row>
        <row r="616">
          <cell r="A616" t="str">
            <v>37,25</v>
          </cell>
          <cell r="B616" t="str">
            <v>LS 3 kn</v>
          </cell>
          <cell r="C616" t="str">
            <v>Tersier T3-K1</v>
          </cell>
          <cell r="D616">
            <v>24</v>
          </cell>
          <cell r="E616">
            <v>43.2</v>
          </cell>
          <cell r="F616">
            <v>0.3</v>
          </cell>
          <cell r="G616">
            <v>0.2588505996872289</v>
          </cell>
        </row>
        <row r="617">
          <cell r="A617" t="str">
            <v>37,26</v>
          </cell>
          <cell r="B617" t="str">
            <v>LS 3 kn</v>
          </cell>
          <cell r="C617" t="str">
            <v>Tersier T2-T3</v>
          </cell>
          <cell r="D617">
            <v>33</v>
          </cell>
          <cell r="E617">
            <v>59.4</v>
          </cell>
          <cell r="F617">
            <v>0.35</v>
          </cell>
          <cell r="G617">
            <v>0.28804905463286096</v>
          </cell>
        </row>
        <row r="618">
          <cell r="A618" t="str">
            <v>37,27</v>
          </cell>
          <cell r="B618" t="str">
            <v>LS 3 kn</v>
          </cell>
          <cell r="C618" t="str">
            <v>Tersier T1-T2</v>
          </cell>
          <cell r="D618">
            <v>47</v>
          </cell>
          <cell r="E618">
            <v>84.600000000000009</v>
          </cell>
          <cell r="F618">
            <v>0.4</v>
          </cell>
          <cell r="G618">
            <v>0.32878718981771538</v>
          </cell>
        </row>
        <row r="619">
          <cell r="A619" t="str">
            <v>37,28</v>
          </cell>
          <cell r="B619" t="str">
            <v>LS 3 kn</v>
          </cell>
          <cell r="C619" t="str">
            <v>Muka LS 3kn</v>
          </cell>
          <cell r="D619">
            <v>144</v>
          </cell>
          <cell r="E619">
            <v>259.2</v>
          </cell>
          <cell r="F619">
            <v>0.55000000000000004</v>
          </cell>
          <cell r="G619">
            <v>0.51855955442826085</v>
          </cell>
        </row>
        <row r="621">
          <cell r="A621">
            <v>38</v>
          </cell>
          <cell r="B621" t="str">
            <v>LS 3 kr</v>
          </cell>
          <cell r="D621">
            <v>0</v>
          </cell>
        </row>
        <row r="622">
          <cell r="A622" t="str">
            <v>38,1</v>
          </cell>
          <cell r="B622" t="str">
            <v>LS 3 kr</v>
          </cell>
          <cell r="C622" t="str">
            <v>Kwarter a1</v>
          </cell>
          <cell r="D622">
            <v>12</v>
          </cell>
          <cell r="E622">
            <v>21.6</v>
          </cell>
          <cell r="F622">
            <v>0.3</v>
          </cell>
          <cell r="G622">
            <v>0.25885059005180217</v>
          </cell>
        </row>
        <row r="623">
          <cell r="A623" t="str">
            <v>38,2</v>
          </cell>
          <cell r="B623" t="str">
            <v>LS 3 kr</v>
          </cell>
          <cell r="C623" t="str">
            <v>Kwarter a2</v>
          </cell>
          <cell r="D623">
            <v>7</v>
          </cell>
          <cell r="E623">
            <v>15</v>
          </cell>
          <cell r="F623">
            <v>0.3</v>
          </cell>
          <cell r="G623">
            <v>0.21450182246807867</v>
          </cell>
        </row>
        <row r="624">
          <cell r="A624" t="str">
            <v>38,3</v>
          </cell>
          <cell r="B624" t="str">
            <v>LS 3 kr</v>
          </cell>
          <cell r="C624" t="str">
            <v>Kwarter a3</v>
          </cell>
          <cell r="D624">
            <v>6</v>
          </cell>
          <cell r="E624">
            <v>15</v>
          </cell>
          <cell r="F624">
            <v>0.3</v>
          </cell>
          <cell r="G624">
            <v>0.21450182246807867</v>
          </cell>
        </row>
        <row r="625">
          <cell r="A625" t="str">
            <v>38,4</v>
          </cell>
          <cell r="B625" t="str">
            <v>LS 3 kr</v>
          </cell>
          <cell r="C625" t="str">
            <v>Kwarter b1</v>
          </cell>
          <cell r="D625">
            <v>3</v>
          </cell>
          <cell r="E625">
            <v>15</v>
          </cell>
          <cell r="F625">
            <v>0.3</v>
          </cell>
          <cell r="G625">
            <v>0.21450182246807867</v>
          </cell>
        </row>
        <row r="626">
          <cell r="A626" t="str">
            <v>38,5</v>
          </cell>
          <cell r="B626" t="str">
            <v>LS 3 kr</v>
          </cell>
          <cell r="C626" t="str">
            <v>Kwarter b2</v>
          </cell>
          <cell r="D626">
            <v>11</v>
          </cell>
          <cell r="E626">
            <v>19.8</v>
          </cell>
          <cell r="F626">
            <v>0.3</v>
          </cell>
          <cell r="G626">
            <v>0.24760852941408978</v>
          </cell>
        </row>
        <row r="627">
          <cell r="A627" t="str">
            <v>38,6</v>
          </cell>
          <cell r="B627" t="str">
            <v>LS 3 kr</v>
          </cell>
          <cell r="C627" t="str">
            <v>Kwarter b3</v>
          </cell>
          <cell r="D627">
            <v>8</v>
          </cell>
          <cell r="E627">
            <v>15</v>
          </cell>
          <cell r="F627">
            <v>0.3</v>
          </cell>
          <cell r="G627">
            <v>0.21450182246807867</v>
          </cell>
        </row>
        <row r="628">
          <cell r="A628" t="str">
            <v>38,7</v>
          </cell>
          <cell r="B628" t="str">
            <v>LS 3 kr</v>
          </cell>
          <cell r="C628" t="str">
            <v>Kwarter b4</v>
          </cell>
          <cell r="D628">
            <v>8</v>
          </cell>
          <cell r="E628">
            <v>15</v>
          </cell>
          <cell r="F628">
            <v>0.3</v>
          </cell>
          <cell r="G628">
            <v>0.21450182246807867</v>
          </cell>
        </row>
        <row r="629">
          <cell r="A629" t="str">
            <v>38,8</v>
          </cell>
          <cell r="B629" t="str">
            <v>LS 3 kr</v>
          </cell>
          <cell r="C629" t="str">
            <v>Kwarter cab b4</v>
          </cell>
          <cell r="E629">
            <v>15</v>
          </cell>
          <cell r="F629">
            <v>0.3</v>
          </cell>
          <cell r="G629">
            <v>0.21450182246807867</v>
          </cell>
        </row>
        <row r="630">
          <cell r="A630" t="str">
            <v>38,9</v>
          </cell>
          <cell r="B630" t="str">
            <v>LS 3 kr</v>
          </cell>
          <cell r="C630" t="str">
            <v>Tersier T3-K1</v>
          </cell>
          <cell r="D630">
            <v>16</v>
          </cell>
          <cell r="E630">
            <v>28.8</v>
          </cell>
          <cell r="F630">
            <v>0.3</v>
          </cell>
          <cell r="G630">
            <v>0.20997228774260737</v>
          </cell>
        </row>
        <row r="631">
          <cell r="A631" t="str">
            <v>38,10</v>
          </cell>
          <cell r="B631" t="str">
            <v>LS 3 kr</v>
          </cell>
          <cell r="C631" t="str">
            <v>Tersier T2-T3</v>
          </cell>
          <cell r="D631">
            <v>30</v>
          </cell>
          <cell r="E631">
            <v>54</v>
          </cell>
          <cell r="F631">
            <v>0.35</v>
          </cell>
          <cell r="G631">
            <v>0.27428186226117168</v>
          </cell>
        </row>
        <row r="632">
          <cell r="A632" t="str">
            <v>38,11</v>
          </cell>
          <cell r="B632" t="str">
            <v>LS 3 kr</v>
          </cell>
          <cell r="C632" t="str">
            <v>Tersier T1-T2</v>
          </cell>
          <cell r="D632">
            <v>43</v>
          </cell>
          <cell r="E632">
            <v>77.400000000000006</v>
          </cell>
          <cell r="F632">
            <v>0.35</v>
          </cell>
          <cell r="G632">
            <v>0.31939131313234742</v>
          </cell>
        </row>
        <row r="633">
          <cell r="A633" t="str">
            <v>38,12</v>
          </cell>
          <cell r="B633" t="str">
            <v>LS 3 kr</v>
          </cell>
          <cell r="C633" t="str">
            <v>Tersier BLS3-T1</v>
          </cell>
          <cell r="D633">
            <v>55</v>
          </cell>
          <cell r="E633">
            <v>99</v>
          </cell>
          <cell r="F633">
            <v>0.4</v>
          </cell>
          <cell r="G633">
            <v>0.35619121077700316</v>
          </cell>
        </row>
        <row r="635">
          <cell r="A635">
            <v>39</v>
          </cell>
          <cell r="B635" t="str">
            <v>LS 4 kr1</v>
          </cell>
          <cell r="D635">
            <v>0</v>
          </cell>
        </row>
        <row r="636">
          <cell r="A636" t="str">
            <v>39,1</v>
          </cell>
          <cell r="B636" t="str">
            <v>LS 4 kr1</v>
          </cell>
          <cell r="C636" t="str">
            <v>Kwarter a1</v>
          </cell>
          <cell r="D636">
            <v>8</v>
          </cell>
          <cell r="E636">
            <v>15</v>
          </cell>
          <cell r="F636">
            <v>0.3</v>
          </cell>
          <cell r="G636">
            <v>0.21450182246807867</v>
          </cell>
        </row>
        <row r="637">
          <cell r="A637" t="str">
            <v>39,2</v>
          </cell>
          <cell r="B637" t="str">
            <v>LS 4 kr1</v>
          </cell>
          <cell r="C637" t="str">
            <v>Kwarter a2</v>
          </cell>
          <cell r="D637">
            <v>11</v>
          </cell>
          <cell r="E637">
            <v>19.8</v>
          </cell>
          <cell r="F637">
            <v>0.3</v>
          </cell>
          <cell r="G637">
            <v>0.24760852941408978</v>
          </cell>
        </row>
        <row r="638">
          <cell r="A638" t="str">
            <v>39,3</v>
          </cell>
          <cell r="B638" t="str">
            <v>LS 4 kr1</v>
          </cell>
          <cell r="C638" t="str">
            <v>Kwarter a3</v>
          </cell>
          <cell r="D638">
            <v>13</v>
          </cell>
          <cell r="E638">
            <v>23.400000000000002</v>
          </cell>
          <cell r="F638">
            <v>0.3</v>
          </cell>
          <cell r="G638">
            <v>0.2695767640723864</v>
          </cell>
        </row>
        <row r="639">
          <cell r="A639" t="str">
            <v>39,4</v>
          </cell>
          <cell r="B639" t="str">
            <v>LS 4 kr1</v>
          </cell>
          <cell r="C639" t="str">
            <v>Kwarter b1</v>
          </cell>
          <cell r="D639">
            <v>11</v>
          </cell>
          <cell r="E639">
            <v>19.8</v>
          </cell>
          <cell r="F639">
            <v>0.3</v>
          </cell>
          <cell r="G639">
            <v>0.24760852941408978</v>
          </cell>
        </row>
        <row r="640">
          <cell r="A640" t="str">
            <v>39,5</v>
          </cell>
          <cell r="B640" t="str">
            <v>LS 4 kr1</v>
          </cell>
          <cell r="C640" t="str">
            <v>Kwarter b2</v>
          </cell>
          <cell r="D640">
            <v>11</v>
          </cell>
          <cell r="E640">
            <v>19.8</v>
          </cell>
          <cell r="F640">
            <v>0.3</v>
          </cell>
          <cell r="G640">
            <v>0.24760852941408978</v>
          </cell>
        </row>
        <row r="641">
          <cell r="A641" t="str">
            <v>39,6</v>
          </cell>
          <cell r="B641" t="str">
            <v>LS 4 kr1</v>
          </cell>
          <cell r="C641" t="str">
            <v>Kwarter b3</v>
          </cell>
          <cell r="D641">
            <v>15</v>
          </cell>
          <cell r="E641">
            <v>27</v>
          </cell>
          <cell r="F641">
            <v>0.3</v>
          </cell>
          <cell r="G641">
            <v>0.2897051306494956</v>
          </cell>
        </row>
        <row r="642">
          <cell r="A642" t="str">
            <v>39,7</v>
          </cell>
          <cell r="B642" t="str">
            <v>LS 4 kr1</v>
          </cell>
          <cell r="C642" t="str">
            <v>Muka a1</v>
          </cell>
          <cell r="D642">
            <v>8</v>
          </cell>
          <cell r="E642">
            <v>15</v>
          </cell>
          <cell r="F642">
            <v>0.3</v>
          </cell>
          <cell r="G642">
            <v>0.1480841412385186</v>
          </cell>
        </row>
        <row r="643">
          <cell r="A643" t="str">
            <v>39,8</v>
          </cell>
          <cell r="B643" t="str">
            <v>LS 4 kr1</v>
          </cell>
          <cell r="C643" t="str">
            <v>Muka b3</v>
          </cell>
          <cell r="D643">
            <v>15</v>
          </cell>
          <cell r="E643">
            <v>27</v>
          </cell>
          <cell r="F643">
            <v>0.3</v>
          </cell>
          <cell r="G643">
            <v>0.20298029723967093</v>
          </cell>
        </row>
        <row r="644">
          <cell r="A644" t="str">
            <v>39,9</v>
          </cell>
          <cell r="B644" t="str">
            <v>LS 4 kr1</v>
          </cell>
          <cell r="C644" t="str">
            <v>Tersier T2-K1</v>
          </cell>
          <cell r="D644">
            <v>37</v>
          </cell>
          <cell r="E644">
            <v>66.600000000000009</v>
          </cell>
          <cell r="F644">
            <v>0.35</v>
          </cell>
          <cell r="G644">
            <v>0.3053567436625888</v>
          </cell>
        </row>
        <row r="645">
          <cell r="A645" t="str">
            <v>39,10</v>
          </cell>
          <cell r="B645" t="str">
            <v>LS 4 kr1</v>
          </cell>
          <cell r="C645" t="str">
            <v>Tersier T1-T2</v>
          </cell>
          <cell r="D645">
            <v>50</v>
          </cell>
          <cell r="E645">
            <v>90</v>
          </cell>
          <cell r="F645">
            <v>0.4</v>
          </cell>
          <cell r="G645">
            <v>0.33935013237992817</v>
          </cell>
        </row>
        <row r="646">
          <cell r="A646" t="str">
            <v>39,11</v>
          </cell>
          <cell r="B646" t="str">
            <v>LS 4 kr1</v>
          </cell>
          <cell r="C646" t="str">
            <v>Tersier BLS4-T1</v>
          </cell>
          <cell r="D646">
            <v>69</v>
          </cell>
          <cell r="E646">
            <v>124.2</v>
          </cell>
          <cell r="F646">
            <v>0.45</v>
          </cell>
          <cell r="G646">
            <v>0.3833281037910688</v>
          </cell>
        </row>
        <row r="648">
          <cell r="A648">
            <v>40</v>
          </cell>
          <cell r="B648" t="str">
            <v>LS 4 kr2</v>
          </cell>
          <cell r="D648">
            <v>0</v>
          </cell>
        </row>
        <row r="649">
          <cell r="A649" t="str">
            <v>40,1</v>
          </cell>
          <cell r="B649" t="str">
            <v>LS 4 kr2</v>
          </cell>
          <cell r="C649" t="str">
            <v>Kwarter a1</v>
          </cell>
          <cell r="D649">
            <v>14</v>
          </cell>
          <cell r="E649">
            <v>25.2</v>
          </cell>
          <cell r="F649">
            <v>0.3</v>
          </cell>
          <cell r="G649">
            <v>0.27984548813237042</v>
          </cell>
        </row>
        <row r="650">
          <cell r="A650" t="str">
            <v>40,2</v>
          </cell>
          <cell r="B650" t="str">
            <v>LS 4 kr2</v>
          </cell>
          <cell r="C650" t="str">
            <v>Kwarter a2</v>
          </cell>
          <cell r="D650">
            <v>13</v>
          </cell>
          <cell r="E650">
            <v>23.400000000000002</v>
          </cell>
          <cell r="F650">
            <v>0.3</v>
          </cell>
          <cell r="G650">
            <v>0.2695767640723864</v>
          </cell>
        </row>
        <row r="651">
          <cell r="A651" t="str">
            <v>40,3</v>
          </cell>
          <cell r="B651" t="str">
            <v>LS 4 kr2</v>
          </cell>
          <cell r="C651" t="str">
            <v>Kwarter a3</v>
          </cell>
          <cell r="D651">
            <v>15</v>
          </cell>
          <cell r="E651">
            <v>27</v>
          </cell>
          <cell r="F651">
            <v>0.3</v>
          </cell>
          <cell r="G651">
            <v>0.2897051306494956</v>
          </cell>
        </row>
        <row r="652">
          <cell r="A652" t="str">
            <v>40,4</v>
          </cell>
          <cell r="B652" t="str">
            <v>LS 4 kr2</v>
          </cell>
          <cell r="C652" t="str">
            <v>Kwarter b1</v>
          </cell>
          <cell r="D652">
            <v>10</v>
          </cell>
          <cell r="E652">
            <v>18</v>
          </cell>
          <cell r="F652">
            <v>0.3</v>
          </cell>
          <cell r="G652">
            <v>0.23577879671478721</v>
          </cell>
        </row>
        <row r="653">
          <cell r="A653" t="str">
            <v>40,5</v>
          </cell>
          <cell r="B653" t="str">
            <v>LS 4 kr2</v>
          </cell>
          <cell r="C653" t="str">
            <v>Kwarter b2</v>
          </cell>
          <cell r="D653">
            <v>9</v>
          </cell>
          <cell r="E653">
            <v>16.2</v>
          </cell>
          <cell r="F653">
            <v>0.3</v>
          </cell>
          <cell r="G653">
            <v>0.2232716283144332</v>
          </cell>
        </row>
        <row r="654">
          <cell r="A654" t="str">
            <v>40,6</v>
          </cell>
          <cell r="B654" t="str">
            <v>LS 4 kr2</v>
          </cell>
          <cell r="C654" t="str">
            <v>Kwarter c1</v>
          </cell>
          <cell r="D654">
            <v>10</v>
          </cell>
          <cell r="E654">
            <v>18</v>
          </cell>
          <cell r="F654">
            <v>0.3</v>
          </cell>
          <cell r="G654">
            <v>0.23577879671478721</v>
          </cell>
        </row>
        <row r="655">
          <cell r="A655" t="str">
            <v>40,7</v>
          </cell>
          <cell r="B655" t="str">
            <v>LS 4 kr2</v>
          </cell>
          <cell r="C655" t="str">
            <v>Kwarter c2</v>
          </cell>
          <cell r="D655">
            <v>9</v>
          </cell>
          <cell r="E655">
            <v>16.2</v>
          </cell>
          <cell r="F655">
            <v>0.3</v>
          </cell>
          <cell r="G655">
            <v>0.2232716283144332</v>
          </cell>
        </row>
        <row r="656">
          <cell r="A656" t="str">
            <v>40,8</v>
          </cell>
          <cell r="B656" t="str">
            <v>LS 4 kr2</v>
          </cell>
          <cell r="C656" t="str">
            <v>Kwarter c3</v>
          </cell>
          <cell r="D656">
            <v>9</v>
          </cell>
          <cell r="E656">
            <v>16.2</v>
          </cell>
          <cell r="F656">
            <v>0.3</v>
          </cell>
          <cell r="G656">
            <v>0.2232716283144332</v>
          </cell>
        </row>
        <row r="657">
          <cell r="A657" t="str">
            <v>40,9</v>
          </cell>
          <cell r="B657" t="str">
            <v>LS 4 kr2</v>
          </cell>
          <cell r="C657" t="str">
            <v>Muka a3</v>
          </cell>
          <cell r="D657">
            <v>15</v>
          </cell>
          <cell r="E657">
            <v>27</v>
          </cell>
          <cell r="F657">
            <v>0.3</v>
          </cell>
          <cell r="G657">
            <v>0.16</v>
          </cell>
        </row>
        <row r="658">
          <cell r="A658" t="str">
            <v>40,10</v>
          </cell>
          <cell r="B658" t="str">
            <v>LS 4 kr2</v>
          </cell>
          <cell r="C658" t="str">
            <v>Muka c3</v>
          </cell>
          <cell r="D658">
            <v>9</v>
          </cell>
          <cell r="E658">
            <v>16.2</v>
          </cell>
          <cell r="F658">
            <v>0.3</v>
          </cell>
          <cell r="G658">
            <v>0.12</v>
          </cell>
        </row>
        <row r="659">
          <cell r="A659" t="str">
            <v>40,11</v>
          </cell>
          <cell r="B659" t="str">
            <v>LS 4 kr2</v>
          </cell>
          <cell r="C659" t="str">
            <v>Tersier T2-K2</v>
          </cell>
          <cell r="D659">
            <v>28</v>
          </cell>
          <cell r="E659">
            <v>50.4</v>
          </cell>
          <cell r="F659">
            <v>0.3</v>
          </cell>
          <cell r="G659">
            <v>0.16</v>
          </cell>
        </row>
        <row r="660">
          <cell r="A660" t="str">
            <v>40,12</v>
          </cell>
          <cell r="B660" t="str">
            <v>LS 4 kr2</v>
          </cell>
          <cell r="C660" t="str">
            <v>Tersier T1-T2</v>
          </cell>
          <cell r="D660">
            <v>47</v>
          </cell>
          <cell r="E660">
            <v>84.600000000000009</v>
          </cell>
          <cell r="F660">
            <v>0.35</v>
          </cell>
          <cell r="G660">
            <v>0.31</v>
          </cell>
        </row>
        <row r="661">
          <cell r="A661" t="str">
            <v>40,13</v>
          </cell>
          <cell r="B661" t="str">
            <v>LS 4 kr2</v>
          </cell>
          <cell r="C661" t="str">
            <v>Tersier T1-K1</v>
          </cell>
          <cell r="D661">
            <v>28</v>
          </cell>
          <cell r="E661">
            <v>50.4</v>
          </cell>
          <cell r="F661">
            <v>0.3</v>
          </cell>
          <cell r="G661">
            <v>0.16</v>
          </cell>
        </row>
        <row r="662">
          <cell r="A662" t="str">
            <v>40,14</v>
          </cell>
          <cell r="B662" t="str">
            <v>LS 4 kr2</v>
          </cell>
          <cell r="C662" t="str">
            <v>Tersier BLS4-T1</v>
          </cell>
          <cell r="D662">
            <v>89</v>
          </cell>
          <cell r="E662">
            <v>160.20000000000002</v>
          </cell>
          <cell r="F662">
            <v>0.45</v>
          </cell>
          <cell r="G662">
            <v>0.4359080445243903</v>
          </cell>
        </row>
        <row r="664">
          <cell r="A664">
            <v>41</v>
          </cell>
          <cell r="B664" t="str">
            <v>LS 5 kn</v>
          </cell>
          <cell r="D664">
            <v>0</v>
          </cell>
        </row>
        <row r="665">
          <cell r="A665" t="str">
            <v>41,1</v>
          </cell>
          <cell r="B665" t="str">
            <v>LS 5 kn</v>
          </cell>
          <cell r="C665" t="str">
            <v>Kwarter a1</v>
          </cell>
          <cell r="D665">
            <v>10</v>
          </cell>
          <cell r="E665">
            <v>18</v>
          </cell>
          <cell r="F665">
            <v>0.3</v>
          </cell>
          <cell r="G665">
            <v>0.23577879671478721</v>
          </cell>
        </row>
        <row r="666">
          <cell r="A666" t="str">
            <v>41,2</v>
          </cell>
          <cell r="B666" t="str">
            <v>LS 5 kn</v>
          </cell>
          <cell r="C666" t="str">
            <v>Kwarter a2</v>
          </cell>
          <cell r="D666">
            <v>11</v>
          </cell>
          <cell r="E666">
            <v>19.8</v>
          </cell>
          <cell r="F666">
            <v>0.3</v>
          </cell>
          <cell r="G666">
            <v>0.24760852941408978</v>
          </cell>
        </row>
        <row r="667">
          <cell r="A667" t="str">
            <v>41,3</v>
          </cell>
          <cell r="B667" t="str">
            <v>LS 5 kn</v>
          </cell>
          <cell r="C667" t="str">
            <v>Kwarter a3</v>
          </cell>
          <cell r="D667">
            <v>4</v>
          </cell>
          <cell r="E667">
            <v>15</v>
          </cell>
          <cell r="F667">
            <v>0.3</v>
          </cell>
          <cell r="G667">
            <v>0.21450182246807867</v>
          </cell>
        </row>
        <row r="668">
          <cell r="A668" t="str">
            <v>41,4</v>
          </cell>
          <cell r="B668" t="str">
            <v>LS 5 kn</v>
          </cell>
          <cell r="C668" t="str">
            <v>Muka a3</v>
          </cell>
          <cell r="D668">
            <v>4</v>
          </cell>
          <cell r="E668">
            <v>15</v>
          </cell>
          <cell r="F668">
            <v>0.3</v>
          </cell>
          <cell r="G668">
            <v>7.0000000000000007E-2</v>
          </cell>
        </row>
        <row r="669">
          <cell r="A669" t="str">
            <v>41,5</v>
          </cell>
          <cell r="B669" t="str">
            <v>LS 5 kn</v>
          </cell>
          <cell r="C669" t="str">
            <v>Tersier T1-K1</v>
          </cell>
          <cell r="D669">
            <v>15</v>
          </cell>
          <cell r="E669">
            <v>27</v>
          </cell>
          <cell r="F669">
            <v>0.35</v>
          </cell>
          <cell r="G669">
            <v>0.19018857273047252</v>
          </cell>
        </row>
        <row r="670">
          <cell r="A670" t="str">
            <v>41,6</v>
          </cell>
          <cell r="B670" t="str">
            <v>LS 5 kn</v>
          </cell>
          <cell r="C670" t="str">
            <v>Tersier BLS5-T1</v>
          </cell>
          <cell r="D670">
            <v>25</v>
          </cell>
          <cell r="E670">
            <v>45</v>
          </cell>
          <cell r="F670">
            <v>0.35</v>
          </cell>
          <cell r="G670">
            <v>0.24952097795814321</v>
          </cell>
        </row>
        <row r="672">
          <cell r="A672">
            <v>42</v>
          </cell>
          <cell r="B672" t="str">
            <v>LS 5 kr</v>
          </cell>
          <cell r="D672">
            <v>0</v>
          </cell>
        </row>
        <row r="673">
          <cell r="A673" t="str">
            <v>42,1</v>
          </cell>
          <cell r="B673" t="str">
            <v>LS 5 kr</v>
          </cell>
          <cell r="C673" t="str">
            <v>Kwarter a1</v>
          </cell>
          <cell r="D673">
            <v>11</v>
          </cell>
          <cell r="E673">
            <v>19.8</v>
          </cell>
          <cell r="F673">
            <v>0.3</v>
          </cell>
          <cell r="G673">
            <v>0.24760852860228438</v>
          </cell>
        </row>
        <row r="674">
          <cell r="A674" t="str">
            <v>42,2</v>
          </cell>
          <cell r="B674" t="str">
            <v>LS 5 kr</v>
          </cell>
          <cell r="C674" t="str">
            <v>Kwarter a2</v>
          </cell>
          <cell r="D674">
            <v>12</v>
          </cell>
          <cell r="E674">
            <v>21.6</v>
          </cell>
          <cell r="F674">
            <v>0.3</v>
          </cell>
          <cell r="G674">
            <v>0.25885059005180217</v>
          </cell>
        </row>
        <row r="675">
          <cell r="A675" t="str">
            <v>42,3</v>
          </cell>
          <cell r="B675" t="str">
            <v>LS 5 kr</v>
          </cell>
          <cell r="C675" t="str">
            <v>Kwarter b1</v>
          </cell>
          <cell r="D675">
            <v>10</v>
          </cell>
          <cell r="E675">
            <v>18</v>
          </cell>
          <cell r="F675">
            <v>0.3</v>
          </cell>
          <cell r="G675">
            <v>0.23577879671478721</v>
          </cell>
        </row>
        <row r="676">
          <cell r="A676" t="str">
            <v>42,4</v>
          </cell>
          <cell r="B676" t="str">
            <v>LS 5 kr</v>
          </cell>
          <cell r="C676" t="str">
            <v>Kwarter b2</v>
          </cell>
          <cell r="D676">
            <v>12</v>
          </cell>
          <cell r="E676">
            <v>21.6</v>
          </cell>
          <cell r="F676">
            <v>0.3</v>
          </cell>
          <cell r="G676">
            <v>0.25885059005180217</v>
          </cell>
        </row>
        <row r="677">
          <cell r="A677" t="str">
            <v>42,5</v>
          </cell>
          <cell r="B677" t="str">
            <v>LS 5 kr</v>
          </cell>
          <cell r="C677" t="str">
            <v>Kwarter b3</v>
          </cell>
          <cell r="D677">
            <v>11</v>
          </cell>
          <cell r="E677">
            <v>19.8</v>
          </cell>
          <cell r="F677">
            <v>0.3</v>
          </cell>
          <cell r="G677">
            <v>0.24760852941408978</v>
          </cell>
        </row>
        <row r="678">
          <cell r="A678" t="str">
            <v>42,6</v>
          </cell>
          <cell r="B678" t="str">
            <v>LS 5 kr</v>
          </cell>
          <cell r="C678" t="str">
            <v>Muka b3</v>
          </cell>
          <cell r="D678">
            <v>11</v>
          </cell>
          <cell r="E678">
            <v>19.8</v>
          </cell>
          <cell r="F678">
            <v>0.3</v>
          </cell>
          <cell r="G678">
            <v>0.1</v>
          </cell>
        </row>
        <row r="679">
          <cell r="A679" t="str">
            <v>42,7</v>
          </cell>
          <cell r="B679" t="str">
            <v>LS 5 kr</v>
          </cell>
          <cell r="C679" t="str">
            <v>Tersier T3-K1</v>
          </cell>
          <cell r="D679">
            <v>23</v>
          </cell>
          <cell r="E679">
            <v>41.4</v>
          </cell>
          <cell r="F679">
            <v>0.3</v>
          </cell>
          <cell r="G679">
            <v>0.26</v>
          </cell>
        </row>
        <row r="680">
          <cell r="A680" t="str">
            <v>42,8</v>
          </cell>
          <cell r="B680" t="str">
            <v>LS 5 kr</v>
          </cell>
          <cell r="C680" t="str">
            <v>Tersier T2-T3</v>
          </cell>
          <cell r="D680">
            <v>33</v>
          </cell>
          <cell r="E680">
            <v>59.4</v>
          </cell>
          <cell r="F680">
            <v>0.35</v>
          </cell>
          <cell r="G680">
            <v>0.28999999999999998</v>
          </cell>
        </row>
        <row r="681">
          <cell r="A681" t="str">
            <v>42,9</v>
          </cell>
          <cell r="B681" t="str">
            <v>LS 5 kr</v>
          </cell>
          <cell r="C681" t="str">
            <v>Tersier T1-T2</v>
          </cell>
          <cell r="D681">
            <v>45</v>
          </cell>
          <cell r="E681">
            <v>81</v>
          </cell>
          <cell r="F681">
            <v>0.35</v>
          </cell>
          <cell r="G681">
            <v>0.34</v>
          </cell>
        </row>
        <row r="682">
          <cell r="A682" t="str">
            <v>42,10</v>
          </cell>
          <cell r="B682" t="str">
            <v>LS 5 kr</v>
          </cell>
          <cell r="C682" t="str">
            <v>Tersier BLS5-T1</v>
          </cell>
          <cell r="D682">
            <v>56</v>
          </cell>
          <cell r="E682">
            <v>100.8</v>
          </cell>
          <cell r="F682">
            <v>0.4</v>
          </cell>
          <cell r="G682">
            <v>0.35945440392925643</v>
          </cell>
        </row>
        <row r="684">
          <cell r="A684">
            <v>43</v>
          </cell>
          <cell r="B684" t="str">
            <v>LS 6 kr</v>
          </cell>
          <cell r="D684">
            <v>0</v>
          </cell>
        </row>
        <row r="685">
          <cell r="A685" t="str">
            <v>43,1</v>
          </cell>
          <cell r="B685" t="str">
            <v>LS 6 kr</v>
          </cell>
          <cell r="C685" t="str">
            <v>Kwarter a1</v>
          </cell>
          <cell r="D685">
            <v>9</v>
          </cell>
          <cell r="E685">
            <v>16.2</v>
          </cell>
          <cell r="F685">
            <v>0.3</v>
          </cell>
          <cell r="G685">
            <v>0.2232716283144332</v>
          </cell>
        </row>
        <row r="686">
          <cell r="A686" t="str">
            <v>43,2</v>
          </cell>
          <cell r="B686" t="str">
            <v>LS 6 kr</v>
          </cell>
          <cell r="C686" t="str">
            <v>Kwarter a2</v>
          </cell>
          <cell r="D686">
            <v>12</v>
          </cell>
          <cell r="E686">
            <v>21.6</v>
          </cell>
          <cell r="F686">
            <v>0.3</v>
          </cell>
          <cell r="G686">
            <v>0.25885059005180217</v>
          </cell>
        </row>
        <row r="687">
          <cell r="A687" t="str">
            <v>43,3</v>
          </cell>
          <cell r="B687" t="str">
            <v>LS 6 kr</v>
          </cell>
          <cell r="C687" t="str">
            <v>Kwarter a3</v>
          </cell>
          <cell r="D687">
            <v>9</v>
          </cell>
          <cell r="E687">
            <v>16.2</v>
          </cell>
          <cell r="F687">
            <v>0.3</v>
          </cell>
          <cell r="G687">
            <v>0.2232716283144332</v>
          </cell>
        </row>
        <row r="688">
          <cell r="A688" t="str">
            <v>43,4</v>
          </cell>
          <cell r="B688" t="str">
            <v>LS 6 kr</v>
          </cell>
          <cell r="C688" t="str">
            <v>Kwarter a4</v>
          </cell>
          <cell r="D688">
            <v>11</v>
          </cell>
          <cell r="E688">
            <v>19.8</v>
          </cell>
          <cell r="F688">
            <v>0.3</v>
          </cell>
          <cell r="G688">
            <v>0.24760852941408978</v>
          </cell>
        </row>
        <row r="689">
          <cell r="A689" t="str">
            <v>43,5</v>
          </cell>
          <cell r="B689" t="str">
            <v>LS 6 kr</v>
          </cell>
          <cell r="C689" t="str">
            <v>Kwarter b1</v>
          </cell>
          <cell r="D689">
            <v>14</v>
          </cell>
          <cell r="E689">
            <v>25.2</v>
          </cell>
          <cell r="F689">
            <v>0.3</v>
          </cell>
          <cell r="G689">
            <v>0.27984548813237042</v>
          </cell>
        </row>
        <row r="690">
          <cell r="A690" t="str">
            <v>43,6</v>
          </cell>
          <cell r="B690" t="str">
            <v>LS 6 kr</v>
          </cell>
          <cell r="C690" t="str">
            <v>Kwarter b2</v>
          </cell>
          <cell r="D690">
            <v>12</v>
          </cell>
          <cell r="E690">
            <v>21.6</v>
          </cell>
          <cell r="F690">
            <v>0.3</v>
          </cell>
          <cell r="G690">
            <v>0.25885059005180217</v>
          </cell>
        </row>
        <row r="691">
          <cell r="A691" t="str">
            <v>43,7</v>
          </cell>
          <cell r="B691" t="str">
            <v>LS 6 kr</v>
          </cell>
          <cell r="C691" t="str">
            <v>Kwarter b3</v>
          </cell>
          <cell r="D691">
            <v>12</v>
          </cell>
          <cell r="E691">
            <v>21.6</v>
          </cell>
          <cell r="F691">
            <v>0.3</v>
          </cell>
          <cell r="G691">
            <v>0.25885059005180217</v>
          </cell>
        </row>
        <row r="692">
          <cell r="A692" t="str">
            <v>43,8</v>
          </cell>
          <cell r="B692" t="str">
            <v>LS 6 kr</v>
          </cell>
          <cell r="C692" t="str">
            <v>Muka a2</v>
          </cell>
          <cell r="D692">
            <v>12</v>
          </cell>
          <cell r="E692">
            <v>21.6</v>
          </cell>
          <cell r="F692">
            <v>0.3</v>
          </cell>
          <cell r="G692">
            <v>0.18034054101774066</v>
          </cell>
        </row>
        <row r="693">
          <cell r="A693" t="str">
            <v>43,9</v>
          </cell>
          <cell r="B693" t="str">
            <v>LS 6 kr</v>
          </cell>
          <cell r="C693" t="str">
            <v>Muka b3</v>
          </cell>
          <cell r="D693">
            <v>12</v>
          </cell>
          <cell r="E693">
            <v>21.6</v>
          </cell>
          <cell r="F693">
            <v>0.3</v>
          </cell>
          <cell r="G693">
            <v>0.11</v>
          </cell>
        </row>
        <row r="694">
          <cell r="A694" t="str">
            <v>43,10</v>
          </cell>
          <cell r="B694" t="str">
            <v>LS 6 kr</v>
          </cell>
          <cell r="C694" t="str">
            <v>Tersier T3-K1</v>
          </cell>
          <cell r="D694">
            <v>24</v>
          </cell>
          <cell r="E694">
            <v>43.2</v>
          </cell>
          <cell r="F694">
            <v>0.3</v>
          </cell>
          <cell r="G694">
            <v>0.18</v>
          </cell>
        </row>
        <row r="695">
          <cell r="A695" t="str">
            <v>43,11</v>
          </cell>
          <cell r="B695" t="str">
            <v>LS 6 kr</v>
          </cell>
          <cell r="C695" t="str">
            <v>Tersier T2-T3</v>
          </cell>
          <cell r="D695">
            <v>38</v>
          </cell>
          <cell r="E695">
            <v>68.400000000000006</v>
          </cell>
          <cell r="F695">
            <v>0.35</v>
          </cell>
          <cell r="G695">
            <v>0.30951703691391663</v>
          </cell>
        </row>
        <row r="696">
          <cell r="A696" t="str">
            <v>43,12</v>
          </cell>
          <cell r="B696" t="str">
            <v>LS 6 kr</v>
          </cell>
          <cell r="C696" t="str">
            <v>Tersier T1-T2</v>
          </cell>
          <cell r="D696">
            <v>49</v>
          </cell>
          <cell r="E696">
            <v>88.2</v>
          </cell>
          <cell r="F696">
            <v>0.4</v>
          </cell>
          <cell r="G696">
            <v>0.34</v>
          </cell>
        </row>
        <row r="697">
          <cell r="A697" t="str">
            <v>43,13</v>
          </cell>
          <cell r="B697" t="str">
            <v>LS 6 kr</v>
          </cell>
          <cell r="C697" t="str">
            <v>Tersier BLS 6-T1</v>
          </cell>
          <cell r="D697">
            <v>79</v>
          </cell>
          <cell r="E697">
            <v>142.20000000000002</v>
          </cell>
          <cell r="F697">
            <v>0.45</v>
          </cell>
          <cell r="G697">
            <v>0.41056408064316108</v>
          </cell>
        </row>
        <row r="699">
          <cell r="A699">
            <v>44</v>
          </cell>
          <cell r="B699" t="str">
            <v>LS 7 kn</v>
          </cell>
          <cell r="D699">
            <v>0</v>
          </cell>
        </row>
        <row r="700">
          <cell r="A700" t="str">
            <v>44,1</v>
          </cell>
          <cell r="B700" t="str">
            <v>LS 7 kn</v>
          </cell>
          <cell r="C700" t="str">
            <v>Kwarter a1</v>
          </cell>
          <cell r="D700">
            <v>9</v>
          </cell>
          <cell r="E700">
            <v>16.2</v>
          </cell>
          <cell r="F700">
            <v>0.3</v>
          </cell>
          <cell r="G700">
            <v>0.2232716283144332</v>
          </cell>
        </row>
        <row r="701">
          <cell r="A701" t="str">
            <v>44,2</v>
          </cell>
          <cell r="B701" t="str">
            <v>LS 7 kn</v>
          </cell>
          <cell r="C701" t="str">
            <v>Kwarter a2</v>
          </cell>
          <cell r="D701">
            <v>8</v>
          </cell>
          <cell r="E701">
            <v>15</v>
          </cell>
          <cell r="F701">
            <v>0.3</v>
          </cell>
          <cell r="G701">
            <v>0.21450182246807867</v>
          </cell>
        </row>
        <row r="702">
          <cell r="A702" t="str">
            <v>44,3</v>
          </cell>
          <cell r="B702" t="str">
            <v>LS 7 kn</v>
          </cell>
          <cell r="C702" t="str">
            <v>Kwarter a3</v>
          </cell>
          <cell r="D702">
            <v>8</v>
          </cell>
          <cell r="E702">
            <v>15</v>
          </cell>
          <cell r="F702">
            <v>0.3</v>
          </cell>
          <cell r="G702">
            <v>0.21450182246807867</v>
          </cell>
        </row>
        <row r="703">
          <cell r="A703" t="str">
            <v>44,4</v>
          </cell>
          <cell r="B703" t="str">
            <v>LS 7 kn</v>
          </cell>
          <cell r="C703" t="str">
            <v>Kwarter cab a3</v>
          </cell>
          <cell r="E703">
            <v>15</v>
          </cell>
          <cell r="F703">
            <v>0.3</v>
          </cell>
          <cell r="G703">
            <v>0.21450182246807867</v>
          </cell>
        </row>
        <row r="704">
          <cell r="A704" t="str">
            <v>44,5</v>
          </cell>
          <cell r="B704" t="str">
            <v>LS 7 kn</v>
          </cell>
          <cell r="C704" t="str">
            <v>Muka a3</v>
          </cell>
          <cell r="D704">
            <v>8</v>
          </cell>
          <cell r="E704">
            <v>15</v>
          </cell>
          <cell r="F704">
            <v>0.3</v>
          </cell>
          <cell r="G704">
            <v>0.1480841412385186</v>
          </cell>
        </row>
        <row r="705">
          <cell r="A705" t="str">
            <v>44,6</v>
          </cell>
          <cell r="B705" t="str">
            <v>LS 7 kn</v>
          </cell>
          <cell r="C705" t="str">
            <v>Tersier BLS 7-K1</v>
          </cell>
          <cell r="D705">
            <v>25</v>
          </cell>
          <cell r="E705">
            <v>45</v>
          </cell>
          <cell r="F705">
            <v>0.35</v>
          </cell>
          <cell r="G705">
            <v>0.24952097795814321</v>
          </cell>
        </row>
        <row r="707">
          <cell r="A707">
            <v>45</v>
          </cell>
          <cell r="B707" t="str">
            <v>LS 7 kr1</v>
          </cell>
          <cell r="D707">
            <v>0</v>
          </cell>
        </row>
        <row r="708">
          <cell r="A708" t="str">
            <v>45,1</v>
          </cell>
          <cell r="B708" t="str">
            <v>LS 7 kr1</v>
          </cell>
          <cell r="C708" t="str">
            <v>Kwarter a1</v>
          </cell>
          <cell r="D708">
            <v>10</v>
          </cell>
          <cell r="E708">
            <v>18</v>
          </cell>
          <cell r="F708">
            <v>0.3</v>
          </cell>
          <cell r="G708">
            <v>0.23577879671478721</v>
          </cell>
        </row>
        <row r="709">
          <cell r="A709" t="str">
            <v>45,2</v>
          </cell>
          <cell r="B709" t="str">
            <v>LS 7 kr1</v>
          </cell>
          <cell r="C709" t="str">
            <v>Kwarter a2</v>
          </cell>
          <cell r="D709">
            <v>11</v>
          </cell>
          <cell r="E709">
            <v>19.8</v>
          </cell>
          <cell r="F709">
            <v>0.3</v>
          </cell>
          <cell r="G709">
            <v>0.24760852941408978</v>
          </cell>
        </row>
        <row r="710">
          <cell r="A710" t="str">
            <v>45,3</v>
          </cell>
          <cell r="B710" t="str">
            <v>LS 7 kr1</v>
          </cell>
          <cell r="C710" t="str">
            <v>Kwarter a3</v>
          </cell>
          <cell r="D710">
            <v>14</v>
          </cell>
          <cell r="E710">
            <v>25.2</v>
          </cell>
          <cell r="F710">
            <v>0.3</v>
          </cell>
          <cell r="G710">
            <v>0.27984548813237042</v>
          </cell>
        </row>
        <row r="711">
          <cell r="A711" t="str">
            <v>45,4</v>
          </cell>
          <cell r="B711" t="str">
            <v>LS 7 kr1</v>
          </cell>
          <cell r="C711" t="str">
            <v>Kwarter b1</v>
          </cell>
          <cell r="D711">
            <v>9</v>
          </cell>
          <cell r="E711">
            <v>16.2</v>
          </cell>
          <cell r="F711">
            <v>0.3</v>
          </cell>
          <cell r="G711">
            <v>0.2232716283144332</v>
          </cell>
        </row>
        <row r="712">
          <cell r="A712" t="str">
            <v>45,5</v>
          </cell>
          <cell r="B712" t="str">
            <v>LS 7 kr1</v>
          </cell>
          <cell r="C712" t="str">
            <v>Kwarter b2</v>
          </cell>
          <cell r="D712">
            <v>10</v>
          </cell>
          <cell r="E712">
            <v>18</v>
          </cell>
          <cell r="F712">
            <v>0.3</v>
          </cell>
          <cell r="G712">
            <v>0.23577879671478721</v>
          </cell>
        </row>
        <row r="713">
          <cell r="A713" t="str">
            <v>45,6</v>
          </cell>
          <cell r="B713" t="str">
            <v>LS 7 kr1</v>
          </cell>
          <cell r="C713" t="str">
            <v>Kwarter b3</v>
          </cell>
          <cell r="D713">
            <v>4</v>
          </cell>
          <cell r="E713">
            <v>15</v>
          </cell>
          <cell r="F713">
            <v>0.3</v>
          </cell>
          <cell r="G713">
            <v>0.21450182246807867</v>
          </cell>
        </row>
        <row r="714">
          <cell r="A714" t="str">
            <v>45,7</v>
          </cell>
          <cell r="B714" t="str">
            <v>LS 7 kr1</v>
          </cell>
          <cell r="C714" t="str">
            <v>Kwarter b4</v>
          </cell>
          <cell r="D714">
            <v>10</v>
          </cell>
          <cell r="E714">
            <v>18</v>
          </cell>
          <cell r="F714">
            <v>0.3</v>
          </cell>
          <cell r="G714">
            <v>0.23577879671478721</v>
          </cell>
        </row>
        <row r="715">
          <cell r="A715" t="str">
            <v>45,8</v>
          </cell>
          <cell r="B715" t="str">
            <v>LS 7 kr1</v>
          </cell>
          <cell r="C715" t="str">
            <v>Kwarter c1</v>
          </cell>
          <cell r="D715">
            <v>10</v>
          </cell>
          <cell r="E715">
            <v>18</v>
          </cell>
          <cell r="F715">
            <v>0.3</v>
          </cell>
          <cell r="G715">
            <v>0.23577879671478721</v>
          </cell>
        </row>
        <row r="716">
          <cell r="A716" t="str">
            <v>45,9</v>
          </cell>
          <cell r="B716" t="str">
            <v>LS 7 kr1</v>
          </cell>
          <cell r="C716" t="str">
            <v>Kwarter c2</v>
          </cell>
          <cell r="D716">
            <v>12</v>
          </cell>
          <cell r="E716">
            <v>21.6</v>
          </cell>
          <cell r="F716">
            <v>0.3</v>
          </cell>
          <cell r="G716">
            <v>0.25885059005180217</v>
          </cell>
        </row>
        <row r="717">
          <cell r="A717" t="str">
            <v>45,10</v>
          </cell>
          <cell r="B717" t="str">
            <v>LS 7 kr1</v>
          </cell>
          <cell r="C717" t="str">
            <v>Kwarter cab c1</v>
          </cell>
          <cell r="E717">
            <v>15</v>
          </cell>
          <cell r="F717">
            <v>0.3</v>
          </cell>
          <cell r="G717">
            <v>0.21450182246807867</v>
          </cell>
        </row>
        <row r="718">
          <cell r="A718" t="str">
            <v>45,11</v>
          </cell>
          <cell r="B718" t="str">
            <v>LS 7 kr1</v>
          </cell>
          <cell r="C718" t="str">
            <v>Muka c2</v>
          </cell>
          <cell r="D718">
            <v>12</v>
          </cell>
          <cell r="E718">
            <v>21.6</v>
          </cell>
          <cell r="F718">
            <v>0.3</v>
          </cell>
          <cell r="G718">
            <v>0.18034054101774066</v>
          </cell>
        </row>
        <row r="719">
          <cell r="A719" t="str">
            <v>45,12</v>
          </cell>
          <cell r="B719" t="str">
            <v>LS 7 kr1</v>
          </cell>
          <cell r="C719" t="str">
            <v>Tersier T5-K1</v>
          </cell>
          <cell r="D719">
            <v>22</v>
          </cell>
          <cell r="E719">
            <v>39.6</v>
          </cell>
          <cell r="F719">
            <v>0.35</v>
          </cell>
          <cell r="G719">
            <v>0.23333591156934322</v>
          </cell>
        </row>
        <row r="720">
          <cell r="A720" t="str">
            <v>45,13</v>
          </cell>
          <cell r="B720" t="str">
            <v>LS 7 kr1</v>
          </cell>
          <cell r="C720" t="str">
            <v>Tersier T4-T5</v>
          </cell>
          <cell r="D720">
            <v>26</v>
          </cell>
          <cell r="E720">
            <v>46.800000000000004</v>
          </cell>
          <cell r="F720">
            <v>0.35</v>
          </cell>
          <cell r="G720">
            <v>0.25467774083080758</v>
          </cell>
        </row>
        <row r="721">
          <cell r="A721" t="str">
            <v>45,14</v>
          </cell>
          <cell r="B721" t="str">
            <v>LS 7 kr1</v>
          </cell>
          <cell r="C721" t="str">
            <v>Tersier T3-T4</v>
          </cell>
          <cell r="D721">
            <v>46</v>
          </cell>
          <cell r="E721">
            <v>82.8</v>
          </cell>
          <cell r="F721">
            <v>0.3</v>
          </cell>
          <cell r="G721">
            <v>0.28000000000000003</v>
          </cell>
        </row>
        <row r="722">
          <cell r="A722" t="str">
            <v>45,15</v>
          </cell>
          <cell r="B722" t="str">
            <v>LS 7 kr1</v>
          </cell>
          <cell r="C722" t="str">
            <v>Tersier T2-T3</v>
          </cell>
          <cell r="D722">
            <v>69</v>
          </cell>
          <cell r="E722">
            <v>124.2</v>
          </cell>
          <cell r="F722">
            <v>0.35</v>
          </cell>
          <cell r="G722">
            <v>0.34</v>
          </cell>
        </row>
        <row r="723">
          <cell r="A723" t="str">
            <v>45,16</v>
          </cell>
          <cell r="B723" t="str">
            <v>LS 7 kr1</v>
          </cell>
          <cell r="C723" t="str">
            <v>Tersier T1-T2</v>
          </cell>
          <cell r="D723">
            <v>80</v>
          </cell>
          <cell r="E723">
            <v>144</v>
          </cell>
          <cell r="F723">
            <v>0.35</v>
          </cell>
          <cell r="G723">
            <v>0.28999999999999998</v>
          </cell>
        </row>
        <row r="724">
          <cell r="A724" t="str">
            <v>45,17</v>
          </cell>
          <cell r="B724" t="str">
            <v>LS 7 kr1</v>
          </cell>
          <cell r="C724" t="str">
            <v>Tersier BLS 7-T1</v>
          </cell>
          <cell r="D724">
            <v>90</v>
          </cell>
          <cell r="E724">
            <v>162</v>
          </cell>
          <cell r="F724">
            <v>0.45</v>
          </cell>
          <cell r="G724">
            <v>0.438351181821166</v>
          </cell>
        </row>
        <row r="726">
          <cell r="A726">
            <v>46</v>
          </cell>
          <cell r="B726" t="str">
            <v>LS 7 kr2</v>
          </cell>
          <cell r="D726">
            <v>0</v>
          </cell>
        </row>
        <row r="727">
          <cell r="A727" t="str">
            <v>46,1</v>
          </cell>
          <cell r="B727" t="str">
            <v>LS 7 kr2</v>
          </cell>
          <cell r="C727" t="str">
            <v>Kwarter a1</v>
          </cell>
          <cell r="D727">
            <v>12</v>
          </cell>
          <cell r="E727">
            <v>21.6</v>
          </cell>
          <cell r="F727">
            <v>0.3</v>
          </cell>
          <cell r="G727">
            <v>0.25885059005180217</v>
          </cell>
        </row>
        <row r="728">
          <cell r="A728" t="str">
            <v>46,2</v>
          </cell>
          <cell r="B728" t="str">
            <v>LS 7 kr2</v>
          </cell>
          <cell r="C728" t="str">
            <v>Kwarter a2</v>
          </cell>
          <cell r="D728">
            <v>8</v>
          </cell>
          <cell r="E728">
            <v>15</v>
          </cell>
          <cell r="F728">
            <v>0.3</v>
          </cell>
          <cell r="G728">
            <v>0.21450182246807867</v>
          </cell>
        </row>
        <row r="729">
          <cell r="A729" t="str">
            <v>46,3</v>
          </cell>
          <cell r="B729" t="str">
            <v>LS 7 kr2</v>
          </cell>
          <cell r="C729" t="str">
            <v>Kwarter a3</v>
          </cell>
          <cell r="D729">
            <v>9</v>
          </cell>
          <cell r="E729">
            <v>16.2</v>
          </cell>
          <cell r="F729">
            <v>0.3</v>
          </cell>
          <cell r="G729">
            <v>0.2232716283144332</v>
          </cell>
        </row>
        <row r="730">
          <cell r="A730" t="str">
            <v>46,4</v>
          </cell>
          <cell r="B730" t="str">
            <v>LS 7 kr2</v>
          </cell>
          <cell r="C730" t="str">
            <v>Kwarter a4</v>
          </cell>
          <cell r="D730">
            <v>18</v>
          </cell>
          <cell r="E730">
            <v>32.4</v>
          </cell>
          <cell r="F730">
            <v>0.3</v>
          </cell>
          <cell r="G730">
            <v>0.31720507798781283</v>
          </cell>
        </row>
        <row r="731">
          <cell r="A731" t="str">
            <v>46,5</v>
          </cell>
          <cell r="B731" t="str">
            <v>LS 7 kr2</v>
          </cell>
          <cell r="C731" t="str">
            <v>Kwarter b1</v>
          </cell>
          <cell r="D731">
            <v>15</v>
          </cell>
          <cell r="E731">
            <v>27</v>
          </cell>
          <cell r="F731">
            <v>0.3</v>
          </cell>
          <cell r="G731">
            <v>0.2897051306494956</v>
          </cell>
        </row>
        <row r="732">
          <cell r="A732" t="str">
            <v>46,6</v>
          </cell>
          <cell r="B732" t="str">
            <v>LS 7 kr2</v>
          </cell>
          <cell r="C732" t="str">
            <v>Kwarter b2</v>
          </cell>
          <cell r="D732">
            <v>4</v>
          </cell>
          <cell r="E732">
            <v>15</v>
          </cell>
          <cell r="F732">
            <v>0.3</v>
          </cell>
          <cell r="G732">
            <v>0.21450182246807867</v>
          </cell>
        </row>
        <row r="733">
          <cell r="A733" t="str">
            <v>46,7</v>
          </cell>
          <cell r="B733" t="str">
            <v>LS 7 kr2</v>
          </cell>
          <cell r="C733" t="str">
            <v>Kwarter b3</v>
          </cell>
          <cell r="D733">
            <v>6</v>
          </cell>
          <cell r="E733">
            <v>15</v>
          </cell>
          <cell r="F733">
            <v>0.3</v>
          </cell>
          <cell r="G733">
            <v>0.21450182246807867</v>
          </cell>
        </row>
        <row r="734">
          <cell r="A734" t="str">
            <v>46,8</v>
          </cell>
          <cell r="B734" t="str">
            <v>LS 7 kr2</v>
          </cell>
          <cell r="C734" t="str">
            <v>Kwarter b4</v>
          </cell>
          <cell r="D734">
            <v>3</v>
          </cell>
          <cell r="E734">
            <v>15</v>
          </cell>
          <cell r="F734">
            <v>0.3</v>
          </cell>
          <cell r="G734">
            <v>0.21450182246807867</v>
          </cell>
        </row>
        <row r="735">
          <cell r="A735" t="str">
            <v>46,9</v>
          </cell>
          <cell r="B735" t="str">
            <v>LS 7 kr2</v>
          </cell>
          <cell r="C735" t="str">
            <v>Kwarter c1</v>
          </cell>
          <cell r="D735">
            <v>13</v>
          </cell>
          <cell r="E735">
            <v>23.400000000000002</v>
          </cell>
          <cell r="F735">
            <v>0.3</v>
          </cell>
          <cell r="G735">
            <v>0.2695767640723864</v>
          </cell>
        </row>
        <row r="736">
          <cell r="A736" t="str">
            <v>46,10</v>
          </cell>
          <cell r="B736" t="str">
            <v>LS 7 kr2</v>
          </cell>
          <cell r="C736" t="str">
            <v>Kwarter c2</v>
          </cell>
          <cell r="D736">
            <v>3</v>
          </cell>
          <cell r="E736">
            <v>15</v>
          </cell>
          <cell r="F736">
            <v>0.3</v>
          </cell>
          <cell r="G736">
            <v>0.21450182246807867</v>
          </cell>
        </row>
        <row r="737">
          <cell r="A737" t="str">
            <v>46,11</v>
          </cell>
          <cell r="B737" t="str">
            <v>LS 7 kr2</v>
          </cell>
          <cell r="C737" t="str">
            <v>Kwarter c3</v>
          </cell>
          <cell r="D737">
            <v>7</v>
          </cell>
          <cell r="E737">
            <v>15</v>
          </cell>
          <cell r="F737">
            <v>0.3</v>
          </cell>
          <cell r="G737">
            <v>0.21450182246807867</v>
          </cell>
        </row>
        <row r="738">
          <cell r="A738" t="str">
            <v>46,12</v>
          </cell>
          <cell r="B738" t="str">
            <v>LS 7 kr2</v>
          </cell>
          <cell r="C738" t="str">
            <v>Muka a4</v>
          </cell>
          <cell r="D738">
            <v>18</v>
          </cell>
          <cell r="E738">
            <v>32.4</v>
          </cell>
          <cell r="F738">
            <v>0.3</v>
          </cell>
          <cell r="G738">
            <v>0.2232716283144332</v>
          </cell>
        </row>
        <row r="739">
          <cell r="A739" t="str">
            <v>46,13</v>
          </cell>
          <cell r="B739" t="str">
            <v>LS 7 kr2</v>
          </cell>
          <cell r="C739" t="str">
            <v>Muka c3</v>
          </cell>
          <cell r="D739">
            <v>7</v>
          </cell>
          <cell r="E739">
            <v>15</v>
          </cell>
          <cell r="F739">
            <v>0.3</v>
          </cell>
          <cell r="G739">
            <v>0.1480841412385186</v>
          </cell>
        </row>
        <row r="740">
          <cell r="A740" t="str">
            <v>46,14</v>
          </cell>
          <cell r="B740" t="str">
            <v>LS 7 kr2</v>
          </cell>
          <cell r="C740" t="str">
            <v>Tersier T6-K3</v>
          </cell>
          <cell r="D740">
            <v>10</v>
          </cell>
          <cell r="E740">
            <v>18</v>
          </cell>
          <cell r="F740">
            <v>0.3</v>
          </cell>
          <cell r="G740">
            <v>0.16351330633082431</v>
          </cell>
        </row>
        <row r="741">
          <cell r="A741" t="str">
            <v>46,15</v>
          </cell>
          <cell r="B741" t="str">
            <v>LS 7 kr2</v>
          </cell>
          <cell r="C741" t="str">
            <v>Tersier T5-T6</v>
          </cell>
          <cell r="D741">
            <v>13</v>
          </cell>
          <cell r="E741">
            <v>23.400000000000002</v>
          </cell>
          <cell r="F741">
            <v>0.3</v>
          </cell>
          <cell r="G741">
            <v>0.1881943748633107</v>
          </cell>
        </row>
        <row r="742">
          <cell r="A742" t="str">
            <v>46,16</v>
          </cell>
          <cell r="B742" t="str">
            <v>LS 7 kr2</v>
          </cell>
          <cell r="C742" t="str">
            <v>Tersier T1-T5</v>
          </cell>
          <cell r="D742">
            <v>17</v>
          </cell>
          <cell r="E742">
            <v>30.6</v>
          </cell>
          <cell r="F742">
            <v>0.3</v>
          </cell>
          <cell r="G742">
            <v>0.20648911587944688</v>
          </cell>
        </row>
        <row r="743">
          <cell r="A743" t="str">
            <v>46,17</v>
          </cell>
          <cell r="B743" t="str">
            <v>LS 7 kr2</v>
          </cell>
          <cell r="C743" t="str">
            <v>Tersier T3-K2</v>
          </cell>
          <cell r="D743">
            <v>27</v>
          </cell>
          <cell r="E743">
            <v>48.6</v>
          </cell>
          <cell r="F743">
            <v>0.3</v>
          </cell>
          <cell r="G743">
            <v>0.27476507048202303</v>
          </cell>
        </row>
        <row r="744">
          <cell r="A744" t="str">
            <v>46,18</v>
          </cell>
          <cell r="B744" t="str">
            <v>LS 7 kr2</v>
          </cell>
          <cell r="C744" t="str">
            <v>Tersier T3-K1</v>
          </cell>
          <cell r="D744">
            <v>19</v>
          </cell>
          <cell r="E744">
            <v>34.200000000000003</v>
          </cell>
          <cell r="F744">
            <v>0.3</v>
          </cell>
          <cell r="G744">
            <v>0.22961638188784486</v>
          </cell>
        </row>
        <row r="745">
          <cell r="A745" t="str">
            <v>46,19</v>
          </cell>
          <cell r="B745" t="str">
            <v>LS 7 kr2</v>
          </cell>
          <cell r="C745" t="str">
            <v>Tersier T2-T3</v>
          </cell>
          <cell r="D745">
            <v>54</v>
          </cell>
          <cell r="E745">
            <v>97.2</v>
          </cell>
          <cell r="F745">
            <v>0.4</v>
          </cell>
          <cell r="G745">
            <v>0.25</v>
          </cell>
        </row>
        <row r="746">
          <cell r="A746" t="str">
            <v>46,20</v>
          </cell>
          <cell r="B746" t="str">
            <v>LS 7 kr2</v>
          </cell>
          <cell r="C746" t="str">
            <v>Tersier T1-T2</v>
          </cell>
          <cell r="D746">
            <v>66</v>
          </cell>
          <cell r="E746">
            <v>118.8</v>
          </cell>
          <cell r="F746">
            <v>0.45</v>
          </cell>
          <cell r="G746">
            <v>0.23</v>
          </cell>
        </row>
        <row r="747">
          <cell r="A747" t="str">
            <v>46,21</v>
          </cell>
          <cell r="B747" t="str">
            <v>LS 7 kr2</v>
          </cell>
          <cell r="C747" t="str">
            <v>Tersier BLS 7-T1</v>
          </cell>
          <cell r="D747">
            <v>98</v>
          </cell>
          <cell r="E747">
            <v>176.4</v>
          </cell>
          <cell r="F747">
            <v>0.5</v>
          </cell>
          <cell r="G747">
            <v>0.44132686393513576</v>
          </cell>
        </row>
        <row r="749">
          <cell r="A749">
            <v>47</v>
          </cell>
          <cell r="B749" t="str">
            <v>LS 8 kn</v>
          </cell>
          <cell r="D749">
            <v>0</v>
          </cell>
        </row>
        <row r="750">
          <cell r="A750" t="str">
            <v>47,1</v>
          </cell>
          <cell r="B750" t="str">
            <v>LS 8 kn</v>
          </cell>
          <cell r="C750" t="str">
            <v>Kwarter a1</v>
          </cell>
          <cell r="D750">
            <v>4</v>
          </cell>
          <cell r="E750">
            <v>15</v>
          </cell>
          <cell r="F750">
            <v>0.3</v>
          </cell>
          <cell r="G750">
            <v>0.21450182246807867</v>
          </cell>
        </row>
        <row r="751">
          <cell r="A751" t="str">
            <v>47,2</v>
          </cell>
          <cell r="B751" t="str">
            <v>LS 8 kn</v>
          </cell>
          <cell r="C751" t="str">
            <v>Kwarter a2</v>
          </cell>
          <cell r="D751">
            <v>10</v>
          </cell>
          <cell r="E751">
            <v>18</v>
          </cell>
          <cell r="F751">
            <v>0.3</v>
          </cell>
          <cell r="G751">
            <v>0.23577879795157511</v>
          </cell>
        </row>
        <row r="752">
          <cell r="A752" t="str">
            <v>47,3</v>
          </cell>
          <cell r="B752" t="str">
            <v>LS 8 kn</v>
          </cell>
          <cell r="C752" t="str">
            <v>Kwarter a3</v>
          </cell>
          <cell r="D752">
            <v>13</v>
          </cell>
          <cell r="E752">
            <v>23.400000000000002</v>
          </cell>
          <cell r="F752">
            <v>0.3</v>
          </cell>
          <cell r="G752">
            <v>0.26957675461177327</v>
          </cell>
        </row>
        <row r="753">
          <cell r="A753" t="str">
            <v>47,4</v>
          </cell>
          <cell r="B753" t="str">
            <v>LS 8 kn</v>
          </cell>
          <cell r="C753" t="str">
            <v>Kwarter a4</v>
          </cell>
          <cell r="D753">
            <v>11</v>
          </cell>
          <cell r="E753">
            <v>19.8</v>
          </cell>
          <cell r="F753">
            <v>0.3</v>
          </cell>
          <cell r="G753">
            <v>0.24760852933338706</v>
          </cell>
        </row>
        <row r="754">
          <cell r="A754" t="str">
            <v>47,5</v>
          </cell>
          <cell r="B754" t="str">
            <v>LS 8 kn</v>
          </cell>
          <cell r="C754" t="str">
            <v>Kwarter a5</v>
          </cell>
          <cell r="D754">
            <v>10</v>
          </cell>
          <cell r="E754">
            <v>18</v>
          </cell>
          <cell r="F754">
            <v>0.3</v>
          </cell>
          <cell r="G754">
            <v>0.23577879795157511</v>
          </cell>
        </row>
        <row r="755">
          <cell r="A755" t="str">
            <v>47,6</v>
          </cell>
          <cell r="B755" t="str">
            <v>LS 8 kn</v>
          </cell>
          <cell r="C755" t="str">
            <v>Kwarter b1</v>
          </cell>
          <cell r="D755">
            <v>15</v>
          </cell>
          <cell r="E755">
            <v>27</v>
          </cell>
          <cell r="F755">
            <v>0.3</v>
          </cell>
          <cell r="G755">
            <v>0.28970512341744525</v>
          </cell>
        </row>
        <row r="756">
          <cell r="A756" t="str">
            <v>47,7</v>
          </cell>
          <cell r="B756" t="str">
            <v>LS 8 kn</v>
          </cell>
          <cell r="C756" t="str">
            <v>Kwarter b2</v>
          </cell>
          <cell r="D756">
            <v>11</v>
          </cell>
          <cell r="E756">
            <v>19.8</v>
          </cell>
          <cell r="F756">
            <v>0.3</v>
          </cell>
          <cell r="G756">
            <v>0.24760852933338706</v>
          </cell>
        </row>
        <row r="757">
          <cell r="A757" t="str">
            <v>47,8</v>
          </cell>
          <cell r="B757" t="str">
            <v>LS 8 kn</v>
          </cell>
          <cell r="C757" t="str">
            <v>Kwarter b3</v>
          </cell>
          <cell r="D757">
            <v>10</v>
          </cell>
          <cell r="E757">
            <v>18</v>
          </cell>
          <cell r="F757">
            <v>0.3</v>
          </cell>
          <cell r="G757">
            <v>0.23577879795157511</v>
          </cell>
        </row>
        <row r="758">
          <cell r="A758" t="str">
            <v>47,9</v>
          </cell>
          <cell r="B758" t="str">
            <v>LS 8 kn</v>
          </cell>
          <cell r="C758" t="str">
            <v>Kwarter b4</v>
          </cell>
          <cell r="D758">
            <v>10</v>
          </cell>
          <cell r="E758">
            <v>18</v>
          </cell>
          <cell r="F758">
            <v>0.3</v>
          </cell>
          <cell r="G758">
            <v>0.23577879795157511</v>
          </cell>
        </row>
        <row r="759">
          <cell r="A759" t="str">
            <v>47,10</v>
          </cell>
          <cell r="B759" t="str">
            <v>LS 8 kn</v>
          </cell>
          <cell r="C759" t="str">
            <v>Kwarter c1</v>
          </cell>
          <cell r="D759">
            <v>15</v>
          </cell>
          <cell r="E759">
            <v>27</v>
          </cell>
          <cell r="F759">
            <v>0.3</v>
          </cell>
          <cell r="G759">
            <v>0.28970512341744525</v>
          </cell>
        </row>
        <row r="760">
          <cell r="A760" t="str">
            <v>47,11</v>
          </cell>
          <cell r="B760" t="str">
            <v>LS 8 kn</v>
          </cell>
          <cell r="C760" t="str">
            <v>Kwarter c2</v>
          </cell>
          <cell r="D760">
            <v>9</v>
          </cell>
          <cell r="E760">
            <v>16.2</v>
          </cell>
          <cell r="F760">
            <v>0.3</v>
          </cell>
          <cell r="G760">
            <v>0.22327164076703876</v>
          </cell>
        </row>
        <row r="761">
          <cell r="A761" t="str">
            <v>47,12</v>
          </cell>
          <cell r="B761" t="str">
            <v>LS 8 kn</v>
          </cell>
          <cell r="C761" t="str">
            <v>Kwarter c3</v>
          </cell>
          <cell r="D761">
            <v>12</v>
          </cell>
          <cell r="E761">
            <v>21.6</v>
          </cell>
          <cell r="F761">
            <v>0.3</v>
          </cell>
          <cell r="G761">
            <v>0.25885060257641224</v>
          </cell>
        </row>
        <row r="762">
          <cell r="A762" t="str">
            <v>47,13</v>
          </cell>
          <cell r="B762" t="str">
            <v>LS 8 kn</v>
          </cell>
          <cell r="C762" t="str">
            <v>Muka b2</v>
          </cell>
          <cell r="D762">
            <v>11</v>
          </cell>
          <cell r="E762">
            <v>19.8</v>
          </cell>
          <cell r="F762">
            <v>0.3</v>
          </cell>
          <cell r="G762">
            <v>0.17212948709189466</v>
          </cell>
        </row>
        <row r="763">
          <cell r="A763" t="str">
            <v>47,14</v>
          </cell>
          <cell r="B763" t="str">
            <v>LS 8 kn</v>
          </cell>
          <cell r="C763" t="str">
            <v>Muka b3</v>
          </cell>
          <cell r="D763">
            <v>10</v>
          </cell>
          <cell r="E763">
            <v>18</v>
          </cell>
          <cell r="F763">
            <v>0.3</v>
          </cell>
          <cell r="G763">
            <v>0.16351330600668237</v>
          </cell>
        </row>
        <row r="764">
          <cell r="A764" t="str">
            <v>47,15</v>
          </cell>
          <cell r="B764" t="str">
            <v>LS 8 kn</v>
          </cell>
          <cell r="C764" t="str">
            <v>Muka c3</v>
          </cell>
          <cell r="D764">
            <v>12</v>
          </cell>
          <cell r="E764">
            <v>21.6</v>
          </cell>
          <cell r="F764">
            <v>0.3</v>
          </cell>
          <cell r="G764">
            <v>0.18034054347579084</v>
          </cell>
        </row>
        <row r="765">
          <cell r="A765" t="str">
            <v>47,16</v>
          </cell>
          <cell r="B765" t="str">
            <v>LS 8 kn</v>
          </cell>
          <cell r="C765" t="str">
            <v>Tersier T4-K3</v>
          </cell>
          <cell r="D765">
            <v>21</v>
          </cell>
          <cell r="E765">
            <v>37.800000000000004</v>
          </cell>
          <cell r="F765">
            <v>0.3</v>
          </cell>
          <cell r="G765">
            <v>0.24177224349209758</v>
          </cell>
        </row>
        <row r="766">
          <cell r="A766" t="str">
            <v>47,17</v>
          </cell>
          <cell r="B766" t="str">
            <v>LS 8 kn</v>
          </cell>
          <cell r="C766" t="str">
            <v>Tersier T4-K2</v>
          </cell>
          <cell r="D766">
            <v>20</v>
          </cell>
          <cell r="E766">
            <v>36</v>
          </cell>
          <cell r="F766">
            <v>0.3</v>
          </cell>
          <cell r="G766">
            <v>0.23577879795157511</v>
          </cell>
        </row>
        <row r="767">
          <cell r="A767" t="str">
            <v>47,18</v>
          </cell>
          <cell r="B767" t="str">
            <v>LS 8 kn</v>
          </cell>
          <cell r="C767" t="str">
            <v>Tersier T3-T4</v>
          </cell>
          <cell r="D767">
            <v>56</v>
          </cell>
          <cell r="E767">
            <v>100.8</v>
          </cell>
          <cell r="F767">
            <v>0.4</v>
          </cell>
          <cell r="G767">
            <v>0.35945439171595001</v>
          </cell>
        </row>
        <row r="768">
          <cell r="A768" t="str">
            <v>47,19</v>
          </cell>
          <cell r="B768" t="str">
            <v>LS 8 kn</v>
          </cell>
          <cell r="C768" t="str">
            <v>Tersier T2-T3</v>
          </cell>
          <cell r="D768">
            <v>82</v>
          </cell>
          <cell r="E768">
            <v>147.6</v>
          </cell>
          <cell r="F768">
            <v>0.45</v>
          </cell>
          <cell r="G768">
            <v>0.41834989068782502</v>
          </cell>
        </row>
        <row r="769">
          <cell r="A769" t="str">
            <v>47,20</v>
          </cell>
          <cell r="B769" t="str">
            <v>LS 8 kn</v>
          </cell>
          <cell r="C769" t="str">
            <v>Tersier T2-K1</v>
          </cell>
          <cell r="D769">
            <v>24</v>
          </cell>
          <cell r="E769">
            <v>43.2</v>
          </cell>
          <cell r="F769">
            <v>0.3</v>
          </cell>
          <cell r="G769">
            <v>0.25885060257641224</v>
          </cell>
        </row>
        <row r="770">
          <cell r="A770" t="str">
            <v>47,21</v>
          </cell>
          <cell r="B770" t="str">
            <v>LS 8 kn</v>
          </cell>
          <cell r="C770" t="str">
            <v>Tersier T1-T2</v>
          </cell>
          <cell r="D770">
            <v>126</v>
          </cell>
          <cell r="E770">
            <v>226.8</v>
          </cell>
          <cell r="F770">
            <v>0.55000000000000004</v>
          </cell>
          <cell r="G770">
            <v>0.48475937488511867</v>
          </cell>
        </row>
        <row r="771">
          <cell r="A771" t="str">
            <v>47,22</v>
          </cell>
          <cell r="B771" t="str">
            <v>LS 8 kn</v>
          </cell>
          <cell r="C771" t="str">
            <v>Tersier BLS 8-T1</v>
          </cell>
          <cell r="D771">
            <v>130</v>
          </cell>
          <cell r="E771">
            <v>234</v>
          </cell>
          <cell r="F771">
            <v>0.55000000000000004</v>
          </cell>
          <cell r="G771">
            <v>0.49249573636904592</v>
          </cell>
        </row>
        <row r="773">
          <cell r="A773">
            <v>48</v>
          </cell>
          <cell r="B773" t="str">
            <v>LS 8 kr</v>
          </cell>
          <cell r="D773">
            <v>0</v>
          </cell>
        </row>
        <row r="774">
          <cell r="A774" t="str">
            <v>48,1</v>
          </cell>
          <cell r="B774" t="str">
            <v>LS 8 kr</v>
          </cell>
          <cell r="C774" t="str">
            <v>Kwarter a1</v>
          </cell>
          <cell r="D774">
            <v>11</v>
          </cell>
          <cell r="E774">
            <v>19.8</v>
          </cell>
          <cell r="F774">
            <v>0.3</v>
          </cell>
          <cell r="G774">
            <v>0.24760852933338706</v>
          </cell>
        </row>
        <row r="775">
          <cell r="A775" t="str">
            <v>48,2</v>
          </cell>
          <cell r="B775" t="str">
            <v>LS 8 kr</v>
          </cell>
          <cell r="C775" t="str">
            <v>Kwarter a2</v>
          </cell>
          <cell r="D775">
            <v>9</v>
          </cell>
          <cell r="E775">
            <v>16.2</v>
          </cell>
          <cell r="F775">
            <v>0.3</v>
          </cell>
          <cell r="G775">
            <v>0.22327164076703876</v>
          </cell>
        </row>
        <row r="776">
          <cell r="A776" t="str">
            <v>48,3</v>
          </cell>
          <cell r="B776" t="str">
            <v>LS 8 kr</v>
          </cell>
          <cell r="C776" t="str">
            <v>Kwarter a3</v>
          </cell>
          <cell r="D776">
            <v>9</v>
          </cell>
          <cell r="E776">
            <v>16.2</v>
          </cell>
          <cell r="F776">
            <v>0.3</v>
          </cell>
          <cell r="G776">
            <v>0.22327164076703876</v>
          </cell>
        </row>
        <row r="777">
          <cell r="A777" t="str">
            <v>48,4</v>
          </cell>
          <cell r="B777" t="str">
            <v>LS 8 kr</v>
          </cell>
          <cell r="C777" t="str">
            <v>Kwarter b1</v>
          </cell>
          <cell r="D777">
            <v>13</v>
          </cell>
          <cell r="E777">
            <v>23.400000000000002</v>
          </cell>
          <cell r="F777">
            <v>0.3</v>
          </cell>
          <cell r="G777">
            <v>0.26957675461177327</v>
          </cell>
        </row>
        <row r="778">
          <cell r="A778" t="str">
            <v>48,5</v>
          </cell>
          <cell r="B778" t="str">
            <v>LS 8 kr</v>
          </cell>
          <cell r="C778" t="str">
            <v>Kwarter b2</v>
          </cell>
          <cell r="D778">
            <v>12</v>
          </cell>
          <cell r="E778">
            <v>21.6</v>
          </cell>
          <cell r="F778">
            <v>0.3</v>
          </cell>
          <cell r="G778">
            <v>0.25885060257641224</v>
          </cell>
        </row>
        <row r="779">
          <cell r="A779" t="str">
            <v>48,6</v>
          </cell>
          <cell r="B779" t="str">
            <v>LS 8 kr</v>
          </cell>
          <cell r="C779" t="str">
            <v>Kwarter b3</v>
          </cell>
          <cell r="D779">
            <v>13</v>
          </cell>
          <cell r="E779">
            <v>23.400000000000002</v>
          </cell>
          <cell r="F779">
            <v>0.3</v>
          </cell>
          <cell r="G779">
            <v>0.26957675461177327</v>
          </cell>
        </row>
        <row r="780">
          <cell r="A780" t="str">
            <v>48,7</v>
          </cell>
          <cell r="B780" t="str">
            <v>LS 8 kr</v>
          </cell>
          <cell r="C780" t="str">
            <v>Muka a1</v>
          </cell>
          <cell r="D780">
            <v>11</v>
          </cell>
          <cell r="E780">
            <v>19.8</v>
          </cell>
          <cell r="F780">
            <v>0.3</v>
          </cell>
          <cell r="G780">
            <v>0.13795230054092678</v>
          </cell>
        </row>
        <row r="781">
          <cell r="A781" t="str">
            <v>48,8</v>
          </cell>
          <cell r="B781" t="str">
            <v>LS 8 kr</v>
          </cell>
          <cell r="C781" t="str">
            <v>Tersier T3-K1</v>
          </cell>
          <cell r="D781">
            <v>25</v>
          </cell>
          <cell r="E781">
            <v>45</v>
          </cell>
          <cell r="F781">
            <v>0.3</v>
          </cell>
          <cell r="G781">
            <v>0.26427423601946898</v>
          </cell>
        </row>
        <row r="782">
          <cell r="A782" t="str">
            <v>48,9</v>
          </cell>
          <cell r="B782" t="str">
            <v>LS 8 kr</v>
          </cell>
          <cell r="C782" t="str">
            <v>Tersier T2-T3</v>
          </cell>
          <cell r="D782">
            <v>38</v>
          </cell>
          <cell r="E782">
            <v>68.400000000000006</v>
          </cell>
          <cell r="F782">
            <v>0.35</v>
          </cell>
          <cell r="G782">
            <v>0.30951703165612038</v>
          </cell>
        </row>
        <row r="783">
          <cell r="A783" t="str">
            <v>48,10</v>
          </cell>
          <cell r="B783" t="str">
            <v>LS 8 kr</v>
          </cell>
          <cell r="C783" t="str">
            <v>Tersier T1-T2</v>
          </cell>
          <cell r="D783">
            <v>47</v>
          </cell>
          <cell r="E783">
            <v>84.600000000000009</v>
          </cell>
          <cell r="F783">
            <v>0.35</v>
          </cell>
          <cell r="G783">
            <v>0.34445160951743292</v>
          </cell>
        </row>
        <row r="784">
          <cell r="A784" t="str">
            <v>48,11</v>
          </cell>
          <cell r="B784" t="str">
            <v>LS 8 kr</v>
          </cell>
          <cell r="C784" t="str">
            <v>Tersier BLS8-T1</v>
          </cell>
          <cell r="D784">
            <v>67</v>
          </cell>
          <cell r="E784">
            <v>120.60000000000001</v>
          </cell>
          <cell r="F784">
            <v>0.4</v>
          </cell>
          <cell r="G784">
            <v>0.39335665568203471</v>
          </cell>
        </row>
        <row r="786">
          <cell r="A786">
            <v>49</v>
          </cell>
          <cell r="B786" t="str">
            <v>LS I.1 kn</v>
          </cell>
          <cell r="D786">
            <v>0</v>
          </cell>
        </row>
        <row r="787">
          <cell r="A787" t="str">
            <v>49,1</v>
          </cell>
          <cell r="B787" t="str">
            <v>LS I.1 kn</v>
          </cell>
          <cell r="C787" t="str">
            <v>Kwarter a1</v>
          </cell>
          <cell r="D787">
            <v>9</v>
          </cell>
          <cell r="E787">
            <v>16.2</v>
          </cell>
          <cell r="F787">
            <v>0.3</v>
          </cell>
          <cell r="G787">
            <v>0.22327164076703876</v>
          </cell>
        </row>
        <row r="788">
          <cell r="A788" t="str">
            <v>49,2</v>
          </cell>
          <cell r="B788" t="str">
            <v>LS I.1 kn</v>
          </cell>
          <cell r="C788" t="str">
            <v>Kwarter a2</v>
          </cell>
          <cell r="D788">
            <v>10</v>
          </cell>
          <cell r="E788">
            <v>18</v>
          </cell>
          <cell r="F788">
            <v>0.3</v>
          </cell>
          <cell r="G788">
            <v>0.23577879795157511</v>
          </cell>
        </row>
        <row r="789">
          <cell r="A789" t="str">
            <v>49,3</v>
          </cell>
          <cell r="B789" t="str">
            <v>LS I.1 kn</v>
          </cell>
          <cell r="C789" t="str">
            <v>Muka a2</v>
          </cell>
          <cell r="D789">
            <v>10</v>
          </cell>
          <cell r="E789">
            <v>18</v>
          </cell>
          <cell r="F789">
            <v>0.3</v>
          </cell>
          <cell r="G789">
            <v>0.16351330600668237</v>
          </cell>
        </row>
        <row r="790">
          <cell r="A790" t="str">
            <v>49,4</v>
          </cell>
          <cell r="B790" t="str">
            <v>LS I.1 kn</v>
          </cell>
          <cell r="C790" t="str">
            <v>Tersier BLSI.1-K1</v>
          </cell>
          <cell r="D790">
            <v>19</v>
          </cell>
          <cell r="E790">
            <v>34.200000000000003</v>
          </cell>
          <cell r="F790">
            <v>0.3</v>
          </cell>
          <cell r="G790">
            <v>0.22961637840568802</v>
          </cell>
        </row>
        <row r="792">
          <cell r="A792">
            <v>50</v>
          </cell>
          <cell r="B792" t="str">
            <v>LS I.1 kr</v>
          </cell>
          <cell r="D792">
            <v>0</v>
          </cell>
        </row>
        <row r="793">
          <cell r="A793" t="str">
            <v>50,1</v>
          </cell>
          <cell r="B793" t="str">
            <v>LS I.1 kr</v>
          </cell>
          <cell r="C793" t="str">
            <v>Kwarter a1</v>
          </cell>
          <cell r="D793">
            <v>11</v>
          </cell>
          <cell r="E793">
            <v>19.8</v>
          </cell>
          <cell r="F793">
            <v>0.3</v>
          </cell>
          <cell r="G793">
            <v>0.24760852933338706</v>
          </cell>
        </row>
        <row r="794">
          <cell r="A794" t="str">
            <v>50,2</v>
          </cell>
          <cell r="B794" t="str">
            <v>LS I.1 kr</v>
          </cell>
          <cell r="C794" t="str">
            <v>Kwarter a2</v>
          </cell>
          <cell r="D794">
            <v>15</v>
          </cell>
          <cell r="E794">
            <v>27</v>
          </cell>
          <cell r="F794">
            <v>0.3</v>
          </cell>
          <cell r="G794">
            <v>0.28970512341744525</v>
          </cell>
        </row>
        <row r="795">
          <cell r="A795" t="str">
            <v>50,3</v>
          </cell>
          <cell r="B795" t="str">
            <v>LS I.1 kr</v>
          </cell>
          <cell r="C795" t="str">
            <v>Kwarter b1</v>
          </cell>
          <cell r="D795">
            <v>5</v>
          </cell>
          <cell r="E795">
            <v>15</v>
          </cell>
          <cell r="F795">
            <v>0.3</v>
          </cell>
          <cell r="G795">
            <v>0.21450186870683924</v>
          </cell>
        </row>
        <row r="796">
          <cell r="A796" t="str">
            <v>50,4</v>
          </cell>
          <cell r="B796" t="str">
            <v>LS I.1 kr</v>
          </cell>
          <cell r="C796" t="str">
            <v>Kwarter b2</v>
          </cell>
          <cell r="D796">
            <v>13</v>
          </cell>
          <cell r="E796">
            <v>23.400000000000002</v>
          </cell>
          <cell r="F796">
            <v>0.3</v>
          </cell>
          <cell r="G796">
            <v>0.26957675461177327</v>
          </cell>
        </row>
        <row r="797">
          <cell r="A797" t="str">
            <v>50,5</v>
          </cell>
          <cell r="B797" t="str">
            <v>LS I.1 kr</v>
          </cell>
          <cell r="C797" t="str">
            <v>Kwarter b2</v>
          </cell>
          <cell r="E797">
            <v>15</v>
          </cell>
          <cell r="F797">
            <v>0.3</v>
          </cell>
          <cell r="G797">
            <v>0.21450186870683924</v>
          </cell>
        </row>
        <row r="798">
          <cell r="A798" t="str">
            <v>50,6</v>
          </cell>
          <cell r="B798" t="str">
            <v>LS I.1 kr</v>
          </cell>
          <cell r="C798" t="str">
            <v>Kwarter b3</v>
          </cell>
          <cell r="D798">
            <v>15</v>
          </cell>
          <cell r="E798">
            <v>27</v>
          </cell>
          <cell r="F798">
            <v>0.3</v>
          </cell>
          <cell r="G798">
            <v>0.28970512341744525</v>
          </cell>
        </row>
        <row r="799">
          <cell r="A799" t="str">
            <v>50,7</v>
          </cell>
          <cell r="B799" t="str">
            <v>LS I.1 kr</v>
          </cell>
          <cell r="C799" t="str">
            <v>Kwarter b4</v>
          </cell>
          <cell r="D799">
            <v>5</v>
          </cell>
          <cell r="E799">
            <v>15</v>
          </cell>
          <cell r="F799">
            <v>0.3</v>
          </cell>
          <cell r="G799">
            <v>0.21450186870683924</v>
          </cell>
        </row>
        <row r="800">
          <cell r="A800" t="str">
            <v>50,8</v>
          </cell>
          <cell r="B800" t="str">
            <v>LS I.1 kr</v>
          </cell>
          <cell r="C800" t="str">
            <v>Kwarter c1</v>
          </cell>
          <cell r="D800">
            <v>14</v>
          </cell>
          <cell r="E800">
            <v>25.2</v>
          </cell>
          <cell r="F800">
            <v>0.3</v>
          </cell>
          <cell r="G800">
            <v>0.27984551330394364</v>
          </cell>
        </row>
        <row r="801">
          <cell r="A801" t="str">
            <v>50,9</v>
          </cell>
          <cell r="B801" t="str">
            <v>LS I.1 kr</v>
          </cell>
          <cell r="C801" t="str">
            <v>Kwarter c2</v>
          </cell>
          <cell r="D801">
            <v>6</v>
          </cell>
          <cell r="E801">
            <v>15</v>
          </cell>
          <cell r="F801">
            <v>0.3</v>
          </cell>
          <cell r="G801">
            <v>0.21450186870683924</v>
          </cell>
        </row>
        <row r="802">
          <cell r="A802" t="str">
            <v>50,10</v>
          </cell>
          <cell r="B802" t="str">
            <v>LS I.1 kr</v>
          </cell>
          <cell r="C802" t="str">
            <v>Muka b4</v>
          </cell>
          <cell r="D802">
            <v>5</v>
          </cell>
          <cell r="E802">
            <v>15</v>
          </cell>
          <cell r="F802">
            <v>0.3</v>
          </cell>
          <cell r="G802">
            <v>0.14808412770373933</v>
          </cell>
        </row>
        <row r="803">
          <cell r="A803" t="str">
            <v>50,11</v>
          </cell>
          <cell r="B803" t="str">
            <v>LS I.1 kr</v>
          </cell>
          <cell r="C803" t="str">
            <v>Tersier T4-K2</v>
          </cell>
          <cell r="D803">
            <v>20</v>
          </cell>
          <cell r="E803">
            <v>36</v>
          </cell>
          <cell r="F803">
            <v>0.3</v>
          </cell>
          <cell r="G803">
            <v>0.23577879795157511</v>
          </cell>
        </row>
        <row r="804">
          <cell r="A804" t="str">
            <v>50,12</v>
          </cell>
          <cell r="B804" t="str">
            <v>LS I.1 kr</v>
          </cell>
          <cell r="C804" t="str">
            <v>Tersier T3-T4</v>
          </cell>
          <cell r="D804">
            <v>33</v>
          </cell>
          <cell r="E804">
            <v>59.4</v>
          </cell>
          <cell r="F804">
            <v>0.3</v>
          </cell>
          <cell r="G804">
            <v>0.30381444937470697</v>
          </cell>
        </row>
        <row r="805">
          <cell r="A805" t="str">
            <v>50,13</v>
          </cell>
          <cell r="B805" t="str">
            <v>LS I.1 kr</v>
          </cell>
          <cell r="C805" t="str">
            <v>Tersier T3-K1</v>
          </cell>
          <cell r="D805">
            <v>20</v>
          </cell>
          <cell r="E805">
            <v>36</v>
          </cell>
          <cell r="F805">
            <v>0.3</v>
          </cell>
          <cell r="G805">
            <v>0.23577879795157511</v>
          </cell>
        </row>
        <row r="806">
          <cell r="A806" t="str">
            <v>50,14</v>
          </cell>
          <cell r="B806" t="str">
            <v>LS I.1 kr</v>
          </cell>
          <cell r="C806" t="str">
            <v>Tersier T2-T3</v>
          </cell>
          <cell r="D806">
            <v>58</v>
          </cell>
          <cell r="E806">
            <v>104.4</v>
          </cell>
          <cell r="F806">
            <v>0.45</v>
          </cell>
          <cell r="G806">
            <v>0.35066630572116858</v>
          </cell>
        </row>
        <row r="807">
          <cell r="A807" t="str">
            <v>50,15</v>
          </cell>
          <cell r="B807" t="str">
            <v>LS I.1 kr</v>
          </cell>
          <cell r="C807" t="str">
            <v>Tersier T1-T2</v>
          </cell>
          <cell r="D807">
            <v>73</v>
          </cell>
          <cell r="E807">
            <v>131.4</v>
          </cell>
          <cell r="F807">
            <v>0.45</v>
          </cell>
          <cell r="G807">
            <v>0.39447376263701839</v>
          </cell>
        </row>
        <row r="808">
          <cell r="A808" t="str">
            <v>50,16</v>
          </cell>
          <cell r="B808" t="str">
            <v>LS I.1 kr</v>
          </cell>
          <cell r="C808" t="str">
            <v>Tersier BLSI.1-T1</v>
          </cell>
          <cell r="D808">
            <v>84</v>
          </cell>
          <cell r="E808">
            <v>151.20000000000002</v>
          </cell>
          <cell r="F808">
            <v>0.45</v>
          </cell>
          <cell r="G808">
            <v>0.42345085842064778</v>
          </cell>
        </row>
        <row r="810">
          <cell r="A810">
            <v>51</v>
          </cell>
          <cell r="B810" t="str">
            <v>LS I.2 kn</v>
          </cell>
          <cell r="D810">
            <v>0</v>
          </cell>
        </row>
        <row r="811">
          <cell r="A811" t="str">
            <v>51,1</v>
          </cell>
          <cell r="B811" t="str">
            <v>LS I.2 kn</v>
          </cell>
          <cell r="C811" t="str">
            <v>Kwarter a1</v>
          </cell>
          <cell r="D811">
            <v>13</v>
          </cell>
          <cell r="E811">
            <v>23.400000000000002</v>
          </cell>
          <cell r="F811">
            <v>0.3</v>
          </cell>
          <cell r="G811">
            <v>0.26957675461177327</v>
          </cell>
        </row>
        <row r="812">
          <cell r="A812" t="str">
            <v>51,2</v>
          </cell>
          <cell r="B812" t="str">
            <v>LS I.2 kn</v>
          </cell>
          <cell r="C812" t="str">
            <v>Kwarter a2</v>
          </cell>
          <cell r="D812">
            <v>11</v>
          </cell>
          <cell r="E812">
            <v>19.8</v>
          </cell>
          <cell r="F812">
            <v>0.3</v>
          </cell>
          <cell r="G812">
            <v>0.24760852933338706</v>
          </cell>
        </row>
        <row r="813">
          <cell r="A813" t="str">
            <v>51,3</v>
          </cell>
          <cell r="B813" t="str">
            <v>LS I.2 kn</v>
          </cell>
          <cell r="C813" t="str">
            <v>Kwarter b1</v>
          </cell>
          <cell r="D813">
            <v>13</v>
          </cell>
          <cell r="E813">
            <v>23.400000000000002</v>
          </cell>
          <cell r="F813">
            <v>0.3</v>
          </cell>
          <cell r="G813">
            <v>0.26957675461177327</v>
          </cell>
        </row>
        <row r="814">
          <cell r="A814" t="str">
            <v>51,4</v>
          </cell>
          <cell r="B814" t="str">
            <v>LS I.2 kn</v>
          </cell>
          <cell r="C814" t="str">
            <v>Kwarter b2</v>
          </cell>
          <cell r="D814">
            <v>12</v>
          </cell>
          <cell r="E814">
            <v>21.6</v>
          </cell>
          <cell r="F814">
            <v>0.3</v>
          </cell>
          <cell r="G814">
            <v>0.25885060257641224</v>
          </cell>
        </row>
        <row r="815">
          <cell r="A815" t="str">
            <v>51,5</v>
          </cell>
          <cell r="B815" t="str">
            <v>LS I.2 kn</v>
          </cell>
          <cell r="C815" t="str">
            <v>Kwarter b3</v>
          </cell>
          <cell r="D815">
            <v>10</v>
          </cell>
          <cell r="E815">
            <v>18</v>
          </cell>
          <cell r="F815">
            <v>0.3</v>
          </cell>
          <cell r="G815">
            <v>0.23577879795157511</v>
          </cell>
        </row>
        <row r="816">
          <cell r="A816" t="str">
            <v>51,6</v>
          </cell>
          <cell r="B816" t="str">
            <v>LS I.2 kn</v>
          </cell>
          <cell r="C816" t="str">
            <v>Kwarter c1</v>
          </cell>
          <cell r="D816">
            <v>7</v>
          </cell>
          <cell r="E816">
            <v>15</v>
          </cell>
          <cell r="F816">
            <v>0.3</v>
          </cell>
          <cell r="G816">
            <v>0.21450186870683924</v>
          </cell>
        </row>
        <row r="817">
          <cell r="A817" t="str">
            <v>51,7</v>
          </cell>
          <cell r="B817" t="str">
            <v>LS I.2 kn</v>
          </cell>
          <cell r="C817" t="str">
            <v>Kwarter c2</v>
          </cell>
          <cell r="D817">
            <v>11</v>
          </cell>
          <cell r="E817">
            <v>19.8</v>
          </cell>
          <cell r="F817">
            <v>0.3</v>
          </cell>
          <cell r="G817">
            <v>0.24760852933338706</v>
          </cell>
        </row>
        <row r="818">
          <cell r="A818" t="str">
            <v>51,8</v>
          </cell>
          <cell r="B818" t="str">
            <v>LS I.2 kn</v>
          </cell>
          <cell r="C818" t="str">
            <v>Kwarter c3</v>
          </cell>
          <cell r="D818">
            <v>11</v>
          </cell>
          <cell r="E818">
            <v>19.8</v>
          </cell>
          <cell r="F818">
            <v>0.3</v>
          </cell>
          <cell r="G818">
            <v>0.24760852933338706</v>
          </cell>
        </row>
        <row r="819">
          <cell r="A819" t="str">
            <v>51,9</v>
          </cell>
          <cell r="B819" t="str">
            <v>LS I.2 kn</v>
          </cell>
          <cell r="C819" t="str">
            <v>Muka b3</v>
          </cell>
          <cell r="D819">
            <v>10</v>
          </cell>
          <cell r="E819">
            <v>18</v>
          </cell>
          <cell r="F819">
            <v>0.3</v>
          </cell>
          <cell r="G819">
            <v>0.16351330600668237</v>
          </cell>
        </row>
        <row r="820">
          <cell r="A820" t="str">
            <v>51,10</v>
          </cell>
          <cell r="B820" t="str">
            <v>LS I.2 kn</v>
          </cell>
          <cell r="C820" t="str">
            <v>Muka c3</v>
          </cell>
          <cell r="D820">
            <v>11</v>
          </cell>
          <cell r="E820">
            <v>19.8</v>
          </cell>
          <cell r="F820">
            <v>0.3</v>
          </cell>
          <cell r="G820">
            <v>0.17212948709189466</v>
          </cell>
        </row>
        <row r="821">
          <cell r="A821" t="str">
            <v>51,11</v>
          </cell>
          <cell r="B821" t="str">
            <v>LS I.2 kn</v>
          </cell>
          <cell r="C821" t="str">
            <v>Tersier T4-K2</v>
          </cell>
          <cell r="D821">
            <v>22</v>
          </cell>
          <cell r="E821">
            <v>39.6</v>
          </cell>
          <cell r="F821">
            <v>0.3</v>
          </cell>
          <cell r="G821">
            <v>0.24760852933338706</v>
          </cell>
        </row>
        <row r="822">
          <cell r="A822" t="str">
            <v>51,12</v>
          </cell>
          <cell r="B822" t="str">
            <v>LS I.2 kn</v>
          </cell>
          <cell r="C822" t="str">
            <v>Tersier T3-T4</v>
          </cell>
          <cell r="D822">
            <v>29</v>
          </cell>
          <cell r="E822">
            <v>52.2</v>
          </cell>
          <cell r="F822">
            <v>0.3</v>
          </cell>
          <cell r="G822">
            <v>0.28482375147425121</v>
          </cell>
        </row>
        <row r="823">
          <cell r="A823" t="str">
            <v>51,13</v>
          </cell>
          <cell r="B823" t="str">
            <v>LS I.2 kn</v>
          </cell>
          <cell r="C823" t="str">
            <v>Tersier T3-K1</v>
          </cell>
          <cell r="D823">
            <v>22</v>
          </cell>
          <cell r="E823">
            <v>39.6</v>
          </cell>
          <cell r="F823">
            <v>0.3</v>
          </cell>
          <cell r="G823">
            <v>0.24760852933338706</v>
          </cell>
        </row>
        <row r="824">
          <cell r="A824" t="str">
            <v>51,14</v>
          </cell>
          <cell r="B824" t="str">
            <v>LS I.2 kn</v>
          </cell>
          <cell r="C824" t="str">
            <v>Tersier T2-T3</v>
          </cell>
          <cell r="D824">
            <v>64</v>
          </cell>
          <cell r="E824">
            <v>115.2</v>
          </cell>
          <cell r="F824">
            <v>0.4</v>
          </cell>
          <cell r="G824">
            <v>0.38444654974424869</v>
          </cell>
        </row>
        <row r="825">
          <cell r="A825" t="str">
            <v>51,15</v>
          </cell>
          <cell r="B825" t="str">
            <v>LS I.2 kn</v>
          </cell>
          <cell r="C825" t="str">
            <v>Tersier T1-T2</v>
          </cell>
          <cell r="D825">
            <v>75</v>
          </cell>
          <cell r="E825">
            <v>135</v>
          </cell>
          <cell r="F825">
            <v>0.45</v>
          </cell>
          <cell r="G825">
            <v>0.39991758724400484</v>
          </cell>
        </row>
        <row r="826">
          <cell r="A826" t="str">
            <v>51,16</v>
          </cell>
          <cell r="B826" t="str">
            <v>LS I.2 kn</v>
          </cell>
          <cell r="C826" t="str">
            <v>Tersier BLSI.2-T1</v>
          </cell>
          <cell r="D826">
            <v>88</v>
          </cell>
          <cell r="E826">
            <v>158.4</v>
          </cell>
          <cell r="F826">
            <v>0.45</v>
          </cell>
          <cell r="G826">
            <v>0.43344917677395267</v>
          </cell>
        </row>
        <row r="828">
          <cell r="A828">
            <v>52</v>
          </cell>
          <cell r="B828" t="str">
            <v>LS I.3 kn</v>
          </cell>
          <cell r="D828">
            <v>0</v>
          </cell>
        </row>
        <row r="829">
          <cell r="A829" t="str">
            <v>52,1</v>
          </cell>
          <cell r="B829" t="str">
            <v>LS I.3 kn</v>
          </cell>
          <cell r="C829" t="str">
            <v>Kwarter a1</v>
          </cell>
          <cell r="D829">
            <v>10</v>
          </cell>
          <cell r="E829">
            <v>18</v>
          </cell>
          <cell r="F829">
            <v>0.3</v>
          </cell>
          <cell r="G829">
            <v>0.23577879795157511</v>
          </cell>
        </row>
        <row r="830">
          <cell r="A830" t="str">
            <v>52,2</v>
          </cell>
          <cell r="B830" t="str">
            <v>LS I.3 kn</v>
          </cell>
          <cell r="C830" t="str">
            <v>Kwarter a2</v>
          </cell>
          <cell r="D830">
            <v>11</v>
          </cell>
          <cell r="E830">
            <v>19.8</v>
          </cell>
          <cell r="F830">
            <v>0.3</v>
          </cell>
          <cell r="G830">
            <v>0.24760852933338706</v>
          </cell>
        </row>
        <row r="831">
          <cell r="A831" t="str">
            <v>52,3</v>
          </cell>
          <cell r="B831" t="str">
            <v>LS I.3 kn</v>
          </cell>
          <cell r="C831" t="str">
            <v>Kwarter a3</v>
          </cell>
          <cell r="D831">
            <v>6</v>
          </cell>
          <cell r="E831">
            <v>15</v>
          </cell>
          <cell r="F831">
            <v>0.3</v>
          </cell>
          <cell r="G831">
            <v>0.21450186870683924</v>
          </cell>
        </row>
        <row r="832">
          <cell r="A832" t="str">
            <v>52,4</v>
          </cell>
          <cell r="B832" t="str">
            <v>LS I.3 kn</v>
          </cell>
          <cell r="C832" t="str">
            <v>Kwarter b1</v>
          </cell>
          <cell r="D832">
            <v>11</v>
          </cell>
          <cell r="E832">
            <v>19.8</v>
          </cell>
          <cell r="F832">
            <v>0.3</v>
          </cell>
          <cell r="G832">
            <v>0.24760852933338706</v>
          </cell>
        </row>
        <row r="833">
          <cell r="A833" t="str">
            <v>52,5</v>
          </cell>
          <cell r="B833" t="str">
            <v>LS I.3 kn</v>
          </cell>
          <cell r="C833" t="str">
            <v>Kwarter b2</v>
          </cell>
          <cell r="D833">
            <v>11</v>
          </cell>
          <cell r="E833">
            <v>19.8</v>
          </cell>
          <cell r="F833">
            <v>0.3</v>
          </cell>
          <cell r="G833">
            <v>0.24760852933338706</v>
          </cell>
        </row>
        <row r="834">
          <cell r="A834" t="str">
            <v>52,6</v>
          </cell>
          <cell r="B834" t="str">
            <v>LS I.3 kn</v>
          </cell>
          <cell r="C834" t="str">
            <v>Kwarter c1</v>
          </cell>
          <cell r="D834">
            <v>6</v>
          </cell>
          <cell r="E834">
            <v>15</v>
          </cell>
          <cell r="F834">
            <v>0.3</v>
          </cell>
          <cell r="G834">
            <v>0.21450186870683924</v>
          </cell>
        </row>
        <row r="835">
          <cell r="A835" t="str">
            <v>52,7</v>
          </cell>
          <cell r="B835" t="str">
            <v>LS I.3 kn</v>
          </cell>
          <cell r="C835" t="str">
            <v>Kwarter c2</v>
          </cell>
          <cell r="D835">
            <v>7</v>
          </cell>
          <cell r="E835">
            <v>15</v>
          </cell>
          <cell r="F835">
            <v>0.3</v>
          </cell>
          <cell r="G835">
            <v>0.21450186870683924</v>
          </cell>
        </row>
        <row r="836">
          <cell r="A836" t="str">
            <v>52,8</v>
          </cell>
          <cell r="B836" t="str">
            <v>LS I.3 kn</v>
          </cell>
          <cell r="C836" t="str">
            <v>Kwarter c3</v>
          </cell>
          <cell r="D836">
            <v>11</v>
          </cell>
          <cell r="E836">
            <v>19.8</v>
          </cell>
          <cell r="F836">
            <v>0.3</v>
          </cell>
          <cell r="G836">
            <v>0.24760852933338706</v>
          </cell>
        </row>
        <row r="837">
          <cell r="A837" t="str">
            <v>52,9</v>
          </cell>
          <cell r="B837" t="str">
            <v>LS I.3 kn</v>
          </cell>
          <cell r="C837" t="str">
            <v>Muka a3</v>
          </cell>
          <cell r="D837">
            <v>6</v>
          </cell>
          <cell r="E837">
            <v>15</v>
          </cell>
          <cell r="F837">
            <v>0.3</v>
          </cell>
          <cell r="G837">
            <v>0.14808412770373933</v>
          </cell>
        </row>
        <row r="838">
          <cell r="A838" t="str">
            <v>52,10</v>
          </cell>
          <cell r="B838" t="str">
            <v>LS I.3 kn</v>
          </cell>
          <cell r="C838" t="str">
            <v>Muka c2</v>
          </cell>
          <cell r="D838">
            <v>7</v>
          </cell>
          <cell r="E838">
            <v>15</v>
          </cell>
          <cell r="F838">
            <v>0.3</v>
          </cell>
          <cell r="G838">
            <v>0.14808412770373933</v>
          </cell>
        </row>
        <row r="839">
          <cell r="A839" t="str">
            <v>52,11</v>
          </cell>
          <cell r="B839" t="str">
            <v>LS I.3 kn</v>
          </cell>
          <cell r="C839" t="str">
            <v>Muka c3</v>
          </cell>
          <cell r="D839">
            <v>11</v>
          </cell>
          <cell r="E839">
            <v>19.8</v>
          </cell>
          <cell r="F839">
            <v>0.3</v>
          </cell>
          <cell r="G839">
            <v>0.17212948709189466</v>
          </cell>
        </row>
        <row r="840">
          <cell r="A840" t="str">
            <v>52,12</v>
          </cell>
          <cell r="B840" t="str">
            <v>LS I.3 kn</v>
          </cell>
          <cell r="C840" t="str">
            <v>Tersier T3-K2</v>
          </cell>
          <cell r="D840">
            <v>24</v>
          </cell>
          <cell r="E840">
            <v>43.2</v>
          </cell>
          <cell r="F840">
            <v>0.3</v>
          </cell>
          <cell r="G840">
            <v>0.25885060257641224</v>
          </cell>
        </row>
        <row r="841">
          <cell r="A841" t="str">
            <v>52,13</v>
          </cell>
          <cell r="B841" t="str">
            <v>LS I.3 kn</v>
          </cell>
          <cell r="C841" t="str">
            <v>Tersier T2-T3</v>
          </cell>
          <cell r="D841">
            <v>35</v>
          </cell>
          <cell r="E841">
            <v>63</v>
          </cell>
          <cell r="F841">
            <v>0.35</v>
          </cell>
          <cell r="G841">
            <v>0.29684185225160231</v>
          </cell>
        </row>
        <row r="842">
          <cell r="A842" t="str">
            <v>52,14</v>
          </cell>
          <cell r="B842" t="str">
            <v>LS I.3 kn</v>
          </cell>
          <cell r="C842" t="str">
            <v>Tersier T1-T2</v>
          </cell>
          <cell r="D842">
            <v>46</v>
          </cell>
          <cell r="E842">
            <v>82.8</v>
          </cell>
          <cell r="F842">
            <v>0.35</v>
          </cell>
          <cell r="G842">
            <v>0.34076997170246648</v>
          </cell>
        </row>
        <row r="843">
          <cell r="A843" t="str">
            <v>52,15</v>
          </cell>
          <cell r="B843" t="str">
            <v>LS I.3 kn</v>
          </cell>
          <cell r="C843" t="str">
            <v>Tersier T1-K1</v>
          </cell>
          <cell r="D843">
            <v>17</v>
          </cell>
          <cell r="E843">
            <v>30.6</v>
          </cell>
          <cell r="F843">
            <v>0.3</v>
          </cell>
          <cell r="G843">
            <v>0.21672942090731576</v>
          </cell>
        </row>
        <row r="844">
          <cell r="A844" t="str">
            <v>52,16</v>
          </cell>
          <cell r="B844" t="str">
            <v>LS I.3 kn</v>
          </cell>
          <cell r="C844" t="str">
            <v>Tersier BLSI.3-T1</v>
          </cell>
          <cell r="D844">
            <v>73</v>
          </cell>
          <cell r="E844">
            <v>131.4</v>
          </cell>
          <cell r="F844">
            <v>0.45</v>
          </cell>
          <cell r="G844">
            <v>0.39447376263701839</v>
          </cell>
        </row>
        <row r="846">
          <cell r="A846">
            <v>53</v>
          </cell>
          <cell r="B846" t="str">
            <v>LS I.3 kr</v>
          </cell>
          <cell r="D846">
            <v>0</v>
          </cell>
        </row>
        <row r="847">
          <cell r="A847" t="str">
            <v>53,1</v>
          </cell>
          <cell r="B847" t="str">
            <v>LS I.3 kr</v>
          </cell>
          <cell r="C847" t="str">
            <v>Kwarter a1</v>
          </cell>
          <cell r="D847">
            <v>13</v>
          </cell>
          <cell r="E847">
            <v>23.400000000000002</v>
          </cell>
          <cell r="F847">
            <v>0.3</v>
          </cell>
          <cell r="G847">
            <v>0.26957675461177327</v>
          </cell>
        </row>
        <row r="848">
          <cell r="A848" t="str">
            <v>53,2</v>
          </cell>
          <cell r="B848" t="str">
            <v>LS I.3 kr</v>
          </cell>
          <cell r="C848" t="str">
            <v>Kwarter a2</v>
          </cell>
          <cell r="D848">
            <v>10</v>
          </cell>
          <cell r="E848">
            <v>18</v>
          </cell>
          <cell r="F848">
            <v>0.3</v>
          </cell>
          <cell r="G848">
            <v>0.23577879795157511</v>
          </cell>
        </row>
        <row r="849">
          <cell r="A849" t="str">
            <v>53,3</v>
          </cell>
          <cell r="B849" t="str">
            <v>LS I.3 kr</v>
          </cell>
          <cell r="C849" t="str">
            <v>Kwarter b1</v>
          </cell>
          <cell r="D849">
            <v>13</v>
          </cell>
          <cell r="E849">
            <v>23.400000000000002</v>
          </cell>
          <cell r="F849">
            <v>0.3</v>
          </cell>
          <cell r="G849">
            <v>0.26957675461177327</v>
          </cell>
        </row>
        <row r="850">
          <cell r="A850" t="str">
            <v>53,4</v>
          </cell>
          <cell r="B850" t="str">
            <v>LS I.3 kr</v>
          </cell>
          <cell r="C850" t="str">
            <v>Kwarter b2</v>
          </cell>
          <cell r="D850">
            <v>11</v>
          </cell>
          <cell r="E850">
            <v>19.8</v>
          </cell>
          <cell r="F850">
            <v>0.3</v>
          </cell>
          <cell r="G850">
            <v>0.24760852933338706</v>
          </cell>
        </row>
        <row r="851">
          <cell r="A851" t="str">
            <v>53,5</v>
          </cell>
          <cell r="B851" t="str">
            <v>LS I.3 kr</v>
          </cell>
          <cell r="C851" t="str">
            <v>Muka b2</v>
          </cell>
          <cell r="D851">
            <v>11</v>
          </cell>
          <cell r="E851">
            <v>19.8</v>
          </cell>
          <cell r="F851">
            <v>0.3</v>
          </cell>
          <cell r="G851">
            <v>0.17212948709189466</v>
          </cell>
        </row>
        <row r="852">
          <cell r="A852" t="str">
            <v>53,6</v>
          </cell>
          <cell r="B852" t="str">
            <v>LS I.3 kr</v>
          </cell>
          <cell r="C852" t="str">
            <v>Muka a2</v>
          </cell>
          <cell r="D852">
            <v>10</v>
          </cell>
          <cell r="E852">
            <v>18</v>
          </cell>
          <cell r="F852">
            <v>0.3</v>
          </cell>
          <cell r="G852">
            <v>0.16351330600668237</v>
          </cell>
        </row>
        <row r="853">
          <cell r="A853" t="str">
            <v>53,7</v>
          </cell>
          <cell r="B853" t="str">
            <v>LS I.3 kr</v>
          </cell>
          <cell r="C853" t="str">
            <v>Tersier BLS I.3-K1</v>
          </cell>
          <cell r="D853">
            <v>47</v>
          </cell>
          <cell r="E853">
            <v>84.600000000000009</v>
          </cell>
          <cell r="F853">
            <v>0.35</v>
          </cell>
          <cell r="G853">
            <v>0.34445161423417409</v>
          </cell>
        </row>
        <row r="855">
          <cell r="A855">
            <v>54</v>
          </cell>
          <cell r="B855" t="str">
            <v>LS I.4 kn</v>
          </cell>
          <cell r="D855">
            <v>0</v>
          </cell>
        </row>
        <row r="856">
          <cell r="A856" t="str">
            <v>54,1</v>
          </cell>
          <cell r="B856" t="str">
            <v>LS I.4 kn</v>
          </cell>
          <cell r="C856" t="str">
            <v>Kwarter a1</v>
          </cell>
          <cell r="D856">
            <v>10</v>
          </cell>
          <cell r="E856">
            <v>18</v>
          </cell>
          <cell r="F856">
            <v>0.3</v>
          </cell>
          <cell r="G856">
            <v>0.23577879795157511</v>
          </cell>
        </row>
        <row r="857">
          <cell r="A857" t="str">
            <v>54,2</v>
          </cell>
          <cell r="B857" t="str">
            <v>LS I.4 kn</v>
          </cell>
          <cell r="C857" t="str">
            <v>Kwarter a2</v>
          </cell>
          <cell r="D857">
            <v>8</v>
          </cell>
          <cell r="E857">
            <v>15</v>
          </cell>
          <cell r="F857">
            <v>0.3</v>
          </cell>
          <cell r="G857">
            <v>0.21450186870683924</v>
          </cell>
        </row>
        <row r="858">
          <cell r="A858" t="str">
            <v>54,3</v>
          </cell>
          <cell r="B858" t="str">
            <v>LS I.4 kn</v>
          </cell>
          <cell r="C858" t="str">
            <v>Kwarter a3</v>
          </cell>
          <cell r="D858">
            <v>6</v>
          </cell>
          <cell r="E858">
            <v>15</v>
          </cell>
          <cell r="F858">
            <v>0.3</v>
          </cell>
          <cell r="G858">
            <v>0.21450186870683924</v>
          </cell>
        </row>
        <row r="859">
          <cell r="A859" t="str">
            <v>54,4</v>
          </cell>
          <cell r="B859" t="str">
            <v>LS I.4 kn</v>
          </cell>
          <cell r="C859" t="str">
            <v>Kwarter a4</v>
          </cell>
          <cell r="D859">
            <v>5</v>
          </cell>
          <cell r="E859">
            <v>15</v>
          </cell>
          <cell r="F859">
            <v>0.3</v>
          </cell>
          <cell r="G859">
            <v>0.21450186870683924</v>
          </cell>
        </row>
        <row r="860">
          <cell r="A860" t="str">
            <v>54,5</v>
          </cell>
          <cell r="B860" t="str">
            <v>LS I.4 kn</v>
          </cell>
          <cell r="C860" t="str">
            <v>Kwarter b1</v>
          </cell>
          <cell r="D860">
            <v>11</v>
          </cell>
          <cell r="E860">
            <v>19.8</v>
          </cell>
          <cell r="F860">
            <v>0.3</v>
          </cell>
          <cell r="G860">
            <v>0.24760852933338706</v>
          </cell>
        </row>
        <row r="861">
          <cell r="A861" t="str">
            <v>54,6</v>
          </cell>
          <cell r="B861" t="str">
            <v>LS I.4 kn</v>
          </cell>
          <cell r="C861" t="str">
            <v>Kwarter b2</v>
          </cell>
          <cell r="D861">
            <v>6</v>
          </cell>
          <cell r="E861">
            <v>15</v>
          </cell>
          <cell r="F861">
            <v>0.3</v>
          </cell>
          <cell r="G861">
            <v>0.21450186870683924</v>
          </cell>
        </row>
        <row r="862">
          <cell r="A862" t="str">
            <v>54,7</v>
          </cell>
          <cell r="B862" t="str">
            <v>LS I.4 kn</v>
          </cell>
          <cell r="C862" t="str">
            <v>Kwarter b3</v>
          </cell>
          <cell r="D862">
            <v>11</v>
          </cell>
          <cell r="E862">
            <v>19.8</v>
          </cell>
          <cell r="F862">
            <v>0.3</v>
          </cell>
          <cell r="G862">
            <v>0.24760852933338706</v>
          </cell>
        </row>
        <row r="863">
          <cell r="A863" t="str">
            <v>54,8</v>
          </cell>
          <cell r="B863" t="str">
            <v>LS I.4 kn</v>
          </cell>
          <cell r="C863" t="str">
            <v>Muka a4</v>
          </cell>
          <cell r="D863">
            <v>5</v>
          </cell>
          <cell r="E863">
            <v>15</v>
          </cell>
          <cell r="F863">
            <v>0.3</v>
          </cell>
          <cell r="G863">
            <v>0.14808412770373933</v>
          </cell>
        </row>
        <row r="864">
          <cell r="A864" t="str">
            <v>54,9</v>
          </cell>
          <cell r="B864" t="str">
            <v>LS I.4 kn</v>
          </cell>
          <cell r="C864" t="str">
            <v>Muka b2</v>
          </cell>
          <cell r="D864">
            <v>6</v>
          </cell>
          <cell r="E864">
            <v>15</v>
          </cell>
          <cell r="F864">
            <v>0.3</v>
          </cell>
          <cell r="G864">
            <v>0.14808412770373933</v>
          </cell>
        </row>
        <row r="865">
          <cell r="A865" t="str">
            <v>54,10</v>
          </cell>
          <cell r="B865" t="str">
            <v>LS I.4 kn</v>
          </cell>
          <cell r="C865" t="str">
            <v>Tersier T3-K2</v>
          </cell>
          <cell r="D865">
            <v>11</v>
          </cell>
          <cell r="E865">
            <v>19.8</v>
          </cell>
          <cell r="F865">
            <v>0.3</v>
          </cell>
          <cell r="G865">
            <v>0.17212948709189466</v>
          </cell>
        </row>
        <row r="866">
          <cell r="A866" t="str">
            <v>54,11</v>
          </cell>
          <cell r="B866" t="str">
            <v>LS I.4 kn</v>
          </cell>
          <cell r="C866" t="str">
            <v>Tersier T2-T3</v>
          </cell>
          <cell r="D866">
            <v>19</v>
          </cell>
          <cell r="E866">
            <v>34.200000000000003</v>
          </cell>
          <cell r="F866">
            <v>0.3</v>
          </cell>
          <cell r="G866">
            <v>0.22961637840568802</v>
          </cell>
        </row>
        <row r="867">
          <cell r="A867" t="str">
            <v>54,12</v>
          </cell>
          <cell r="B867" t="str">
            <v>LS I.4 kn</v>
          </cell>
          <cell r="C867" t="str">
            <v>Tersier T2-K1</v>
          </cell>
          <cell r="D867">
            <v>17</v>
          </cell>
          <cell r="E867">
            <v>30.6</v>
          </cell>
          <cell r="F867">
            <v>0.3</v>
          </cell>
          <cell r="G867">
            <v>0.21672942090731576</v>
          </cell>
        </row>
        <row r="868">
          <cell r="A868" t="str">
            <v>54,13</v>
          </cell>
          <cell r="B868" t="str">
            <v>LS I.4 kn</v>
          </cell>
          <cell r="C868" t="str">
            <v>Tersier T1-T2</v>
          </cell>
          <cell r="D868">
            <v>47</v>
          </cell>
          <cell r="E868">
            <v>84.600000000000009</v>
          </cell>
          <cell r="F868">
            <v>0.35</v>
          </cell>
          <cell r="G868">
            <v>0.34445161423417409</v>
          </cell>
        </row>
        <row r="869">
          <cell r="A869" t="str">
            <v>54,14</v>
          </cell>
          <cell r="B869" t="str">
            <v>LS I.4 kn</v>
          </cell>
          <cell r="C869" t="str">
            <v>Tersier BLSI.4-T1</v>
          </cell>
          <cell r="D869">
            <v>57</v>
          </cell>
          <cell r="E869">
            <v>102.60000000000001</v>
          </cell>
          <cell r="F869">
            <v>0.4</v>
          </cell>
          <cell r="G869">
            <v>0.36268475904544556</v>
          </cell>
        </row>
        <row r="871">
          <cell r="A871">
            <v>55</v>
          </cell>
          <cell r="B871" t="str">
            <v>LS I.4 kr</v>
          </cell>
          <cell r="D871">
            <v>0</v>
          </cell>
        </row>
        <row r="872">
          <cell r="A872" t="str">
            <v>55,1</v>
          </cell>
          <cell r="B872" t="str">
            <v>LS I.4 kr</v>
          </cell>
          <cell r="C872" t="str">
            <v>Kwarter a1</v>
          </cell>
          <cell r="D872">
            <v>11</v>
          </cell>
          <cell r="E872">
            <v>19.8</v>
          </cell>
          <cell r="F872">
            <v>0.3</v>
          </cell>
          <cell r="G872">
            <v>0.24760852933338706</v>
          </cell>
        </row>
        <row r="873">
          <cell r="A873" t="str">
            <v>55,2</v>
          </cell>
          <cell r="B873" t="str">
            <v>LS I.4 kr</v>
          </cell>
          <cell r="C873" t="str">
            <v>Kwarter a2</v>
          </cell>
          <cell r="D873">
            <v>15</v>
          </cell>
          <cell r="E873">
            <v>27</v>
          </cell>
          <cell r="F873">
            <v>0.3</v>
          </cell>
          <cell r="G873">
            <v>0.28970512341744525</v>
          </cell>
        </row>
        <row r="874">
          <cell r="A874" t="str">
            <v>55,3</v>
          </cell>
          <cell r="B874" t="str">
            <v>LS I.4 kr</v>
          </cell>
          <cell r="C874" t="str">
            <v>Kwarter a3</v>
          </cell>
          <cell r="D874">
            <v>15</v>
          </cell>
          <cell r="E874">
            <v>27</v>
          </cell>
          <cell r="F874">
            <v>0.3</v>
          </cell>
          <cell r="G874">
            <v>0.28970512341744525</v>
          </cell>
        </row>
        <row r="875">
          <cell r="A875" t="str">
            <v>55,4</v>
          </cell>
          <cell r="B875" t="str">
            <v>LS I.4 kr</v>
          </cell>
          <cell r="C875" t="str">
            <v>Kwarter b1</v>
          </cell>
          <cell r="D875">
            <v>9</v>
          </cell>
          <cell r="E875">
            <v>16.2</v>
          </cell>
          <cell r="F875">
            <v>0.3</v>
          </cell>
          <cell r="G875">
            <v>0.22327164076703876</v>
          </cell>
        </row>
        <row r="876">
          <cell r="A876" t="str">
            <v>55,5</v>
          </cell>
          <cell r="B876" t="str">
            <v>LS I.4 kr</v>
          </cell>
          <cell r="C876" t="str">
            <v>Kwarter b2</v>
          </cell>
          <cell r="D876">
            <v>14</v>
          </cell>
          <cell r="E876">
            <v>25.2</v>
          </cell>
          <cell r="F876">
            <v>0.3</v>
          </cell>
          <cell r="G876">
            <v>0.27984551330394364</v>
          </cell>
        </row>
        <row r="877">
          <cell r="A877" t="str">
            <v>55,6</v>
          </cell>
          <cell r="B877" t="str">
            <v>LS I.4 kr</v>
          </cell>
          <cell r="C877" t="str">
            <v>Kwarter b3</v>
          </cell>
          <cell r="D877">
            <v>10</v>
          </cell>
          <cell r="E877">
            <v>18</v>
          </cell>
          <cell r="F877">
            <v>0.3</v>
          </cell>
          <cell r="G877">
            <v>0.23577879795157511</v>
          </cell>
        </row>
        <row r="878">
          <cell r="A878" t="str">
            <v>55,7</v>
          </cell>
          <cell r="B878" t="str">
            <v>LS I.4 kr</v>
          </cell>
          <cell r="C878" t="str">
            <v>Muka b2</v>
          </cell>
          <cell r="D878">
            <v>14</v>
          </cell>
          <cell r="E878">
            <v>25.2</v>
          </cell>
          <cell r="F878">
            <v>0.3</v>
          </cell>
          <cell r="G878">
            <v>0.19573011875754986</v>
          </cell>
        </row>
        <row r="879">
          <cell r="A879" t="str">
            <v>55,8</v>
          </cell>
          <cell r="B879" t="str">
            <v>LS I.4 kr</v>
          </cell>
          <cell r="C879" t="str">
            <v>Muka b3</v>
          </cell>
          <cell r="D879">
            <v>10</v>
          </cell>
          <cell r="E879">
            <v>18</v>
          </cell>
          <cell r="F879">
            <v>0.3</v>
          </cell>
          <cell r="G879">
            <v>0.16351330600668237</v>
          </cell>
        </row>
        <row r="880">
          <cell r="A880" t="str">
            <v>55,9</v>
          </cell>
          <cell r="B880" t="str">
            <v>LS I.4 kr</v>
          </cell>
          <cell r="C880" t="str">
            <v>Tersier T3-K1</v>
          </cell>
          <cell r="D880">
            <v>33</v>
          </cell>
          <cell r="E880">
            <v>59.4</v>
          </cell>
          <cell r="F880">
            <v>0.35</v>
          </cell>
          <cell r="G880">
            <v>0.28804905429904948</v>
          </cell>
        </row>
        <row r="881">
          <cell r="A881" t="str">
            <v>55,10</v>
          </cell>
          <cell r="B881" t="str">
            <v>LS I.4 kr</v>
          </cell>
          <cell r="C881" t="str">
            <v>Tersier T2-T3</v>
          </cell>
          <cell r="D881">
            <v>48</v>
          </cell>
          <cell r="E881">
            <v>86.4</v>
          </cell>
          <cell r="F881">
            <v>0.4</v>
          </cell>
          <cell r="G881">
            <v>0.33234906858438101</v>
          </cell>
        </row>
        <row r="882">
          <cell r="A882" t="str">
            <v>55,11</v>
          </cell>
          <cell r="B882" t="str">
            <v>LS I.4 kr</v>
          </cell>
          <cell r="C882" t="str">
            <v>Tersier T1-T2</v>
          </cell>
          <cell r="D882">
            <v>63</v>
          </cell>
          <cell r="E882">
            <v>113.4</v>
          </cell>
          <cell r="F882">
            <v>0.45</v>
          </cell>
          <cell r="G882">
            <v>0.36590652586813815</v>
          </cell>
        </row>
        <row r="883">
          <cell r="A883" t="str">
            <v>55,12</v>
          </cell>
          <cell r="B883" t="str">
            <v>LS I.4 kr</v>
          </cell>
          <cell r="C883" t="str">
            <v>Tersier BLSI.4-T1</v>
          </cell>
          <cell r="D883">
            <v>74</v>
          </cell>
          <cell r="E883">
            <v>133.20000000000002</v>
          </cell>
          <cell r="F883">
            <v>0.45</v>
          </cell>
          <cell r="G883">
            <v>0.3972060604332609</v>
          </cell>
        </row>
        <row r="885">
          <cell r="A885">
            <v>56</v>
          </cell>
          <cell r="B885" t="str">
            <v>LS I.4 tg</v>
          </cell>
          <cell r="D885">
            <v>0</v>
          </cell>
        </row>
        <row r="886">
          <cell r="A886" t="str">
            <v>56,1</v>
          </cell>
          <cell r="B886" t="str">
            <v>LS I.4 tg</v>
          </cell>
          <cell r="C886" t="str">
            <v>Kwarter a1</v>
          </cell>
          <cell r="D886">
            <v>8</v>
          </cell>
          <cell r="E886">
            <v>15</v>
          </cell>
          <cell r="F886">
            <v>0.3</v>
          </cell>
          <cell r="G886">
            <v>0.21450186870683924</v>
          </cell>
        </row>
        <row r="887">
          <cell r="A887" t="str">
            <v>56,2</v>
          </cell>
          <cell r="B887" t="str">
            <v>LS I.4 tg</v>
          </cell>
          <cell r="C887" t="str">
            <v>Kwarter a2</v>
          </cell>
          <cell r="D887">
            <v>8</v>
          </cell>
          <cell r="E887">
            <v>15</v>
          </cell>
          <cell r="F887">
            <v>0.3</v>
          </cell>
          <cell r="G887">
            <v>0.21450186870683924</v>
          </cell>
        </row>
        <row r="888">
          <cell r="A888" t="str">
            <v>56,3</v>
          </cell>
          <cell r="B888" t="str">
            <v>LS I.4 tg</v>
          </cell>
          <cell r="C888" t="str">
            <v>Kwarter a3</v>
          </cell>
          <cell r="D888">
            <v>12</v>
          </cell>
          <cell r="E888">
            <v>21.6</v>
          </cell>
          <cell r="F888">
            <v>0.3</v>
          </cell>
          <cell r="G888">
            <v>0.25885060257641224</v>
          </cell>
        </row>
        <row r="889">
          <cell r="A889" t="str">
            <v>56,4</v>
          </cell>
          <cell r="B889" t="str">
            <v>LS I.4 tg</v>
          </cell>
          <cell r="C889" t="str">
            <v>Kwarter a4</v>
          </cell>
          <cell r="D889">
            <v>10</v>
          </cell>
          <cell r="E889">
            <v>18</v>
          </cell>
          <cell r="F889">
            <v>0.3</v>
          </cell>
          <cell r="G889">
            <v>0.23577879795157511</v>
          </cell>
        </row>
        <row r="890">
          <cell r="A890" t="str">
            <v>56,5</v>
          </cell>
          <cell r="B890" t="str">
            <v>LS I.4 tg</v>
          </cell>
          <cell r="C890" t="str">
            <v>Kwarter b1</v>
          </cell>
          <cell r="D890">
            <v>15</v>
          </cell>
          <cell r="E890">
            <v>27</v>
          </cell>
          <cell r="F890">
            <v>0.3</v>
          </cell>
          <cell r="G890">
            <v>0.28970512341744525</v>
          </cell>
        </row>
        <row r="891">
          <cell r="A891" t="str">
            <v>56,6</v>
          </cell>
          <cell r="B891" t="str">
            <v>LS I.4 tg</v>
          </cell>
          <cell r="C891" t="str">
            <v>Kwarter b2</v>
          </cell>
          <cell r="D891">
            <v>7</v>
          </cell>
          <cell r="E891">
            <v>15</v>
          </cell>
          <cell r="F891">
            <v>0.3</v>
          </cell>
          <cell r="G891">
            <v>0.21450186870683924</v>
          </cell>
        </row>
        <row r="892">
          <cell r="A892" t="str">
            <v>56,7</v>
          </cell>
          <cell r="B892" t="str">
            <v>LS I.4 tg</v>
          </cell>
          <cell r="C892" t="str">
            <v>Kwarter b3</v>
          </cell>
          <cell r="D892">
            <v>10</v>
          </cell>
          <cell r="E892">
            <v>18</v>
          </cell>
          <cell r="F892">
            <v>0.3</v>
          </cell>
          <cell r="G892">
            <v>0.23577879795157511</v>
          </cell>
        </row>
        <row r="893">
          <cell r="A893" t="str">
            <v>56,8</v>
          </cell>
          <cell r="B893" t="str">
            <v>LS I.4 tg</v>
          </cell>
          <cell r="C893" t="str">
            <v>Kwarter b4</v>
          </cell>
          <cell r="D893">
            <v>10</v>
          </cell>
          <cell r="E893">
            <v>18</v>
          </cell>
          <cell r="F893">
            <v>0.3</v>
          </cell>
          <cell r="G893">
            <v>0.23577879795157511</v>
          </cell>
        </row>
        <row r="894">
          <cell r="A894" t="str">
            <v>56,9</v>
          </cell>
          <cell r="B894" t="str">
            <v>LS I.4 tg</v>
          </cell>
          <cell r="C894" t="str">
            <v>Kwarter b5</v>
          </cell>
          <cell r="D894">
            <v>5</v>
          </cell>
          <cell r="E894">
            <v>15</v>
          </cell>
          <cell r="F894">
            <v>0.3</v>
          </cell>
          <cell r="G894">
            <v>0.21450186870683924</v>
          </cell>
        </row>
        <row r="895">
          <cell r="A895" t="str">
            <v>56,10</v>
          </cell>
          <cell r="B895" t="str">
            <v>LS I.4 tg</v>
          </cell>
          <cell r="C895" t="str">
            <v>Kwarter c1</v>
          </cell>
          <cell r="D895">
            <v>6</v>
          </cell>
          <cell r="E895">
            <v>15</v>
          </cell>
          <cell r="F895">
            <v>0.3</v>
          </cell>
          <cell r="G895">
            <v>0.21450186870683924</v>
          </cell>
        </row>
        <row r="896">
          <cell r="A896" t="str">
            <v>56,11</v>
          </cell>
          <cell r="B896" t="str">
            <v>LS I.4 tg</v>
          </cell>
          <cell r="C896" t="str">
            <v>Kwarter c2</v>
          </cell>
          <cell r="D896">
            <v>10</v>
          </cell>
          <cell r="E896">
            <v>18</v>
          </cell>
          <cell r="F896">
            <v>0.3</v>
          </cell>
          <cell r="G896">
            <v>0.23577879795157511</v>
          </cell>
        </row>
        <row r="897">
          <cell r="A897" t="str">
            <v>56,12</v>
          </cell>
          <cell r="B897" t="str">
            <v>LS I.4 tg</v>
          </cell>
          <cell r="C897" t="str">
            <v>Kwarter c3</v>
          </cell>
          <cell r="D897">
            <v>7</v>
          </cell>
          <cell r="E897">
            <v>15</v>
          </cell>
          <cell r="F897">
            <v>0.3</v>
          </cell>
          <cell r="G897">
            <v>0.21450186870683924</v>
          </cell>
        </row>
        <row r="898">
          <cell r="A898" t="str">
            <v>56,13</v>
          </cell>
          <cell r="B898" t="str">
            <v>LS I.4 tg</v>
          </cell>
          <cell r="C898" t="str">
            <v>Kwarter c4</v>
          </cell>
          <cell r="D898">
            <v>10</v>
          </cell>
          <cell r="E898">
            <v>18</v>
          </cell>
          <cell r="F898">
            <v>0.3</v>
          </cell>
          <cell r="G898">
            <v>0.23577879795157511</v>
          </cell>
        </row>
        <row r="899">
          <cell r="A899" t="str">
            <v>56,14</v>
          </cell>
          <cell r="B899" t="str">
            <v>LS I.4 tg</v>
          </cell>
          <cell r="C899" t="str">
            <v>Kwarter c5</v>
          </cell>
          <cell r="D899">
            <v>9</v>
          </cell>
          <cell r="E899">
            <v>16.2</v>
          </cell>
          <cell r="F899">
            <v>0.3</v>
          </cell>
          <cell r="G899">
            <v>0.22327164076703876</v>
          </cell>
        </row>
        <row r="900">
          <cell r="A900" t="str">
            <v>56,15</v>
          </cell>
          <cell r="B900" t="str">
            <v>LS I.4 tg</v>
          </cell>
          <cell r="C900" t="str">
            <v>Kwarter cab d1</v>
          </cell>
          <cell r="E900">
            <v>15</v>
          </cell>
          <cell r="F900">
            <v>0.3</v>
          </cell>
          <cell r="G900">
            <v>0.21450186870683924</v>
          </cell>
        </row>
        <row r="901">
          <cell r="A901" t="str">
            <v>56,16</v>
          </cell>
          <cell r="B901" t="str">
            <v>LS I.4 tg</v>
          </cell>
          <cell r="C901" t="str">
            <v>Kwarter d1</v>
          </cell>
          <cell r="D901">
            <v>11</v>
          </cell>
          <cell r="E901">
            <v>19.8</v>
          </cell>
          <cell r="F901">
            <v>0.3</v>
          </cell>
          <cell r="G901">
            <v>0.24760852933338706</v>
          </cell>
        </row>
        <row r="902">
          <cell r="A902" t="str">
            <v>56,17</v>
          </cell>
          <cell r="B902" t="str">
            <v>LS I.4 tg</v>
          </cell>
          <cell r="C902" t="str">
            <v>Kwarter d2</v>
          </cell>
          <cell r="D902">
            <v>11</v>
          </cell>
          <cell r="E902">
            <v>19.8</v>
          </cell>
          <cell r="F902">
            <v>0.3</v>
          </cell>
          <cell r="G902">
            <v>0.24760852933338706</v>
          </cell>
        </row>
        <row r="903">
          <cell r="A903" t="str">
            <v>56,18</v>
          </cell>
          <cell r="B903" t="str">
            <v>LS I.4 tg</v>
          </cell>
          <cell r="C903" t="str">
            <v>Muka a1</v>
          </cell>
          <cell r="D903">
            <v>8</v>
          </cell>
          <cell r="E903">
            <v>15</v>
          </cell>
          <cell r="F903">
            <v>0.3</v>
          </cell>
          <cell r="G903">
            <v>0.14808412770373933</v>
          </cell>
        </row>
        <row r="904">
          <cell r="A904" t="str">
            <v>56,19</v>
          </cell>
          <cell r="B904" t="str">
            <v>LS I.4 tg</v>
          </cell>
          <cell r="C904" t="str">
            <v>Muka a4</v>
          </cell>
          <cell r="D904">
            <v>10</v>
          </cell>
          <cell r="E904">
            <v>18</v>
          </cell>
          <cell r="F904">
            <v>0.3</v>
          </cell>
          <cell r="G904">
            <v>0.16351330600668237</v>
          </cell>
        </row>
        <row r="905">
          <cell r="A905" t="str">
            <v>56,20</v>
          </cell>
          <cell r="B905" t="str">
            <v>LS I.4 tg</v>
          </cell>
          <cell r="C905" t="str">
            <v>Muka b1</v>
          </cell>
          <cell r="D905">
            <v>15</v>
          </cell>
          <cell r="E905">
            <v>27</v>
          </cell>
          <cell r="F905">
            <v>0.3</v>
          </cell>
          <cell r="G905">
            <v>0.2029802970310392</v>
          </cell>
        </row>
        <row r="906">
          <cell r="A906" t="str">
            <v>56,21</v>
          </cell>
          <cell r="B906" t="str">
            <v>LS I.4 tg</v>
          </cell>
          <cell r="C906" t="str">
            <v>Tersier T7-K1</v>
          </cell>
          <cell r="D906">
            <v>19</v>
          </cell>
          <cell r="E906">
            <v>34.200000000000003</v>
          </cell>
          <cell r="F906">
            <v>0.3</v>
          </cell>
          <cell r="G906">
            <v>0.22961637840568802</v>
          </cell>
        </row>
        <row r="907">
          <cell r="A907" t="str">
            <v>56,22</v>
          </cell>
          <cell r="B907" t="str">
            <v>LS I.4 tg</v>
          </cell>
          <cell r="C907" t="str">
            <v>Tersier T6-T7</v>
          </cell>
          <cell r="D907">
            <v>36</v>
          </cell>
          <cell r="E907">
            <v>64.8</v>
          </cell>
          <cell r="F907">
            <v>0.35</v>
          </cell>
          <cell r="G907">
            <v>0.30113258100712437</v>
          </cell>
        </row>
        <row r="908">
          <cell r="A908" t="str">
            <v>56,23</v>
          </cell>
          <cell r="B908" t="str">
            <v>LS I.4 tg</v>
          </cell>
          <cell r="C908" t="str">
            <v>Tersier T5-T6</v>
          </cell>
          <cell r="D908">
            <v>42</v>
          </cell>
          <cell r="E908">
            <v>75.600000000000009</v>
          </cell>
          <cell r="F908">
            <v>0.35</v>
          </cell>
          <cell r="G908">
            <v>0.32556709491456592</v>
          </cell>
        </row>
        <row r="909">
          <cell r="A909" t="str">
            <v>56,24</v>
          </cell>
          <cell r="B909" t="str">
            <v>LS I.4 tg</v>
          </cell>
          <cell r="C909" t="str">
            <v>Tersier T4-T5</v>
          </cell>
          <cell r="D909">
            <v>47</v>
          </cell>
          <cell r="E909">
            <v>84.600000000000009</v>
          </cell>
          <cell r="F909">
            <v>0.35</v>
          </cell>
          <cell r="G909">
            <v>0.34445161423417409</v>
          </cell>
        </row>
        <row r="910">
          <cell r="A910" t="str">
            <v>56,25</v>
          </cell>
          <cell r="B910" t="str">
            <v>LS I.4 tg</v>
          </cell>
          <cell r="C910" t="str">
            <v>Tersier T3-T4</v>
          </cell>
          <cell r="D910">
            <v>57</v>
          </cell>
          <cell r="E910">
            <v>102.60000000000001</v>
          </cell>
          <cell r="F910">
            <v>0.4</v>
          </cell>
          <cell r="G910">
            <v>0.36268475904544556</v>
          </cell>
        </row>
        <row r="911">
          <cell r="A911" t="str">
            <v>56,26</v>
          </cell>
          <cell r="B911" t="str">
            <v>LS I.4 tg</v>
          </cell>
          <cell r="C911" t="str">
            <v>Tersier T3-K2</v>
          </cell>
          <cell r="D911">
            <v>22</v>
          </cell>
          <cell r="E911">
            <v>39.6</v>
          </cell>
          <cell r="F911">
            <v>0.3</v>
          </cell>
          <cell r="G911">
            <v>0.24760852933338706</v>
          </cell>
        </row>
        <row r="912">
          <cell r="A912" t="str">
            <v>56,27</v>
          </cell>
          <cell r="B912" t="str">
            <v>LS I.4 tg</v>
          </cell>
          <cell r="C912" t="str">
            <v>Tersier T2-T3</v>
          </cell>
          <cell r="D912">
            <v>89</v>
          </cell>
          <cell r="E912">
            <v>160.20000000000002</v>
          </cell>
          <cell r="F912">
            <v>0.45</v>
          </cell>
          <cell r="G912">
            <v>0.43590804404404937</v>
          </cell>
        </row>
        <row r="913">
          <cell r="A913" t="str">
            <v>56,28</v>
          </cell>
          <cell r="B913" t="str">
            <v>LS I.4 tg</v>
          </cell>
          <cell r="C913" t="str">
            <v>Tersier T1-T2</v>
          </cell>
          <cell r="D913">
            <v>111</v>
          </cell>
          <cell r="E913">
            <v>199.8</v>
          </cell>
          <cell r="F913">
            <v>0.5</v>
          </cell>
          <cell r="G913">
            <v>0.46996973716348572</v>
          </cell>
        </row>
        <row r="914">
          <cell r="A914" t="str">
            <v>56,29</v>
          </cell>
          <cell r="B914" t="str">
            <v>LS I.4 tg</v>
          </cell>
          <cell r="C914" t="str">
            <v>Muka LS I.4tg</v>
          </cell>
          <cell r="D914">
            <v>149</v>
          </cell>
          <cell r="E914">
            <v>268.2</v>
          </cell>
          <cell r="F914">
            <v>0.55000000000000004</v>
          </cell>
          <cell r="G914">
            <v>0.52751683133026517</v>
          </cell>
        </row>
        <row r="916">
          <cell r="A916">
            <v>57</v>
          </cell>
          <cell r="B916" t="str">
            <v>LS II.1 kr</v>
          </cell>
          <cell r="D916">
            <v>0</v>
          </cell>
        </row>
        <row r="917">
          <cell r="A917" t="str">
            <v>57,1</v>
          </cell>
          <cell r="B917" t="str">
            <v>LS II.1 kr</v>
          </cell>
          <cell r="C917" t="str">
            <v>Kwarter a1</v>
          </cell>
          <cell r="D917">
            <v>11</v>
          </cell>
          <cell r="E917">
            <v>19.8</v>
          </cell>
          <cell r="F917">
            <v>0.3</v>
          </cell>
          <cell r="G917">
            <v>0.24760852933338706</v>
          </cell>
        </row>
        <row r="918">
          <cell r="A918" t="str">
            <v>57,2</v>
          </cell>
          <cell r="B918" t="str">
            <v>LS II.1 kr</v>
          </cell>
          <cell r="C918" t="str">
            <v>Kwarter a2</v>
          </cell>
          <cell r="D918">
            <v>12</v>
          </cell>
          <cell r="E918">
            <v>21.6</v>
          </cell>
          <cell r="F918">
            <v>0.3</v>
          </cell>
          <cell r="G918">
            <v>0.25885060257641224</v>
          </cell>
        </row>
        <row r="919">
          <cell r="A919" t="str">
            <v>57,3</v>
          </cell>
          <cell r="B919" t="str">
            <v>LS II.1 kr</v>
          </cell>
          <cell r="C919" t="str">
            <v>Muka a2</v>
          </cell>
          <cell r="D919">
            <v>12</v>
          </cell>
          <cell r="E919">
            <v>21.6</v>
          </cell>
          <cell r="F919">
            <v>0.3</v>
          </cell>
          <cell r="G919">
            <v>0.18034054347579084</v>
          </cell>
        </row>
        <row r="920">
          <cell r="A920" t="str">
            <v>57,4</v>
          </cell>
          <cell r="B920" t="str">
            <v>LS II.1 kr</v>
          </cell>
          <cell r="C920" t="str">
            <v>Tersier BLSII.1-K1</v>
          </cell>
          <cell r="D920">
            <v>23</v>
          </cell>
          <cell r="E920">
            <v>41.4</v>
          </cell>
          <cell r="F920">
            <v>0.3</v>
          </cell>
          <cell r="G920">
            <v>0.25329817369006491</v>
          </cell>
        </row>
        <row r="922">
          <cell r="A922">
            <v>58</v>
          </cell>
          <cell r="B922" t="str">
            <v>LS II.1 tg</v>
          </cell>
          <cell r="D922">
            <v>0</v>
          </cell>
        </row>
        <row r="923">
          <cell r="A923" t="str">
            <v>58,1</v>
          </cell>
          <cell r="B923" t="str">
            <v>LS II.1 tg</v>
          </cell>
          <cell r="C923" t="str">
            <v>Kwarter a1</v>
          </cell>
          <cell r="D923">
            <v>10</v>
          </cell>
          <cell r="E923">
            <v>18</v>
          </cell>
          <cell r="F923">
            <v>0.3</v>
          </cell>
          <cell r="G923">
            <v>0.23577879795157511</v>
          </cell>
        </row>
        <row r="924">
          <cell r="A924" t="str">
            <v>58,2</v>
          </cell>
          <cell r="B924" t="str">
            <v>LS II.1 tg</v>
          </cell>
          <cell r="C924" t="str">
            <v>Kwarter a2</v>
          </cell>
          <cell r="D924">
            <v>16</v>
          </cell>
          <cell r="E924">
            <v>28.8</v>
          </cell>
          <cell r="F924">
            <v>0.3</v>
          </cell>
          <cell r="G924">
            <v>0.29919620491337184</v>
          </cell>
        </row>
        <row r="925">
          <cell r="A925" t="str">
            <v>58,3</v>
          </cell>
          <cell r="B925" t="str">
            <v>LS II.1 tg</v>
          </cell>
          <cell r="C925" t="str">
            <v>Kwarter a3</v>
          </cell>
          <cell r="D925">
            <v>8</v>
          </cell>
          <cell r="E925">
            <v>15</v>
          </cell>
          <cell r="F925">
            <v>0.3</v>
          </cell>
          <cell r="G925">
            <v>0.21450186870683924</v>
          </cell>
        </row>
        <row r="926">
          <cell r="A926" t="str">
            <v>58,4</v>
          </cell>
          <cell r="B926" t="str">
            <v>LS II.1 tg</v>
          </cell>
          <cell r="C926" t="str">
            <v>Kwarter a4</v>
          </cell>
          <cell r="D926">
            <v>9</v>
          </cell>
          <cell r="E926">
            <v>16.2</v>
          </cell>
          <cell r="F926">
            <v>0.3</v>
          </cell>
          <cell r="G926">
            <v>0.22327164076703876</v>
          </cell>
        </row>
        <row r="927">
          <cell r="A927" t="str">
            <v>58,5</v>
          </cell>
          <cell r="B927" t="str">
            <v>LS II.1 tg</v>
          </cell>
          <cell r="C927" t="str">
            <v>Kwarter b1</v>
          </cell>
          <cell r="D927">
            <v>11</v>
          </cell>
          <cell r="E927">
            <v>19.8</v>
          </cell>
          <cell r="F927">
            <v>0.3</v>
          </cell>
          <cell r="G927">
            <v>0.24760852933338706</v>
          </cell>
        </row>
        <row r="928">
          <cell r="A928" t="str">
            <v>58,6</v>
          </cell>
          <cell r="B928" t="str">
            <v>LS II.1 tg</v>
          </cell>
          <cell r="C928" t="str">
            <v>Kwarter b2</v>
          </cell>
          <cell r="D928">
            <v>10</v>
          </cell>
          <cell r="E928">
            <v>18</v>
          </cell>
          <cell r="F928">
            <v>0.3</v>
          </cell>
          <cell r="G928">
            <v>0.23577879795157511</v>
          </cell>
        </row>
        <row r="929">
          <cell r="A929" t="str">
            <v>58,7</v>
          </cell>
          <cell r="B929" t="str">
            <v>LS II.1 tg</v>
          </cell>
          <cell r="C929" t="str">
            <v>Kwarter b3</v>
          </cell>
          <cell r="D929">
            <v>10</v>
          </cell>
          <cell r="E929">
            <v>18</v>
          </cell>
          <cell r="F929">
            <v>0.3</v>
          </cell>
          <cell r="G929">
            <v>0.23577879795157511</v>
          </cell>
        </row>
        <row r="930">
          <cell r="A930" t="str">
            <v>58,8</v>
          </cell>
          <cell r="B930" t="str">
            <v>LS II.1 tg</v>
          </cell>
          <cell r="C930" t="str">
            <v>Kwarter c1</v>
          </cell>
          <cell r="D930">
            <v>11</v>
          </cell>
          <cell r="E930">
            <v>19.8</v>
          </cell>
          <cell r="F930">
            <v>0.3</v>
          </cell>
          <cell r="G930">
            <v>0.24760852933338706</v>
          </cell>
        </row>
        <row r="931">
          <cell r="A931" t="str">
            <v>58,9</v>
          </cell>
          <cell r="B931" t="str">
            <v>LS II.1 tg</v>
          </cell>
          <cell r="C931" t="str">
            <v>Kwarter c2</v>
          </cell>
          <cell r="D931">
            <v>12</v>
          </cell>
          <cell r="E931">
            <v>21.6</v>
          </cell>
          <cell r="F931">
            <v>0.3</v>
          </cell>
          <cell r="G931">
            <v>0.25885060257641224</v>
          </cell>
        </row>
        <row r="932">
          <cell r="A932" t="str">
            <v>58,10</v>
          </cell>
          <cell r="B932" t="str">
            <v>LS II.1 tg</v>
          </cell>
          <cell r="C932" t="str">
            <v>Muka b2</v>
          </cell>
          <cell r="D932">
            <v>10</v>
          </cell>
          <cell r="E932">
            <v>18</v>
          </cell>
          <cell r="F932">
            <v>0.35</v>
          </cell>
          <cell r="G932">
            <v>0.15240000000002174</v>
          </cell>
        </row>
        <row r="933">
          <cell r="A933" t="str">
            <v>58,11</v>
          </cell>
          <cell r="B933" t="str">
            <v>LS II.1 tg</v>
          </cell>
          <cell r="C933" t="str">
            <v>Tersier T3-K2</v>
          </cell>
          <cell r="D933">
            <v>23</v>
          </cell>
          <cell r="E933">
            <v>41.4</v>
          </cell>
          <cell r="F933">
            <v>0.3</v>
          </cell>
          <cell r="G933">
            <v>0.25329817369006491</v>
          </cell>
        </row>
        <row r="934">
          <cell r="A934" t="str">
            <v>58,12</v>
          </cell>
          <cell r="B934" t="str">
            <v>LS II.1 tg</v>
          </cell>
          <cell r="C934" t="str">
            <v>Tersier T2-T3</v>
          </cell>
          <cell r="D934">
            <v>33</v>
          </cell>
          <cell r="E934">
            <v>59.4</v>
          </cell>
          <cell r="F934">
            <v>0.35</v>
          </cell>
          <cell r="G934">
            <v>0.28804905429902994</v>
          </cell>
        </row>
        <row r="935">
          <cell r="A935" t="str">
            <v>58,13</v>
          </cell>
          <cell r="B935" t="str">
            <v>LS II.1 tg</v>
          </cell>
          <cell r="C935" t="str">
            <v>Tersier T1-T2</v>
          </cell>
          <cell r="D935">
            <v>54</v>
          </cell>
          <cell r="E935">
            <v>97.2</v>
          </cell>
          <cell r="F935">
            <v>0.4</v>
          </cell>
          <cell r="G935">
            <v>0.35289431885693773</v>
          </cell>
        </row>
        <row r="936">
          <cell r="A936" t="str">
            <v>58,14</v>
          </cell>
          <cell r="B936" t="str">
            <v>LS II.1 tg</v>
          </cell>
          <cell r="C936" t="str">
            <v>Tersier T1-K1</v>
          </cell>
          <cell r="D936">
            <v>17</v>
          </cell>
          <cell r="E936">
            <v>30.6</v>
          </cell>
          <cell r="F936">
            <v>0.3</v>
          </cell>
          <cell r="G936">
            <v>0.21672942090731576</v>
          </cell>
        </row>
        <row r="937">
          <cell r="A937" t="str">
            <v>58,15</v>
          </cell>
          <cell r="B937" t="str">
            <v>LS II.1 tg</v>
          </cell>
          <cell r="C937" t="str">
            <v>Muka LS II.1tg</v>
          </cell>
          <cell r="D937">
            <v>97</v>
          </cell>
          <cell r="E937">
            <v>174.6</v>
          </cell>
          <cell r="F937">
            <v>0.5</v>
          </cell>
          <cell r="G937">
            <v>0.43903668016386721</v>
          </cell>
        </row>
        <row r="939">
          <cell r="A939">
            <v>59</v>
          </cell>
          <cell r="B939" t="str">
            <v>LS II.1 kn</v>
          </cell>
          <cell r="D939">
            <v>0</v>
          </cell>
        </row>
        <row r="940">
          <cell r="A940" t="str">
            <v>59,1</v>
          </cell>
          <cell r="B940" t="str">
            <v>LS II.1 kn</v>
          </cell>
          <cell r="C940" t="str">
            <v>Kwarter a1</v>
          </cell>
          <cell r="D940">
            <v>11</v>
          </cell>
          <cell r="E940">
            <v>19.8</v>
          </cell>
          <cell r="F940">
            <v>0.3</v>
          </cell>
          <cell r="G940">
            <v>0.24760852933338706</v>
          </cell>
        </row>
        <row r="941">
          <cell r="A941" t="str">
            <v>59,2</v>
          </cell>
          <cell r="B941" t="str">
            <v>LS II.1 kn</v>
          </cell>
          <cell r="C941" t="str">
            <v>Kwarter a2</v>
          </cell>
          <cell r="D941">
            <v>9</v>
          </cell>
          <cell r="E941">
            <v>16.2</v>
          </cell>
          <cell r="F941">
            <v>0.3</v>
          </cell>
          <cell r="G941">
            <v>0.22327164076703876</v>
          </cell>
        </row>
        <row r="942">
          <cell r="A942" t="str">
            <v>59,3</v>
          </cell>
          <cell r="B942" t="str">
            <v>LS II.1 kn</v>
          </cell>
          <cell r="C942" t="str">
            <v>Kwarter b1</v>
          </cell>
          <cell r="D942">
            <v>10</v>
          </cell>
          <cell r="E942">
            <v>18</v>
          </cell>
          <cell r="F942">
            <v>0.3</v>
          </cell>
          <cell r="G942">
            <v>0.23577879795157511</v>
          </cell>
        </row>
        <row r="943">
          <cell r="A943" t="str">
            <v>59,4</v>
          </cell>
          <cell r="B943" t="str">
            <v>LS II.1 kn</v>
          </cell>
          <cell r="C943" t="str">
            <v>Kwarter b2</v>
          </cell>
          <cell r="D943">
            <v>8</v>
          </cell>
          <cell r="E943">
            <v>15</v>
          </cell>
          <cell r="F943">
            <v>0.3</v>
          </cell>
          <cell r="G943">
            <v>0.21450186870683924</v>
          </cell>
        </row>
        <row r="944">
          <cell r="A944" t="str">
            <v>59,5</v>
          </cell>
          <cell r="B944" t="str">
            <v>LS II.1 kn</v>
          </cell>
          <cell r="C944" t="str">
            <v>Muka b2</v>
          </cell>
          <cell r="D944">
            <v>8</v>
          </cell>
          <cell r="E944">
            <v>15</v>
          </cell>
          <cell r="F944">
            <v>0.3</v>
          </cell>
          <cell r="G944">
            <v>0.14808412770373933</v>
          </cell>
        </row>
        <row r="945">
          <cell r="A945" t="str">
            <v>59,6</v>
          </cell>
          <cell r="B945" t="str">
            <v>LS II.1 kn</v>
          </cell>
          <cell r="C945" t="str">
            <v>Tersier T1-K1</v>
          </cell>
          <cell r="D945">
            <v>27</v>
          </cell>
          <cell r="E945">
            <v>48.6</v>
          </cell>
          <cell r="F945">
            <v>0.3</v>
          </cell>
          <cell r="G945">
            <v>0.27476507048510146</v>
          </cell>
        </row>
        <row r="946">
          <cell r="A946" t="str">
            <v>59,7</v>
          </cell>
          <cell r="B946" t="str">
            <v>LS II.1 kn</v>
          </cell>
          <cell r="C946" t="str">
            <v>Tersier BLSII.1-T1</v>
          </cell>
          <cell r="D946">
            <v>38</v>
          </cell>
          <cell r="E946">
            <v>68.400000000000006</v>
          </cell>
          <cell r="F946">
            <v>0.35</v>
          </cell>
          <cell r="G946">
            <v>0.30951703165612038</v>
          </cell>
        </row>
        <row r="948">
          <cell r="A948">
            <v>60</v>
          </cell>
          <cell r="B948" t="str">
            <v>MJ 1 kn1</v>
          </cell>
          <cell r="D948">
            <v>0</v>
          </cell>
        </row>
        <row r="949">
          <cell r="A949" t="str">
            <v>60,1</v>
          </cell>
          <cell r="B949" t="str">
            <v>MJ 1 kn1</v>
          </cell>
          <cell r="C949" t="str">
            <v>Kwarter a1</v>
          </cell>
          <cell r="D949">
            <v>6</v>
          </cell>
          <cell r="E949">
            <v>15</v>
          </cell>
          <cell r="F949">
            <v>0.3</v>
          </cell>
          <cell r="G949">
            <v>0.21450186870683924</v>
          </cell>
        </row>
        <row r="950">
          <cell r="A950" t="str">
            <v>60,2</v>
          </cell>
          <cell r="B950" t="str">
            <v>MJ 1 kn1</v>
          </cell>
          <cell r="C950" t="str">
            <v>Kwarter a2</v>
          </cell>
          <cell r="D950">
            <v>11</v>
          </cell>
          <cell r="E950">
            <v>19.8</v>
          </cell>
          <cell r="F950">
            <v>0.3</v>
          </cell>
          <cell r="G950">
            <v>0.24760852933338706</v>
          </cell>
        </row>
        <row r="951">
          <cell r="A951" t="str">
            <v>60,3</v>
          </cell>
          <cell r="B951" t="str">
            <v>MJ 1 kn1</v>
          </cell>
          <cell r="C951" t="str">
            <v>Kwarter a3</v>
          </cell>
          <cell r="D951">
            <v>12</v>
          </cell>
          <cell r="E951">
            <v>21.6</v>
          </cell>
          <cell r="F951">
            <v>0.3</v>
          </cell>
          <cell r="G951">
            <v>0.25885060257641224</v>
          </cell>
        </row>
        <row r="952">
          <cell r="A952" t="str">
            <v>60,4</v>
          </cell>
          <cell r="B952" t="str">
            <v>MJ 1 kn1</v>
          </cell>
          <cell r="C952" t="str">
            <v>Kwarter a4</v>
          </cell>
          <cell r="D952">
            <v>10</v>
          </cell>
          <cell r="E952">
            <v>18</v>
          </cell>
          <cell r="F952">
            <v>0.3</v>
          </cell>
          <cell r="G952">
            <v>0.23577879795157511</v>
          </cell>
        </row>
        <row r="953">
          <cell r="A953" t="str">
            <v>60,5</v>
          </cell>
          <cell r="B953" t="str">
            <v>MJ 1 kn1</v>
          </cell>
          <cell r="C953" t="str">
            <v>Kwarter b1</v>
          </cell>
          <cell r="D953">
            <v>11</v>
          </cell>
          <cell r="E953">
            <v>19.8</v>
          </cell>
          <cell r="F953">
            <v>0.3</v>
          </cell>
          <cell r="G953">
            <v>0.24760852933338706</v>
          </cell>
        </row>
        <row r="954">
          <cell r="A954" t="str">
            <v>60,6</v>
          </cell>
          <cell r="B954" t="str">
            <v>MJ 1 kn1</v>
          </cell>
          <cell r="C954" t="str">
            <v>Kwarter b2</v>
          </cell>
          <cell r="D954">
            <v>14</v>
          </cell>
          <cell r="E954">
            <v>25.2</v>
          </cell>
          <cell r="F954">
            <v>0.3</v>
          </cell>
          <cell r="G954">
            <v>0.27984551330394364</v>
          </cell>
        </row>
        <row r="955">
          <cell r="A955" t="str">
            <v>60,7</v>
          </cell>
          <cell r="B955" t="str">
            <v>MJ 1 kn1</v>
          </cell>
          <cell r="C955" t="str">
            <v>Kwarter b3</v>
          </cell>
          <cell r="D955">
            <v>10</v>
          </cell>
          <cell r="E955">
            <v>18</v>
          </cell>
          <cell r="F955">
            <v>0.3</v>
          </cell>
          <cell r="G955">
            <v>0.23577879795157511</v>
          </cell>
        </row>
        <row r="956">
          <cell r="A956" t="str">
            <v>60,8</v>
          </cell>
          <cell r="B956" t="str">
            <v>MJ 1 kn1</v>
          </cell>
          <cell r="C956" t="str">
            <v>Kwarter b4</v>
          </cell>
          <cell r="D956">
            <v>11</v>
          </cell>
          <cell r="E956">
            <v>19.8</v>
          </cell>
          <cell r="F956">
            <v>0.3</v>
          </cell>
          <cell r="G956">
            <v>0.24760852933338706</v>
          </cell>
        </row>
        <row r="957">
          <cell r="A957" t="str">
            <v>60,9</v>
          </cell>
          <cell r="B957" t="str">
            <v>MJ 1 kn1</v>
          </cell>
          <cell r="C957" t="str">
            <v>Kwarter c1</v>
          </cell>
          <cell r="D957">
            <v>10</v>
          </cell>
          <cell r="E957">
            <v>18</v>
          </cell>
          <cell r="F957">
            <v>0.3</v>
          </cell>
          <cell r="G957">
            <v>0.23577879795157511</v>
          </cell>
        </row>
        <row r="958">
          <cell r="A958" t="str">
            <v>60,10</v>
          </cell>
          <cell r="B958" t="str">
            <v>MJ 1 kn1</v>
          </cell>
          <cell r="C958" t="str">
            <v>Kwarter c2</v>
          </cell>
          <cell r="D958">
            <v>10</v>
          </cell>
          <cell r="E958">
            <v>18</v>
          </cell>
          <cell r="F958">
            <v>0.3</v>
          </cell>
          <cell r="G958">
            <v>0.23577879795157511</v>
          </cell>
        </row>
        <row r="959">
          <cell r="A959" t="str">
            <v>60,11</v>
          </cell>
          <cell r="B959" t="str">
            <v>MJ 1 kn1</v>
          </cell>
          <cell r="C959" t="str">
            <v>Kwarter c3</v>
          </cell>
          <cell r="D959">
            <v>10</v>
          </cell>
          <cell r="E959">
            <v>18</v>
          </cell>
          <cell r="F959">
            <v>0.3</v>
          </cell>
          <cell r="G959">
            <v>0.23577879795157511</v>
          </cell>
        </row>
        <row r="960">
          <cell r="A960" t="str">
            <v>60,12</v>
          </cell>
          <cell r="B960" t="str">
            <v>MJ 1 kn1</v>
          </cell>
          <cell r="C960" t="str">
            <v>Muka c3</v>
          </cell>
          <cell r="D960">
            <v>10</v>
          </cell>
          <cell r="E960">
            <v>18</v>
          </cell>
          <cell r="F960">
            <v>0.3</v>
          </cell>
          <cell r="G960">
            <v>9.9462564480255866E-2</v>
          </cell>
        </row>
        <row r="961">
          <cell r="A961" t="str">
            <v>60,13</v>
          </cell>
          <cell r="B961" t="str">
            <v>MJ 1 kn1</v>
          </cell>
          <cell r="C961" t="str">
            <v>Tersier T4-K3</v>
          </cell>
          <cell r="D961">
            <v>30</v>
          </cell>
          <cell r="E961">
            <v>54</v>
          </cell>
          <cell r="F961">
            <v>0.35</v>
          </cell>
          <cell r="G961">
            <v>0.25524753374699427</v>
          </cell>
        </row>
        <row r="962">
          <cell r="A962" t="str">
            <v>60,14</v>
          </cell>
          <cell r="B962" t="str">
            <v>MJ 1 kn1</v>
          </cell>
          <cell r="C962" t="str">
            <v>Tersier T3-T4</v>
          </cell>
          <cell r="D962">
            <v>41</v>
          </cell>
          <cell r="E962">
            <v>73.8</v>
          </cell>
          <cell r="F962">
            <v>0.35</v>
          </cell>
          <cell r="G962">
            <v>0.26168953653778065</v>
          </cell>
        </row>
        <row r="963">
          <cell r="A963" t="str">
            <v>60,15</v>
          </cell>
          <cell r="B963" t="str">
            <v>MJ 1 kn1</v>
          </cell>
          <cell r="C963" t="str">
            <v>Tersier T2-T3</v>
          </cell>
          <cell r="D963">
            <v>51</v>
          </cell>
          <cell r="E963">
            <v>91.8</v>
          </cell>
          <cell r="F963">
            <v>0.35</v>
          </cell>
          <cell r="G963">
            <v>0.34370000000000067</v>
          </cell>
        </row>
        <row r="964">
          <cell r="A964" t="str">
            <v>60,16</v>
          </cell>
          <cell r="B964" t="str">
            <v>MJ 1 kn1</v>
          </cell>
          <cell r="C964" t="str">
            <v>Tersier T2-K2</v>
          </cell>
          <cell r="D964">
            <v>22</v>
          </cell>
          <cell r="E964">
            <v>39.6</v>
          </cell>
          <cell r="F964">
            <v>0.3</v>
          </cell>
          <cell r="G964">
            <v>0.24999999999999994</v>
          </cell>
        </row>
        <row r="965">
          <cell r="A965" t="str">
            <v>60,17</v>
          </cell>
          <cell r="B965" t="str">
            <v>MJ 1 kn1</v>
          </cell>
          <cell r="C965" t="str">
            <v>Tersier T1-T2</v>
          </cell>
          <cell r="D965">
            <v>98</v>
          </cell>
          <cell r="E965">
            <v>176.4</v>
          </cell>
          <cell r="F965">
            <v>0.5</v>
          </cell>
          <cell r="G965">
            <v>0.44132686484055722</v>
          </cell>
        </row>
        <row r="966">
          <cell r="A966" t="str">
            <v>60,18</v>
          </cell>
          <cell r="B966" t="str">
            <v>MJ 1 kn1</v>
          </cell>
          <cell r="C966" t="str">
            <v>Tersier T1-K1</v>
          </cell>
          <cell r="D966">
            <v>17</v>
          </cell>
          <cell r="E966">
            <v>30.6</v>
          </cell>
          <cell r="F966">
            <v>0.3</v>
          </cell>
          <cell r="G966">
            <v>0.21672942090731576</v>
          </cell>
        </row>
        <row r="967">
          <cell r="A967" t="str">
            <v>60,19</v>
          </cell>
          <cell r="B967" t="str">
            <v>MJ 1 kn1</v>
          </cell>
          <cell r="C967" t="str">
            <v>Muka MJ 1kn1</v>
          </cell>
          <cell r="D967">
            <v>115</v>
          </cell>
          <cell r="E967">
            <v>207</v>
          </cell>
          <cell r="F967">
            <v>0.5</v>
          </cell>
          <cell r="G967">
            <v>0.47839552747110597</v>
          </cell>
        </row>
        <row r="969">
          <cell r="A969">
            <v>61</v>
          </cell>
          <cell r="B969" t="str">
            <v>MJ 1 kn2</v>
          </cell>
          <cell r="D969">
            <v>0</v>
          </cell>
        </row>
        <row r="970">
          <cell r="A970" t="str">
            <v>61,1</v>
          </cell>
          <cell r="B970" t="str">
            <v>MJ 1 kn2</v>
          </cell>
          <cell r="C970" t="str">
            <v>Kwarter a1</v>
          </cell>
          <cell r="D970">
            <v>9</v>
          </cell>
          <cell r="E970">
            <v>16.2</v>
          </cell>
          <cell r="F970">
            <v>0.3</v>
          </cell>
          <cell r="G970">
            <v>0.22327164076703876</v>
          </cell>
        </row>
        <row r="971">
          <cell r="A971" t="str">
            <v>61,2</v>
          </cell>
          <cell r="B971" t="str">
            <v>MJ 1 kn2</v>
          </cell>
          <cell r="C971" t="str">
            <v>Kwarter a2</v>
          </cell>
          <cell r="D971">
            <v>9</v>
          </cell>
          <cell r="E971">
            <v>16.2</v>
          </cell>
          <cell r="F971">
            <v>0.3</v>
          </cell>
          <cell r="G971">
            <v>0.22327164076703876</v>
          </cell>
        </row>
        <row r="972">
          <cell r="A972" t="str">
            <v>61,3</v>
          </cell>
          <cell r="B972" t="str">
            <v>MJ 1 kn2</v>
          </cell>
          <cell r="C972" t="str">
            <v>Kwarter a3</v>
          </cell>
          <cell r="D972">
            <v>10</v>
          </cell>
          <cell r="E972">
            <v>18</v>
          </cell>
          <cell r="F972">
            <v>0.3</v>
          </cell>
          <cell r="G972">
            <v>0.23577879795157511</v>
          </cell>
        </row>
        <row r="973">
          <cell r="A973" t="str">
            <v>61,4</v>
          </cell>
          <cell r="B973" t="str">
            <v>MJ 1 kn2</v>
          </cell>
          <cell r="C973" t="str">
            <v>Kwarter b1</v>
          </cell>
          <cell r="D973">
            <v>14</v>
          </cell>
          <cell r="E973">
            <v>25.2</v>
          </cell>
          <cell r="F973">
            <v>0.3</v>
          </cell>
          <cell r="G973">
            <v>0.27984551330394364</v>
          </cell>
        </row>
        <row r="974">
          <cell r="A974" t="str">
            <v>61,5</v>
          </cell>
          <cell r="B974" t="str">
            <v>MJ 1 kn2</v>
          </cell>
          <cell r="C974" t="str">
            <v>Kwarter b2</v>
          </cell>
          <cell r="D974">
            <v>13</v>
          </cell>
          <cell r="E974">
            <v>23.400000000000002</v>
          </cell>
          <cell r="F974">
            <v>0.3</v>
          </cell>
          <cell r="G974">
            <v>0.26957675461177327</v>
          </cell>
        </row>
        <row r="975">
          <cell r="A975" t="str">
            <v>61,6</v>
          </cell>
          <cell r="B975" t="str">
            <v>MJ 1 kn2</v>
          </cell>
          <cell r="C975" t="str">
            <v>Muka a1</v>
          </cell>
          <cell r="D975">
            <v>9</v>
          </cell>
          <cell r="E975">
            <v>16.2</v>
          </cell>
          <cell r="F975">
            <v>0.35</v>
          </cell>
          <cell r="G975">
            <v>0.1499999999999998</v>
          </cell>
        </row>
        <row r="976">
          <cell r="A976" t="str">
            <v>61,7</v>
          </cell>
          <cell r="B976" t="str">
            <v>MJ 1 kn2</v>
          </cell>
          <cell r="C976" t="str">
            <v>Muka a3</v>
          </cell>
          <cell r="D976">
            <v>13</v>
          </cell>
          <cell r="E976">
            <v>23.400000000000002</v>
          </cell>
          <cell r="F976">
            <v>0.35</v>
          </cell>
          <cell r="G976">
            <v>0.17999999999999983</v>
          </cell>
        </row>
        <row r="977">
          <cell r="A977" t="str">
            <v>61,8</v>
          </cell>
          <cell r="B977" t="str">
            <v>MJ 1 kn2</v>
          </cell>
          <cell r="C977" t="str">
            <v>Muka b2</v>
          </cell>
          <cell r="D977">
            <v>13</v>
          </cell>
          <cell r="E977">
            <v>23.400000000000002</v>
          </cell>
          <cell r="F977">
            <v>0.3</v>
          </cell>
          <cell r="G977">
            <v>0.18819437534024519</v>
          </cell>
        </row>
        <row r="978">
          <cell r="A978" t="str">
            <v>61,9</v>
          </cell>
          <cell r="B978" t="str">
            <v>MJ 1 kn2</v>
          </cell>
          <cell r="C978" t="str">
            <v>Tersier T2-K1</v>
          </cell>
          <cell r="D978">
            <v>27</v>
          </cell>
          <cell r="E978">
            <v>48.6</v>
          </cell>
          <cell r="F978">
            <v>0.35</v>
          </cell>
          <cell r="G978">
            <v>0.2599999999999999</v>
          </cell>
        </row>
        <row r="979">
          <cell r="A979" t="str">
            <v>61,10</v>
          </cell>
          <cell r="B979" t="str">
            <v>MJ 1 kn2</v>
          </cell>
          <cell r="C979" t="str">
            <v>Tersier T1-T2</v>
          </cell>
          <cell r="D979">
            <v>37</v>
          </cell>
          <cell r="E979">
            <v>66.600000000000009</v>
          </cell>
          <cell r="F979">
            <v>0.35</v>
          </cell>
          <cell r="G979">
            <v>0.30999999999999994</v>
          </cell>
        </row>
        <row r="980">
          <cell r="A980" t="str">
            <v>61,11</v>
          </cell>
          <cell r="B980" t="str">
            <v>MJ 1 kn2</v>
          </cell>
          <cell r="C980" t="str">
            <v>Tersier BMJ1-T1</v>
          </cell>
          <cell r="D980">
            <v>55</v>
          </cell>
          <cell r="E980">
            <v>99</v>
          </cell>
          <cell r="F980">
            <v>0.4</v>
          </cell>
          <cell r="G980">
            <v>0.35619121038699958</v>
          </cell>
        </row>
        <row r="982">
          <cell r="A982">
            <v>62</v>
          </cell>
          <cell r="B982" t="str">
            <v>MJ 2 kn</v>
          </cell>
          <cell r="D982">
            <v>0</v>
          </cell>
        </row>
        <row r="983">
          <cell r="A983" t="str">
            <v>62,1</v>
          </cell>
          <cell r="B983" t="str">
            <v>MJ 2 kn</v>
          </cell>
          <cell r="C983" t="str">
            <v>Kwarter a1</v>
          </cell>
          <cell r="D983">
            <v>5</v>
          </cell>
          <cell r="E983">
            <v>15</v>
          </cell>
          <cell r="F983">
            <v>0.3</v>
          </cell>
          <cell r="G983">
            <v>0.21450186870683924</v>
          </cell>
        </row>
        <row r="984">
          <cell r="A984" t="str">
            <v>62,2</v>
          </cell>
          <cell r="B984" t="str">
            <v>MJ 2 kn</v>
          </cell>
          <cell r="C984" t="str">
            <v>Kwarter a2</v>
          </cell>
          <cell r="D984">
            <v>13</v>
          </cell>
          <cell r="E984">
            <v>23.400000000000002</v>
          </cell>
          <cell r="F984">
            <v>0.3</v>
          </cell>
          <cell r="G984">
            <v>0.26957675461177327</v>
          </cell>
        </row>
        <row r="985">
          <cell r="A985" t="str">
            <v>62,3</v>
          </cell>
          <cell r="B985" t="str">
            <v>MJ 2 kn</v>
          </cell>
          <cell r="C985" t="str">
            <v>Kwarter a3</v>
          </cell>
          <cell r="D985">
            <v>13</v>
          </cell>
          <cell r="E985">
            <v>23.400000000000002</v>
          </cell>
          <cell r="F985">
            <v>0.3</v>
          </cell>
          <cell r="G985">
            <v>0.26957675461177327</v>
          </cell>
        </row>
        <row r="986">
          <cell r="A986" t="str">
            <v>62,4</v>
          </cell>
          <cell r="B986" t="str">
            <v>MJ 2 kn</v>
          </cell>
          <cell r="C986" t="str">
            <v>Kwarter a4</v>
          </cell>
          <cell r="D986">
            <v>10</v>
          </cell>
          <cell r="E986">
            <v>18</v>
          </cell>
          <cell r="F986">
            <v>0.3</v>
          </cell>
          <cell r="G986">
            <v>0.23577879795157511</v>
          </cell>
        </row>
        <row r="987">
          <cell r="A987" t="str">
            <v>62,5</v>
          </cell>
          <cell r="B987" t="str">
            <v>MJ 2 kn</v>
          </cell>
          <cell r="C987" t="str">
            <v>Kwarter b1</v>
          </cell>
          <cell r="D987">
            <v>11</v>
          </cell>
          <cell r="E987">
            <v>19.8</v>
          </cell>
          <cell r="F987">
            <v>0.3</v>
          </cell>
          <cell r="G987">
            <v>0.24760852933338706</v>
          </cell>
        </row>
        <row r="988">
          <cell r="A988" t="str">
            <v>62,6</v>
          </cell>
          <cell r="B988" t="str">
            <v>MJ 2 kn</v>
          </cell>
          <cell r="C988" t="str">
            <v>Kwarter b2</v>
          </cell>
          <cell r="D988">
            <v>10</v>
          </cell>
          <cell r="E988">
            <v>18</v>
          </cell>
          <cell r="F988">
            <v>0.3</v>
          </cell>
          <cell r="G988">
            <v>0.23577879795157511</v>
          </cell>
        </row>
        <row r="989">
          <cell r="A989" t="str">
            <v>62,7</v>
          </cell>
          <cell r="B989" t="str">
            <v>MJ 2 kn</v>
          </cell>
          <cell r="C989" t="str">
            <v>Kwarter b3</v>
          </cell>
          <cell r="D989">
            <v>9</v>
          </cell>
          <cell r="E989">
            <v>16.2</v>
          </cell>
          <cell r="F989">
            <v>0.3</v>
          </cell>
          <cell r="G989">
            <v>0.22327164076703876</v>
          </cell>
        </row>
        <row r="990">
          <cell r="A990" t="str">
            <v>62,8</v>
          </cell>
          <cell r="B990" t="str">
            <v>MJ 2 kn</v>
          </cell>
          <cell r="C990" t="str">
            <v>Kwarter b4</v>
          </cell>
          <cell r="D990">
            <v>7</v>
          </cell>
          <cell r="E990">
            <v>15</v>
          </cell>
          <cell r="F990">
            <v>0.3</v>
          </cell>
          <cell r="G990">
            <v>0.21450186870683924</v>
          </cell>
        </row>
        <row r="991">
          <cell r="A991" t="str">
            <v>62,9</v>
          </cell>
          <cell r="B991" t="str">
            <v>MJ 2 kn</v>
          </cell>
          <cell r="C991" t="str">
            <v>Kwarter c1</v>
          </cell>
          <cell r="D991">
            <v>13</v>
          </cell>
          <cell r="E991">
            <v>23.400000000000002</v>
          </cell>
          <cell r="F991">
            <v>0.3</v>
          </cell>
          <cell r="G991">
            <v>0.26957675461177327</v>
          </cell>
        </row>
        <row r="992">
          <cell r="A992" t="str">
            <v>62,10</v>
          </cell>
          <cell r="B992" t="str">
            <v>MJ 2 kn</v>
          </cell>
          <cell r="C992" t="str">
            <v>Kwarter c2</v>
          </cell>
          <cell r="D992">
            <v>10</v>
          </cell>
          <cell r="E992">
            <v>18</v>
          </cell>
          <cell r="F992">
            <v>0.3</v>
          </cell>
          <cell r="G992">
            <v>0.23577879795157511</v>
          </cell>
        </row>
        <row r="993">
          <cell r="A993" t="str">
            <v>62,11</v>
          </cell>
          <cell r="B993" t="str">
            <v>MJ 2 kn</v>
          </cell>
          <cell r="C993" t="str">
            <v>Kwarter c3</v>
          </cell>
          <cell r="D993">
            <v>11</v>
          </cell>
          <cell r="E993">
            <v>19.8</v>
          </cell>
          <cell r="F993">
            <v>0.3</v>
          </cell>
          <cell r="G993">
            <v>0.24760852933338706</v>
          </cell>
        </row>
        <row r="994">
          <cell r="A994" t="str">
            <v>62,12</v>
          </cell>
          <cell r="B994" t="str">
            <v>MJ 2 kn</v>
          </cell>
          <cell r="C994" t="str">
            <v>Kwarter Cab. a2</v>
          </cell>
          <cell r="E994">
            <v>15</v>
          </cell>
          <cell r="F994">
            <v>0.3</v>
          </cell>
          <cell r="G994">
            <v>0.21450186870683924</v>
          </cell>
        </row>
        <row r="995">
          <cell r="A995" t="str">
            <v>62,13</v>
          </cell>
          <cell r="B995" t="str">
            <v>MJ 2 kn</v>
          </cell>
          <cell r="C995" t="str">
            <v>Muka a1</v>
          </cell>
          <cell r="D995">
            <v>10</v>
          </cell>
          <cell r="E995">
            <v>18</v>
          </cell>
          <cell r="F995">
            <v>0.35</v>
          </cell>
          <cell r="G995">
            <v>0.15999999999999981</v>
          </cell>
        </row>
        <row r="996">
          <cell r="A996" t="str">
            <v>62,14</v>
          </cell>
          <cell r="B996" t="str">
            <v>MJ 2 kn</v>
          </cell>
          <cell r="C996" t="str">
            <v>Muka c3</v>
          </cell>
          <cell r="D996">
            <v>11</v>
          </cell>
          <cell r="E996">
            <v>19.8</v>
          </cell>
          <cell r="F996">
            <v>0.3</v>
          </cell>
          <cell r="G996">
            <v>9.8752628741832257E-2</v>
          </cell>
        </row>
        <row r="997">
          <cell r="A997" t="str">
            <v>62,15</v>
          </cell>
          <cell r="B997" t="str">
            <v>MJ 2 kn</v>
          </cell>
          <cell r="C997" t="str">
            <v>Tersier T4-K1</v>
          </cell>
          <cell r="D997">
            <v>34</v>
          </cell>
          <cell r="E997">
            <v>61.2</v>
          </cell>
          <cell r="F997">
            <v>0.35</v>
          </cell>
          <cell r="G997">
            <v>0.29248170009744751</v>
          </cell>
        </row>
        <row r="998">
          <cell r="A998" t="str">
            <v>62,16</v>
          </cell>
          <cell r="B998" t="str">
            <v>MJ 2 kn</v>
          </cell>
          <cell r="C998" t="str">
            <v>Tersier T3-T4</v>
          </cell>
          <cell r="D998">
            <v>41</v>
          </cell>
          <cell r="E998">
            <v>73.8</v>
          </cell>
          <cell r="F998">
            <v>0.4</v>
          </cell>
          <cell r="G998">
            <v>0.26682890632915046</v>
          </cell>
        </row>
        <row r="999">
          <cell r="A999" t="str">
            <v>62,17</v>
          </cell>
          <cell r="B999" t="str">
            <v>MJ 2 kn</v>
          </cell>
          <cell r="C999" t="str">
            <v>Tersier T2-T3</v>
          </cell>
          <cell r="D999">
            <v>52</v>
          </cell>
          <cell r="E999">
            <v>93.600000000000009</v>
          </cell>
          <cell r="F999">
            <v>0.55000000000000004</v>
          </cell>
          <cell r="G999">
            <v>0.20178180143434046</v>
          </cell>
        </row>
        <row r="1000">
          <cell r="A1000" t="str">
            <v>62,18</v>
          </cell>
          <cell r="B1000" t="str">
            <v>MJ 2 kn</v>
          </cell>
          <cell r="C1000" t="str">
            <v>Tersier T2-K2</v>
          </cell>
          <cell r="D1000">
            <v>19</v>
          </cell>
          <cell r="E1000">
            <v>34.200000000000003</v>
          </cell>
          <cell r="F1000">
            <v>0.3</v>
          </cell>
          <cell r="G1000">
            <v>0.23</v>
          </cell>
        </row>
        <row r="1001">
          <cell r="A1001" t="str">
            <v>62,19</v>
          </cell>
          <cell r="B1001" t="str">
            <v>MJ 2 kn</v>
          </cell>
          <cell r="C1001" t="str">
            <v>Tersier T1-T2</v>
          </cell>
          <cell r="D1001">
            <v>94</v>
          </cell>
          <cell r="E1001">
            <v>169.20000000000002</v>
          </cell>
          <cell r="F1001">
            <v>0.5</v>
          </cell>
          <cell r="G1001">
            <v>0.40407028759575364</v>
          </cell>
        </row>
        <row r="1002">
          <cell r="A1002" t="str">
            <v>62,20</v>
          </cell>
          <cell r="B1002" t="str">
            <v>MJ 2 kn</v>
          </cell>
          <cell r="C1002" t="str">
            <v>Tersier BMJ2-T1</v>
          </cell>
          <cell r="D1002">
            <v>112</v>
          </cell>
          <cell r="E1002">
            <v>201.6</v>
          </cell>
          <cell r="F1002">
            <v>0.5</v>
          </cell>
          <cell r="G1002">
            <v>0.47209218767190775</v>
          </cell>
        </row>
        <row r="1004">
          <cell r="A1004">
            <v>63</v>
          </cell>
          <cell r="B1004" t="str">
            <v>MJ 3 kn1</v>
          </cell>
          <cell r="D1004">
            <v>0</v>
          </cell>
        </row>
        <row r="1005">
          <cell r="A1005" t="str">
            <v>63,1</v>
          </cell>
          <cell r="B1005" t="str">
            <v>MJ 3 kn1</v>
          </cell>
          <cell r="C1005" t="str">
            <v>Kwarter a1</v>
          </cell>
          <cell r="D1005">
            <v>4</v>
          </cell>
          <cell r="E1005">
            <v>15</v>
          </cell>
          <cell r="F1005">
            <v>0.3</v>
          </cell>
          <cell r="G1005">
            <v>0.21450186870683924</v>
          </cell>
        </row>
        <row r="1006">
          <cell r="A1006" t="str">
            <v>63,2</v>
          </cell>
          <cell r="B1006" t="str">
            <v>MJ 3 kn1</v>
          </cell>
          <cell r="C1006" t="str">
            <v>Kwarter a2</v>
          </cell>
          <cell r="D1006">
            <v>9</v>
          </cell>
          <cell r="E1006">
            <v>16.2</v>
          </cell>
          <cell r="F1006">
            <v>0.3</v>
          </cell>
          <cell r="G1006">
            <v>0.22327164076703876</v>
          </cell>
        </row>
        <row r="1007">
          <cell r="A1007" t="str">
            <v>63,3</v>
          </cell>
          <cell r="B1007" t="str">
            <v>MJ 3 kn1</v>
          </cell>
          <cell r="C1007" t="str">
            <v>Tersier BMJ3-K1</v>
          </cell>
          <cell r="D1007">
            <v>13</v>
          </cell>
          <cell r="E1007">
            <v>23.400000000000002</v>
          </cell>
          <cell r="F1007">
            <v>0.3</v>
          </cell>
          <cell r="G1007">
            <v>0.18819437534024519</v>
          </cell>
        </row>
        <row r="1009">
          <cell r="A1009">
            <v>64</v>
          </cell>
          <cell r="B1009" t="str">
            <v>MJ 3 kn2</v>
          </cell>
          <cell r="D1009">
            <v>0</v>
          </cell>
        </row>
        <row r="1010">
          <cell r="A1010" t="str">
            <v>64,1</v>
          </cell>
          <cell r="B1010" t="str">
            <v>MJ 3 kn2</v>
          </cell>
          <cell r="C1010" t="str">
            <v>Kwarter a1</v>
          </cell>
          <cell r="D1010">
            <v>7</v>
          </cell>
          <cell r="E1010">
            <v>15</v>
          </cell>
          <cell r="F1010">
            <v>0.3</v>
          </cell>
          <cell r="G1010">
            <v>0.21450186870683924</v>
          </cell>
        </row>
        <row r="1011">
          <cell r="A1011" t="str">
            <v>64,2</v>
          </cell>
          <cell r="B1011" t="str">
            <v>MJ 3 kn2</v>
          </cell>
          <cell r="C1011" t="str">
            <v>Kwarter a2</v>
          </cell>
          <cell r="D1011">
            <v>6</v>
          </cell>
          <cell r="E1011">
            <v>15</v>
          </cell>
          <cell r="F1011">
            <v>0.3</v>
          </cell>
          <cell r="G1011">
            <v>0.21450186870683924</v>
          </cell>
        </row>
        <row r="1012">
          <cell r="A1012" t="str">
            <v>64,3</v>
          </cell>
          <cell r="B1012" t="str">
            <v>MJ 3 kn2</v>
          </cell>
          <cell r="C1012" t="str">
            <v>Kwarter a3</v>
          </cell>
          <cell r="D1012">
            <v>6</v>
          </cell>
          <cell r="E1012">
            <v>15</v>
          </cell>
          <cell r="F1012">
            <v>0.3</v>
          </cell>
          <cell r="G1012">
            <v>0.21450186870683924</v>
          </cell>
        </row>
        <row r="1013">
          <cell r="A1013" t="str">
            <v>64,4</v>
          </cell>
          <cell r="B1013" t="str">
            <v>MJ 3 kn2</v>
          </cell>
          <cell r="C1013" t="str">
            <v>Kwarter b1</v>
          </cell>
          <cell r="D1013">
            <v>9</v>
          </cell>
          <cell r="E1013">
            <v>16.2</v>
          </cell>
          <cell r="F1013">
            <v>0.3</v>
          </cell>
          <cell r="G1013">
            <v>0.22327164076703876</v>
          </cell>
        </row>
        <row r="1014">
          <cell r="A1014" t="str">
            <v>64,5</v>
          </cell>
          <cell r="B1014" t="str">
            <v>MJ 3 kn2</v>
          </cell>
          <cell r="C1014" t="str">
            <v>Kwarter b2</v>
          </cell>
          <cell r="D1014">
            <v>6</v>
          </cell>
          <cell r="E1014">
            <v>15</v>
          </cell>
          <cell r="F1014">
            <v>0.3</v>
          </cell>
          <cell r="G1014">
            <v>0.21450186870683924</v>
          </cell>
        </row>
        <row r="1015">
          <cell r="A1015" t="str">
            <v>64,6</v>
          </cell>
          <cell r="B1015" t="str">
            <v>MJ 3 kn2</v>
          </cell>
          <cell r="C1015" t="str">
            <v>Kwarter b3</v>
          </cell>
          <cell r="D1015">
            <v>8</v>
          </cell>
          <cell r="E1015">
            <v>15</v>
          </cell>
          <cell r="F1015">
            <v>0.3</v>
          </cell>
          <cell r="G1015">
            <v>0.21450186870683924</v>
          </cell>
        </row>
        <row r="1016">
          <cell r="A1016" t="str">
            <v>64,7</v>
          </cell>
          <cell r="B1016" t="str">
            <v>MJ 3 kn2</v>
          </cell>
          <cell r="C1016" t="str">
            <v>Kwarter c1</v>
          </cell>
          <cell r="D1016">
            <v>5</v>
          </cell>
          <cell r="E1016">
            <v>15</v>
          </cell>
          <cell r="F1016">
            <v>0.3</v>
          </cell>
          <cell r="G1016">
            <v>0.21450186870683924</v>
          </cell>
        </row>
        <row r="1017">
          <cell r="A1017" t="str">
            <v>64,8</v>
          </cell>
          <cell r="B1017" t="str">
            <v>MJ 3 kn2</v>
          </cell>
          <cell r="C1017" t="str">
            <v>Kwarter c2</v>
          </cell>
          <cell r="D1017">
            <v>14</v>
          </cell>
          <cell r="E1017">
            <v>25.2</v>
          </cell>
          <cell r="F1017">
            <v>0.3</v>
          </cell>
          <cell r="G1017">
            <v>0.27984551330394364</v>
          </cell>
        </row>
        <row r="1018">
          <cell r="A1018" t="str">
            <v>64,9</v>
          </cell>
          <cell r="B1018" t="str">
            <v>MJ 3 kn2</v>
          </cell>
          <cell r="C1018" t="str">
            <v>Kwarter cab b3</v>
          </cell>
          <cell r="E1018">
            <v>15</v>
          </cell>
          <cell r="F1018">
            <v>0.3</v>
          </cell>
          <cell r="G1018">
            <v>0.21450186870683924</v>
          </cell>
        </row>
        <row r="1019">
          <cell r="A1019" t="str">
            <v>64,10</v>
          </cell>
          <cell r="B1019" t="str">
            <v>MJ 3 kn2</v>
          </cell>
          <cell r="C1019" t="str">
            <v>Muka b3</v>
          </cell>
          <cell r="D1019">
            <v>8</v>
          </cell>
          <cell r="E1019">
            <v>15</v>
          </cell>
          <cell r="F1019">
            <v>0.3</v>
          </cell>
          <cell r="G1019">
            <v>9.6698774152165129E-2</v>
          </cell>
        </row>
        <row r="1020">
          <cell r="A1020" t="str">
            <v>64,11</v>
          </cell>
          <cell r="B1020" t="str">
            <v>MJ 3 kn2</v>
          </cell>
          <cell r="C1020" t="str">
            <v>Muka c2</v>
          </cell>
          <cell r="D1020">
            <v>14</v>
          </cell>
          <cell r="E1020">
            <v>25.2</v>
          </cell>
          <cell r="F1020">
            <v>0.35</v>
          </cell>
          <cell r="G1020">
            <v>0.18999999999999984</v>
          </cell>
        </row>
        <row r="1021">
          <cell r="A1021" t="str">
            <v>64,12</v>
          </cell>
          <cell r="B1021" t="str">
            <v>MJ 3 kn2</v>
          </cell>
          <cell r="C1021" t="str">
            <v>Tersier T3-K1</v>
          </cell>
          <cell r="D1021">
            <v>19</v>
          </cell>
          <cell r="E1021">
            <v>34.200000000000003</v>
          </cell>
          <cell r="F1021">
            <v>0.35</v>
          </cell>
          <cell r="G1021">
            <v>0.21999999999999986</v>
          </cell>
        </row>
        <row r="1022">
          <cell r="A1022" t="str">
            <v>64,13</v>
          </cell>
          <cell r="B1022" t="str">
            <v>MJ 3 kn2</v>
          </cell>
          <cell r="C1022" t="str">
            <v>Tersier T2-T3</v>
          </cell>
          <cell r="D1022">
            <v>48</v>
          </cell>
          <cell r="E1022">
            <v>86.4</v>
          </cell>
          <cell r="F1022">
            <v>0.35</v>
          </cell>
          <cell r="G1022">
            <v>0.35</v>
          </cell>
        </row>
        <row r="1023">
          <cell r="A1023" t="str">
            <v>64,14</v>
          </cell>
          <cell r="B1023" t="str">
            <v>MJ 3 kn2</v>
          </cell>
          <cell r="C1023" t="str">
            <v>Tersier T1-T2</v>
          </cell>
          <cell r="D1023">
            <v>54</v>
          </cell>
          <cell r="E1023">
            <v>97.2</v>
          </cell>
          <cell r="F1023">
            <v>0.39999999999999997</v>
          </cell>
          <cell r="G1023">
            <v>0.35999999999999993</v>
          </cell>
        </row>
        <row r="1024">
          <cell r="A1024" t="str">
            <v>64,15</v>
          </cell>
          <cell r="B1024" t="str">
            <v>MJ 3 kn2</v>
          </cell>
          <cell r="C1024" t="str">
            <v>Tersier BMJ3-T1</v>
          </cell>
          <cell r="D1024">
            <v>61</v>
          </cell>
          <cell r="E1024">
            <v>109.8</v>
          </cell>
          <cell r="F1024">
            <v>0.45</v>
          </cell>
          <cell r="G1024">
            <v>0.35989428276496349</v>
          </cell>
        </row>
        <row r="1026">
          <cell r="A1026">
            <v>65</v>
          </cell>
          <cell r="B1026" t="str">
            <v>MJ 4 kn</v>
          </cell>
          <cell r="D1026">
            <v>0</v>
          </cell>
        </row>
        <row r="1027">
          <cell r="A1027" t="str">
            <v>65,1</v>
          </cell>
          <cell r="B1027" t="str">
            <v>MJ 4 kn</v>
          </cell>
          <cell r="C1027" t="str">
            <v>Kwarter a1</v>
          </cell>
          <cell r="D1027">
            <v>10</v>
          </cell>
          <cell r="E1027">
            <v>18</v>
          </cell>
          <cell r="F1027">
            <v>0.3</v>
          </cell>
          <cell r="G1027">
            <v>0.23577879795157511</v>
          </cell>
        </row>
        <row r="1028">
          <cell r="A1028" t="str">
            <v>65,2</v>
          </cell>
          <cell r="B1028" t="str">
            <v>MJ 4 kn</v>
          </cell>
          <cell r="C1028" t="str">
            <v>Kwarter a2</v>
          </cell>
          <cell r="D1028">
            <v>15</v>
          </cell>
          <cell r="E1028">
            <v>27</v>
          </cell>
          <cell r="F1028">
            <v>0.3</v>
          </cell>
          <cell r="G1028">
            <v>0.28970512341744525</v>
          </cell>
        </row>
        <row r="1029">
          <cell r="A1029" t="str">
            <v>65,3</v>
          </cell>
          <cell r="B1029" t="str">
            <v>MJ 4 kn</v>
          </cell>
          <cell r="C1029" t="str">
            <v>Kwarter a3</v>
          </cell>
          <cell r="D1029">
            <v>6</v>
          </cell>
          <cell r="E1029">
            <v>15</v>
          </cell>
          <cell r="F1029">
            <v>0.3</v>
          </cell>
          <cell r="G1029">
            <v>0.21450186870683924</v>
          </cell>
        </row>
        <row r="1030">
          <cell r="A1030" t="str">
            <v>65,4</v>
          </cell>
          <cell r="B1030" t="str">
            <v>MJ 4 kn</v>
          </cell>
          <cell r="C1030" t="str">
            <v>Kwarter b1</v>
          </cell>
          <cell r="D1030">
            <v>12</v>
          </cell>
          <cell r="E1030">
            <v>21.6</v>
          </cell>
          <cell r="F1030">
            <v>0.3</v>
          </cell>
          <cell r="G1030">
            <v>0.25885060257641224</v>
          </cell>
        </row>
        <row r="1031">
          <cell r="A1031" t="str">
            <v>65,5</v>
          </cell>
          <cell r="B1031" t="str">
            <v>MJ 4 kn</v>
          </cell>
          <cell r="C1031" t="str">
            <v>Kwarter b2</v>
          </cell>
          <cell r="D1031">
            <v>9</v>
          </cell>
          <cell r="E1031">
            <v>16.2</v>
          </cell>
          <cell r="F1031">
            <v>0.3</v>
          </cell>
          <cell r="G1031">
            <v>0.22327164076703876</v>
          </cell>
        </row>
        <row r="1032">
          <cell r="A1032" t="str">
            <v>65,6</v>
          </cell>
          <cell r="B1032" t="str">
            <v>MJ 4 kn</v>
          </cell>
          <cell r="C1032" t="str">
            <v>Kwarter b3</v>
          </cell>
          <cell r="D1032">
            <v>12</v>
          </cell>
          <cell r="E1032">
            <v>21.6</v>
          </cell>
          <cell r="F1032">
            <v>0.3</v>
          </cell>
          <cell r="G1032">
            <v>0.25885060257641224</v>
          </cell>
        </row>
        <row r="1033">
          <cell r="A1033" t="str">
            <v>65,7</v>
          </cell>
          <cell r="B1033" t="str">
            <v>MJ 4 kn</v>
          </cell>
          <cell r="C1033" t="str">
            <v>Kwarter c1</v>
          </cell>
          <cell r="D1033">
            <v>12</v>
          </cell>
          <cell r="E1033">
            <v>21.6</v>
          </cell>
          <cell r="F1033">
            <v>0.3</v>
          </cell>
          <cell r="G1033">
            <v>0.25885060257641224</v>
          </cell>
        </row>
        <row r="1034">
          <cell r="A1034" t="str">
            <v>65,8</v>
          </cell>
          <cell r="B1034" t="str">
            <v>MJ 4 kn</v>
          </cell>
          <cell r="C1034" t="str">
            <v>Kwarter c2</v>
          </cell>
          <cell r="D1034">
            <v>11</v>
          </cell>
          <cell r="E1034">
            <v>19.8</v>
          </cell>
          <cell r="F1034">
            <v>0.3</v>
          </cell>
          <cell r="G1034">
            <v>0.24760852933338706</v>
          </cell>
        </row>
        <row r="1035">
          <cell r="A1035" t="str">
            <v>65,9</v>
          </cell>
          <cell r="B1035" t="str">
            <v>MJ 4 kn</v>
          </cell>
          <cell r="C1035" t="str">
            <v>Kwarter c3</v>
          </cell>
          <cell r="D1035">
            <v>13</v>
          </cell>
          <cell r="E1035">
            <v>23.400000000000002</v>
          </cell>
          <cell r="F1035">
            <v>0.3</v>
          </cell>
          <cell r="G1035">
            <v>0.26957675461177327</v>
          </cell>
        </row>
        <row r="1036">
          <cell r="A1036" t="str">
            <v>65,10</v>
          </cell>
          <cell r="B1036" t="str">
            <v>MJ 4 kn</v>
          </cell>
          <cell r="C1036" t="str">
            <v>Kwarter cab b2</v>
          </cell>
          <cell r="E1036">
            <v>15</v>
          </cell>
          <cell r="F1036">
            <v>0.3</v>
          </cell>
          <cell r="G1036">
            <v>0.21450186870683924</v>
          </cell>
        </row>
        <row r="1037">
          <cell r="A1037" t="str">
            <v>65,11</v>
          </cell>
          <cell r="B1037" t="str">
            <v>MJ 4 kn</v>
          </cell>
          <cell r="C1037" t="str">
            <v>Kwarter cab c1</v>
          </cell>
          <cell r="E1037">
            <v>15</v>
          </cell>
          <cell r="F1037">
            <v>0.3</v>
          </cell>
          <cell r="G1037">
            <v>0.21450186870683924</v>
          </cell>
        </row>
        <row r="1038">
          <cell r="A1038" t="str">
            <v>65,12</v>
          </cell>
          <cell r="B1038" t="str">
            <v>MJ 4 kn</v>
          </cell>
          <cell r="C1038" t="str">
            <v>Muka b2</v>
          </cell>
          <cell r="D1038">
            <v>9</v>
          </cell>
          <cell r="E1038">
            <v>16.2</v>
          </cell>
          <cell r="F1038">
            <v>0.35</v>
          </cell>
          <cell r="G1038">
            <v>0.1499999999999998</v>
          </cell>
        </row>
        <row r="1039">
          <cell r="A1039" t="str">
            <v>65,13</v>
          </cell>
          <cell r="B1039" t="str">
            <v>MJ 4 kn</v>
          </cell>
          <cell r="C1039" t="str">
            <v>Muka c2</v>
          </cell>
          <cell r="D1039">
            <v>11</v>
          </cell>
          <cell r="E1039">
            <v>19.8</v>
          </cell>
          <cell r="F1039">
            <v>0.3</v>
          </cell>
          <cell r="G1039">
            <v>0.1229630888758514</v>
          </cell>
        </row>
        <row r="1040">
          <cell r="A1040" t="str">
            <v>65,14</v>
          </cell>
          <cell r="B1040" t="str">
            <v>MJ 4 kn</v>
          </cell>
          <cell r="C1040" t="str">
            <v>Tersier T5-K1</v>
          </cell>
          <cell r="D1040">
            <v>24</v>
          </cell>
          <cell r="E1040">
            <v>43.2</v>
          </cell>
          <cell r="F1040">
            <v>0.3</v>
          </cell>
          <cell r="G1040">
            <v>0.2370880155807546</v>
          </cell>
        </row>
        <row r="1041">
          <cell r="A1041" t="str">
            <v>65,15</v>
          </cell>
          <cell r="B1041" t="str">
            <v>MJ 4 kn</v>
          </cell>
          <cell r="C1041" t="str">
            <v>Tersier T4-T5</v>
          </cell>
          <cell r="D1041">
            <v>36</v>
          </cell>
          <cell r="E1041">
            <v>64.8</v>
          </cell>
          <cell r="F1041">
            <v>0.4</v>
          </cell>
          <cell r="G1041">
            <v>0.17386597548105651</v>
          </cell>
        </row>
        <row r="1042">
          <cell r="A1042" t="str">
            <v>65,16</v>
          </cell>
          <cell r="B1042" t="str">
            <v>MJ 4 kn</v>
          </cell>
          <cell r="C1042" t="str">
            <v>Tersier T3-T4</v>
          </cell>
          <cell r="D1042">
            <v>48</v>
          </cell>
          <cell r="E1042">
            <v>86.4</v>
          </cell>
          <cell r="F1042">
            <v>0.4</v>
          </cell>
          <cell r="G1042">
            <v>0.17125053331186027</v>
          </cell>
        </row>
        <row r="1043">
          <cell r="A1043" t="str">
            <v>65,17</v>
          </cell>
          <cell r="B1043" t="str">
            <v>MJ 4 kn</v>
          </cell>
          <cell r="C1043" t="str">
            <v>Tersier T3-K2</v>
          </cell>
          <cell r="D1043">
            <v>21</v>
          </cell>
          <cell r="E1043">
            <v>37.800000000000004</v>
          </cell>
          <cell r="F1043">
            <v>0.35</v>
          </cell>
          <cell r="G1043">
            <v>0.22999999999999987</v>
          </cell>
        </row>
        <row r="1044">
          <cell r="A1044" t="str">
            <v>65,18</v>
          </cell>
          <cell r="B1044" t="str">
            <v>MJ 4 kn</v>
          </cell>
          <cell r="C1044" t="str">
            <v>Tersier T2-T3</v>
          </cell>
          <cell r="D1044">
            <v>75</v>
          </cell>
          <cell r="E1044">
            <v>135</v>
          </cell>
          <cell r="F1044">
            <v>0.45</v>
          </cell>
          <cell r="G1044">
            <v>0.39387329366474383</v>
          </cell>
        </row>
        <row r="1045">
          <cell r="A1045" t="str">
            <v>65,19</v>
          </cell>
          <cell r="B1045" t="str">
            <v>MJ 4 kn</v>
          </cell>
          <cell r="C1045" t="str">
            <v>Tersier T1-T2</v>
          </cell>
          <cell r="D1045">
            <v>90</v>
          </cell>
          <cell r="E1045">
            <v>162</v>
          </cell>
          <cell r="F1045">
            <v>0.45</v>
          </cell>
          <cell r="G1045">
            <v>0.42947021061172874</v>
          </cell>
        </row>
        <row r="1046">
          <cell r="A1046" t="str">
            <v>65,20</v>
          </cell>
          <cell r="B1046" t="str">
            <v>MJ 4 kn</v>
          </cell>
          <cell r="C1046" t="str">
            <v>Tersier BMJ4-T1</v>
          </cell>
          <cell r="D1046">
            <v>100</v>
          </cell>
          <cell r="E1046">
            <v>180</v>
          </cell>
          <cell r="F1046">
            <v>0.5</v>
          </cell>
          <cell r="G1046">
            <v>0.44586796085550517</v>
          </cell>
        </row>
        <row r="1048">
          <cell r="A1048">
            <v>66</v>
          </cell>
          <cell r="B1048" t="str">
            <v>MJ 5 kn</v>
          </cell>
          <cell r="D1048">
            <v>0</v>
          </cell>
        </row>
        <row r="1049">
          <cell r="A1049" t="str">
            <v>66,1</v>
          </cell>
          <cell r="B1049" t="str">
            <v>MJ 5 kn</v>
          </cell>
          <cell r="C1049" t="str">
            <v>Kwarter a1</v>
          </cell>
          <cell r="D1049">
            <v>7</v>
          </cell>
          <cell r="E1049">
            <v>15</v>
          </cell>
          <cell r="F1049">
            <v>0.3</v>
          </cell>
          <cell r="G1049">
            <v>0.21450186870683924</v>
          </cell>
        </row>
        <row r="1050">
          <cell r="A1050" t="str">
            <v>66,2</v>
          </cell>
          <cell r="B1050" t="str">
            <v>MJ 5 kn</v>
          </cell>
          <cell r="C1050" t="str">
            <v>Kwarter a2</v>
          </cell>
          <cell r="D1050">
            <v>13</v>
          </cell>
          <cell r="E1050">
            <v>23.400000000000002</v>
          </cell>
          <cell r="F1050">
            <v>0.3</v>
          </cell>
          <cell r="G1050">
            <v>0.26957675461177327</v>
          </cell>
        </row>
        <row r="1051">
          <cell r="A1051" t="str">
            <v>66,3</v>
          </cell>
          <cell r="B1051" t="str">
            <v>MJ 5 kn</v>
          </cell>
          <cell r="C1051" t="str">
            <v>Kwarter a3</v>
          </cell>
          <cell r="D1051">
            <v>12</v>
          </cell>
          <cell r="E1051">
            <v>21.6</v>
          </cell>
          <cell r="F1051">
            <v>0.3</v>
          </cell>
          <cell r="G1051">
            <v>0.25885060257641224</v>
          </cell>
        </row>
        <row r="1052">
          <cell r="A1052" t="str">
            <v>66,4</v>
          </cell>
          <cell r="B1052" t="str">
            <v>MJ 5 kn</v>
          </cell>
          <cell r="C1052" t="str">
            <v>Kwarter a4</v>
          </cell>
          <cell r="D1052">
            <v>11</v>
          </cell>
          <cell r="E1052">
            <v>19.8</v>
          </cell>
          <cell r="F1052">
            <v>0.3</v>
          </cell>
          <cell r="G1052">
            <v>0.24760852933338706</v>
          </cell>
        </row>
        <row r="1053">
          <cell r="A1053" t="str">
            <v>66,5</v>
          </cell>
          <cell r="B1053" t="str">
            <v>MJ 5 kn</v>
          </cell>
          <cell r="C1053" t="str">
            <v>Kwarter b1</v>
          </cell>
          <cell r="D1053">
            <v>12</v>
          </cell>
          <cell r="E1053">
            <v>21.6</v>
          </cell>
          <cell r="F1053">
            <v>0.3</v>
          </cell>
          <cell r="G1053">
            <v>0.25885060257641224</v>
          </cell>
        </row>
        <row r="1054">
          <cell r="A1054" t="str">
            <v>66,6</v>
          </cell>
          <cell r="B1054" t="str">
            <v>MJ 5 kn</v>
          </cell>
          <cell r="C1054" t="str">
            <v>Kwarter b2</v>
          </cell>
          <cell r="D1054">
            <v>9</v>
          </cell>
          <cell r="E1054">
            <v>16.2</v>
          </cell>
          <cell r="F1054">
            <v>0.3</v>
          </cell>
          <cell r="G1054">
            <v>0.22327164076703876</v>
          </cell>
        </row>
        <row r="1055">
          <cell r="A1055" t="str">
            <v>66,7</v>
          </cell>
          <cell r="B1055" t="str">
            <v>MJ 5 kn</v>
          </cell>
          <cell r="C1055" t="str">
            <v>Kwarter b3</v>
          </cell>
          <cell r="D1055">
            <v>12</v>
          </cell>
          <cell r="E1055">
            <v>21.6</v>
          </cell>
          <cell r="F1055">
            <v>0.3</v>
          </cell>
          <cell r="G1055">
            <v>0.25885060257641224</v>
          </cell>
        </row>
        <row r="1056">
          <cell r="A1056" t="str">
            <v>66,8</v>
          </cell>
          <cell r="B1056" t="str">
            <v>MJ 5 kn</v>
          </cell>
          <cell r="C1056" t="str">
            <v>Muka a3</v>
          </cell>
          <cell r="D1056">
            <v>12</v>
          </cell>
          <cell r="E1056">
            <v>21.6</v>
          </cell>
          <cell r="F1056">
            <v>0.35</v>
          </cell>
          <cell r="G1056">
            <v>0.16999999999999982</v>
          </cell>
        </row>
        <row r="1057">
          <cell r="A1057" t="str">
            <v>66,9</v>
          </cell>
          <cell r="B1057" t="str">
            <v>MJ 5 kn</v>
          </cell>
          <cell r="C1057" t="str">
            <v>Muka b3</v>
          </cell>
          <cell r="D1057">
            <v>12</v>
          </cell>
          <cell r="E1057">
            <v>21.6</v>
          </cell>
          <cell r="F1057">
            <v>0.3</v>
          </cell>
          <cell r="G1057">
            <v>0.18034054347579084</v>
          </cell>
        </row>
        <row r="1058">
          <cell r="A1058" t="str">
            <v>66,10</v>
          </cell>
          <cell r="B1058" t="str">
            <v>MJ 5 kn</v>
          </cell>
          <cell r="C1058" t="str">
            <v>Tersier T3-K1</v>
          </cell>
          <cell r="D1058">
            <v>21</v>
          </cell>
          <cell r="E1058">
            <v>37.800000000000004</v>
          </cell>
          <cell r="F1058">
            <v>0.35</v>
          </cell>
          <cell r="G1058">
            <v>0.22999999999999987</v>
          </cell>
        </row>
        <row r="1059">
          <cell r="A1059" t="str">
            <v>66,11</v>
          </cell>
          <cell r="B1059" t="str">
            <v>MJ 5 kn</v>
          </cell>
          <cell r="C1059" t="str">
            <v>Tersier T2-T3</v>
          </cell>
          <cell r="D1059">
            <v>33</v>
          </cell>
          <cell r="E1059">
            <v>59.4</v>
          </cell>
          <cell r="F1059">
            <v>0.4</v>
          </cell>
          <cell r="G1059">
            <v>0.22309494553435633</v>
          </cell>
        </row>
        <row r="1060">
          <cell r="A1060" t="str">
            <v>66,12</v>
          </cell>
          <cell r="B1060" t="str">
            <v>MJ 5 kn</v>
          </cell>
          <cell r="C1060" t="str">
            <v>Tersier T1-T2</v>
          </cell>
          <cell r="D1060">
            <v>56</v>
          </cell>
          <cell r="E1060">
            <v>100.8</v>
          </cell>
          <cell r="F1060">
            <v>0.4</v>
          </cell>
          <cell r="G1060">
            <v>0.35945439432735499</v>
          </cell>
        </row>
        <row r="1061">
          <cell r="A1061" t="str">
            <v>66,13</v>
          </cell>
          <cell r="B1061" t="str">
            <v>MJ 5 kn</v>
          </cell>
          <cell r="C1061" t="str">
            <v>Tersier BMJ 5-T1-T2</v>
          </cell>
          <cell r="D1061">
            <v>76</v>
          </cell>
          <cell r="E1061">
            <v>136.80000000000001</v>
          </cell>
          <cell r="F1061">
            <v>0.45</v>
          </cell>
          <cell r="G1061">
            <v>0.40260875855991413</v>
          </cell>
        </row>
        <row r="1063">
          <cell r="A1063">
            <v>67</v>
          </cell>
          <cell r="B1063" t="str">
            <v>MJ 6 kn</v>
          </cell>
          <cell r="D1063">
            <v>0</v>
          </cell>
        </row>
        <row r="1064">
          <cell r="A1064" t="str">
            <v>67,1</v>
          </cell>
          <cell r="B1064" t="str">
            <v>MJ 6 kn</v>
          </cell>
          <cell r="C1064" t="str">
            <v>Kwarter a1</v>
          </cell>
          <cell r="D1064">
            <v>10</v>
          </cell>
          <cell r="E1064">
            <v>18</v>
          </cell>
          <cell r="F1064">
            <v>0.3</v>
          </cell>
          <cell r="G1064">
            <v>0.23577879795157511</v>
          </cell>
        </row>
        <row r="1065">
          <cell r="A1065" t="str">
            <v>67,2</v>
          </cell>
          <cell r="B1065" t="str">
            <v>MJ 6 kn</v>
          </cell>
          <cell r="C1065" t="str">
            <v>Kwarter a2</v>
          </cell>
          <cell r="D1065">
            <v>11</v>
          </cell>
          <cell r="E1065">
            <v>19.8</v>
          </cell>
          <cell r="F1065">
            <v>0.3</v>
          </cell>
          <cell r="G1065">
            <v>0.24760852933338706</v>
          </cell>
        </row>
        <row r="1066">
          <cell r="A1066" t="str">
            <v>67,3</v>
          </cell>
          <cell r="B1066" t="str">
            <v>MJ 6 kn</v>
          </cell>
          <cell r="C1066" t="str">
            <v>Kwarter b1</v>
          </cell>
          <cell r="D1066">
            <v>14</v>
          </cell>
          <cell r="E1066">
            <v>25.2</v>
          </cell>
          <cell r="F1066">
            <v>0.3</v>
          </cell>
          <cell r="G1066">
            <v>0.27984551330394364</v>
          </cell>
        </row>
        <row r="1067">
          <cell r="A1067" t="str">
            <v>67,4</v>
          </cell>
          <cell r="B1067" t="str">
            <v>MJ 6 kn</v>
          </cell>
          <cell r="C1067" t="str">
            <v>Kwarter b2</v>
          </cell>
          <cell r="D1067">
            <v>9</v>
          </cell>
          <cell r="E1067">
            <v>16.2</v>
          </cell>
          <cell r="F1067">
            <v>0.3</v>
          </cell>
          <cell r="G1067">
            <v>0.22327164076703876</v>
          </cell>
        </row>
        <row r="1068">
          <cell r="A1068" t="str">
            <v>67,5</v>
          </cell>
          <cell r="B1068" t="str">
            <v>MJ 6 kn</v>
          </cell>
          <cell r="C1068" t="str">
            <v>Kwarter b3</v>
          </cell>
          <cell r="D1068">
            <v>9</v>
          </cell>
          <cell r="E1068">
            <v>16.2</v>
          </cell>
          <cell r="F1068">
            <v>0.3</v>
          </cell>
          <cell r="G1068">
            <v>0.15443256333332417</v>
          </cell>
        </row>
        <row r="1069">
          <cell r="A1069" t="str">
            <v>67,6</v>
          </cell>
          <cell r="B1069" t="str">
            <v>MJ 6 kn</v>
          </cell>
          <cell r="C1069" t="str">
            <v>Muka b3</v>
          </cell>
          <cell r="D1069">
            <v>9</v>
          </cell>
          <cell r="E1069">
            <v>16.2</v>
          </cell>
          <cell r="F1069">
            <v>0.3</v>
          </cell>
          <cell r="G1069">
            <v>0.15443256333332417</v>
          </cell>
        </row>
        <row r="1070">
          <cell r="A1070" t="str">
            <v>67,7</v>
          </cell>
          <cell r="B1070" t="str">
            <v>MJ 6 kn</v>
          </cell>
          <cell r="C1070" t="str">
            <v>Tersier T3-K1</v>
          </cell>
          <cell r="D1070">
            <v>18</v>
          </cell>
          <cell r="E1070">
            <v>32.4</v>
          </cell>
          <cell r="F1070">
            <v>0.3</v>
          </cell>
          <cell r="G1070">
            <v>0.22327164076703876</v>
          </cell>
        </row>
        <row r="1071">
          <cell r="A1071" t="str">
            <v>67,8</v>
          </cell>
          <cell r="B1071" t="str">
            <v>MJ 6 kn</v>
          </cell>
          <cell r="C1071" t="str">
            <v>Tersier T2-T3</v>
          </cell>
          <cell r="D1071">
            <v>32</v>
          </cell>
          <cell r="E1071">
            <v>57.6</v>
          </cell>
          <cell r="F1071">
            <v>0.3</v>
          </cell>
          <cell r="G1071">
            <v>0.3</v>
          </cell>
        </row>
        <row r="1072">
          <cell r="A1072" t="str">
            <v>67,9</v>
          </cell>
          <cell r="B1072" t="str">
            <v>MJ 6 kn</v>
          </cell>
          <cell r="C1072" t="str">
            <v>Tersier T1-T2</v>
          </cell>
          <cell r="D1072">
            <v>43</v>
          </cell>
          <cell r="E1072">
            <v>77.400000000000006</v>
          </cell>
          <cell r="F1072">
            <v>0.35</v>
          </cell>
          <cell r="G1072">
            <v>0.32944255513320869</v>
          </cell>
        </row>
        <row r="1073">
          <cell r="A1073" t="str">
            <v>67,10</v>
          </cell>
          <cell r="B1073" t="str">
            <v>MJ 6 kn</v>
          </cell>
          <cell r="C1073" t="str">
            <v>Tersier BMJ6-T1</v>
          </cell>
          <cell r="D1073">
            <v>53</v>
          </cell>
          <cell r="E1073">
            <v>95.4</v>
          </cell>
          <cell r="F1073">
            <v>0.4</v>
          </cell>
          <cell r="G1073">
            <v>0.32709830131353529</v>
          </cell>
        </row>
        <row r="1075">
          <cell r="A1075">
            <v>68</v>
          </cell>
          <cell r="B1075" t="str">
            <v>MJ 7 kn</v>
          </cell>
          <cell r="D1075">
            <v>0</v>
          </cell>
        </row>
        <row r="1076">
          <cell r="A1076" t="str">
            <v>68,1</v>
          </cell>
          <cell r="B1076" t="str">
            <v>MJ 7 kn</v>
          </cell>
          <cell r="C1076" t="str">
            <v>Kwarter a1</v>
          </cell>
          <cell r="D1076">
            <v>10</v>
          </cell>
          <cell r="E1076">
            <v>18</v>
          </cell>
          <cell r="F1076">
            <v>0.3</v>
          </cell>
          <cell r="G1076">
            <v>0.23577879795157511</v>
          </cell>
        </row>
        <row r="1077">
          <cell r="A1077" t="str">
            <v>68,2</v>
          </cell>
          <cell r="B1077" t="str">
            <v>MJ 7 kn</v>
          </cell>
          <cell r="C1077" t="str">
            <v>Kwarter a2</v>
          </cell>
          <cell r="D1077">
            <v>8</v>
          </cell>
          <cell r="E1077">
            <v>15</v>
          </cell>
          <cell r="F1077">
            <v>0.3</v>
          </cell>
          <cell r="G1077">
            <v>0.21450186870683924</v>
          </cell>
        </row>
        <row r="1078">
          <cell r="A1078" t="str">
            <v>68,3</v>
          </cell>
          <cell r="B1078" t="str">
            <v>MJ 7 kn</v>
          </cell>
          <cell r="C1078" t="str">
            <v>Kwarter a3</v>
          </cell>
          <cell r="D1078">
            <v>10</v>
          </cell>
          <cell r="E1078">
            <v>18</v>
          </cell>
          <cell r="F1078">
            <v>0.3</v>
          </cell>
          <cell r="G1078">
            <v>0.23577879795157511</v>
          </cell>
        </row>
        <row r="1079">
          <cell r="A1079" t="str">
            <v>68,4</v>
          </cell>
          <cell r="B1079" t="str">
            <v>MJ 7 kn</v>
          </cell>
          <cell r="C1079" t="str">
            <v>Kwarter b1</v>
          </cell>
          <cell r="D1079">
            <v>8</v>
          </cell>
          <cell r="E1079">
            <v>15</v>
          </cell>
          <cell r="F1079">
            <v>0.3</v>
          </cell>
          <cell r="G1079">
            <v>0.21450186870683924</v>
          </cell>
        </row>
        <row r="1080">
          <cell r="A1080" t="str">
            <v>68,5</v>
          </cell>
          <cell r="B1080" t="str">
            <v>MJ 7 kn</v>
          </cell>
          <cell r="C1080" t="str">
            <v>Kwarter b2</v>
          </cell>
          <cell r="D1080">
            <v>5</v>
          </cell>
          <cell r="E1080">
            <v>15</v>
          </cell>
          <cell r="F1080">
            <v>0.3</v>
          </cell>
          <cell r="G1080">
            <v>0.21450186870683924</v>
          </cell>
        </row>
        <row r="1081">
          <cell r="A1081" t="str">
            <v>68,6</v>
          </cell>
          <cell r="B1081" t="str">
            <v>MJ 7 kn</v>
          </cell>
          <cell r="C1081" t="str">
            <v>Kwarter b3</v>
          </cell>
          <cell r="D1081">
            <v>9</v>
          </cell>
          <cell r="E1081">
            <v>16.2</v>
          </cell>
          <cell r="F1081">
            <v>0.3</v>
          </cell>
          <cell r="G1081">
            <v>0.22327164076703876</v>
          </cell>
        </row>
        <row r="1082">
          <cell r="A1082" t="str">
            <v>68,7</v>
          </cell>
          <cell r="B1082" t="str">
            <v>MJ 7 kn</v>
          </cell>
          <cell r="C1082" t="str">
            <v>Kwarter b4</v>
          </cell>
          <cell r="D1082">
            <v>12</v>
          </cell>
          <cell r="E1082">
            <v>21.6</v>
          </cell>
          <cell r="F1082">
            <v>0.3</v>
          </cell>
          <cell r="G1082">
            <v>0.25885060257641224</v>
          </cell>
        </row>
        <row r="1083">
          <cell r="A1083" t="str">
            <v>68,8</v>
          </cell>
          <cell r="B1083" t="str">
            <v>MJ 7 kn</v>
          </cell>
          <cell r="C1083" t="str">
            <v>Kwarter c1</v>
          </cell>
          <cell r="D1083">
            <v>11</v>
          </cell>
          <cell r="E1083">
            <v>19.8</v>
          </cell>
          <cell r="F1083">
            <v>0.3</v>
          </cell>
          <cell r="G1083">
            <v>0.24760852933338706</v>
          </cell>
        </row>
        <row r="1084">
          <cell r="A1084" t="str">
            <v>68,9</v>
          </cell>
          <cell r="B1084" t="str">
            <v>MJ 7 kn</v>
          </cell>
          <cell r="C1084" t="str">
            <v>Kwarter c2</v>
          </cell>
          <cell r="D1084">
            <v>2</v>
          </cell>
          <cell r="E1084">
            <v>15</v>
          </cell>
          <cell r="F1084">
            <v>0.3</v>
          </cell>
          <cell r="G1084">
            <v>0.21450186870683924</v>
          </cell>
        </row>
        <row r="1085">
          <cell r="A1085" t="str">
            <v>68,10</v>
          </cell>
          <cell r="B1085" t="str">
            <v>MJ 7 kn</v>
          </cell>
          <cell r="C1085" t="str">
            <v>Kwarter c3</v>
          </cell>
          <cell r="D1085">
            <v>4</v>
          </cell>
          <cell r="E1085">
            <v>15</v>
          </cell>
          <cell r="F1085">
            <v>0.3</v>
          </cell>
          <cell r="G1085">
            <v>0.21450186870683924</v>
          </cell>
        </row>
        <row r="1086">
          <cell r="A1086" t="str">
            <v>68,11</v>
          </cell>
          <cell r="B1086" t="str">
            <v>MJ 7 kn</v>
          </cell>
          <cell r="C1086" t="str">
            <v>Kwarter c4</v>
          </cell>
          <cell r="D1086">
            <v>11</v>
          </cell>
          <cell r="E1086">
            <v>19.8</v>
          </cell>
          <cell r="F1086">
            <v>0.3</v>
          </cell>
          <cell r="G1086">
            <v>0.24760852933338706</v>
          </cell>
        </row>
        <row r="1087">
          <cell r="A1087" t="str">
            <v>68,12</v>
          </cell>
          <cell r="B1087" t="str">
            <v>MJ 7 kn</v>
          </cell>
          <cell r="C1087" t="str">
            <v>Kwarter c5</v>
          </cell>
          <cell r="D1087">
            <v>13</v>
          </cell>
          <cell r="E1087">
            <v>23.400000000000002</v>
          </cell>
          <cell r="F1087">
            <v>0.3</v>
          </cell>
          <cell r="G1087">
            <v>0.26957675461177327</v>
          </cell>
        </row>
        <row r="1088">
          <cell r="A1088" t="str">
            <v>68,13</v>
          </cell>
          <cell r="B1088" t="str">
            <v>MJ 7 kn</v>
          </cell>
          <cell r="C1088" t="str">
            <v>Muka b4</v>
          </cell>
          <cell r="D1088">
            <v>12</v>
          </cell>
          <cell r="E1088">
            <v>21.6</v>
          </cell>
          <cell r="F1088">
            <v>0.3</v>
          </cell>
          <cell r="G1088">
            <v>0.18999999999999989</v>
          </cell>
        </row>
        <row r="1089">
          <cell r="A1089" t="str">
            <v>68,14</v>
          </cell>
          <cell r="B1089" t="str">
            <v>MJ 7 kn</v>
          </cell>
          <cell r="C1089" t="str">
            <v>Muka c4</v>
          </cell>
          <cell r="D1089">
            <v>11</v>
          </cell>
          <cell r="E1089">
            <v>19.8</v>
          </cell>
          <cell r="F1089">
            <v>0.3</v>
          </cell>
          <cell r="G1089">
            <v>0.17212948709189466</v>
          </cell>
        </row>
        <row r="1090">
          <cell r="A1090" t="str">
            <v>68,15</v>
          </cell>
          <cell r="B1090" t="str">
            <v>MJ 7 kn</v>
          </cell>
          <cell r="C1090" t="str">
            <v>Tersier T6-K2</v>
          </cell>
          <cell r="D1090">
            <v>28</v>
          </cell>
          <cell r="E1090">
            <v>50.4</v>
          </cell>
          <cell r="F1090">
            <v>0.3</v>
          </cell>
          <cell r="G1090">
            <v>0.27984548368941714</v>
          </cell>
        </row>
        <row r="1091">
          <cell r="A1091" t="str">
            <v>68,16</v>
          </cell>
          <cell r="B1091" t="str">
            <v>MJ 7 kn</v>
          </cell>
          <cell r="C1091" t="str">
            <v>Tersier T5-T6</v>
          </cell>
          <cell r="D1091">
            <v>30</v>
          </cell>
          <cell r="E1091">
            <v>54</v>
          </cell>
          <cell r="F1091">
            <v>0.3</v>
          </cell>
          <cell r="G1091">
            <v>0.28970512341744525</v>
          </cell>
        </row>
        <row r="1092">
          <cell r="A1092" t="str">
            <v>68,17</v>
          </cell>
          <cell r="B1092" t="str">
            <v>MJ 7 kn</v>
          </cell>
          <cell r="C1092" t="str">
            <v>Tersier T4-T5</v>
          </cell>
          <cell r="D1092">
            <v>46</v>
          </cell>
          <cell r="E1092">
            <v>82.8</v>
          </cell>
          <cell r="F1092">
            <v>0.35</v>
          </cell>
          <cell r="G1092">
            <v>0.34076997645963758</v>
          </cell>
        </row>
        <row r="1093">
          <cell r="A1093" t="str">
            <v>68,18</v>
          </cell>
          <cell r="B1093" t="str">
            <v>MJ 7 kn</v>
          </cell>
          <cell r="C1093" t="str">
            <v>Tersier T4-K1</v>
          </cell>
          <cell r="D1093">
            <v>21</v>
          </cell>
          <cell r="E1093">
            <v>37.800000000000004</v>
          </cell>
          <cell r="F1093">
            <v>0.3</v>
          </cell>
          <cell r="G1093">
            <v>0.24177224349209758</v>
          </cell>
        </row>
        <row r="1094">
          <cell r="A1094" t="str">
            <v>68,19</v>
          </cell>
          <cell r="B1094" t="str">
            <v>MJ 7 kn</v>
          </cell>
          <cell r="C1094" t="str">
            <v>Tersier T3-T4</v>
          </cell>
          <cell r="D1094">
            <v>75</v>
          </cell>
          <cell r="E1094">
            <v>135</v>
          </cell>
          <cell r="F1094">
            <v>0.45</v>
          </cell>
          <cell r="G1094">
            <v>0.39991758724400484</v>
          </cell>
        </row>
        <row r="1095">
          <cell r="A1095" t="str">
            <v>68,20</v>
          </cell>
          <cell r="B1095" t="str">
            <v>MJ 7 kn</v>
          </cell>
          <cell r="C1095" t="str">
            <v>Tersier T2-T3</v>
          </cell>
          <cell r="D1095">
            <v>85</v>
          </cell>
          <cell r="E1095">
            <v>153</v>
          </cell>
          <cell r="F1095">
            <v>0.45</v>
          </cell>
          <cell r="G1095">
            <v>0.42597543906271584</v>
          </cell>
        </row>
        <row r="1096">
          <cell r="A1096" t="str">
            <v>68,21</v>
          </cell>
          <cell r="B1096" t="str">
            <v>MJ 7 kn</v>
          </cell>
          <cell r="C1096" t="str">
            <v>Tersier T1-T2</v>
          </cell>
          <cell r="D1096">
            <v>93</v>
          </cell>
          <cell r="E1096">
            <v>167.4</v>
          </cell>
          <cell r="F1096">
            <v>0.5</v>
          </cell>
          <cell r="G1096">
            <v>0.42974021212213664</v>
          </cell>
        </row>
        <row r="1097">
          <cell r="A1097" t="str">
            <v>68,22</v>
          </cell>
          <cell r="B1097" t="str">
            <v>MJ 7 kn</v>
          </cell>
          <cell r="C1097" t="str">
            <v>Tersier BMJ7-T1</v>
          </cell>
          <cell r="D1097">
            <v>103</v>
          </cell>
          <cell r="E1097">
            <v>185.4</v>
          </cell>
          <cell r="F1097">
            <v>0.5</v>
          </cell>
          <cell r="G1097">
            <v>0.45258433116028668</v>
          </cell>
        </row>
        <row r="1099">
          <cell r="A1099">
            <v>69</v>
          </cell>
          <cell r="B1099" t="str">
            <v>MJ 7 kr</v>
          </cell>
          <cell r="D1099">
            <v>0</v>
          </cell>
        </row>
        <row r="1100">
          <cell r="A1100" t="str">
            <v>69,1</v>
          </cell>
          <cell r="B1100" t="str">
            <v>MJ 7 kr</v>
          </cell>
          <cell r="C1100" t="str">
            <v>Kwarter a1</v>
          </cell>
          <cell r="D1100">
            <v>11</v>
          </cell>
          <cell r="E1100">
            <v>19.8</v>
          </cell>
          <cell r="F1100">
            <v>0.3</v>
          </cell>
          <cell r="G1100">
            <v>0.24760852933338706</v>
          </cell>
        </row>
        <row r="1101">
          <cell r="A1101" t="str">
            <v>69,2</v>
          </cell>
          <cell r="B1101" t="str">
            <v>MJ 7 kr</v>
          </cell>
          <cell r="C1101" t="str">
            <v>Kwarter a2</v>
          </cell>
          <cell r="D1101">
            <v>10</v>
          </cell>
          <cell r="E1101">
            <v>18</v>
          </cell>
          <cell r="F1101">
            <v>0.3</v>
          </cell>
          <cell r="G1101">
            <v>0.23577879795157511</v>
          </cell>
        </row>
        <row r="1102">
          <cell r="A1102" t="str">
            <v>69,3</v>
          </cell>
          <cell r="B1102" t="str">
            <v>MJ 7 kr</v>
          </cell>
          <cell r="C1102" t="str">
            <v>Kwarter a3</v>
          </cell>
          <cell r="D1102">
            <v>5</v>
          </cell>
          <cell r="E1102">
            <v>15</v>
          </cell>
          <cell r="F1102">
            <v>0.3</v>
          </cell>
          <cell r="G1102">
            <v>0.21450186870683924</v>
          </cell>
        </row>
        <row r="1103">
          <cell r="A1103" t="str">
            <v>69,4</v>
          </cell>
          <cell r="B1103" t="str">
            <v>MJ 7 kr</v>
          </cell>
          <cell r="C1103" t="str">
            <v>Kwarter b1</v>
          </cell>
          <cell r="D1103">
            <v>4</v>
          </cell>
          <cell r="E1103">
            <v>15</v>
          </cell>
          <cell r="F1103">
            <v>0.3</v>
          </cell>
          <cell r="G1103">
            <v>0.21450186870683924</v>
          </cell>
        </row>
        <row r="1104">
          <cell r="A1104" t="str">
            <v>69,5</v>
          </cell>
          <cell r="B1104" t="str">
            <v>MJ 7 kr</v>
          </cell>
          <cell r="C1104" t="str">
            <v>Kwarter b2</v>
          </cell>
          <cell r="D1104">
            <v>9</v>
          </cell>
          <cell r="E1104">
            <v>16.2</v>
          </cell>
          <cell r="F1104">
            <v>0.3</v>
          </cell>
          <cell r="G1104">
            <v>0.22327164076703876</v>
          </cell>
        </row>
        <row r="1105">
          <cell r="A1105" t="str">
            <v>69,6</v>
          </cell>
          <cell r="B1105" t="str">
            <v>MJ 7 kr</v>
          </cell>
          <cell r="C1105" t="str">
            <v>Kwarter b3</v>
          </cell>
          <cell r="D1105">
            <v>4</v>
          </cell>
          <cell r="E1105">
            <v>15</v>
          </cell>
          <cell r="F1105">
            <v>0.3</v>
          </cell>
          <cell r="G1105">
            <v>0.21450186870683924</v>
          </cell>
        </row>
        <row r="1106">
          <cell r="A1106" t="str">
            <v>69,7</v>
          </cell>
          <cell r="B1106" t="str">
            <v>MJ 7 kr</v>
          </cell>
          <cell r="C1106" t="str">
            <v>Kwarter b4</v>
          </cell>
          <cell r="D1106">
            <v>9</v>
          </cell>
          <cell r="E1106">
            <v>16.2</v>
          </cell>
          <cell r="F1106">
            <v>0.3</v>
          </cell>
          <cell r="G1106">
            <v>0.22327164076703876</v>
          </cell>
        </row>
        <row r="1107">
          <cell r="A1107" t="str">
            <v>69,8</v>
          </cell>
          <cell r="B1107" t="str">
            <v>MJ 7 kr</v>
          </cell>
          <cell r="C1107" t="str">
            <v>Kwarter c1</v>
          </cell>
          <cell r="D1107">
            <v>10</v>
          </cell>
          <cell r="E1107">
            <v>18</v>
          </cell>
          <cell r="F1107">
            <v>0.3</v>
          </cell>
          <cell r="G1107">
            <v>0.23577879795157511</v>
          </cell>
        </row>
        <row r="1108">
          <cell r="A1108" t="str">
            <v>69,9</v>
          </cell>
          <cell r="B1108" t="str">
            <v>MJ 7 kr</v>
          </cell>
          <cell r="C1108" t="str">
            <v>Kwarter cab c2</v>
          </cell>
          <cell r="E1108">
            <v>15</v>
          </cell>
          <cell r="F1108">
            <v>0.3</v>
          </cell>
          <cell r="G1108">
            <v>0.21450186870683924</v>
          </cell>
        </row>
        <row r="1109">
          <cell r="A1109" t="str">
            <v>69,10</v>
          </cell>
          <cell r="B1109" t="str">
            <v>MJ 7 kr</v>
          </cell>
          <cell r="C1109" t="str">
            <v>Kwarter c2</v>
          </cell>
          <cell r="D1109">
            <v>13</v>
          </cell>
          <cell r="E1109">
            <v>23.400000000000002</v>
          </cell>
          <cell r="F1109">
            <v>0.3</v>
          </cell>
          <cell r="G1109">
            <v>0.26957675461177327</v>
          </cell>
        </row>
        <row r="1110">
          <cell r="A1110" t="str">
            <v>69,11</v>
          </cell>
          <cell r="B1110" t="str">
            <v>MJ 7 kr</v>
          </cell>
          <cell r="C1110" t="str">
            <v>Kwarter c3</v>
          </cell>
          <cell r="D1110">
            <v>16</v>
          </cell>
          <cell r="E1110">
            <v>28.8</v>
          </cell>
          <cell r="F1110">
            <v>0.3</v>
          </cell>
          <cell r="G1110">
            <v>0.29919620491337184</v>
          </cell>
        </row>
        <row r="1111">
          <cell r="A1111" t="str">
            <v>69,12</v>
          </cell>
          <cell r="B1111" t="str">
            <v>MJ 7 kr</v>
          </cell>
          <cell r="C1111" t="str">
            <v>Kwarter c4</v>
          </cell>
          <cell r="D1111">
            <v>7</v>
          </cell>
          <cell r="E1111">
            <v>15</v>
          </cell>
          <cell r="F1111">
            <v>0.3</v>
          </cell>
          <cell r="G1111">
            <v>0.21450186870683924</v>
          </cell>
        </row>
        <row r="1112">
          <cell r="A1112" t="str">
            <v>69,13</v>
          </cell>
          <cell r="B1112" t="str">
            <v>MJ 7 kr</v>
          </cell>
          <cell r="C1112" t="str">
            <v>Kwarter c5</v>
          </cell>
          <cell r="D1112">
            <v>5</v>
          </cell>
          <cell r="E1112">
            <v>15</v>
          </cell>
          <cell r="F1112">
            <v>0.3</v>
          </cell>
          <cell r="G1112">
            <v>0.21450186870683924</v>
          </cell>
        </row>
        <row r="1113">
          <cell r="A1113" t="str">
            <v>69,14</v>
          </cell>
          <cell r="B1113" t="str">
            <v>MJ 7 kr</v>
          </cell>
          <cell r="C1113" t="str">
            <v>Muka c3</v>
          </cell>
          <cell r="D1113">
            <v>16</v>
          </cell>
          <cell r="E1113">
            <v>28.8</v>
          </cell>
          <cell r="F1113">
            <v>0.3</v>
          </cell>
          <cell r="G1113">
            <v>0.20997228605922097</v>
          </cell>
        </row>
        <row r="1114">
          <cell r="A1114" t="str">
            <v>69,15</v>
          </cell>
          <cell r="B1114" t="str">
            <v>MJ 7 kr</v>
          </cell>
          <cell r="C1114" t="str">
            <v>Tersier T9-K1</v>
          </cell>
          <cell r="D1114">
            <v>28</v>
          </cell>
          <cell r="E1114">
            <v>50.4</v>
          </cell>
          <cell r="F1114">
            <v>0.3</v>
          </cell>
          <cell r="G1114">
            <v>0.27984548368941714</v>
          </cell>
        </row>
        <row r="1115">
          <cell r="A1115" t="str">
            <v>69,16</v>
          </cell>
          <cell r="B1115" t="str">
            <v>MJ 7 kr</v>
          </cell>
          <cell r="C1115" t="str">
            <v>Tersier T8-T9</v>
          </cell>
          <cell r="D1115">
            <v>41</v>
          </cell>
          <cell r="E1115">
            <v>73.8</v>
          </cell>
          <cell r="F1115">
            <v>0.35</v>
          </cell>
          <cell r="G1115">
            <v>0.32163882520277537</v>
          </cell>
        </row>
        <row r="1116">
          <cell r="A1116" t="str">
            <v>69,17</v>
          </cell>
          <cell r="B1116" t="str">
            <v>MJ 7 kr</v>
          </cell>
          <cell r="C1116" t="str">
            <v>Tersier T7-T8</v>
          </cell>
          <cell r="D1116">
            <v>51</v>
          </cell>
          <cell r="E1116">
            <v>91.8</v>
          </cell>
          <cell r="F1116">
            <v>0.4</v>
          </cell>
          <cell r="G1116">
            <v>0.34279172521938978</v>
          </cell>
        </row>
        <row r="1117">
          <cell r="A1117" t="str">
            <v>69,18</v>
          </cell>
          <cell r="B1117" t="str">
            <v>MJ 7 kr</v>
          </cell>
          <cell r="C1117" t="str">
            <v>Tersier T6-T7</v>
          </cell>
          <cell r="D1117">
            <v>60</v>
          </cell>
          <cell r="E1117">
            <v>108</v>
          </cell>
          <cell r="F1117">
            <v>0.4</v>
          </cell>
          <cell r="G1117">
            <v>0.37218741039066999</v>
          </cell>
        </row>
        <row r="1118">
          <cell r="A1118" t="str">
            <v>69,19</v>
          </cell>
          <cell r="B1118" t="str">
            <v>MJ 7 kr</v>
          </cell>
          <cell r="C1118" t="str">
            <v>Tersier T5-T6</v>
          </cell>
          <cell r="D1118">
            <v>64</v>
          </cell>
          <cell r="E1118">
            <v>115.2</v>
          </cell>
          <cell r="F1118">
            <v>0.4</v>
          </cell>
          <cell r="G1118">
            <v>0.38444654973193038</v>
          </cell>
        </row>
        <row r="1119">
          <cell r="A1119" t="str">
            <v>69,20</v>
          </cell>
          <cell r="B1119" t="str">
            <v>MJ 7 kr</v>
          </cell>
          <cell r="C1119" t="str">
            <v>Tersier T4-T5</v>
          </cell>
          <cell r="D1119">
            <v>73</v>
          </cell>
          <cell r="E1119">
            <v>131.4</v>
          </cell>
          <cell r="F1119">
            <v>0.45</v>
          </cell>
          <cell r="G1119">
            <v>0.39447376423814434</v>
          </cell>
        </row>
        <row r="1120">
          <cell r="A1120" t="str">
            <v>69,21</v>
          </cell>
          <cell r="B1120" t="str">
            <v>MJ 7 kr</v>
          </cell>
          <cell r="C1120" t="str">
            <v>Tersier T3-T4</v>
          </cell>
          <cell r="D1120">
            <v>77</v>
          </cell>
          <cell r="E1120">
            <v>138.6</v>
          </cell>
          <cell r="F1120">
            <v>0.45</v>
          </cell>
          <cell r="G1120">
            <v>0.31046769433879617</v>
          </cell>
        </row>
        <row r="1121">
          <cell r="A1121" t="str">
            <v>69,22</v>
          </cell>
          <cell r="B1121" t="str">
            <v>MJ 7 kr</v>
          </cell>
          <cell r="C1121" t="str">
            <v>Tersier T2-T3</v>
          </cell>
          <cell r="D1121">
            <v>82</v>
          </cell>
          <cell r="E1121">
            <v>147.6</v>
          </cell>
          <cell r="F1121">
            <v>0.45</v>
          </cell>
          <cell r="G1121">
            <v>0.41834989071947382</v>
          </cell>
        </row>
        <row r="1122">
          <cell r="A1122" t="str">
            <v>69,23</v>
          </cell>
          <cell r="B1122" t="str">
            <v>MJ 7 kr</v>
          </cell>
          <cell r="C1122" t="str">
            <v>Tersier T1-T2</v>
          </cell>
          <cell r="D1122">
            <v>92</v>
          </cell>
          <cell r="E1122">
            <v>165.6</v>
          </cell>
          <cell r="F1122">
            <v>0.45</v>
          </cell>
          <cell r="G1122">
            <v>0.44319131251506988</v>
          </cell>
        </row>
        <row r="1123">
          <cell r="A1123" t="str">
            <v>69,24</v>
          </cell>
          <cell r="B1123" t="str">
            <v>MJ 7 kr</v>
          </cell>
          <cell r="C1123" t="str">
            <v>Tersier BMJ7-T1</v>
          </cell>
          <cell r="D1123">
            <v>103</v>
          </cell>
          <cell r="E1123">
            <v>185.4</v>
          </cell>
          <cell r="F1123">
            <v>0.5</v>
          </cell>
          <cell r="G1123">
            <v>0.3877948748852294</v>
          </cell>
        </row>
        <row r="1125">
          <cell r="A1125">
            <v>70</v>
          </cell>
          <cell r="B1125" t="str">
            <v>MJ 7 tg</v>
          </cell>
          <cell r="D1125">
            <v>0</v>
          </cell>
        </row>
        <row r="1126">
          <cell r="A1126" t="str">
            <v>70,1</v>
          </cell>
          <cell r="B1126" t="str">
            <v>MJ 7 tg</v>
          </cell>
          <cell r="C1126" t="str">
            <v>Kwarter a1</v>
          </cell>
          <cell r="D1126">
            <v>11</v>
          </cell>
          <cell r="E1126">
            <v>19.8</v>
          </cell>
          <cell r="F1126">
            <v>0.3</v>
          </cell>
          <cell r="G1126">
            <v>0.24760852933338706</v>
          </cell>
        </row>
        <row r="1127">
          <cell r="A1127" t="str">
            <v>70,2</v>
          </cell>
          <cell r="B1127" t="str">
            <v>MJ 7 tg</v>
          </cell>
          <cell r="C1127" t="str">
            <v>Kwarter a2</v>
          </cell>
          <cell r="D1127">
            <v>8</v>
          </cell>
          <cell r="E1127">
            <v>15</v>
          </cell>
          <cell r="F1127">
            <v>0.3</v>
          </cell>
          <cell r="G1127">
            <v>0.21450186870683924</v>
          </cell>
        </row>
        <row r="1128">
          <cell r="A1128" t="str">
            <v>70,3</v>
          </cell>
          <cell r="B1128" t="str">
            <v>MJ 7 tg</v>
          </cell>
          <cell r="C1128" t="str">
            <v>Kwarter a3</v>
          </cell>
          <cell r="D1128">
            <v>8</v>
          </cell>
          <cell r="E1128">
            <v>15</v>
          </cell>
          <cell r="F1128">
            <v>0.3</v>
          </cell>
          <cell r="G1128">
            <v>0.21450186870683924</v>
          </cell>
        </row>
        <row r="1129">
          <cell r="A1129" t="str">
            <v>70,4</v>
          </cell>
          <cell r="B1129" t="str">
            <v>MJ 7 tg</v>
          </cell>
          <cell r="C1129" t="str">
            <v>Kwarter caba1</v>
          </cell>
          <cell r="E1129">
            <v>15</v>
          </cell>
          <cell r="F1129">
            <v>0.3</v>
          </cell>
          <cell r="G1129">
            <v>0.21450186870683924</v>
          </cell>
        </row>
        <row r="1130">
          <cell r="A1130" t="str">
            <v>70,5</v>
          </cell>
          <cell r="B1130" t="str">
            <v>MJ 7 tg</v>
          </cell>
          <cell r="C1130" t="str">
            <v>Muka a2</v>
          </cell>
          <cell r="D1130">
            <v>8</v>
          </cell>
          <cell r="E1130">
            <v>15</v>
          </cell>
          <cell r="F1130">
            <v>0.3</v>
          </cell>
          <cell r="G1130">
            <v>0.14808412770373933</v>
          </cell>
        </row>
        <row r="1131">
          <cell r="A1131" t="str">
            <v>70,6</v>
          </cell>
          <cell r="B1131" t="str">
            <v>MJ 7 tg</v>
          </cell>
          <cell r="C1131" t="str">
            <v>Muka MJ 7tg</v>
          </cell>
          <cell r="D1131">
            <v>27</v>
          </cell>
          <cell r="E1131">
            <v>48.6</v>
          </cell>
          <cell r="F1131">
            <v>0.3</v>
          </cell>
          <cell r="G1131">
            <v>0.27476507048510146</v>
          </cell>
        </row>
        <row r="1133">
          <cell r="A1133">
            <v>71</v>
          </cell>
          <cell r="B1133" t="str">
            <v>MJ I.1 kn</v>
          </cell>
          <cell r="D1133">
            <v>0</v>
          </cell>
        </row>
        <row r="1134">
          <cell r="A1134" t="str">
            <v>71,1</v>
          </cell>
          <cell r="B1134" t="str">
            <v>MJ I.1 kn</v>
          </cell>
          <cell r="C1134" t="str">
            <v>Kwarter a1</v>
          </cell>
          <cell r="D1134">
            <v>14</v>
          </cell>
          <cell r="E1134">
            <v>25.2</v>
          </cell>
          <cell r="F1134">
            <v>0.3</v>
          </cell>
          <cell r="G1134">
            <v>0.27984551330394364</v>
          </cell>
        </row>
        <row r="1136">
          <cell r="A1136">
            <v>72</v>
          </cell>
          <cell r="B1136" t="str">
            <v>MJ I.2 kn</v>
          </cell>
          <cell r="D1136">
            <v>0</v>
          </cell>
        </row>
        <row r="1137">
          <cell r="A1137" t="str">
            <v>72,1</v>
          </cell>
          <cell r="B1137" t="str">
            <v>MJ I.2 kn</v>
          </cell>
          <cell r="C1137" t="str">
            <v>Kwarter a1</v>
          </cell>
          <cell r="D1137">
            <v>11</v>
          </cell>
          <cell r="E1137">
            <v>19.8</v>
          </cell>
          <cell r="F1137">
            <v>0.3</v>
          </cell>
          <cell r="G1137">
            <v>0.24760852933338706</v>
          </cell>
        </row>
        <row r="1138">
          <cell r="A1138" t="str">
            <v>72,2</v>
          </cell>
          <cell r="B1138" t="str">
            <v>MJ I.2 kn</v>
          </cell>
          <cell r="C1138" t="str">
            <v>Kwarter a2</v>
          </cell>
          <cell r="D1138">
            <v>11</v>
          </cell>
          <cell r="E1138">
            <v>19.8</v>
          </cell>
          <cell r="F1138">
            <v>0.3</v>
          </cell>
          <cell r="G1138">
            <v>0.24760852933338706</v>
          </cell>
        </row>
        <row r="1139">
          <cell r="A1139" t="str">
            <v>72,3</v>
          </cell>
          <cell r="B1139" t="str">
            <v>MJ I.2 kn</v>
          </cell>
          <cell r="C1139" t="str">
            <v>Kwarter b1</v>
          </cell>
          <cell r="D1139">
            <v>14</v>
          </cell>
          <cell r="E1139">
            <v>25.2</v>
          </cell>
          <cell r="F1139">
            <v>0.3</v>
          </cell>
          <cell r="G1139">
            <v>0.27984551330394364</v>
          </cell>
        </row>
        <row r="1140">
          <cell r="A1140" t="str">
            <v>72,4</v>
          </cell>
          <cell r="B1140" t="str">
            <v>MJ I.2 kn</v>
          </cell>
          <cell r="C1140" t="str">
            <v>Kwarter b2</v>
          </cell>
          <cell r="D1140">
            <v>11</v>
          </cell>
          <cell r="E1140">
            <v>19.8</v>
          </cell>
          <cell r="F1140">
            <v>0.3</v>
          </cell>
          <cell r="G1140">
            <v>0.24760852933338706</v>
          </cell>
        </row>
        <row r="1141">
          <cell r="A1141" t="str">
            <v>72,5</v>
          </cell>
          <cell r="B1141" t="str">
            <v>MJ I.2 kn</v>
          </cell>
          <cell r="C1141" t="str">
            <v>Muka b2</v>
          </cell>
          <cell r="D1141">
            <v>11</v>
          </cell>
          <cell r="E1141">
            <v>19.8</v>
          </cell>
          <cell r="F1141">
            <v>0.3</v>
          </cell>
          <cell r="G1141">
            <v>0.17212948709189466</v>
          </cell>
        </row>
        <row r="1142">
          <cell r="A1142" t="str">
            <v>72,6</v>
          </cell>
          <cell r="B1142" t="str">
            <v>MJ I.2 kn</v>
          </cell>
          <cell r="C1142" t="str">
            <v>Tersier T2-K1</v>
          </cell>
          <cell r="D1142">
            <v>25</v>
          </cell>
          <cell r="E1142">
            <v>45</v>
          </cell>
          <cell r="F1142">
            <v>0.3</v>
          </cell>
          <cell r="G1142">
            <v>0.26999999999999996</v>
          </cell>
        </row>
        <row r="1143">
          <cell r="A1143" t="str">
            <v>72,7</v>
          </cell>
          <cell r="B1143" t="str">
            <v>MJ I.2 kn</v>
          </cell>
          <cell r="C1143" t="str">
            <v>Tersier T1-T2</v>
          </cell>
          <cell r="D1143">
            <v>36</v>
          </cell>
          <cell r="E1143">
            <v>64.8</v>
          </cell>
          <cell r="F1143">
            <v>0.35</v>
          </cell>
          <cell r="G1143">
            <v>0.30999999999999994</v>
          </cell>
        </row>
        <row r="1144">
          <cell r="A1144" t="str">
            <v>72,8</v>
          </cell>
          <cell r="B1144" t="str">
            <v>MJ I.2 kn</v>
          </cell>
          <cell r="C1144" t="str">
            <v>Tersier BMJ I.2-T1</v>
          </cell>
          <cell r="D1144">
            <v>47</v>
          </cell>
          <cell r="E1144">
            <v>84.600000000000009</v>
          </cell>
          <cell r="F1144">
            <v>0.35</v>
          </cell>
          <cell r="G1144">
            <v>0.34445161423417409</v>
          </cell>
        </row>
        <row r="1146">
          <cell r="A1146">
            <v>73</v>
          </cell>
          <cell r="B1146" t="str">
            <v>MJ I.2 kr</v>
          </cell>
          <cell r="D1146">
            <v>0</v>
          </cell>
        </row>
        <row r="1147">
          <cell r="A1147" t="str">
            <v>73,1</v>
          </cell>
          <cell r="B1147" t="str">
            <v>MJ I.2 kr</v>
          </cell>
          <cell r="C1147" t="str">
            <v>Kwarter a1</v>
          </cell>
          <cell r="D1147">
            <v>16</v>
          </cell>
          <cell r="E1147">
            <v>28.8</v>
          </cell>
          <cell r="F1147">
            <v>0.3</v>
          </cell>
          <cell r="G1147">
            <v>0.29919620491337184</v>
          </cell>
        </row>
        <row r="1148">
          <cell r="A1148" t="str">
            <v>73,2</v>
          </cell>
          <cell r="B1148" t="str">
            <v>MJ I.2 kr</v>
          </cell>
          <cell r="C1148" t="str">
            <v>Kwarter a2</v>
          </cell>
          <cell r="D1148">
            <v>10</v>
          </cell>
          <cell r="E1148">
            <v>18</v>
          </cell>
          <cell r="F1148">
            <v>0.3</v>
          </cell>
          <cell r="G1148">
            <v>0.23577879795157511</v>
          </cell>
        </row>
        <row r="1149">
          <cell r="A1149" t="str">
            <v>73,3</v>
          </cell>
          <cell r="B1149" t="str">
            <v>MJ I.2 kr</v>
          </cell>
          <cell r="C1149" t="str">
            <v>Kwarter a3</v>
          </cell>
          <cell r="D1149">
            <v>7</v>
          </cell>
          <cell r="E1149">
            <v>15</v>
          </cell>
          <cell r="F1149">
            <v>0.3</v>
          </cell>
          <cell r="G1149">
            <v>0.21450186870683924</v>
          </cell>
        </row>
        <row r="1150">
          <cell r="A1150" t="str">
            <v>73,4</v>
          </cell>
          <cell r="B1150" t="str">
            <v>MJ I.2 kr</v>
          </cell>
          <cell r="C1150" t="str">
            <v>Muka a3</v>
          </cell>
          <cell r="D1150">
            <v>7</v>
          </cell>
          <cell r="E1150">
            <v>15</v>
          </cell>
          <cell r="F1150">
            <v>0.3</v>
          </cell>
          <cell r="G1150">
            <v>0.14808412770373933</v>
          </cell>
        </row>
        <row r="1151">
          <cell r="A1151" t="str">
            <v>73,5</v>
          </cell>
          <cell r="B1151" t="str">
            <v>MJ I.2 kr</v>
          </cell>
          <cell r="C1151" t="str">
            <v>Tersier T1-K1</v>
          </cell>
          <cell r="D1151">
            <v>17</v>
          </cell>
          <cell r="E1151">
            <v>30.6</v>
          </cell>
          <cell r="F1151">
            <v>0.3</v>
          </cell>
          <cell r="G1151">
            <v>0.21999999999999992</v>
          </cell>
        </row>
        <row r="1152">
          <cell r="A1152" t="str">
            <v>73,6</v>
          </cell>
          <cell r="B1152" t="str">
            <v>MJ I.2 kr</v>
          </cell>
          <cell r="C1152" t="str">
            <v>Tersier BMJ I.2-T1</v>
          </cell>
          <cell r="D1152">
            <v>33</v>
          </cell>
          <cell r="E1152">
            <v>59.4</v>
          </cell>
          <cell r="F1152">
            <v>0.35</v>
          </cell>
          <cell r="G1152">
            <v>0.28804905429902994</v>
          </cell>
        </row>
        <row r="1154">
          <cell r="A1154">
            <v>74</v>
          </cell>
          <cell r="B1154" t="str">
            <v>MJ I.3 kn</v>
          </cell>
          <cell r="D1154">
            <v>0</v>
          </cell>
        </row>
        <row r="1155">
          <cell r="A1155" t="str">
            <v>74,1</v>
          </cell>
          <cell r="B1155" t="str">
            <v>MJ I.3 kn</v>
          </cell>
          <cell r="C1155" t="str">
            <v>Kwarter a1</v>
          </cell>
          <cell r="D1155">
            <v>13</v>
          </cell>
          <cell r="E1155">
            <v>23.400000000000002</v>
          </cell>
          <cell r="F1155">
            <v>0.3</v>
          </cell>
          <cell r="G1155">
            <v>0.26957675461177327</v>
          </cell>
        </row>
        <row r="1156">
          <cell r="A1156" t="str">
            <v>74,2</v>
          </cell>
          <cell r="B1156" t="str">
            <v>MJ I.3 kn</v>
          </cell>
          <cell r="C1156" t="str">
            <v>Kwarter a2</v>
          </cell>
          <cell r="D1156">
            <v>10</v>
          </cell>
          <cell r="E1156">
            <v>18</v>
          </cell>
          <cell r="F1156">
            <v>0.3</v>
          </cell>
          <cell r="G1156">
            <v>0.23577879795157511</v>
          </cell>
        </row>
        <row r="1157">
          <cell r="A1157" t="str">
            <v>74,3</v>
          </cell>
          <cell r="B1157" t="str">
            <v>MJ I.3 kn</v>
          </cell>
          <cell r="C1157" t="str">
            <v>Kwarter a3</v>
          </cell>
          <cell r="D1157">
            <v>13</v>
          </cell>
          <cell r="E1157">
            <v>23.400000000000002</v>
          </cell>
          <cell r="F1157">
            <v>0.3</v>
          </cell>
          <cell r="G1157">
            <v>0.26957675461177327</v>
          </cell>
        </row>
        <row r="1158">
          <cell r="A1158" t="str">
            <v>74,4</v>
          </cell>
          <cell r="B1158" t="str">
            <v>MJ I.3 kn</v>
          </cell>
          <cell r="C1158" t="str">
            <v>Kwarter a4</v>
          </cell>
          <cell r="D1158">
            <v>12</v>
          </cell>
          <cell r="E1158">
            <v>21.6</v>
          </cell>
          <cell r="F1158">
            <v>0.3</v>
          </cell>
          <cell r="G1158">
            <v>0.25885060257641224</v>
          </cell>
        </row>
        <row r="1159">
          <cell r="A1159" t="str">
            <v>74,5</v>
          </cell>
          <cell r="B1159" t="str">
            <v>MJ I.3 kn</v>
          </cell>
          <cell r="C1159" t="str">
            <v>Kwarter b1</v>
          </cell>
          <cell r="D1159">
            <v>11</v>
          </cell>
          <cell r="E1159">
            <v>19.8</v>
          </cell>
          <cell r="F1159">
            <v>0.3</v>
          </cell>
          <cell r="G1159">
            <v>0.24760852933338706</v>
          </cell>
        </row>
        <row r="1160">
          <cell r="A1160" t="str">
            <v>74,6</v>
          </cell>
          <cell r="B1160" t="str">
            <v>MJ I.3 kn</v>
          </cell>
          <cell r="C1160" t="str">
            <v>Kwarter b2</v>
          </cell>
          <cell r="D1160">
            <v>11</v>
          </cell>
          <cell r="E1160">
            <v>19.8</v>
          </cell>
          <cell r="F1160">
            <v>0.3</v>
          </cell>
          <cell r="G1160">
            <v>0.24760852933338706</v>
          </cell>
        </row>
        <row r="1161">
          <cell r="A1161" t="str">
            <v>74,7</v>
          </cell>
          <cell r="B1161" t="str">
            <v>MJ I.3 kn</v>
          </cell>
          <cell r="C1161" t="str">
            <v>Kwarter b3</v>
          </cell>
          <cell r="D1161">
            <v>8</v>
          </cell>
          <cell r="E1161">
            <v>15</v>
          </cell>
          <cell r="F1161">
            <v>0.3</v>
          </cell>
          <cell r="G1161">
            <v>0.21450186870683924</v>
          </cell>
        </row>
        <row r="1162">
          <cell r="A1162" t="str">
            <v>74,8</v>
          </cell>
          <cell r="B1162" t="str">
            <v>MJ I.3 kn</v>
          </cell>
          <cell r="C1162" t="str">
            <v>Kwarter b4</v>
          </cell>
          <cell r="D1162">
            <v>7</v>
          </cell>
          <cell r="E1162">
            <v>15</v>
          </cell>
          <cell r="F1162">
            <v>0.3</v>
          </cell>
          <cell r="G1162">
            <v>0.21450186870683924</v>
          </cell>
        </row>
        <row r="1163">
          <cell r="A1163" t="str">
            <v>74,9</v>
          </cell>
          <cell r="B1163" t="str">
            <v>MJ I.3 kn</v>
          </cell>
          <cell r="C1163" t="str">
            <v>Kwarter c1</v>
          </cell>
          <cell r="D1163">
            <v>8</v>
          </cell>
          <cell r="E1163">
            <v>15</v>
          </cell>
          <cell r="F1163">
            <v>0.3</v>
          </cell>
          <cell r="G1163">
            <v>0.21450186870683924</v>
          </cell>
        </row>
        <row r="1164">
          <cell r="A1164" t="str">
            <v>74,10</v>
          </cell>
          <cell r="B1164" t="str">
            <v>MJ I.3 kn</v>
          </cell>
          <cell r="C1164" t="str">
            <v>Kwarter c2</v>
          </cell>
          <cell r="D1164">
            <v>8</v>
          </cell>
          <cell r="E1164">
            <v>15</v>
          </cell>
          <cell r="F1164">
            <v>0.3</v>
          </cell>
          <cell r="G1164">
            <v>0.21450186870683924</v>
          </cell>
        </row>
        <row r="1165">
          <cell r="A1165" t="str">
            <v>74,11</v>
          </cell>
          <cell r="B1165" t="str">
            <v>MJ I.3 kn</v>
          </cell>
          <cell r="C1165" t="str">
            <v>Kwarter c3</v>
          </cell>
          <cell r="D1165">
            <v>14</v>
          </cell>
          <cell r="E1165">
            <v>25.2</v>
          </cell>
          <cell r="F1165">
            <v>0.3</v>
          </cell>
          <cell r="G1165">
            <v>0.27984551330394364</v>
          </cell>
        </row>
        <row r="1166">
          <cell r="A1166" t="str">
            <v>74,12</v>
          </cell>
          <cell r="B1166" t="str">
            <v>MJ I.3 kn</v>
          </cell>
          <cell r="C1166" t="str">
            <v>Kwarter c4</v>
          </cell>
          <cell r="D1166">
            <v>4</v>
          </cell>
          <cell r="E1166">
            <v>15</v>
          </cell>
          <cell r="F1166">
            <v>0.3</v>
          </cell>
          <cell r="G1166">
            <v>0.21450186870683924</v>
          </cell>
        </row>
        <row r="1167">
          <cell r="A1167" t="str">
            <v>74,13</v>
          </cell>
          <cell r="B1167" t="str">
            <v>MJ I.3 kn</v>
          </cell>
          <cell r="C1167" t="str">
            <v>Kwarter c5</v>
          </cell>
          <cell r="D1167">
            <v>6</v>
          </cell>
          <cell r="E1167">
            <v>15</v>
          </cell>
          <cell r="F1167">
            <v>0.3</v>
          </cell>
          <cell r="G1167">
            <v>0.21450186870683924</v>
          </cell>
        </row>
        <row r="1168">
          <cell r="A1168" t="str">
            <v>74,14</v>
          </cell>
          <cell r="B1168" t="str">
            <v>MJ I.3 kn</v>
          </cell>
          <cell r="C1168" t="str">
            <v>Tersier T7-K1</v>
          </cell>
          <cell r="D1168">
            <v>18</v>
          </cell>
          <cell r="E1168">
            <v>32.4</v>
          </cell>
          <cell r="F1168">
            <v>0.3</v>
          </cell>
          <cell r="G1168">
            <v>0.22999999999999993</v>
          </cell>
        </row>
        <row r="1169">
          <cell r="A1169" t="str">
            <v>74,15</v>
          </cell>
          <cell r="B1169" t="str">
            <v>MJ I.3 kn</v>
          </cell>
          <cell r="C1169" t="str">
            <v>Tersier T6-T7</v>
          </cell>
          <cell r="D1169">
            <v>24</v>
          </cell>
          <cell r="E1169">
            <v>43.2</v>
          </cell>
          <cell r="F1169">
            <v>0.3</v>
          </cell>
          <cell r="G1169">
            <v>0.25885060257641224</v>
          </cell>
        </row>
        <row r="1170">
          <cell r="A1170" t="str">
            <v>74,16</v>
          </cell>
          <cell r="B1170" t="str">
            <v>MJ I.3 kn</v>
          </cell>
          <cell r="C1170" t="str">
            <v>Tersier T5-T6</v>
          </cell>
          <cell r="D1170">
            <v>39</v>
          </cell>
          <cell r="E1170">
            <v>70.2</v>
          </cell>
          <cell r="F1170">
            <v>0.35</v>
          </cell>
          <cell r="G1170">
            <v>0.31361593125801807</v>
          </cell>
        </row>
        <row r="1171">
          <cell r="A1171" t="str">
            <v>74,17</v>
          </cell>
          <cell r="B1171" t="str">
            <v>MJ I.3 kn</v>
          </cell>
          <cell r="C1171" t="str">
            <v>Tersier T4-T5</v>
          </cell>
          <cell r="D1171">
            <v>54</v>
          </cell>
          <cell r="E1171">
            <v>97.2</v>
          </cell>
          <cell r="F1171">
            <v>0.4</v>
          </cell>
          <cell r="G1171">
            <v>0.35289431885693773</v>
          </cell>
        </row>
        <row r="1172">
          <cell r="A1172" t="str">
            <v>74,18</v>
          </cell>
          <cell r="B1172" t="str">
            <v>MJ I.3 kn</v>
          </cell>
          <cell r="C1172" t="str">
            <v>Tersier T3-T4</v>
          </cell>
          <cell r="D1172">
            <v>77</v>
          </cell>
          <cell r="E1172">
            <v>138.6</v>
          </cell>
          <cell r="F1172">
            <v>0.45</v>
          </cell>
          <cell r="G1172">
            <v>0.40527997494902612</v>
          </cell>
        </row>
        <row r="1173">
          <cell r="A1173" t="str">
            <v>74,19</v>
          </cell>
          <cell r="B1173" t="str">
            <v>MJ I.3 kn</v>
          </cell>
          <cell r="C1173" t="str">
            <v>Tersier T2-T3</v>
          </cell>
          <cell r="D1173">
            <v>102</v>
          </cell>
          <cell r="E1173">
            <v>183.6</v>
          </cell>
          <cell r="F1173">
            <v>0.5</v>
          </cell>
          <cell r="G1173">
            <v>0.45035799342514915</v>
          </cell>
        </row>
        <row r="1174">
          <cell r="A1174" t="str">
            <v>74,20</v>
          </cell>
          <cell r="B1174" t="str">
            <v>MJ I.3 kn</v>
          </cell>
          <cell r="C1174" t="str">
            <v>Tersier T1-T2</v>
          </cell>
          <cell r="D1174">
            <v>112</v>
          </cell>
          <cell r="E1174">
            <v>201.6</v>
          </cell>
          <cell r="F1174">
            <v>0.5</v>
          </cell>
          <cell r="G1174">
            <v>0.4720921885036457</v>
          </cell>
        </row>
        <row r="1175">
          <cell r="A1175" t="str">
            <v>74,21</v>
          </cell>
          <cell r="B1175" t="str">
            <v>MJ I.3 kn</v>
          </cell>
          <cell r="C1175" t="str">
            <v>Tersier BMJ I.3-T1</v>
          </cell>
          <cell r="D1175">
            <v>125</v>
          </cell>
          <cell r="E1175">
            <v>225</v>
          </cell>
          <cell r="F1175">
            <v>0.55000000000000004</v>
          </cell>
          <cell r="G1175">
            <v>0.4828036826848448</v>
          </cell>
        </row>
        <row r="1177">
          <cell r="A1177">
            <v>75</v>
          </cell>
          <cell r="B1177" t="str">
            <v>MJ I.3 kr</v>
          </cell>
          <cell r="D1177">
            <v>0</v>
          </cell>
        </row>
        <row r="1178">
          <cell r="A1178" t="str">
            <v>75,1</v>
          </cell>
          <cell r="B1178" t="str">
            <v>MJ I.3 kr</v>
          </cell>
          <cell r="C1178" t="str">
            <v>Kwarter a1</v>
          </cell>
          <cell r="D1178">
            <v>6</v>
          </cell>
          <cell r="E1178">
            <v>15</v>
          </cell>
          <cell r="F1178">
            <v>0.3</v>
          </cell>
          <cell r="G1178">
            <v>0.21450186870683924</v>
          </cell>
        </row>
        <row r="1179">
          <cell r="A1179" t="str">
            <v>75,2</v>
          </cell>
          <cell r="B1179" t="str">
            <v>MJ I.3 kr</v>
          </cell>
          <cell r="C1179" t="str">
            <v>Kwarter a2</v>
          </cell>
          <cell r="D1179">
            <v>9</v>
          </cell>
          <cell r="E1179">
            <v>16.2</v>
          </cell>
          <cell r="F1179">
            <v>0.3</v>
          </cell>
          <cell r="G1179">
            <v>0.22327164076703876</v>
          </cell>
        </row>
        <row r="1180">
          <cell r="A1180" t="str">
            <v>75,3</v>
          </cell>
          <cell r="B1180" t="str">
            <v>MJ I.3 kr</v>
          </cell>
          <cell r="C1180" t="str">
            <v>Kwarter a3</v>
          </cell>
          <cell r="D1180">
            <v>12</v>
          </cell>
          <cell r="E1180">
            <v>21.6</v>
          </cell>
          <cell r="F1180">
            <v>0.3</v>
          </cell>
          <cell r="G1180">
            <v>0.25885060257641224</v>
          </cell>
        </row>
        <row r="1181">
          <cell r="A1181" t="str">
            <v>75,4</v>
          </cell>
          <cell r="B1181" t="str">
            <v>MJ I.3 kr</v>
          </cell>
          <cell r="C1181" t="str">
            <v>Kwarter b1</v>
          </cell>
          <cell r="D1181">
            <v>7</v>
          </cell>
          <cell r="E1181">
            <v>15</v>
          </cell>
          <cell r="F1181">
            <v>0.3</v>
          </cell>
          <cell r="G1181">
            <v>0.21450186870683924</v>
          </cell>
        </row>
        <row r="1182">
          <cell r="A1182" t="str">
            <v>75,5</v>
          </cell>
          <cell r="B1182" t="str">
            <v>MJ I.3 kr</v>
          </cell>
          <cell r="C1182" t="str">
            <v>Kwarter b2</v>
          </cell>
          <cell r="D1182">
            <v>9</v>
          </cell>
          <cell r="E1182">
            <v>16.2</v>
          </cell>
          <cell r="F1182">
            <v>0.3</v>
          </cell>
          <cell r="G1182">
            <v>0.22327164076703876</v>
          </cell>
        </row>
        <row r="1183">
          <cell r="A1183" t="str">
            <v>75,6</v>
          </cell>
          <cell r="B1183" t="str">
            <v>MJ I.3 kr</v>
          </cell>
          <cell r="C1183" t="str">
            <v>Kwarter b3</v>
          </cell>
          <cell r="D1183">
            <v>8</v>
          </cell>
          <cell r="E1183">
            <v>15</v>
          </cell>
          <cell r="F1183">
            <v>0.3</v>
          </cell>
          <cell r="G1183">
            <v>0.21450186870683924</v>
          </cell>
        </row>
        <row r="1184">
          <cell r="A1184" t="str">
            <v>75,7</v>
          </cell>
          <cell r="B1184" t="str">
            <v>MJ I.3 kr</v>
          </cell>
          <cell r="C1184" t="str">
            <v>Muka a1</v>
          </cell>
          <cell r="D1184">
            <v>6</v>
          </cell>
          <cell r="E1184">
            <v>15</v>
          </cell>
          <cell r="F1184">
            <v>0.3</v>
          </cell>
          <cell r="G1184">
            <v>0.14999999999999986</v>
          </cell>
        </row>
        <row r="1185">
          <cell r="A1185" t="str">
            <v>75,8</v>
          </cell>
          <cell r="B1185" t="str">
            <v>MJ I.3 kr</v>
          </cell>
          <cell r="C1185" t="str">
            <v>Tersier T3-K1</v>
          </cell>
          <cell r="D1185">
            <v>17</v>
          </cell>
          <cell r="E1185">
            <v>30.6</v>
          </cell>
          <cell r="F1185">
            <v>0.35</v>
          </cell>
          <cell r="G1185">
            <v>0.18480741884382149</v>
          </cell>
        </row>
        <row r="1186">
          <cell r="A1186" t="str">
            <v>75,9</v>
          </cell>
          <cell r="B1186" t="str">
            <v>MJ I.3 kr</v>
          </cell>
          <cell r="C1186" t="str">
            <v>Tersier T2-T3</v>
          </cell>
          <cell r="D1186">
            <v>24</v>
          </cell>
          <cell r="E1186">
            <v>43.2</v>
          </cell>
          <cell r="F1186">
            <v>0.35</v>
          </cell>
          <cell r="G1186">
            <v>0.18646011828440018</v>
          </cell>
        </row>
        <row r="1187">
          <cell r="A1187" t="str">
            <v>75,10</v>
          </cell>
          <cell r="B1187" t="str">
            <v>MJ I.3 kr</v>
          </cell>
          <cell r="C1187" t="str">
            <v>Tersier T1-T2</v>
          </cell>
          <cell r="D1187">
            <v>36</v>
          </cell>
          <cell r="E1187">
            <v>64.8</v>
          </cell>
          <cell r="F1187">
            <v>0.35</v>
          </cell>
          <cell r="G1187">
            <v>0.30113258100712437</v>
          </cell>
        </row>
        <row r="1188">
          <cell r="A1188" t="str">
            <v>75,11</v>
          </cell>
          <cell r="B1188" t="str">
            <v>MJ I.3 kr</v>
          </cell>
          <cell r="C1188" t="str">
            <v>Tersier BMJ I.3-T1</v>
          </cell>
          <cell r="D1188">
            <v>51</v>
          </cell>
          <cell r="E1188">
            <v>91.8</v>
          </cell>
          <cell r="F1188">
            <v>0.4</v>
          </cell>
          <cell r="G1188">
            <v>0.34279172521938978</v>
          </cell>
        </row>
        <row r="1190">
          <cell r="A1190">
            <v>76</v>
          </cell>
          <cell r="B1190" t="str">
            <v>MJ II.1 kn</v>
          </cell>
          <cell r="D1190">
            <v>0</v>
          </cell>
        </row>
        <row r="1191">
          <cell r="A1191" t="str">
            <v>76,1</v>
          </cell>
          <cell r="B1191" t="str">
            <v>MJ II.1 kn</v>
          </cell>
          <cell r="C1191" t="str">
            <v>Kwarter a1</v>
          </cell>
          <cell r="D1191">
            <v>10</v>
          </cell>
          <cell r="E1191">
            <v>18</v>
          </cell>
          <cell r="F1191">
            <v>0.3</v>
          </cell>
          <cell r="G1191">
            <v>0.23577879795157511</v>
          </cell>
        </row>
        <row r="1192">
          <cell r="A1192" t="str">
            <v>76,2</v>
          </cell>
          <cell r="B1192" t="str">
            <v>MJ II.1 kn</v>
          </cell>
          <cell r="C1192" t="str">
            <v>Kwarter a2</v>
          </cell>
          <cell r="D1192">
            <v>10</v>
          </cell>
          <cell r="E1192">
            <v>18</v>
          </cell>
          <cell r="F1192">
            <v>0.3</v>
          </cell>
          <cell r="G1192">
            <v>0.23577879795157511</v>
          </cell>
        </row>
        <row r="1193">
          <cell r="A1193" t="str">
            <v>76,3</v>
          </cell>
          <cell r="B1193" t="str">
            <v>MJ II.1 kn</v>
          </cell>
          <cell r="C1193" t="str">
            <v>Kwarter b1</v>
          </cell>
          <cell r="D1193">
            <v>7</v>
          </cell>
          <cell r="E1193">
            <v>15</v>
          </cell>
          <cell r="F1193">
            <v>0.3</v>
          </cell>
          <cell r="G1193">
            <v>0.21450186870683924</v>
          </cell>
        </row>
        <row r="1194">
          <cell r="A1194" t="str">
            <v>76,4</v>
          </cell>
          <cell r="B1194" t="str">
            <v>MJ II.1 kn</v>
          </cell>
          <cell r="C1194" t="str">
            <v>Kwarter b2</v>
          </cell>
          <cell r="D1194">
            <v>7</v>
          </cell>
          <cell r="E1194">
            <v>15</v>
          </cell>
          <cell r="F1194">
            <v>0.3</v>
          </cell>
          <cell r="G1194">
            <v>0.21450186870683924</v>
          </cell>
        </row>
        <row r="1195">
          <cell r="A1195" t="str">
            <v>76,5</v>
          </cell>
          <cell r="B1195" t="str">
            <v>MJ II.1 kn</v>
          </cell>
          <cell r="C1195" t="str">
            <v>Muka b2</v>
          </cell>
          <cell r="D1195">
            <v>7</v>
          </cell>
          <cell r="E1195">
            <v>15</v>
          </cell>
          <cell r="F1195">
            <v>0.3</v>
          </cell>
          <cell r="G1195">
            <v>0.14808412770373933</v>
          </cell>
        </row>
        <row r="1196">
          <cell r="A1196" t="str">
            <v>76,6</v>
          </cell>
          <cell r="B1196" t="str">
            <v>MJ II.1 kn</v>
          </cell>
          <cell r="C1196" t="str">
            <v>Tersier T1-K1</v>
          </cell>
          <cell r="D1196">
            <v>24</v>
          </cell>
          <cell r="E1196">
            <v>43.2</v>
          </cell>
          <cell r="F1196">
            <v>0.35</v>
          </cell>
          <cell r="G1196">
            <v>0.25885060257641224</v>
          </cell>
        </row>
        <row r="1197">
          <cell r="A1197" t="str">
            <v>76,7</v>
          </cell>
          <cell r="B1197" t="str">
            <v>MJ II.1 kn</v>
          </cell>
          <cell r="C1197" t="str">
            <v>Tersier BMJ II.1-T1</v>
          </cell>
          <cell r="D1197">
            <v>34</v>
          </cell>
          <cell r="E1197">
            <v>61.2</v>
          </cell>
          <cell r="F1197">
            <v>0.35</v>
          </cell>
          <cell r="G1197">
            <v>0.29248170009744751</v>
          </cell>
        </row>
        <row r="1199">
          <cell r="A1199">
            <v>77</v>
          </cell>
          <cell r="B1199" t="str">
            <v>MJ II.1 kr</v>
          </cell>
          <cell r="D1199">
            <v>0</v>
          </cell>
        </row>
        <row r="1200">
          <cell r="A1200" t="str">
            <v>77,1</v>
          </cell>
          <cell r="B1200" t="str">
            <v>MJ II.1 kr</v>
          </cell>
          <cell r="C1200" t="str">
            <v>Kwarter a1</v>
          </cell>
          <cell r="D1200">
            <v>7</v>
          </cell>
          <cell r="E1200">
            <v>15</v>
          </cell>
          <cell r="F1200">
            <v>0.3</v>
          </cell>
          <cell r="G1200">
            <v>0.21450186870683924</v>
          </cell>
        </row>
        <row r="1201">
          <cell r="A1201" t="str">
            <v>77,2</v>
          </cell>
          <cell r="B1201" t="str">
            <v>MJ II.1 kr</v>
          </cell>
          <cell r="C1201" t="str">
            <v>Kwarter a2</v>
          </cell>
          <cell r="D1201">
            <v>9</v>
          </cell>
          <cell r="E1201">
            <v>16.2</v>
          </cell>
          <cell r="F1201">
            <v>0.3</v>
          </cell>
          <cell r="G1201">
            <v>0.22327164076703876</v>
          </cell>
        </row>
        <row r="1202">
          <cell r="A1202" t="str">
            <v>77,3</v>
          </cell>
          <cell r="B1202" t="str">
            <v>MJ II.1 kr</v>
          </cell>
          <cell r="C1202" t="str">
            <v>Kwarter a3</v>
          </cell>
          <cell r="D1202">
            <v>14</v>
          </cell>
          <cell r="E1202">
            <v>25.2</v>
          </cell>
          <cell r="F1202">
            <v>0.3</v>
          </cell>
          <cell r="G1202">
            <v>0.27984551330394364</v>
          </cell>
        </row>
        <row r="1203">
          <cell r="A1203" t="str">
            <v>77,4</v>
          </cell>
          <cell r="B1203" t="str">
            <v>MJ II.1 kr</v>
          </cell>
          <cell r="C1203" t="str">
            <v>Kwarter a4</v>
          </cell>
          <cell r="D1203">
            <v>7</v>
          </cell>
          <cell r="E1203">
            <v>15</v>
          </cell>
          <cell r="F1203">
            <v>0.3</v>
          </cell>
          <cell r="G1203">
            <v>0.21450186870683924</v>
          </cell>
        </row>
        <row r="1204">
          <cell r="A1204" t="str">
            <v>77,5</v>
          </cell>
          <cell r="B1204" t="str">
            <v>MJ II.1 kr</v>
          </cell>
          <cell r="C1204" t="str">
            <v>Kwarter b1</v>
          </cell>
          <cell r="D1204">
            <v>6</v>
          </cell>
          <cell r="E1204">
            <v>15</v>
          </cell>
          <cell r="F1204">
            <v>0.3</v>
          </cell>
          <cell r="G1204">
            <v>0.21450186870683924</v>
          </cell>
        </row>
        <row r="1205">
          <cell r="A1205" t="str">
            <v>77,6</v>
          </cell>
          <cell r="B1205" t="str">
            <v>MJ II.1 kr</v>
          </cell>
          <cell r="C1205" t="str">
            <v>Kwarter b2</v>
          </cell>
          <cell r="D1205">
            <v>6</v>
          </cell>
          <cell r="E1205">
            <v>15</v>
          </cell>
          <cell r="F1205">
            <v>0.3</v>
          </cell>
          <cell r="G1205">
            <v>0.21450186870683924</v>
          </cell>
        </row>
        <row r="1206">
          <cell r="A1206" t="str">
            <v>77,7</v>
          </cell>
          <cell r="B1206" t="str">
            <v>MJ II.1 kr</v>
          </cell>
          <cell r="C1206" t="str">
            <v>Kwarter b3</v>
          </cell>
          <cell r="D1206">
            <v>7</v>
          </cell>
          <cell r="E1206">
            <v>15</v>
          </cell>
          <cell r="F1206">
            <v>0.3</v>
          </cell>
          <cell r="G1206">
            <v>0.21450186870683924</v>
          </cell>
        </row>
        <row r="1207">
          <cell r="A1207" t="str">
            <v>77,8</v>
          </cell>
          <cell r="B1207" t="str">
            <v>MJ II.1 kr</v>
          </cell>
          <cell r="C1207" t="str">
            <v>Kwarter b4</v>
          </cell>
          <cell r="D1207">
            <v>10</v>
          </cell>
          <cell r="E1207">
            <v>18</v>
          </cell>
          <cell r="F1207">
            <v>0.3</v>
          </cell>
          <cell r="G1207">
            <v>0.23577879795157511</v>
          </cell>
        </row>
        <row r="1208">
          <cell r="A1208" t="str">
            <v>77,9</v>
          </cell>
          <cell r="B1208" t="str">
            <v>MJ II.1 kr</v>
          </cell>
          <cell r="C1208" t="str">
            <v>Kwarter b5</v>
          </cell>
          <cell r="D1208">
            <v>11</v>
          </cell>
          <cell r="E1208">
            <v>19.8</v>
          </cell>
          <cell r="F1208">
            <v>0.3</v>
          </cell>
          <cell r="G1208">
            <v>0.24760852933338706</v>
          </cell>
        </row>
        <row r="1209">
          <cell r="A1209" t="str">
            <v>77,10</v>
          </cell>
          <cell r="B1209" t="str">
            <v>MJ II.1 kr</v>
          </cell>
          <cell r="C1209" t="str">
            <v>Kwarter c1</v>
          </cell>
          <cell r="D1209">
            <v>8</v>
          </cell>
          <cell r="E1209">
            <v>15</v>
          </cell>
          <cell r="F1209">
            <v>0.3</v>
          </cell>
          <cell r="G1209">
            <v>0.21450186870683924</v>
          </cell>
        </row>
        <row r="1210">
          <cell r="A1210" t="str">
            <v>77,11</v>
          </cell>
          <cell r="B1210" t="str">
            <v>MJ II.1 kr</v>
          </cell>
          <cell r="C1210" t="str">
            <v>Kwarter c2</v>
          </cell>
          <cell r="D1210">
            <v>6</v>
          </cell>
          <cell r="E1210">
            <v>15</v>
          </cell>
          <cell r="F1210">
            <v>0.3</v>
          </cell>
          <cell r="G1210">
            <v>0.21450186870683924</v>
          </cell>
        </row>
        <row r="1211">
          <cell r="A1211" t="str">
            <v>77,12</v>
          </cell>
          <cell r="B1211" t="str">
            <v>MJ II.1 kr</v>
          </cell>
          <cell r="C1211" t="str">
            <v>Kwarter c3</v>
          </cell>
          <cell r="D1211">
            <v>8</v>
          </cell>
          <cell r="E1211">
            <v>15</v>
          </cell>
          <cell r="F1211">
            <v>0.3</v>
          </cell>
          <cell r="G1211">
            <v>0.21450186870683924</v>
          </cell>
        </row>
        <row r="1212">
          <cell r="A1212" t="str">
            <v>77,13</v>
          </cell>
          <cell r="B1212" t="str">
            <v>MJ II.1 kr</v>
          </cell>
          <cell r="C1212" t="str">
            <v>Kwarter c4</v>
          </cell>
          <cell r="D1212">
            <v>11</v>
          </cell>
          <cell r="E1212">
            <v>19.8</v>
          </cell>
          <cell r="F1212">
            <v>0.3</v>
          </cell>
          <cell r="G1212">
            <v>0.24760852933338706</v>
          </cell>
        </row>
        <row r="1213">
          <cell r="A1213" t="str">
            <v>77,14</v>
          </cell>
          <cell r="B1213" t="str">
            <v>MJ II.1 kr</v>
          </cell>
          <cell r="C1213" t="str">
            <v>Kwarter c5</v>
          </cell>
          <cell r="D1213">
            <v>13</v>
          </cell>
          <cell r="E1213">
            <v>23.400000000000002</v>
          </cell>
          <cell r="F1213">
            <v>0.3</v>
          </cell>
          <cell r="G1213">
            <v>0.26957675461177327</v>
          </cell>
        </row>
        <row r="1214">
          <cell r="A1214" t="str">
            <v>77,15</v>
          </cell>
          <cell r="B1214" t="str">
            <v>MJ II.1 kr</v>
          </cell>
          <cell r="C1214" t="str">
            <v>Kwarter cab a4</v>
          </cell>
          <cell r="E1214">
            <v>15</v>
          </cell>
          <cell r="F1214">
            <v>0.3</v>
          </cell>
          <cell r="G1214">
            <v>0.21450186870683924</v>
          </cell>
        </row>
        <row r="1215">
          <cell r="A1215" t="str">
            <v>77,16</v>
          </cell>
          <cell r="B1215" t="str">
            <v>MJ II.1 kr</v>
          </cell>
          <cell r="C1215" t="str">
            <v>Tersier T6-K2</v>
          </cell>
          <cell r="D1215">
            <v>24</v>
          </cell>
          <cell r="E1215">
            <v>43.2</v>
          </cell>
          <cell r="F1215">
            <v>0.3</v>
          </cell>
          <cell r="G1215">
            <v>0.25885060257641224</v>
          </cell>
        </row>
        <row r="1216">
          <cell r="A1216" t="str">
            <v>77,17</v>
          </cell>
          <cell r="B1216" t="str">
            <v>MJ II.1 kr</v>
          </cell>
          <cell r="C1216" t="str">
            <v>Tersier T5-T6</v>
          </cell>
          <cell r="D1216">
            <v>38</v>
          </cell>
          <cell r="E1216">
            <v>68.400000000000006</v>
          </cell>
          <cell r="F1216">
            <v>0.35</v>
          </cell>
          <cell r="G1216">
            <v>0.30951703165612038</v>
          </cell>
        </row>
        <row r="1217">
          <cell r="A1217" t="str">
            <v>77,18</v>
          </cell>
          <cell r="B1217" t="str">
            <v>MJ II.1 kr</v>
          </cell>
          <cell r="C1217" t="str">
            <v>Tersier T4-T5</v>
          </cell>
          <cell r="D1217">
            <v>46</v>
          </cell>
          <cell r="E1217">
            <v>82.8</v>
          </cell>
          <cell r="F1217">
            <v>0.4</v>
          </cell>
          <cell r="G1217">
            <v>0.32518264183269974</v>
          </cell>
        </row>
        <row r="1218">
          <cell r="A1218" t="str">
            <v>77,19</v>
          </cell>
          <cell r="B1218" t="str">
            <v>MJ II.1 kr</v>
          </cell>
          <cell r="C1218" t="str">
            <v>Tersier T3-T4</v>
          </cell>
          <cell r="D1218">
            <v>59</v>
          </cell>
          <cell r="E1218">
            <v>106.2</v>
          </cell>
          <cell r="F1218">
            <v>0.4</v>
          </cell>
          <cell r="G1218">
            <v>0.36905046090614008</v>
          </cell>
        </row>
        <row r="1219">
          <cell r="A1219" t="str">
            <v>77,20</v>
          </cell>
          <cell r="B1219" t="str">
            <v>MJ II.1 kr</v>
          </cell>
          <cell r="C1219" t="str">
            <v>Tersier T3-K1</v>
          </cell>
          <cell r="D1219">
            <v>21</v>
          </cell>
          <cell r="E1219">
            <v>37.800000000000004</v>
          </cell>
          <cell r="F1219">
            <v>0.3</v>
          </cell>
          <cell r="G1219">
            <v>0.24999999999999994</v>
          </cell>
        </row>
        <row r="1220">
          <cell r="A1220" t="str">
            <v>77,21</v>
          </cell>
          <cell r="B1220" t="str">
            <v>MJ II.1 kr</v>
          </cell>
          <cell r="C1220" t="str">
            <v>Tersier T2-T3</v>
          </cell>
          <cell r="D1220">
            <v>93</v>
          </cell>
          <cell r="E1220">
            <v>167.4</v>
          </cell>
          <cell r="F1220">
            <v>0.5</v>
          </cell>
          <cell r="G1220">
            <v>0.42974021212213664</v>
          </cell>
        </row>
        <row r="1221">
          <cell r="A1221" t="str">
            <v>77,22</v>
          </cell>
          <cell r="B1221" t="str">
            <v>MJ II.1 kr</v>
          </cell>
          <cell r="C1221" t="str">
            <v>Tersier T1-T2</v>
          </cell>
          <cell r="D1221">
            <v>107</v>
          </cell>
          <cell r="E1221">
            <v>192.6</v>
          </cell>
          <cell r="F1221">
            <v>0.5</v>
          </cell>
          <cell r="G1221">
            <v>0.46136931653718716</v>
          </cell>
        </row>
        <row r="1222">
          <cell r="A1222" t="str">
            <v>77,23</v>
          </cell>
          <cell r="B1222" t="str">
            <v>MJ II.1 kr</v>
          </cell>
          <cell r="C1222" t="str">
            <v>Muka MJ II.1kr</v>
          </cell>
          <cell r="D1222">
            <v>123</v>
          </cell>
          <cell r="E1222">
            <v>221.4</v>
          </cell>
          <cell r="F1222">
            <v>0.5</v>
          </cell>
          <cell r="G1222">
            <v>0.49475881278231604</v>
          </cell>
        </row>
        <row r="1224">
          <cell r="A1224">
            <v>78</v>
          </cell>
          <cell r="B1224" t="str">
            <v>MJ III.1 kr</v>
          </cell>
          <cell r="D1224">
            <v>0</v>
          </cell>
        </row>
        <row r="1225">
          <cell r="A1225" t="str">
            <v>78,1</v>
          </cell>
          <cell r="B1225" t="str">
            <v>MJ III.1 kr</v>
          </cell>
          <cell r="C1225" t="str">
            <v>Kwarter a1</v>
          </cell>
          <cell r="D1225">
            <v>6</v>
          </cell>
          <cell r="E1225">
            <v>15</v>
          </cell>
          <cell r="F1225">
            <v>0.3</v>
          </cell>
          <cell r="G1225">
            <v>0.21450186870683924</v>
          </cell>
        </row>
        <row r="1226">
          <cell r="A1226" t="str">
            <v>78,2</v>
          </cell>
          <cell r="B1226" t="str">
            <v>MJ III.1 kr</v>
          </cell>
          <cell r="C1226" t="str">
            <v>Kwarter a2</v>
          </cell>
          <cell r="D1226">
            <v>11</v>
          </cell>
          <cell r="E1226">
            <v>19.8</v>
          </cell>
          <cell r="F1226">
            <v>0.3</v>
          </cell>
          <cell r="G1226">
            <v>0.24760852933338706</v>
          </cell>
        </row>
        <row r="1227">
          <cell r="A1227" t="str">
            <v>78,3</v>
          </cell>
          <cell r="B1227" t="str">
            <v>MJ III.1 kr</v>
          </cell>
          <cell r="C1227" t="str">
            <v>Kwarter b1</v>
          </cell>
          <cell r="D1227">
            <v>7</v>
          </cell>
          <cell r="E1227">
            <v>15</v>
          </cell>
          <cell r="F1227">
            <v>0.3</v>
          </cell>
          <cell r="G1227">
            <v>0.21450186870683924</v>
          </cell>
        </row>
        <row r="1228">
          <cell r="A1228" t="str">
            <v>78,4</v>
          </cell>
          <cell r="B1228" t="str">
            <v>MJ III.1 kr</v>
          </cell>
          <cell r="C1228" t="str">
            <v>Kwarter b2</v>
          </cell>
          <cell r="D1228">
            <v>12</v>
          </cell>
          <cell r="E1228">
            <v>21.6</v>
          </cell>
          <cell r="F1228">
            <v>0.3</v>
          </cell>
          <cell r="G1228">
            <v>0.25885060257641224</v>
          </cell>
        </row>
        <row r="1229">
          <cell r="A1229" t="str">
            <v>78,5</v>
          </cell>
          <cell r="B1229" t="str">
            <v>MJ III.1 kr</v>
          </cell>
          <cell r="C1229" t="str">
            <v>Kwarter b3</v>
          </cell>
          <cell r="D1229">
            <v>9</v>
          </cell>
          <cell r="E1229">
            <v>16.2</v>
          </cell>
          <cell r="F1229">
            <v>0.3</v>
          </cell>
          <cell r="G1229">
            <v>0.22327164076703876</v>
          </cell>
        </row>
        <row r="1230">
          <cell r="A1230" t="str">
            <v>78,6</v>
          </cell>
          <cell r="B1230" t="str">
            <v>MJ III.1 kr</v>
          </cell>
          <cell r="C1230" t="str">
            <v>Kwarter cab b2</v>
          </cell>
          <cell r="E1230">
            <v>15</v>
          </cell>
          <cell r="F1230">
            <v>0.3</v>
          </cell>
          <cell r="G1230">
            <v>0.21450186870683924</v>
          </cell>
        </row>
        <row r="1231">
          <cell r="A1231" t="str">
            <v>78,7</v>
          </cell>
          <cell r="B1231" t="str">
            <v>MJ III.1 kr</v>
          </cell>
          <cell r="C1231" t="str">
            <v>Muka a1</v>
          </cell>
          <cell r="D1231">
            <v>6</v>
          </cell>
          <cell r="E1231">
            <v>15</v>
          </cell>
          <cell r="F1231">
            <v>0.3</v>
          </cell>
          <cell r="G1231">
            <v>0.14808412770373933</v>
          </cell>
        </row>
        <row r="1232">
          <cell r="A1232" t="str">
            <v>78,8</v>
          </cell>
          <cell r="B1232" t="str">
            <v>MJ III.1 kr</v>
          </cell>
          <cell r="C1232" t="str">
            <v>Muka b3</v>
          </cell>
          <cell r="D1232">
            <v>9</v>
          </cell>
          <cell r="E1232">
            <v>16.2</v>
          </cell>
          <cell r="F1232">
            <v>0.3</v>
          </cell>
          <cell r="G1232">
            <v>0.15999999999999986</v>
          </cell>
        </row>
        <row r="1233">
          <cell r="A1233" t="str">
            <v>78,9</v>
          </cell>
          <cell r="B1233" t="str">
            <v>MJ III.1 kr</v>
          </cell>
          <cell r="C1233" t="str">
            <v>Tersier T1-K1</v>
          </cell>
          <cell r="D1233">
            <v>28</v>
          </cell>
          <cell r="E1233">
            <v>50.4</v>
          </cell>
          <cell r="F1233">
            <v>0.3</v>
          </cell>
          <cell r="G1233">
            <v>0.27999999999999997</v>
          </cell>
        </row>
        <row r="1234">
          <cell r="A1234" t="str">
            <v>78,10</v>
          </cell>
          <cell r="B1234" t="str">
            <v>MJ III.1 kr</v>
          </cell>
          <cell r="C1234" t="str">
            <v>Tersier BMJ IV.1-T1</v>
          </cell>
          <cell r="D1234">
            <v>45</v>
          </cell>
          <cell r="E1234">
            <v>81</v>
          </cell>
          <cell r="F1234">
            <v>0.35</v>
          </cell>
          <cell r="G1234">
            <v>0.33704230552529063</v>
          </cell>
        </row>
        <row r="1236">
          <cell r="A1236">
            <v>79</v>
          </cell>
          <cell r="B1236" t="str">
            <v>MJ III.2 kn</v>
          </cell>
          <cell r="D1236">
            <v>0</v>
          </cell>
        </row>
        <row r="1237">
          <cell r="A1237" t="str">
            <v>79,1</v>
          </cell>
          <cell r="B1237" t="str">
            <v>MJ III.2 kn</v>
          </cell>
          <cell r="C1237" t="str">
            <v>Kwarter a1</v>
          </cell>
          <cell r="D1237">
            <v>9</v>
          </cell>
          <cell r="E1237">
            <v>16.2</v>
          </cell>
          <cell r="F1237">
            <v>0.3</v>
          </cell>
          <cell r="G1237">
            <v>0.22327164076703876</v>
          </cell>
        </row>
        <row r="1238">
          <cell r="A1238" t="str">
            <v>79,2</v>
          </cell>
          <cell r="B1238" t="str">
            <v>MJ III.2 kn</v>
          </cell>
          <cell r="C1238" t="str">
            <v>Kwarter a2</v>
          </cell>
          <cell r="D1238">
            <v>8</v>
          </cell>
          <cell r="E1238">
            <v>15</v>
          </cell>
          <cell r="F1238">
            <v>0.3</v>
          </cell>
          <cell r="G1238">
            <v>0.21450186870683924</v>
          </cell>
        </row>
        <row r="1239">
          <cell r="A1239" t="str">
            <v>79,3</v>
          </cell>
          <cell r="B1239" t="str">
            <v>MJ III.2 kn</v>
          </cell>
          <cell r="C1239" t="str">
            <v>Kwarter a3</v>
          </cell>
          <cell r="D1239">
            <v>5</v>
          </cell>
          <cell r="E1239">
            <v>15</v>
          </cell>
          <cell r="F1239">
            <v>0.3</v>
          </cell>
          <cell r="G1239">
            <v>0.21450186870683924</v>
          </cell>
        </row>
        <row r="1240">
          <cell r="A1240" t="str">
            <v>79,4</v>
          </cell>
          <cell r="B1240" t="str">
            <v>MJ III.2 kn</v>
          </cell>
          <cell r="C1240" t="str">
            <v>Kwarter b1</v>
          </cell>
          <cell r="D1240">
            <v>3</v>
          </cell>
          <cell r="E1240">
            <v>15</v>
          </cell>
          <cell r="F1240">
            <v>0.3</v>
          </cell>
          <cell r="G1240">
            <v>0.21450186870683924</v>
          </cell>
        </row>
        <row r="1241">
          <cell r="A1241" t="str">
            <v>79,5</v>
          </cell>
          <cell r="B1241" t="str">
            <v>MJ III.2 kn</v>
          </cell>
          <cell r="C1241" t="str">
            <v>Kwarter b2</v>
          </cell>
          <cell r="D1241">
            <v>4</v>
          </cell>
          <cell r="E1241">
            <v>15</v>
          </cell>
          <cell r="F1241">
            <v>0.3</v>
          </cell>
          <cell r="G1241">
            <v>0.21450186870683924</v>
          </cell>
        </row>
        <row r="1242">
          <cell r="A1242" t="str">
            <v>79,6</v>
          </cell>
          <cell r="B1242" t="str">
            <v>MJ III.2 kn</v>
          </cell>
          <cell r="C1242" t="str">
            <v>Kwarter b3</v>
          </cell>
          <cell r="D1242">
            <v>9</v>
          </cell>
          <cell r="E1242">
            <v>16.2</v>
          </cell>
          <cell r="F1242">
            <v>0.3</v>
          </cell>
          <cell r="G1242">
            <v>0.22327164076703876</v>
          </cell>
        </row>
        <row r="1243">
          <cell r="A1243" t="str">
            <v>79,7</v>
          </cell>
          <cell r="B1243" t="str">
            <v>MJ III.2 kn</v>
          </cell>
          <cell r="C1243" t="str">
            <v>Muka a3</v>
          </cell>
          <cell r="D1243">
            <v>5</v>
          </cell>
          <cell r="E1243">
            <v>15</v>
          </cell>
          <cell r="F1243">
            <v>0.3</v>
          </cell>
          <cell r="G1243">
            <v>0.14808412770373933</v>
          </cell>
        </row>
        <row r="1244">
          <cell r="A1244" t="str">
            <v>79,8</v>
          </cell>
          <cell r="B1244" t="str">
            <v>MJ III.2 kn</v>
          </cell>
          <cell r="C1244" t="str">
            <v>Muka b3</v>
          </cell>
          <cell r="D1244">
            <v>9</v>
          </cell>
          <cell r="E1244">
            <v>16.2</v>
          </cell>
          <cell r="F1244">
            <v>0.3</v>
          </cell>
          <cell r="G1244">
            <v>0.15443256333332417</v>
          </cell>
        </row>
        <row r="1245">
          <cell r="A1245" t="str">
            <v>79,9</v>
          </cell>
          <cell r="B1245" t="str">
            <v>MJ III.2 kn</v>
          </cell>
          <cell r="C1245" t="str">
            <v>Tersier T2-K1</v>
          </cell>
          <cell r="D1245">
            <v>13</v>
          </cell>
          <cell r="E1245">
            <v>23.400000000000002</v>
          </cell>
          <cell r="F1245">
            <v>0.3</v>
          </cell>
          <cell r="G1245">
            <v>0.18819437534024519</v>
          </cell>
        </row>
        <row r="1246">
          <cell r="A1246" t="str">
            <v>79,10</v>
          </cell>
          <cell r="B1246" t="str">
            <v>MJ III.2 kn</v>
          </cell>
          <cell r="C1246" t="str">
            <v>Tersier T1-T2</v>
          </cell>
          <cell r="D1246">
            <v>16</v>
          </cell>
          <cell r="E1246">
            <v>28.8</v>
          </cell>
          <cell r="F1246">
            <v>0.3</v>
          </cell>
          <cell r="G1246">
            <v>0.20997228605922097</v>
          </cell>
        </row>
        <row r="1247">
          <cell r="A1247" t="str">
            <v>79,11</v>
          </cell>
          <cell r="B1247" t="str">
            <v>MJ III.2 kn</v>
          </cell>
          <cell r="C1247" t="str">
            <v>Tersier T1-K2</v>
          </cell>
          <cell r="D1247">
            <v>13</v>
          </cell>
          <cell r="E1247">
            <v>23.400000000000002</v>
          </cell>
          <cell r="F1247">
            <v>0.3</v>
          </cell>
          <cell r="G1247">
            <v>0.18819437534024519</v>
          </cell>
        </row>
        <row r="1248">
          <cell r="A1248" t="str">
            <v>79,12</v>
          </cell>
          <cell r="B1248" t="str">
            <v>MJ III.2 kn</v>
          </cell>
          <cell r="C1248" t="str">
            <v>Muka MJ III.2kn</v>
          </cell>
          <cell r="D1248">
            <v>38</v>
          </cell>
          <cell r="E1248">
            <v>68.400000000000006</v>
          </cell>
          <cell r="F1248">
            <v>0.35</v>
          </cell>
          <cell r="G1248">
            <v>0.30951703165612038</v>
          </cell>
        </row>
        <row r="1250">
          <cell r="A1250">
            <v>80</v>
          </cell>
          <cell r="B1250" t="str">
            <v>MJ III.2 kr</v>
          </cell>
          <cell r="D1250">
            <v>0</v>
          </cell>
        </row>
        <row r="1251">
          <cell r="A1251" t="str">
            <v>80,1</v>
          </cell>
          <cell r="B1251" t="str">
            <v>MJ III.2 kr</v>
          </cell>
          <cell r="C1251" t="str">
            <v>Kwarter a1</v>
          </cell>
          <cell r="D1251">
            <v>8</v>
          </cell>
          <cell r="E1251">
            <v>15</v>
          </cell>
          <cell r="F1251">
            <v>0.3</v>
          </cell>
          <cell r="G1251">
            <v>0.21450186870683924</v>
          </cell>
        </row>
        <row r="1252">
          <cell r="A1252" t="str">
            <v>80,2</v>
          </cell>
          <cell r="B1252" t="str">
            <v>MJ III.2 kr</v>
          </cell>
          <cell r="C1252" t="str">
            <v>Kwarter a2</v>
          </cell>
          <cell r="D1252">
            <v>10</v>
          </cell>
          <cell r="E1252">
            <v>18</v>
          </cell>
          <cell r="F1252">
            <v>0.3</v>
          </cell>
          <cell r="G1252">
            <v>0.23577879795157511</v>
          </cell>
        </row>
        <row r="1253">
          <cell r="A1253" t="str">
            <v>80,3</v>
          </cell>
          <cell r="B1253" t="str">
            <v>MJ III.2 kr</v>
          </cell>
          <cell r="C1253" t="str">
            <v>Kwarter a3</v>
          </cell>
          <cell r="D1253">
            <v>5</v>
          </cell>
          <cell r="E1253">
            <v>15</v>
          </cell>
          <cell r="F1253">
            <v>0.3</v>
          </cell>
          <cell r="G1253">
            <v>0.21450186870683924</v>
          </cell>
        </row>
        <row r="1254">
          <cell r="A1254" t="str">
            <v>80,4</v>
          </cell>
          <cell r="B1254" t="str">
            <v>MJ III.2 kr</v>
          </cell>
          <cell r="C1254" t="str">
            <v>Kwarter a4</v>
          </cell>
          <cell r="D1254">
            <v>11</v>
          </cell>
          <cell r="E1254">
            <v>19.8</v>
          </cell>
          <cell r="F1254">
            <v>0.3</v>
          </cell>
          <cell r="G1254">
            <v>0.24760852933338706</v>
          </cell>
        </row>
        <row r="1255">
          <cell r="A1255" t="str">
            <v>80,5</v>
          </cell>
          <cell r="B1255" t="str">
            <v>MJ III.2 kr</v>
          </cell>
          <cell r="C1255" t="str">
            <v>Kwarter b1</v>
          </cell>
          <cell r="D1255">
            <v>8</v>
          </cell>
          <cell r="E1255">
            <v>15</v>
          </cell>
          <cell r="F1255">
            <v>0.3</v>
          </cell>
          <cell r="G1255">
            <v>0.21450186870683924</v>
          </cell>
        </row>
        <row r="1256">
          <cell r="A1256" t="str">
            <v>80,6</v>
          </cell>
          <cell r="B1256" t="str">
            <v>MJ III.2 kr</v>
          </cell>
          <cell r="C1256" t="str">
            <v>Kwarter b2</v>
          </cell>
          <cell r="D1256">
            <v>12</v>
          </cell>
          <cell r="E1256">
            <v>21.6</v>
          </cell>
          <cell r="F1256">
            <v>0.3</v>
          </cell>
          <cell r="G1256">
            <v>0.25885060257641224</v>
          </cell>
        </row>
        <row r="1257">
          <cell r="A1257" t="str">
            <v>80,7</v>
          </cell>
          <cell r="B1257" t="str">
            <v>MJ III.2 kr</v>
          </cell>
          <cell r="C1257" t="str">
            <v>Kwarter b3</v>
          </cell>
          <cell r="D1257">
            <v>13</v>
          </cell>
          <cell r="E1257">
            <v>23.400000000000002</v>
          </cell>
          <cell r="F1257">
            <v>0.3</v>
          </cell>
          <cell r="G1257">
            <v>0.26957675461177327</v>
          </cell>
        </row>
        <row r="1258">
          <cell r="A1258" t="str">
            <v>80,8</v>
          </cell>
          <cell r="B1258" t="str">
            <v>MJ III.2 kr</v>
          </cell>
          <cell r="C1258" t="str">
            <v>Muka a4</v>
          </cell>
          <cell r="D1258">
            <v>11</v>
          </cell>
          <cell r="E1258">
            <v>19.8</v>
          </cell>
          <cell r="F1258">
            <v>0.3</v>
          </cell>
          <cell r="G1258">
            <v>0.17212948709189466</v>
          </cell>
        </row>
        <row r="1259">
          <cell r="A1259" t="str">
            <v>80,9</v>
          </cell>
          <cell r="B1259" t="str">
            <v>MJ III.2 kr</v>
          </cell>
          <cell r="C1259" t="str">
            <v>Muka b3</v>
          </cell>
          <cell r="D1259">
            <v>13</v>
          </cell>
          <cell r="E1259">
            <v>23.400000000000002</v>
          </cell>
          <cell r="F1259">
            <v>0.3</v>
          </cell>
          <cell r="G1259">
            <v>0.18819437534024519</v>
          </cell>
        </row>
        <row r="1260">
          <cell r="A1260" t="str">
            <v>80,10</v>
          </cell>
          <cell r="B1260" t="str">
            <v>MJ III.2 kr</v>
          </cell>
          <cell r="C1260" t="str">
            <v>Tersier T3-K1</v>
          </cell>
          <cell r="D1260">
            <v>16</v>
          </cell>
          <cell r="E1260">
            <v>28.8</v>
          </cell>
          <cell r="F1260">
            <v>0.3</v>
          </cell>
          <cell r="G1260">
            <v>0.20997228605922097</v>
          </cell>
        </row>
        <row r="1261">
          <cell r="A1261" t="str">
            <v>80,11</v>
          </cell>
          <cell r="B1261" t="str">
            <v>MJ III.2 kr</v>
          </cell>
          <cell r="C1261" t="str">
            <v>Tersier T2-T3</v>
          </cell>
          <cell r="D1261">
            <v>26</v>
          </cell>
          <cell r="E1261">
            <v>46.800000000000004</v>
          </cell>
          <cell r="F1261">
            <v>0.3</v>
          </cell>
          <cell r="G1261">
            <v>0.26999999999999996</v>
          </cell>
        </row>
        <row r="1262">
          <cell r="A1262" t="str">
            <v>80,12</v>
          </cell>
          <cell r="B1262" t="str">
            <v>MJ III.2 kr</v>
          </cell>
          <cell r="C1262" t="str">
            <v>Tersier T1-T2</v>
          </cell>
          <cell r="D1262">
            <v>34</v>
          </cell>
          <cell r="E1262">
            <v>61.2</v>
          </cell>
          <cell r="F1262">
            <v>0.35</v>
          </cell>
          <cell r="G1262">
            <v>0.29999999999999993</v>
          </cell>
        </row>
        <row r="1263">
          <cell r="A1263" t="str">
            <v>80,13</v>
          </cell>
          <cell r="B1263" t="str">
            <v>MJ III.2 kr</v>
          </cell>
          <cell r="C1263" t="str">
            <v>Tersier T1-K2</v>
          </cell>
          <cell r="D1263">
            <v>25</v>
          </cell>
          <cell r="E1263">
            <v>45</v>
          </cell>
          <cell r="F1263">
            <v>0.3</v>
          </cell>
          <cell r="G1263">
            <v>0.26427423601946898</v>
          </cell>
        </row>
        <row r="1264">
          <cell r="A1264" t="str">
            <v>80,14</v>
          </cell>
          <cell r="B1264" t="str">
            <v>MJ III.2 kr</v>
          </cell>
          <cell r="C1264" t="str">
            <v>Tersier BMJ III.2-T1</v>
          </cell>
          <cell r="D1264">
            <v>67</v>
          </cell>
          <cell r="E1264">
            <v>120.60000000000001</v>
          </cell>
          <cell r="F1264">
            <v>0.4</v>
          </cell>
          <cell r="G1264">
            <v>0.39335665569070533</v>
          </cell>
        </row>
        <row r="1266">
          <cell r="A1266">
            <v>81</v>
          </cell>
          <cell r="B1266" t="str">
            <v>TM 1 kn</v>
          </cell>
          <cell r="D1266">
            <v>0</v>
          </cell>
        </row>
        <row r="1267">
          <cell r="A1267" t="str">
            <v>81,1</v>
          </cell>
          <cell r="B1267" t="str">
            <v>TM 1 kn</v>
          </cell>
          <cell r="C1267" t="str">
            <v>Kwarter a1</v>
          </cell>
          <cell r="D1267">
            <v>10</v>
          </cell>
          <cell r="E1267">
            <v>18</v>
          </cell>
          <cell r="F1267">
            <v>0.3</v>
          </cell>
          <cell r="G1267">
            <v>0.23577879795157511</v>
          </cell>
        </row>
        <row r="1268">
          <cell r="A1268" t="str">
            <v>81,2</v>
          </cell>
          <cell r="B1268" t="str">
            <v>TM 1 kn</v>
          </cell>
          <cell r="C1268" t="str">
            <v>Kwarter a2</v>
          </cell>
          <cell r="D1268">
            <v>7</v>
          </cell>
          <cell r="E1268">
            <v>15</v>
          </cell>
          <cell r="F1268">
            <v>0.3</v>
          </cell>
          <cell r="G1268">
            <v>0.21450186870683924</v>
          </cell>
        </row>
        <row r="1269">
          <cell r="A1269" t="str">
            <v>81,3</v>
          </cell>
          <cell r="B1269" t="str">
            <v>TM 1 kn</v>
          </cell>
          <cell r="C1269" t="str">
            <v>Kwarter a3</v>
          </cell>
          <cell r="D1269">
            <v>9</v>
          </cell>
          <cell r="E1269">
            <v>16.2</v>
          </cell>
          <cell r="F1269">
            <v>0.3</v>
          </cell>
          <cell r="G1269">
            <v>0.22327164076703876</v>
          </cell>
        </row>
        <row r="1270">
          <cell r="A1270" t="str">
            <v>81,4</v>
          </cell>
          <cell r="B1270" t="str">
            <v>TM 1 kn</v>
          </cell>
          <cell r="C1270" t="str">
            <v>Kwarter a4</v>
          </cell>
          <cell r="D1270">
            <v>9</v>
          </cell>
          <cell r="E1270">
            <v>16.2</v>
          </cell>
          <cell r="F1270">
            <v>0.3</v>
          </cell>
          <cell r="G1270">
            <v>0.22327164076703876</v>
          </cell>
        </row>
        <row r="1271">
          <cell r="A1271" t="str">
            <v>81,5</v>
          </cell>
          <cell r="B1271" t="str">
            <v>TM 1 kn</v>
          </cell>
          <cell r="C1271" t="str">
            <v>Kwarter b1</v>
          </cell>
          <cell r="D1271">
            <v>9</v>
          </cell>
          <cell r="E1271">
            <v>16.2</v>
          </cell>
          <cell r="F1271">
            <v>0.3</v>
          </cell>
          <cell r="G1271">
            <v>0.22327164076703876</v>
          </cell>
        </row>
        <row r="1272">
          <cell r="A1272" t="str">
            <v>81,6</v>
          </cell>
          <cell r="B1272" t="str">
            <v>TM 1 kn</v>
          </cell>
          <cell r="C1272" t="str">
            <v>Kwarter b2</v>
          </cell>
          <cell r="D1272">
            <v>12</v>
          </cell>
          <cell r="E1272">
            <v>21.6</v>
          </cell>
          <cell r="F1272">
            <v>0.3</v>
          </cell>
          <cell r="G1272">
            <v>0.25885060257641224</v>
          </cell>
        </row>
        <row r="1273">
          <cell r="A1273" t="str">
            <v>81,7</v>
          </cell>
          <cell r="B1273" t="str">
            <v>TM 1 kn</v>
          </cell>
          <cell r="C1273" t="str">
            <v>Kwarter b3</v>
          </cell>
          <cell r="D1273">
            <v>8</v>
          </cell>
          <cell r="E1273">
            <v>15</v>
          </cell>
          <cell r="F1273">
            <v>0.3</v>
          </cell>
          <cell r="G1273">
            <v>0.21450186870683924</v>
          </cell>
        </row>
        <row r="1274">
          <cell r="A1274" t="str">
            <v>81,8</v>
          </cell>
          <cell r="B1274" t="str">
            <v>TM 1 kn</v>
          </cell>
          <cell r="C1274" t="str">
            <v>Kwarter c1</v>
          </cell>
          <cell r="D1274">
            <v>9</v>
          </cell>
          <cell r="E1274">
            <v>16.2</v>
          </cell>
          <cell r="F1274">
            <v>0.3</v>
          </cell>
          <cell r="G1274">
            <v>0.22327164076703876</v>
          </cell>
        </row>
        <row r="1275">
          <cell r="A1275" t="str">
            <v>81,9</v>
          </cell>
          <cell r="B1275" t="str">
            <v>TM 1 kn</v>
          </cell>
          <cell r="C1275" t="str">
            <v>Kwarter c2</v>
          </cell>
          <cell r="D1275">
            <v>8</v>
          </cell>
          <cell r="E1275">
            <v>15</v>
          </cell>
          <cell r="F1275">
            <v>0.3</v>
          </cell>
          <cell r="G1275">
            <v>0.21450186870683924</v>
          </cell>
        </row>
        <row r="1276">
          <cell r="A1276" t="str">
            <v>81,10</v>
          </cell>
          <cell r="B1276" t="str">
            <v>TM 1 kn</v>
          </cell>
          <cell r="C1276" t="str">
            <v>Muka a4</v>
          </cell>
          <cell r="D1276">
            <v>9</v>
          </cell>
          <cell r="E1276">
            <v>16.2</v>
          </cell>
          <cell r="F1276">
            <v>0.3</v>
          </cell>
          <cell r="G1276">
            <v>0.12922277803980325</v>
          </cell>
        </row>
        <row r="1277">
          <cell r="A1277" t="str">
            <v>81,11</v>
          </cell>
          <cell r="B1277" t="str">
            <v>TM 1 kn</v>
          </cell>
          <cell r="C1277" t="str">
            <v>Muka c2</v>
          </cell>
          <cell r="D1277">
            <v>8</v>
          </cell>
          <cell r="E1277">
            <v>15</v>
          </cell>
          <cell r="F1277">
            <v>0.3</v>
          </cell>
          <cell r="G1277">
            <v>0.13344677429281204</v>
          </cell>
        </row>
        <row r="1278">
          <cell r="A1278" t="str">
            <v>81,12</v>
          </cell>
          <cell r="B1278" t="str">
            <v>TM 1 kn</v>
          </cell>
          <cell r="C1278" t="str">
            <v>Tersier T3-K1</v>
          </cell>
          <cell r="D1278">
            <v>25</v>
          </cell>
          <cell r="E1278">
            <v>45</v>
          </cell>
          <cell r="F1278">
            <v>0.3</v>
          </cell>
          <cell r="G1278">
            <v>0.26427423601946898</v>
          </cell>
        </row>
        <row r="1279">
          <cell r="A1279" t="str">
            <v>81,13</v>
          </cell>
          <cell r="B1279" t="str">
            <v>TM 1 kn</v>
          </cell>
          <cell r="C1279" t="str">
            <v>Tersier T2-T3</v>
          </cell>
          <cell r="D1279">
            <v>46</v>
          </cell>
          <cell r="E1279">
            <v>82.8</v>
          </cell>
          <cell r="F1279">
            <v>0.4</v>
          </cell>
          <cell r="G1279">
            <v>0.32518264183269974</v>
          </cell>
        </row>
        <row r="1280">
          <cell r="A1280" t="str">
            <v>81,14</v>
          </cell>
          <cell r="B1280" t="str">
            <v>TM 1 kn</v>
          </cell>
          <cell r="C1280" t="str">
            <v>Tersier T1-T2</v>
          </cell>
          <cell r="D1280">
            <v>55</v>
          </cell>
          <cell r="E1280">
            <v>99</v>
          </cell>
          <cell r="F1280">
            <v>0.4</v>
          </cell>
          <cell r="G1280">
            <v>0.36</v>
          </cell>
        </row>
        <row r="1281">
          <cell r="A1281" t="str">
            <v>81,15</v>
          </cell>
          <cell r="B1281" t="str">
            <v>TM 1 kn</v>
          </cell>
          <cell r="C1281" t="str">
            <v>Tersier BTM 1-T1</v>
          </cell>
          <cell r="D1281">
            <v>81</v>
          </cell>
          <cell r="E1281">
            <v>145.80000000000001</v>
          </cell>
          <cell r="F1281">
            <v>0.45</v>
          </cell>
          <cell r="G1281">
            <v>0.4157728671855318</v>
          </cell>
        </row>
        <row r="1283">
          <cell r="A1283">
            <v>82</v>
          </cell>
          <cell r="B1283" t="str">
            <v>TM 1 kr</v>
          </cell>
          <cell r="D1283">
            <v>0</v>
          </cell>
        </row>
        <row r="1284">
          <cell r="A1284" t="str">
            <v>82,1</v>
          </cell>
          <cell r="B1284" t="str">
            <v>TM 1 kr</v>
          </cell>
          <cell r="C1284" t="str">
            <v>Kwarter a1</v>
          </cell>
          <cell r="D1284">
            <v>15</v>
          </cell>
          <cell r="E1284">
            <v>27</v>
          </cell>
          <cell r="F1284">
            <v>0.3</v>
          </cell>
          <cell r="G1284">
            <v>0.28970512341744525</v>
          </cell>
        </row>
        <row r="1285">
          <cell r="A1285" t="str">
            <v>82,2</v>
          </cell>
          <cell r="B1285" t="str">
            <v>TM 1 kr</v>
          </cell>
          <cell r="C1285" t="str">
            <v>Kwarter a2</v>
          </cell>
          <cell r="D1285">
            <v>10</v>
          </cell>
          <cell r="E1285">
            <v>18</v>
          </cell>
          <cell r="F1285">
            <v>0.3</v>
          </cell>
          <cell r="G1285">
            <v>0.23577879795157511</v>
          </cell>
        </row>
        <row r="1286">
          <cell r="A1286" t="str">
            <v>82,3</v>
          </cell>
          <cell r="B1286" t="str">
            <v>TM 1 kr</v>
          </cell>
          <cell r="C1286" t="str">
            <v>Kwarter a3</v>
          </cell>
          <cell r="D1286">
            <v>5</v>
          </cell>
          <cell r="E1286">
            <v>15</v>
          </cell>
          <cell r="F1286">
            <v>0.3</v>
          </cell>
          <cell r="G1286">
            <v>0.21450186870683924</v>
          </cell>
        </row>
        <row r="1287">
          <cell r="A1287" t="str">
            <v>82,4</v>
          </cell>
          <cell r="B1287" t="str">
            <v>TM 1 kr</v>
          </cell>
          <cell r="C1287" t="str">
            <v>Muka a3</v>
          </cell>
          <cell r="D1287">
            <v>5</v>
          </cell>
          <cell r="E1287">
            <v>15</v>
          </cell>
          <cell r="F1287">
            <v>0.3</v>
          </cell>
          <cell r="G1287">
            <v>0.14808412770373933</v>
          </cell>
        </row>
        <row r="1288">
          <cell r="A1288" t="str">
            <v>82,5</v>
          </cell>
          <cell r="B1288" t="str">
            <v>TM 1 kr</v>
          </cell>
          <cell r="C1288" t="str">
            <v>Tersier T1-K1</v>
          </cell>
          <cell r="D1288">
            <v>15</v>
          </cell>
          <cell r="E1288">
            <v>27</v>
          </cell>
          <cell r="F1288">
            <v>0.3</v>
          </cell>
          <cell r="G1288">
            <v>0.2029802970310392</v>
          </cell>
        </row>
        <row r="1289">
          <cell r="A1289" t="str">
            <v>82,6</v>
          </cell>
          <cell r="B1289" t="str">
            <v>TM 1 kr</v>
          </cell>
          <cell r="C1289" t="str">
            <v>Tersier BTM1-T1</v>
          </cell>
          <cell r="D1289">
            <v>30</v>
          </cell>
          <cell r="E1289">
            <v>54</v>
          </cell>
          <cell r="F1289">
            <v>0.3</v>
          </cell>
          <cell r="G1289">
            <v>0.28970512341744525</v>
          </cell>
        </row>
        <row r="1291">
          <cell r="A1291">
            <v>83</v>
          </cell>
          <cell r="B1291" t="str">
            <v>TM 2 kn</v>
          </cell>
          <cell r="D1291">
            <v>0</v>
          </cell>
        </row>
        <row r="1292">
          <cell r="A1292" t="str">
            <v>83,1</v>
          </cell>
          <cell r="B1292" t="str">
            <v>TM 2 kn</v>
          </cell>
          <cell r="C1292" t="str">
            <v>Kwarter a1</v>
          </cell>
          <cell r="D1292">
            <v>11</v>
          </cell>
          <cell r="E1292">
            <v>19.8</v>
          </cell>
          <cell r="F1292">
            <v>0.3</v>
          </cell>
          <cell r="G1292">
            <v>0.24760852933338706</v>
          </cell>
        </row>
        <row r="1293">
          <cell r="A1293" t="str">
            <v>83,2</v>
          </cell>
          <cell r="B1293" t="str">
            <v>TM 2 kn</v>
          </cell>
          <cell r="C1293" t="str">
            <v>Kwarter a2</v>
          </cell>
          <cell r="D1293">
            <v>13</v>
          </cell>
          <cell r="E1293">
            <v>23.400000000000002</v>
          </cell>
          <cell r="F1293">
            <v>0.3</v>
          </cell>
          <cell r="G1293">
            <v>0.26957675461177327</v>
          </cell>
        </row>
        <row r="1294">
          <cell r="A1294" t="str">
            <v>83,3</v>
          </cell>
          <cell r="B1294" t="str">
            <v>TM 2 kn</v>
          </cell>
          <cell r="C1294" t="str">
            <v>Kwarter cab a1</v>
          </cell>
          <cell r="E1294">
            <v>15</v>
          </cell>
          <cell r="F1294">
            <v>0.3</v>
          </cell>
          <cell r="G1294">
            <v>0.21450186870683924</v>
          </cell>
        </row>
        <row r="1295">
          <cell r="A1295" t="str">
            <v>83,4</v>
          </cell>
          <cell r="B1295" t="str">
            <v>TM 2 kn</v>
          </cell>
          <cell r="C1295" t="str">
            <v>Muka a2</v>
          </cell>
          <cell r="D1295">
            <v>13</v>
          </cell>
          <cell r="E1295">
            <v>23.400000000000002</v>
          </cell>
          <cell r="F1295">
            <v>0.3</v>
          </cell>
          <cell r="G1295">
            <v>0.18819437534024519</v>
          </cell>
        </row>
        <row r="1296">
          <cell r="A1296" t="str">
            <v>83,5</v>
          </cell>
          <cell r="B1296" t="str">
            <v>TM 2 kn</v>
          </cell>
          <cell r="C1296" t="str">
            <v>Tersier BTM.2-T1</v>
          </cell>
          <cell r="D1296">
            <v>24</v>
          </cell>
          <cell r="E1296">
            <v>43.2</v>
          </cell>
          <cell r="F1296">
            <v>0.3</v>
          </cell>
          <cell r="G1296">
            <v>0.25885060257641224</v>
          </cell>
        </row>
        <row r="1298">
          <cell r="A1298">
            <v>84</v>
          </cell>
          <cell r="B1298" t="str">
            <v>TM 3 kn1</v>
          </cell>
          <cell r="D1298">
            <v>0</v>
          </cell>
        </row>
        <row r="1299">
          <cell r="A1299" t="str">
            <v>84,1</v>
          </cell>
          <cell r="B1299" t="str">
            <v>TM 3 kn1</v>
          </cell>
          <cell r="C1299" t="str">
            <v>Kwarter a1</v>
          </cell>
          <cell r="D1299">
            <v>8</v>
          </cell>
          <cell r="E1299">
            <v>15</v>
          </cell>
          <cell r="F1299">
            <v>0.3</v>
          </cell>
          <cell r="G1299">
            <v>0.21450186870683924</v>
          </cell>
        </row>
        <row r="1300">
          <cell r="A1300" t="str">
            <v>84,2</v>
          </cell>
          <cell r="B1300" t="str">
            <v>TM 3 kn1</v>
          </cell>
          <cell r="C1300" t="str">
            <v>Kwarter a2</v>
          </cell>
          <cell r="D1300">
            <v>9</v>
          </cell>
          <cell r="E1300">
            <v>16.2</v>
          </cell>
          <cell r="F1300">
            <v>0.3</v>
          </cell>
          <cell r="G1300">
            <v>0.22327164076703876</v>
          </cell>
        </row>
        <row r="1301">
          <cell r="A1301" t="str">
            <v>84,3</v>
          </cell>
          <cell r="B1301" t="str">
            <v>TM 3 kn1</v>
          </cell>
          <cell r="C1301" t="str">
            <v>Kwarter b1</v>
          </cell>
          <cell r="D1301">
            <v>16</v>
          </cell>
          <cell r="E1301">
            <v>28.8</v>
          </cell>
          <cell r="F1301">
            <v>0.3</v>
          </cell>
          <cell r="G1301">
            <v>0.29919620491337184</v>
          </cell>
        </row>
        <row r="1302">
          <cell r="A1302" t="str">
            <v>84,4</v>
          </cell>
          <cell r="B1302" t="str">
            <v>TM 3 kn1</v>
          </cell>
          <cell r="C1302" t="str">
            <v>Kwarter b2</v>
          </cell>
          <cell r="D1302">
            <v>15</v>
          </cell>
          <cell r="E1302">
            <v>27</v>
          </cell>
          <cell r="F1302">
            <v>0.3</v>
          </cell>
          <cell r="G1302">
            <v>0.28970512341744525</v>
          </cell>
        </row>
        <row r="1303">
          <cell r="A1303" t="str">
            <v>84,5</v>
          </cell>
          <cell r="B1303" t="str">
            <v>TM 3 kn1</v>
          </cell>
          <cell r="C1303" t="str">
            <v>Kwarter b3</v>
          </cell>
          <cell r="D1303">
            <v>15</v>
          </cell>
          <cell r="E1303">
            <v>27</v>
          </cell>
          <cell r="F1303">
            <v>0.3</v>
          </cell>
          <cell r="G1303">
            <v>0.28970512341744525</v>
          </cell>
        </row>
        <row r="1304">
          <cell r="A1304" t="str">
            <v>84,6</v>
          </cell>
          <cell r="B1304" t="str">
            <v>TM 3 kn1</v>
          </cell>
          <cell r="C1304" t="str">
            <v>Kwarter c1</v>
          </cell>
          <cell r="D1304">
            <v>7</v>
          </cell>
          <cell r="E1304">
            <v>15</v>
          </cell>
          <cell r="F1304">
            <v>0.3</v>
          </cell>
          <cell r="G1304">
            <v>0.21450186870683924</v>
          </cell>
        </row>
        <row r="1305">
          <cell r="A1305" t="str">
            <v>84,7</v>
          </cell>
          <cell r="B1305" t="str">
            <v>TM 3 kn1</v>
          </cell>
          <cell r="C1305" t="str">
            <v>Kwarter c2</v>
          </cell>
          <cell r="D1305">
            <v>7</v>
          </cell>
          <cell r="E1305">
            <v>15</v>
          </cell>
          <cell r="F1305">
            <v>0.3</v>
          </cell>
          <cell r="G1305">
            <v>0.21450186870683924</v>
          </cell>
        </row>
        <row r="1306">
          <cell r="A1306" t="str">
            <v>84,8</v>
          </cell>
          <cell r="B1306" t="str">
            <v>TM 3 kn1</v>
          </cell>
          <cell r="C1306" t="str">
            <v>Kwarter c3</v>
          </cell>
          <cell r="D1306">
            <v>15</v>
          </cell>
          <cell r="E1306">
            <v>27</v>
          </cell>
          <cell r="F1306">
            <v>0.3</v>
          </cell>
          <cell r="G1306">
            <v>0.28970512341744525</v>
          </cell>
        </row>
        <row r="1307">
          <cell r="A1307" t="str">
            <v>84,9</v>
          </cell>
          <cell r="B1307" t="str">
            <v>TM 3 kn1</v>
          </cell>
          <cell r="C1307" t="str">
            <v>Muka c3</v>
          </cell>
          <cell r="D1307">
            <v>15</v>
          </cell>
          <cell r="E1307">
            <v>27</v>
          </cell>
          <cell r="F1307">
            <v>0.3</v>
          </cell>
          <cell r="G1307">
            <v>0.2029802970310392</v>
          </cell>
        </row>
        <row r="1308">
          <cell r="A1308" t="str">
            <v>84,10</v>
          </cell>
          <cell r="B1308" t="str">
            <v>TM 3 kn1</v>
          </cell>
          <cell r="C1308" t="str">
            <v>Tersier T4-K2</v>
          </cell>
          <cell r="D1308">
            <v>30</v>
          </cell>
          <cell r="E1308">
            <v>54</v>
          </cell>
          <cell r="F1308">
            <v>0.3</v>
          </cell>
          <cell r="G1308">
            <v>0.28970512341744525</v>
          </cell>
        </row>
        <row r="1309">
          <cell r="A1309" t="str">
            <v>84,11</v>
          </cell>
          <cell r="B1309" t="str">
            <v>TM 3 kn1</v>
          </cell>
          <cell r="C1309" t="str">
            <v>Tersier T1-T4</v>
          </cell>
          <cell r="D1309">
            <v>46</v>
          </cell>
          <cell r="E1309">
            <v>82.8</v>
          </cell>
          <cell r="F1309">
            <v>0.3</v>
          </cell>
          <cell r="G1309">
            <v>0.22662593841844758</v>
          </cell>
        </row>
        <row r="1310">
          <cell r="A1310" t="str">
            <v>84,12</v>
          </cell>
          <cell r="B1310" t="str">
            <v>TM 3 kn1</v>
          </cell>
          <cell r="C1310" t="str">
            <v>Tersier T3-K1</v>
          </cell>
          <cell r="D1310">
            <v>22</v>
          </cell>
          <cell r="E1310">
            <v>39.6</v>
          </cell>
          <cell r="F1310">
            <v>0.3</v>
          </cell>
          <cell r="G1310">
            <v>0.24760852933338706</v>
          </cell>
        </row>
        <row r="1311">
          <cell r="A1311" t="str">
            <v>84,13</v>
          </cell>
          <cell r="B1311" t="str">
            <v>TM 3 kn1</v>
          </cell>
          <cell r="C1311" t="str">
            <v>Tersier T2-T3</v>
          </cell>
          <cell r="D1311">
            <v>29</v>
          </cell>
          <cell r="E1311">
            <v>52.2</v>
          </cell>
          <cell r="F1311">
            <v>0.3</v>
          </cell>
          <cell r="G1311">
            <v>0.28482375147425121</v>
          </cell>
        </row>
        <row r="1312">
          <cell r="A1312" t="str">
            <v>84,14</v>
          </cell>
          <cell r="B1312" t="str">
            <v>TM 3 kn1</v>
          </cell>
          <cell r="C1312" t="str">
            <v>Tersier T1-T2</v>
          </cell>
          <cell r="D1312">
            <v>38</v>
          </cell>
          <cell r="E1312">
            <v>68.400000000000006</v>
          </cell>
          <cell r="F1312">
            <v>0.35</v>
          </cell>
          <cell r="G1312">
            <v>0.30951703165612038</v>
          </cell>
        </row>
        <row r="1313">
          <cell r="A1313" t="str">
            <v>84,15</v>
          </cell>
          <cell r="B1313" t="str">
            <v>TM 3 kn1</v>
          </cell>
          <cell r="C1313" t="str">
            <v>Tersier BTM3-T1</v>
          </cell>
          <cell r="D1313">
            <v>92</v>
          </cell>
          <cell r="E1313">
            <v>165.6</v>
          </cell>
          <cell r="F1313">
            <v>0.45</v>
          </cell>
          <cell r="G1313">
            <v>0.4431913123411681</v>
          </cell>
        </row>
        <row r="1315">
          <cell r="A1315">
            <v>85</v>
          </cell>
          <cell r="B1315" t="str">
            <v>TM 3 kn2</v>
          </cell>
          <cell r="D1315">
            <v>0</v>
          </cell>
        </row>
        <row r="1316">
          <cell r="A1316" t="str">
            <v>85,1</v>
          </cell>
          <cell r="B1316" t="str">
            <v>TM 3 kn2</v>
          </cell>
          <cell r="C1316" t="str">
            <v>Kwarter a1</v>
          </cell>
          <cell r="D1316">
            <v>6</v>
          </cell>
          <cell r="E1316">
            <v>15</v>
          </cell>
          <cell r="F1316">
            <v>0.3</v>
          </cell>
          <cell r="G1316">
            <v>0.21450186870683924</v>
          </cell>
        </row>
        <row r="1317">
          <cell r="A1317" t="str">
            <v>85,2</v>
          </cell>
          <cell r="B1317" t="str">
            <v>TM 3 kn2</v>
          </cell>
          <cell r="C1317" t="str">
            <v>Kwarter a2</v>
          </cell>
          <cell r="D1317">
            <v>9</v>
          </cell>
          <cell r="E1317">
            <v>16.2</v>
          </cell>
          <cell r="F1317">
            <v>0.3</v>
          </cell>
          <cell r="G1317">
            <v>0.22327164076703876</v>
          </cell>
        </row>
        <row r="1318">
          <cell r="A1318" t="str">
            <v>85,3</v>
          </cell>
          <cell r="B1318" t="str">
            <v>TM 3 kn2</v>
          </cell>
          <cell r="C1318" t="str">
            <v>Kwarter a3</v>
          </cell>
          <cell r="D1318">
            <v>10</v>
          </cell>
          <cell r="E1318">
            <v>18</v>
          </cell>
          <cell r="F1318">
            <v>0.3</v>
          </cell>
          <cell r="G1318">
            <v>0.23577879795157511</v>
          </cell>
        </row>
        <row r="1319">
          <cell r="A1319" t="str">
            <v>85,4</v>
          </cell>
          <cell r="B1319" t="str">
            <v>TM 3 kn2</v>
          </cell>
          <cell r="C1319" t="str">
            <v>Kwarter a4</v>
          </cell>
          <cell r="D1319">
            <v>13</v>
          </cell>
          <cell r="E1319">
            <v>23.400000000000002</v>
          </cell>
          <cell r="F1319">
            <v>0.3</v>
          </cell>
          <cell r="G1319">
            <v>0.26957675461177327</v>
          </cell>
        </row>
        <row r="1320">
          <cell r="A1320" t="str">
            <v>85,5</v>
          </cell>
          <cell r="B1320" t="str">
            <v>TM 3 kn2</v>
          </cell>
          <cell r="C1320" t="str">
            <v>Kwarter b1</v>
          </cell>
          <cell r="D1320">
            <v>13</v>
          </cell>
          <cell r="E1320">
            <v>23.400000000000002</v>
          </cell>
          <cell r="F1320">
            <v>0.3</v>
          </cell>
          <cell r="G1320">
            <v>0.26957675461177327</v>
          </cell>
        </row>
        <row r="1321">
          <cell r="A1321" t="str">
            <v>85,6</v>
          </cell>
          <cell r="B1321" t="str">
            <v>TM 3 kn2</v>
          </cell>
          <cell r="C1321" t="str">
            <v>Kwarter b2</v>
          </cell>
          <cell r="D1321">
            <v>12</v>
          </cell>
          <cell r="E1321">
            <v>21.6</v>
          </cell>
          <cell r="F1321">
            <v>0.3</v>
          </cell>
          <cell r="G1321">
            <v>0.25885060257641224</v>
          </cell>
        </row>
        <row r="1322">
          <cell r="A1322" t="str">
            <v>85,7</v>
          </cell>
          <cell r="B1322" t="str">
            <v>TM 3 kn2</v>
          </cell>
          <cell r="C1322" t="str">
            <v>Kwarter c1</v>
          </cell>
          <cell r="D1322">
            <v>5</v>
          </cell>
          <cell r="E1322">
            <v>15</v>
          </cell>
          <cell r="F1322">
            <v>0.3</v>
          </cell>
          <cell r="G1322">
            <v>0.21450186870683924</v>
          </cell>
        </row>
        <row r="1323">
          <cell r="A1323" t="str">
            <v>85,8</v>
          </cell>
          <cell r="B1323" t="str">
            <v>TM 3 kn2</v>
          </cell>
          <cell r="C1323" t="str">
            <v>Kwarter c2</v>
          </cell>
          <cell r="D1323">
            <v>6</v>
          </cell>
          <cell r="E1323">
            <v>15</v>
          </cell>
          <cell r="F1323">
            <v>0.3</v>
          </cell>
          <cell r="G1323">
            <v>0.21450186870683924</v>
          </cell>
        </row>
        <row r="1324">
          <cell r="A1324" t="str">
            <v>85,9</v>
          </cell>
          <cell r="B1324" t="str">
            <v>TM 3 kn2</v>
          </cell>
          <cell r="C1324" t="str">
            <v>Kwarter c3</v>
          </cell>
          <cell r="D1324">
            <v>4</v>
          </cell>
          <cell r="E1324">
            <v>15</v>
          </cell>
          <cell r="F1324">
            <v>0.3</v>
          </cell>
          <cell r="G1324">
            <v>0.21450186870683924</v>
          </cell>
        </row>
        <row r="1325">
          <cell r="A1325" t="str">
            <v>85,10</v>
          </cell>
          <cell r="B1325" t="str">
            <v>TM 3 kn2</v>
          </cell>
          <cell r="C1325" t="str">
            <v>Kwarter c4</v>
          </cell>
          <cell r="D1325">
            <v>5</v>
          </cell>
          <cell r="E1325">
            <v>15</v>
          </cell>
          <cell r="F1325">
            <v>0.3</v>
          </cell>
          <cell r="G1325">
            <v>0.21450186870683924</v>
          </cell>
        </row>
        <row r="1326">
          <cell r="A1326" t="str">
            <v>85,11</v>
          </cell>
          <cell r="B1326" t="str">
            <v>TM 3 kn2</v>
          </cell>
          <cell r="C1326" t="str">
            <v>Kwarter c5</v>
          </cell>
          <cell r="D1326">
            <v>8</v>
          </cell>
          <cell r="E1326">
            <v>15</v>
          </cell>
          <cell r="F1326">
            <v>0.3</v>
          </cell>
          <cell r="G1326">
            <v>0.21450186870683924</v>
          </cell>
        </row>
        <row r="1327">
          <cell r="A1327" t="str">
            <v>85,12</v>
          </cell>
          <cell r="B1327" t="str">
            <v>TM 3 kn2</v>
          </cell>
          <cell r="C1327" t="str">
            <v>Muka b2</v>
          </cell>
          <cell r="D1327">
            <v>12</v>
          </cell>
          <cell r="E1327">
            <v>21.6</v>
          </cell>
          <cell r="F1327">
            <v>0.35</v>
          </cell>
          <cell r="G1327">
            <v>0.13850000000002327</v>
          </cell>
        </row>
        <row r="1328">
          <cell r="A1328" t="str">
            <v>85,13</v>
          </cell>
          <cell r="B1328" t="str">
            <v>TM 3 kn2</v>
          </cell>
          <cell r="C1328" t="str">
            <v>Muka c5</v>
          </cell>
          <cell r="D1328">
            <v>8</v>
          </cell>
          <cell r="E1328">
            <v>15</v>
          </cell>
          <cell r="F1328">
            <v>0.3</v>
          </cell>
          <cell r="G1328">
            <v>0.14808412770373933</v>
          </cell>
        </row>
        <row r="1329">
          <cell r="A1329" t="str">
            <v>85,14</v>
          </cell>
          <cell r="B1329" t="str">
            <v>TM 3 kn2</v>
          </cell>
          <cell r="C1329" t="str">
            <v>Tersier T4-K2</v>
          </cell>
          <cell r="D1329">
            <v>17</v>
          </cell>
          <cell r="E1329">
            <v>30.6</v>
          </cell>
          <cell r="F1329">
            <v>0.3</v>
          </cell>
          <cell r="G1329">
            <v>0.22</v>
          </cell>
        </row>
        <row r="1330">
          <cell r="A1330" t="str">
            <v>85,15</v>
          </cell>
          <cell r="B1330" t="str">
            <v>TM 3 kn2</v>
          </cell>
          <cell r="C1330" t="str">
            <v>Tersier T3-T4</v>
          </cell>
          <cell r="D1330">
            <v>28</v>
          </cell>
          <cell r="E1330">
            <v>50.4</v>
          </cell>
          <cell r="F1330">
            <v>0.3</v>
          </cell>
          <cell r="G1330">
            <v>0.1654359899709896</v>
          </cell>
        </row>
        <row r="1331">
          <cell r="A1331" t="str">
            <v>85,16</v>
          </cell>
          <cell r="B1331" t="str">
            <v>TM 3 kn2</v>
          </cell>
          <cell r="C1331" t="str">
            <v>Tersier T2-K1</v>
          </cell>
          <cell r="D1331">
            <v>25</v>
          </cell>
          <cell r="E1331">
            <v>45</v>
          </cell>
          <cell r="F1331">
            <v>0.3</v>
          </cell>
          <cell r="G1331">
            <v>0.15</v>
          </cell>
        </row>
        <row r="1332">
          <cell r="A1332" t="str">
            <v>85,17</v>
          </cell>
          <cell r="B1332" t="str">
            <v>TM 3 kn2</v>
          </cell>
          <cell r="C1332" t="str">
            <v>Tersier T1-T3</v>
          </cell>
          <cell r="D1332">
            <v>51</v>
          </cell>
          <cell r="E1332">
            <v>91.8</v>
          </cell>
          <cell r="F1332">
            <v>0.35</v>
          </cell>
          <cell r="G1332">
            <v>0.35874621303638898</v>
          </cell>
        </row>
        <row r="1333">
          <cell r="A1333" t="str">
            <v>85,18</v>
          </cell>
          <cell r="B1333" t="str">
            <v>TM 3 kn2</v>
          </cell>
          <cell r="C1333" t="str">
            <v>Tersier T1-T2</v>
          </cell>
          <cell r="D1333">
            <v>34</v>
          </cell>
          <cell r="E1333">
            <v>61.2</v>
          </cell>
          <cell r="F1333">
            <v>0.3</v>
          </cell>
          <cell r="G1333">
            <v>0.22192635067043295</v>
          </cell>
        </row>
        <row r="1334">
          <cell r="A1334" t="str">
            <v>85,19</v>
          </cell>
          <cell r="B1334" t="str">
            <v>TM 3 kn2</v>
          </cell>
          <cell r="C1334" t="str">
            <v>Tersier BTM3-T1</v>
          </cell>
          <cell r="D1334">
            <v>91</v>
          </cell>
          <cell r="E1334">
            <v>163.80000000000001</v>
          </cell>
          <cell r="F1334">
            <v>0.45</v>
          </cell>
          <cell r="G1334">
            <v>0.44077885255363902</v>
          </cell>
        </row>
        <row r="1336">
          <cell r="A1336">
            <v>86</v>
          </cell>
          <cell r="B1336" t="str">
            <v>TM 4 kn</v>
          </cell>
          <cell r="D1336">
            <v>0</v>
          </cell>
        </row>
        <row r="1337">
          <cell r="A1337" t="str">
            <v>86,1</v>
          </cell>
          <cell r="B1337" t="str">
            <v>TM 4 kn</v>
          </cell>
          <cell r="C1337" t="str">
            <v>Kwarter a1</v>
          </cell>
          <cell r="D1337">
            <v>5</v>
          </cell>
          <cell r="E1337">
            <v>15</v>
          </cell>
          <cell r="F1337">
            <v>0.3</v>
          </cell>
          <cell r="G1337">
            <v>0.21450186870683924</v>
          </cell>
        </row>
        <row r="1338">
          <cell r="A1338" t="str">
            <v>86,2</v>
          </cell>
          <cell r="B1338" t="str">
            <v>TM 4 kn</v>
          </cell>
          <cell r="C1338" t="str">
            <v>Kwarter a2</v>
          </cell>
          <cell r="D1338">
            <v>12</v>
          </cell>
          <cell r="E1338">
            <v>21.6</v>
          </cell>
          <cell r="F1338">
            <v>0.3</v>
          </cell>
          <cell r="G1338">
            <v>0.25885060257641224</v>
          </cell>
        </row>
        <row r="1339">
          <cell r="A1339" t="str">
            <v>86,3</v>
          </cell>
          <cell r="B1339" t="str">
            <v>TM 4 kn</v>
          </cell>
          <cell r="C1339" t="str">
            <v>Muka a2</v>
          </cell>
          <cell r="D1339">
            <v>12</v>
          </cell>
          <cell r="E1339">
            <v>21.6</v>
          </cell>
          <cell r="F1339">
            <v>0.3</v>
          </cell>
          <cell r="G1339">
            <v>0.18034054347579084</v>
          </cell>
        </row>
        <row r="1340">
          <cell r="A1340" t="str">
            <v>86,4</v>
          </cell>
          <cell r="B1340" t="str">
            <v>TM 4 kn</v>
          </cell>
          <cell r="C1340" t="str">
            <v>Tersier BTM4-K1</v>
          </cell>
          <cell r="D1340">
            <v>17</v>
          </cell>
          <cell r="E1340">
            <v>30.6</v>
          </cell>
          <cell r="F1340">
            <v>0.3</v>
          </cell>
          <cell r="G1340">
            <v>0.21672942090731576</v>
          </cell>
        </row>
        <row r="1342">
          <cell r="A1342" t="str">
            <v>87</v>
          </cell>
          <cell r="B1342" t="str">
            <v>TM 4 kr</v>
          </cell>
          <cell r="D1342">
            <v>0</v>
          </cell>
        </row>
        <row r="1343">
          <cell r="A1343" t="str">
            <v>87,1</v>
          </cell>
          <cell r="B1343" t="str">
            <v>TM 4 kr</v>
          </cell>
          <cell r="C1343" t="str">
            <v>Kwarter a1</v>
          </cell>
          <cell r="D1343">
            <v>8</v>
          </cell>
          <cell r="E1343">
            <v>15</v>
          </cell>
          <cell r="F1343">
            <v>0.3</v>
          </cell>
          <cell r="G1343">
            <v>0.21450186870683924</v>
          </cell>
        </row>
        <row r="1344">
          <cell r="A1344" t="str">
            <v>87,2</v>
          </cell>
          <cell r="B1344" t="str">
            <v>TM 4 kr</v>
          </cell>
          <cell r="C1344" t="str">
            <v>Kwarter a2</v>
          </cell>
          <cell r="D1344">
            <v>10</v>
          </cell>
          <cell r="E1344">
            <v>18</v>
          </cell>
          <cell r="F1344">
            <v>0.3</v>
          </cell>
          <cell r="G1344">
            <v>0.23577879795157511</v>
          </cell>
        </row>
        <row r="1345">
          <cell r="A1345" t="str">
            <v>87,3</v>
          </cell>
          <cell r="B1345" t="str">
            <v>TM 4 kr</v>
          </cell>
          <cell r="C1345" t="str">
            <v>Kwarter a3</v>
          </cell>
          <cell r="D1345">
            <v>8</v>
          </cell>
          <cell r="E1345">
            <v>15</v>
          </cell>
          <cell r="F1345">
            <v>0.3</v>
          </cell>
          <cell r="G1345">
            <v>0.21450186870683924</v>
          </cell>
        </row>
        <row r="1346">
          <cell r="A1346" t="str">
            <v>87,4</v>
          </cell>
          <cell r="B1346" t="str">
            <v>TM 4 kr</v>
          </cell>
          <cell r="C1346" t="str">
            <v>Kwarter b1</v>
          </cell>
          <cell r="D1346">
            <v>7</v>
          </cell>
          <cell r="E1346">
            <v>15</v>
          </cell>
          <cell r="F1346">
            <v>0.3</v>
          </cell>
          <cell r="G1346">
            <v>0.21450186870683924</v>
          </cell>
        </row>
        <row r="1347">
          <cell r="A1347" t="str">
            <v>87,5</v>
          </cell>
          <cell r="B1347" t="str">
            <v>TM 4 kr</v>
          </cell>
          <cell r="C1347" t="str">
            <v>Kwarter b2</v>
          </cell>
          <cell r="D1347">
            <v>8</v>
          </cell>
          <cell r="E1347">
            <v>15</v>
          </cell>
          <cell r="F1347">
            <v>0.3</v>
          </cell>
          <cell r="G1347">
            <v>0.21450186870683924</v>
          </cell>
        </row>
        <row r="1348">
          <cell r="A1348" t="str">
            <v>87,6</v>
          </cell>
          <cell r="B1348" t="str">
            <v>TM 4 kr</v>
          </cell>
          <cell r="C1348" t="str">
            <v>Kwarter b3</v>
          </cell>
          <cell r="D1348">
            <v>6</v>
          </cell>
          <cell r="E1348">
            <v>15</v>
          </cell>
          <cell r="F1348">
            <v>0.3</v>
          </cell>
          <cell r="G1348">
            <v>0.21450186870683924</v>
          </cell>
        </row>
        <row r="1349">
          <cell r="A1349" t="str">
            <v>87,7</v>
          </cell>
          <cell r="B1349" t="str">
            <v>TM 4 kr</v>
          </cell>
          <cell r="C1349" t="str">
            <v>Kwarter c1</v>
          </cell>
          <cell r="D1349">
            <v>12</v>
          </cell>
          <cell r="E1349">
            <v>21.6</v>
          </cell>
          <cell r="F1349">
            <v>0.3</v>
          </cell>
          <cell r="G1349">
            <v>0.25885060257641224</v>
          </cell>
        </row>
        <row r="1350">
          <cell r="A1350" t="str">
            <v>87,8</v>
          </cell>
          <cell r="B1350" t="str">
            <v>TM 4 kr</v>
          </cell>
          <cell r="C1350" t="str">
            <v>Kwarter c2</v>
          </cell>
          <cell r="D1350">
            <v>3</v>
          </cell>
          <cell r="E1350">
            <v>15</v>
          </cell>
          <cell r="F1350">
            <v>0.3</v>
          </cell>
          <cell r="G1350">
            <v>0.21450186870683924</v>
          </cell>
        </row>
        <row r="1351">
          <cell r="A1351" t="str">
            <v>87,9</v>
          </cell>
          <cell r="B1351" t="str">
            <v>TM 4 kr</v>
          </cell>
          <cell r="C1351" t="str">
            <v>Muka b2</v>
          </cell>
          <cell r="D1351">
            <v>8</v>
          </cell>
          <cell r="E1351">
            <v>15</v>
          </cell>
          <cell r="F1351">
            <v>0.3</v>
          </cell>
          <cell r="G1351">
            <v>0.15</v>
          </cell>
        </row>
        <row r="1352">
          <cell r="A1352" t="str">
            <v>87,10</v>
          </cell>
          <cell r="B1352" t="str">
            <v>TM 4 kr</v>
          </cell>
          <cell r="C1352" t="str">
            <v>Muka c2</v>
          </cell>
          <cell r="D1352">
            <v>3</v>
          </cell>
          <cell r="E1352">
            <v>15</v>
          </cell>
          <cell r="F1352">
            <v>0.3</v>
          </cell>
          <cell r="G1352">
            <v>0.14808412770373933</v>
          </cell>
        </row>
        <row r="1353">
          <cell r="A1353" t="str">
            <v>87,11</v>
          </cell>
          <cell r="B1353" t="str">
            <v>TM 4 kr</v>
          </cell>
          <cell r="C1353" t="str">
            <v>Tersier T2-K1</v>
          </cell>
          <cell r="D1353">
            <v>21</v>
          </cell>
          <cell r="E1353">
            <v>37.800000000000004</v>
          </cell>
          <cell r="F1353">
            <v>0.3</v>
          </cell>
          <cell r="G1353">
            <v>0.25</v>
          </cell>
        </row>
        <row r="1354">
          <cell r="A1354" t="str">
            <v>87,12</v>
          </cell>
          <cell r="B1354" t="str">
            <v>TM 4 kr</v>
          </cell>
          <cell r="C1354" t="str">
            <v>Tersier T1-T2</v>
          </cell>
          <cell r="D1354">
            <v>36</v>
          </cell>
          <cell r="E1354">
            <v>64.8</v>
          </cell>
          <cell r="F1354">
            <v>0.35</v>
          </cell>
          <cell r="G1354">
            <v>0.3</v>
          </cell>
        </row>
        <row r="1355">
          <cell r="A1355" t="str">
            <v>87,13</v>
          </cell>
          <cell r="B1355" t="str">
            <v>TM 4 kr</v>
          </cell>
          <cell r="C1355" t="str">
            <v>Muka TM 4kr</v>
          </cell>
          <cell r="D1355">
            <v>62</v>
          </cell>
          <cell r="E1355">
            <v>111.60000000000001</v>
          </cell>
          <cell r="F1355">
            <v>0.4</v>
          </cell>
          <cell r="G1355">
            <v>0.37837330173452599</v>
          </cell>
        </row>
        <row r="1357">
          <cell r="A1357">
            <v>88</v>
          </cell>
          <cell r="B1357" t="str">
            <v>TM 5 kn</v>
          </cell>
          <cell r="D1357">
            <v>0</v>
          </cell>
        </row>
        <row r="1358">
          <cell r="A1358" t="str">
            <v>88,1</v>
          </cell>
          <cell r="B1358" t="str">
            <v>TM 5 kn</v>
          </cell>
          <cell r="C1358" t="str">
            <v>Kwarter a1</v>
          </cell>
          <cell r="D1358">
            <v>9</v>
          </cell>
          <cell r="E1358">
            <v>16.2</v>
          </cell>
          <cell r="F1358">
            <v>0.3</v>
          </cell>
          <cell r="G1358">
            <v>0.22327164076703876</v>
          </cell>
        </row>
        <row r="1359">
          <cell r="A1359" t="str">
            <v>88,2</v>
          </cell>
          <cell r="B1359" t="str">
            <v>TM 5 kn</v>
          </cell>
          <cell r="C1359" t="str">
            <v>Kwarter a2</v>
          </cell>
          <cell r="D1359">
            <v>11</v>
          </cell>
          <cell r="E1359">
            <v>19.8</v>
          </cell>
          <cell r="F1359">
            <v>0.3</v>
          </cell>
          <cell r="G1359">
            <v>0.24760852933338706</v>
          </cell>
        </row>
        <row r="1360">
          <cell r="A1360" t="str">
            <v>88,3</v>
          </cell>
          <cell r="B1360" t="str">
            <v>TM 5 kn</v>
          </cell>
          <cell r="C1360" t="str">
            <v>Muka a2</v>
          </cell>
          <cell r="D1360">
            <v>11</v>
          </cell>
          <cell r="E1360">
            <v>19.8</v>
          </cell>
          <cell r="F1360">
            <v>0.3</v>
          </cell>
          <cell r="G1360">
            <v>0.17212948709189466</v>
          </cell>
        </row>
        <row r="1361">
          <cell r="A1361" t="str">
            <v>88,4</v>
          </cell>
          <cell r="B1361" t="str">
            <v>TM 5 kn</v>
          </cell>
          <cell r="C1361" t="str">
            <v>Tersier BTM 5- K1</v>
          </cell>
          <cell r="D1361">
            <v>20</v>
          </cell>
          <cell r="E1361">
            <v>36</v>
          </cell>
          <cell r="F1361">
            <v>0.3</v>
          </cell>
          <cell r="G1361">
            <v>0.23577879795157511</v>
          </cell>
        </row>
        <row r="1363">
          <cell r="A1363">
            <v>89</v>
          </cell>
          <cell r="B1363" t="str">
            <v>TM 5 kr</v>
          </cell>
          <cell r="D1363">
            <v>0</v>
          </cell>
        </row>
        <row r="1364">
          <cell r="A1364" t="str">
            <v>89,1</v>
          </cell>
          <cell r="B1364" t="str">
            <v>TM 5 kr</v>
          </cell>
          <cell r="C1364" t="str">
            <v>Kwarter a1</v>
          </cell>
          <cell r="D1364">
            <v>11</v>
          </cell>
          <cell r="E1364">
            <v>19.8</v>
          </cell>
          <cell r="F1364">
            <v>0.3</v>
          </cell>
          <cell r="G1364">
            <v>0.24760852933338706</v>
          </cell>
        </row>
        <row r="1365">
          <cell r="A1365" t="str">
            <v>89,2</v>
          </cell>
          <cell r="B1365" t="str">
            <v>TM 5 kr</v>
          </cell>
          <cell r="C1365" t="str">
            <v>Kwarter a2</v>
          </cell>
          <cell r="D1365">
            <v>8</v>
          </cell>
          <cell r="E1365">
            <v>15</v>
          </cell>
          <cell r="F1365">
            <v>0.3</v>
          </cell>
          <cell r="G1365">
            <v>0.21450186870683924</v>
          </cell>
        </row>
        <row r="1366">
          <cell r="A1366" t="str">
            <v>89,3</v>
          </cell>
          <cell r="B1366" t="str">
            <v>TM 5 kr</v>
          </cell>
          <cell r="C1366" t="str">
            <v>Muka a2</v>
          </cell>
          <cell r="D1366">
            <v>8</v>
          </cell>
          <cell r="E1366">
            <v>15</v>
          </cell>
          <cell r="F1366">
            <v>0.3</v>
          </cell>
          <cell r="G1366">
            <v>0.14808412770373933</v>
          </cell>
        </row>
        <row r="1367">
          <cell r="A1367" t="str">
            <v>89,4</v>
          </cell>
          <cell r="B1367" t="str">
            <v>TM 5 kr</v>
          </cell>
          <cell r="C1367" t="str">
            <v>Tersier BTM5-K1</v>
          </cell>
          <cell r="D1367">
            <v>19</v>
          </cell>
          <cell r="E1367">
            <v>34.200000000000003</v>
          </cell>
          <cell r="F1367">
            <v>0.3</v>
          </cell>
          <cell r="G1367">
            <v>0.22961637840568802</v>
          </cell>
        </row>
        <row r="1369">
          <cell r="A1369">
            <v>90</v>
          </cell>
          <cell r="B1369" t="str">
            <v>TM 5 tg</v>
          </cell>
          <cell r="D1369">
            <v>0</v>
          </cell>
        </row>
        <row r="1370">
          <cell r="A1370" t="str">
            <v>90,1</v>
          </cell>
          <cell r="B1370" t="str">
            <v>TM 5 tg</v>
          </cell>
          <cell r="C1370" t="str">
            <v>Kwarter a1</v>
          </cell>
          <cell r="D1370">
            <v>8</v>
          </cell>
          <cell r="E1370">
            <v>15</v>
          </cell>
          <cell r="F1370">
            <v>0.3</v>
          </cell>
          <cell r="G1370">
            <v>0.21450186870683924</v>
          </cell>
        </row>
        <row r="1371">
          <cell r="A1371" t="str">
            <v>90,2</v>
          </cell>
          <cell r="B1371" t="str">
            <v>TM 5 tg</v>
          </cell>
          <cell r="C1371" t="str">
            <v>Kwarter a2</v>
          </cell>
          <cell r="D1371">
            <v>8</v>
          </cell>
          <cell r="E1371">
            <v>15</v>
          </cell>
          <cell r="F1371">
            <v>0.3</v>
          </cell>
          <cell r="G1371">
            <v>0.21450186870683924</v>
          </cell>
        </row>
        <row r="1372">
          <cell r="A1372" t="str">
            <v>90,3</v>
          </cell>
          <cell r="B1372" t="str">
            <v>TM 5 tg</v>
          </cell>
          <cell r="C1372" t="str">
            <v>Kwarter a3</v>
          </cell>
          <cell r="D1372">
            <v>11</v>
          </cell>
          <cell r="E1372">
            <v>19.8</v>
          </cell>
          <cell r="F1372">
            <v>0.3</v>
          </cell>
          <cell r="G1372">
            <v>0.24760852933338706</v>
          </cell>
        </row>
        <row r="1373">
          <cell r="A1373" t="str">
            <v>90,4</v>
          </cell>
          <cell r="B1373" t="str">
            <v>TM 5 tg</v>
          </cell>
          <cell r="C1373" t="str">
            <v>Kwarter a4</v>
          </cell>
          <cell r="D1373">
            <v>7</v>
          </cell>
          <cell r="E1373">
            <v>15</v>
          </cell>
          <cell r="F1373">
            <v>0.3</v>
          </cell>
          <cell r="G1373">
            <v>0.21450186870683924</v>
          </cell>
        </row>
        <row r="1374">
          <cell r="A1374" t="str">
            <v>90,5</v>
          </cell>
          <cell r="B1374" t="str">
            <v>TM 5 tg</v>
          </cell>
          <cell r="C1374" t="str">
            <v>Kwarter b1</v>
          </cell>
          <cell r="D1374">
            <v>8</v>
          </cell>
          <cell r="E1374">
            <v>15</v>
          </cell>
          <cell r="F1374">
            <v>0.3</v>
          </cell>
          <cell r="G1374">
            <v>0.21450186870683924</v>
          </cell>
        </row>
        <row r="1375">
          <cell r="A1375" t="str">
            <v>90,6</v>
          </cell>
          <cell r="B1375" t="str">
            <v>TM 5 tg</v>
          </cell>
          <cell r="C1375" t="str">
            <v>Kwarter b2</v>
          </cell>
          <cell r="D1375">
            <v>7</v>
          </cell>
          <cell r="E1375">
            <v>15</v>
          </cell>
          <cell r="F1375">
            <v>0.3</v>
          </cell>
          <cell r="G1375">
            <v>0.21450186870683924</v>
          </cell>
        </row>
        <row r="1376">
          <cell r="A1376" t="str">
            <v>90,7</v>
          </cell>
          <cell r="B1376" t="str">
            <v>TM 5 tg</v>
          </cell>
          <cell r="C1376" t="str">
            <v>Kwarter b3</v>
          </cell>
          <cell r="D1376">
            <v>8</v>
          </cell>
          <cell r="E1376">
            <v>15</v>
          </cell>
          <cell r="F1376">
            <v>0.3</v>
          </cell>
          <cell r="G1376">
            <v>0.21450186870683924</v>
          </cell>
        </row>
        <row r="1377">
          <cell r="A1377" t="str">
            <v>90,8</v>
          </cell>
          <cell r="B1377" t="str">
            <v>TM 5 tg</v>
          </cell>
          <cell r="C1377" t="str">
            <v>Kwarter b4</v>
          </cell>
          <cell r="D1377">
            <v>7</v>
          </cell>
          <cell r="E1377">
            <v>15</v>
          </cell>
          <cell r="F1377">
            <v>0.3</v>
          </cell>
          <cell r="G1377">
            <v>0.21450186870683924</v>
          </cell>
        </row>
        <row r="1378">
          <cell r="A1378" t="str">
            <v>90,9</v>
          </cell>
          <cell r="B1378" t="str">
            <v>TM 5 tg</v>
          </cell>
          <cell r="C1378" t="str">
            <v>Kwarter c1</v>
          </cell>
          <cell r="D1378">
            <v>7</v>
          </cell>
          <cell r="E1378">
            <v>15</v>
          </cell>
          <cell r="F1378">
            <v>0.3</v>
          </cell>
          <cell r="G1378">
            <v>0.21450186870683924</v>
          </cell>
        </row>
        <row r="1379">
          <cell r="A1379" t="str">
            <v>90,10</v>
          </cell>
          <cell r="B1379" t="str">
            <v>TM 5 tg</v>
          </cell>
          <cell r="C1379" t="str">
            <v>Kwarter c2</v>
          </cell>
          <cell r="D1379">
            <v>6</v>
          </cell>
          <cell r="E1379">
            <v>15</v>
          </cell>
          <cell r="F1379">
            <v>0.3</v>
          </cell>
          <cell r="G1379">
            <v>0.21450186870683924</v>
          </cell>
        </row>
        <row r="1380">
          <cell r="A1380" t="str">
            <v>90,11</v>
          </cell>
          <cell r="B1380" t="str">
            <v>TM 5 tg</v>
          </cell>
          <cell r="C1380" t="str">
            <v>Kwarter c3</v>
          </cell>
          <cell r="D1380">
            <v>7</v>
          </cell>
          <cell r="E1380">
            <v>15</v>
          </cell>
          <cell r="F1380">
            <v>0.3</v>
          </cell>
          <cell r="G1380">
            <v>0.21450186870683924</v>
          </cell>
        </row>
        <row r="1381">
          <cell r="A1381" t="str">
            <v>90,12</v>
          </cell>
          <cell r="B1381" t="str">
            <v>TM 5 tg</v>
          </cell>
          <cell r="C1381" t="str">
            <v>Kwarter cab a3</v>
          </cell>
          <cell r="E1381">
            <v>15</v>
          </cell>
          <cell r="F1381">
            <v>0.3</v>
          </cell>
          <cell r="G1381">
            <v>0.21450186870683924</v>
          </cell>
        </row>
        <row r="1382">
          <cell r="A1382" t="str">
            <v>90,13</v>
          </cell>
          <cell r="B1382" t="str">
            <v>TM 5 tg</v>
          </cell>
          <cell r="C1382" t="str">
            <v>Muka c3</v>
          </cell>
          <cell r="D1382">
            <v>7</v>
          </cell>
          <cell r="E1382">
            <v>15</v>
          </cell>
          <cell r="F1382">
            <v>0.3</v>
          </cell>
          <cell r="G1382">
            <v>0.08</v>
          </cell>
        </row>
        <row r="1383">
          <cell r="A1383" t="str">
            <v>90,14</v>
          </cell>
          <cell r="B1383" t="str">
            <v>TM 5 tg</v>
          </cell>
          <cell r="C1383" t="str">
            <v>Tersier T5-K1</v>
          </cell>
          <cell r="D1383">
            <v>20</v>
          </cell>
          <cell r="E1383">
            <v>36</v>
          </cell>
          <cell r="F1383">
            <v>0.3</v>
          </cell>
          <cell r="G1383">
            <v>0.23577879795157511</v>
          </cell>
        </row>
        <row r="1384">
          <cell r="A1384" t="str">
            <v>90,15</v>
          </cell>
          <cell r="B1384" t="str">
            <v>TM 5 tg</v>
          </cell>
          <cell r="C1384" t="str">
            <v>Tersier T4-T5</v>
          </cell>
          <cell r="D1384">
            <v>27</v>
          </cell>
          <cell r="E1384">
            <v>48.6</v>
          </cell>
          <cell r="F1384">
            <v>0.3</v>
          </cell>
          <cell r="G1384">
            <v>0.27476507048510146</v>
          </cell>
        </row>
        <row r="1385">
          <cell r="A1385" t="str">
            <v>90,16</v>
          </cell>
          <cell r="B1385" t="str">
            <v>TM 5 tg</v>
          </cell>
          <cell r="C1385" t="str">
            <v>Tersier T3-T4</v>
          </cell>
          <cell r="D1385">
            <v>42</v>
          </cell>
          <cell r="E1385">
            <v>75.600000000000009</v>
          </cell>
          <cell r="F1385">
            <v>0.35</v>
          </cell>
          <cell r="G1385">
            <v>0.32556709491456592</v>
          </cell>
        </row>
        <row r="1386">
          <cell r="A1386" t="str">
            <v>90,17</v>
          </cell>
          <cell r="B1386" t="str">
            <v>TM 5 tg</v>
          </cell>
          <cell r="C1386" t="str">
            <v>Tersier T2-T3</v>
          </cell>
          <cell r="D1386">
            <v>57</v>
          </cell>
          <cell r="E1386">
            <v>102.60000000000001</v>
          </cell>
          <cell r="F1386">
            <v>0.4</v>
          </cell>
          <cell r="G1386">
            <v>0.36268476180880715</v>
          </cell>
        </row>
        <row r="1387">
          <cell r="A1387" t="str">
            <v>90,18</v>
          </cell>
          <cell r="B1387" t="str">
            <v>TM 5 tg</v>
          </cell>
          <cell r="C1387" t="str">
            <v>Tersier T1-T2</v>
          </cell>
          <cell r="D1387">
            <v>76</v>
          </cell>
          <cell r="E1387">
            <v>136.80000000000001</v>
          </cell>
          <cell r="F1387">
            <v>0.45</v>
          </cell>
          <cell r="G1387">
            <v>0.40260875855991413</v>
          </cell>
        </row>
        <row r="1388">
          <cell r="A1388" t="str">
            <v>90,19</v>
          </cell>
          <cell r="B1388" t="str">
            <v>TM 5 tg</v>
          </cell>
          <cell r="C1388" t="str">
            <v>Muka TM 5tg</v>
          </cell>
          <cell r="D1388">
            <v>84</v>
          </cell>
          <cell r="E1388">
            <v>151.20000000000002</v>
          </cell>
          <cell r="F1388">
            <v>0.45</v>
          </cell>
          <cell r="G1388">
            <v>0.42345085861555692</v>
          </cell>
        </row>
        <row r="1390">
          <cell r="A1390">
            <v>91</v>
          </cell>
          <cell r="B1390" t="str">
            <v>WS 1 kn1</v>
          </cell>
          <cell r="D1390">
            <v>0</v>
          </cell>
        </row>
        <row r="1391">
          <cell r="A1391" t="str">
            <v>91,1</v>
          </cell>
          <cell r="B1391" t="str">
            <v>WS 1 kn1</v>
          </cell>
          <cell r="C1391" t="str">
            <v>Kwarter a1</v>
          </cell>
          <cell r="D1391">
            <v>14</v>
          </cell>
          <cell r="E1391">
            <v>25.2</v>
          </cell>
          <cell r="F1391">
            <v>0.3</v>
          </cell>
          <cell r="G1391">
            <v>0.27984551330394364</v>
          </cell>
        </row>
        <row r="1392">
          <cell r="A1392" t="str">
            <v>91,2</v>
          </cell>
          <cell r="B1392" t="str">
            <v>WS 1 kn1</v>
          </cell>
          <cell r="C1392" t="str">
            <v>Kwarter a2</v>
          </cell>
          <cell r="D1392">
            <v>4</v>
          </cell>
          <cell r="E1392">
            <v>15</v>
          </cell>
          <cell r="F1392">
            <v>0.3</v>
          </cell>
          <cell r="G1392">
            <v>0.21450186870683924</v>
          </cell>
        </row>
        <row r="1393">
          <cell r="A1393" t="str">
            <v>91,3</v>
          </cell>
          <cell r="B1393" t="str">
            <v>WS 1 kn1</v>
          </cell>
          <cell r="C1393" t="str">
            <v>Kwarter a3</v>
          </cell>
          <cell r="D1393">
            <v>6</v>
          </cell>
          <cell r="E1393">
            <v>15</v>
          </cell>
          <cell r="F1393">
            <v>0.3</v>
          </cell>
          <cell r="G1393">
            <v>0.21450186870683924</v>
          </cell>
        </row>
        <row r="1394">
          <cell r="A1394" t="str">
            <v>91,4</v>
          </cell>
          <cell r="B1394" t="str">
            <v>WS 1 kn1</v>
          </cell>
          <cell r="C1394" t="str">
            <v>Kwarter a4</v>
          </cell>
          <cell r="D1394">
            <v>14</v>
          </cell>
          <cell r="E1394">
            <v>25.2</v>
          </cell>
          <cell r="F1394">
            <v>0.3</v>
          </cell>
          <cell r="G1394">
            <v>0.27984551330394364</v>
          </cell>
        </row>
        <row r="1395">
          <cell r="A1395" t="str">
            <v>91,5</v>
          </cell>
          <cell r="B1395" t="str">
            <v>WS 1 kn1</v>
          </cell>
          <cell r="C1395" t="str">
            <v>Kwarter b1</v>
          </cell>
          <cell r="D1395">
            <v>10</v>
          </cell>
          <cell r="E1395">
            <v>18</v>
          </cell>
          <cell r="F1395">
            <v>0.3</v>
          </cell>
          <cell r="G1395">
            <v>0.23577879795157511</v>
          </cell>
        </row>
        <row r="1396">
          <cell r="A1396" t="str">
            <v>91,6</v>
          </cell>
          <cell r="B1396" t="str">
            <v>WS 1 kn1</v>
          </cell>
          <cell r="C1396" t="str">
            <v>Kwarter b2</v>
          </cell>
          <cell r="D1396">
            <v>12</v>
          </cell>
          <cell r="E1396">
            <v>21.6</v>
          </cell>
          <cell r="F1396">
            <v>0.3</v>
          </cell>
          <cell r="G1396">
            <v>0.25885060257641224</v>
          </cell>
        </row>
        <row r="1397">
          <cell r="A1397" t="str">
            <v>91,7</v>
          </cell>
          <cell r="B1397" t="str">
            <v>WS 1 kn1</v>
          </cell>
          <cell r="C1397" t="str">
            <v>Kwarter b3</v>
          </cell>
          <cell r="D1397">
            <v>12</v>
          </cell>
          <cell r="E1397">
            <v>21.6</v>
          </cell>
          <cell r="F1397">
            <v>0.3</v>
          </cell>
          <cell r="G1397">
            <v>0.25885060257641224</v>
          </cell>
        </row>
        <row r="1398">
          <cell r="A1398" t="str">
            <v>91,8</v>
          </cell>
          <cell r="B1398" t="str">
            <v>WS 1 kn1</v>
          </cell>
          <cell r="C1398" t="str">
            <v>Muka b3</v>
          </cell>
          <cell r="D1398">
            <v>12</v>
          </cell>
          <cell r="E1398">
            <v>21.6</v>
          </cell>
          <cell r="F1398">
            <v>0.3</v>
          </cell>
          <cell r="G1398">
            <v>0.1</v>
          </cell>
        </row>
        <row r="1399">
          <cell r="A1399" t="str">
            <v>91,9</v>
          </cell>
          <cell r="B1399" t="str">
            <v>WS 1 kn1</v>
          </cell>
          <cell r="C1399" t="str">
            <v>Tersier T4-K1</v>
          </cell>
          <cell r="D1399">
            <v>24</v>
          </cell>
          <cell r="E1399">
            <v>43.2</v>
          </cell>
          <cell r="F1399">
            <v>0.3</v>
          </cell>
          <cell r="G1399">
            <v>0.15</v>
          </cell>
        </row>
        <row r="1400">
          <cell r="A1400" t="str">
            <v>91,10</v>
          </cell>
          <cell r="B1400" t="str">
            <v>WS 1 kn1</v>
          </cell>
          <cell r="C1400" t="str">
            <v>Tersier T3-T4</v>
          </cell>
          <cell r="D1400">
            <v>34</v>
          </cell>
          <cell r="E1400">
            <v>61.2</v>
          </cell>
          <cell r="F1400">
            <v>0.35</v>
          </cell>
          <cell r="G1400">
            <v>0.29248170009744751</v>
          </cell>
        </row>
        <row r="1401">
          <cell r="A1401" t="str">
            <v>91,11</v>
          </cell>
          <cell r="B1401" t="str">
            <v>WS 1 kn1</v>
          </cell>
          <cell r="C1401" t="str">
            <v>Tersier T2-T3</v>
          </cell>
          <cell r="D1401">
            <v>48</v>
          </cell>
          <cell r="E1401">
            <v>86.4</v>
          </cell>
          <cell r="F1401">
            <v>0.4</v>
          </cell>
          <cell r="G1401">
            <v>0.33234906551706173</v>
          </cell>
        </row>
        <row r="1402">
          <cell r="A1402" t="str">
            <v>91,12</v>
          </cell>
          <cell r="B1402" t="str">
            <v>WS 1 kn1</v>
          </cell>
          <cell r="C1402" t="str">
            <v>Tersier T1-T2</v>
          </cell>
          <cell r="D1402">
            <v>54</v>
          </cell>
          <cell r="E1402">
            <v>97.2</v>
          </cell>
          <cell r="F1402">
            <v>0.4</v>
          </cell>
          <cell r="G1402">
            <v>0.35289431885693773</v>
          </cell>
        </row>
        <row r="1403">
          <cell r="A1403" t="str">
            <v>91,13</v>
          </cell>
          <cell r="B1403" t="str">
            <v>WS 1 kn1</v>
          </cell>
          <cell r="C1403" t="str">
            <v>Muka WS 1kn1</v>
          </cell>
          <cell r="D1403">
            <v>72</v>
          </cell>
          <cell r="E1403">
            <v>129.6</v>
          </cell>
          <cell r="F1403">
            <v>0.45</v>
          </cell>
          <cell r="G1403">
            <v>0.39172027082210509</v>
          </cell>
        </row>
        <row r="1405">
          <cell r="A1405">
            <v>92</v>
          </cell>
          <cell r="B1405" t="str">
            <v>WS 1 kn2</v>
          </cell>
          <cell r="D1405">
            <v>0</v>
          </cell>
        </row>
        <row r="1406">
          <cell r="A1406" t="str">
            <v>92,1</v>
          </cell>
          <cell r="B1406" t="str">
            <v>WS 1 kn2</v>
          </cell>
          <cell r="C1406" t="str">
            <v>Kwarter a1</v>
          </cell>
          <cell r="D1406">
            <v>7</v>
          </cell>
          <cell r="E1406">
            <v>15</v>
          </cell>
          <cell r="F1406">
            <v>0.3</v>
          </cell>
          <cell r="G1406">
            <v>0.21450186870683924</v>
          </cell>
        </row>
        <row r="1407">
          <cell r="A1407" t="str">
            <v>92,2</v>
          </cell>
          <cell r="B1407" t="str">
            <v>WS 1 kn2</v>
          </cell>
          <cell r="C1407" t="str">
            <v>Kwarter a2</v>
          </cell>
          <cell r="D1407">
            <v>6</v>
          </cell>
          <cell r="E1407">
            <v>15</v>
          </cell>
          <cell r="F1407">
            <v>0.3</v>
          </cell>
          <cell r="G1407">
            <v>0.21450186870683924</v>
          </cell>
        </row>
        <row r="1408">
          <cell r="A1408" t="str">
            <v>92,3</v>
          </cell>
          <cell r="B1408" t="str">
            <v>WS 1 kn2</v>
          </cell>
          <cell r="C1408" t="str">
            <v>Kwarter a3</v>
          </cell>
          <cell r="D1408">
            <v>10</v>
          </cell>
          <cell r="E1408">
            <v>18</v>
          </cell>
          <cell r="F1408">
            <v>0.3</v>
          </cell>
          <cell r="G1408">
            <v>0.23577879795157511</v>
          </cell>
        </row>
        <row r="1409">
          <cell r="A1409" t="str">
            <v>92,4</v>
          </cell>
          <cell r="B1409" t="str">
            <v>WS 1 kn2</v>
          </cell>
          <cell r="C1409" t="str">
            <v>Kwarter a4</v>
          </cell>
          <cell r="D1409">
            <v>12</v>
          </cell>
          <cell r="E1409">
            <v>21.6</v>
          </cell>
          <cell r="F1409">
            <v>0.3</v>
          </cell>
          <cell r="G1409">
            <v>0.25885060257641224</v>
          </cell>
        </row>
        <row r="1410">
          <cell r="A1410" t="str">
            <v>92,5</v>
          </cell>
          <cell r="B1410" t="str">
            <v>WS 1 kn2</v>
          </cell>
          <cell r="C1410" t="str">
            <v>Kwarter b1</v>
          </cell>
          <cell r="D1410">
            <v>10</v>
          </cell>
          <cell r="E1410">
            <v>18</v>
          </cell>
          <cell r="F1410">
            <v>0.3</v>
          </cell>
          <cell r="G1410">
            <v>0.23577879795157511</v>
          </cell>
        </row>
        <row r="1411">
          <cell r="A1411" t="str">
            <v>92,6</v>
          </cell>
          <cell r="B1411" t="str">
            <v>WS 1 kn2</v>
          </cell>
          <cell r="C1411" t="str">
            <v>Kwarter b2</v>
          </cell>
          <cell r="D1411">
            <v>4</v>
          </cell>
          <cell r="E1411">
            <v>15</v>
          </cell>
          <cell r="F1411">
            <v>0.3</v>
          </cell>
          <cell r="G1411">
            <v>0.21450186870683924</v>
          </cell>
        </row>
        <row r="1412">
          <cell r="A1412" t="str">
            <v>92,7</v>
          </cell>
          <cell r="B1412" t="str">
            <v>WS 1 kn2</v>
          </cell>
          <cell r="C1412" t="str">
            <v>Kwarter b3</v>
          </cell>
          <cell r="D1412">
            <v>12</v>
          </cell>
          <cell r="E1412">
            <v>21.6</v>
          </cell>
          <cell r="F1412">
            <v>0.3</v>
          </cell>
          <cell r="G1412">
            <v>0.25885060257641224</v>
          </cell>
        </row>
        <row r="1413">
          <cell r="A1413" t="str">
            <v>92,8</v>
          </cell>
          <cell r="B1413" t="str">
            <v>WS 1 kn2</v>
          </cell>
          <cell r="C1413" t="str">
            <v>Kwarter b4</v>
          </cell>
          <cell r="D1413">
            <v>14</v>
          </cell>
          <cell r="E1413">
            <v>25.2</v>
          </cell>
          <cell r="F1413">
            <v>0.3</v>
          </cell>
          <cell r="G1413">
            <v>0.27984551330394364</v>
          </cell>
        </row>
        <row r="1414">
          <cell r="A1414" t="str">
            <v>92,9</v>
          </cell>
          <cell r="B1414" t="str">
            <v>WS 1 kn2</v>
          </cell>
          <cell r="C1414" t="str">
            <v>Kwarter c1</v>
          </cell>
          <cell r="D1414">
            <v>8</v>
          </cell>
          <cell r="E1414">
            <v>15</v>
          </cell>
          <cell r="F1414">
            <v>0.3</v>
          </cell>
          <cell r="G1414">
            <v>0.21450186870683924</v>
          </cell>
        </row>
        <row r="1415">
          <cell r="A1415" t="str">
            <v>92,10</v>
          </cell>
          <cell r="B1415" t="str">
            <v>WS 1 kn2</v>
          </cell>
          <cell r="C1415" t="str">
            <v>Kwarter c2</v>
          </cell>
          <cell r="D1415">
            <v>5</v>
          </cell>
          <cell r="E1415">
            <v>15</v>
          </cell>
          <cell r="F1415">
            <v>0.3</v>
          </cell>
          <cell r="G1415">
            <v>0.21450186870683924</v>
          </cell>
        </row>
        <row r="1416">
          <cell r="A1416" t="str">
            <v>92,11</v>
          </cell>
          <cell r="B1416" t="str">
            <v>WS 1 kn2</v>
          </cell>
          <cell r="C1416" t="str">
            <v>Kwarter c3</v>
          </cell>
          <cell r="D1416">
            <v>4</v>
          </cell>
          <cell r="E1416">
            <v>15</v>
          </cell>
          <cell r="F1416">
            <v>0.3</v>
          </cell>
          <cell r="G1416">
            <v>0.21450186870683924</v>
          </cell>
        </row>
        <row r="1417">
          <cell r="A1417" t="str">
            <v>92,12</v>
          </cell>
          <cell r="B1417" t="str">
            <v>WS 1 kn2</v>
          </cell>
          <cell r="C1417" t="str">
            <v>Kwarter c4</v>
          </cell>
          <cell r="D1417">
            <v>12</v>
          </cell>
          <cell r="E1417">
            <v>21.6</v>
          </cell>
          <cell r="F1417">
            <v>0.3</v>
          </cell>
          <cell r="G1417">
            <v>0.25885060257641224</v>
          </cell>
        </row>
        <row r="1418">
          <cell r="A1418" t="str">
            <v>92,13</v>
          </cell>
          <cell r="B1418" t="str">
            <v>WS 1 kn2</v>
          </cell>
          <cell r="C1418" t="str">
            <v>Kwarter cab a3</v>
          </cell>
          <cell r="E1418">
            <v>15</v>
          </cell>
          <cell r="F1418">
            <v>0.3</v>
          </cell>
          <cell r="G1418">
            <v>0.21450186870683924</v>
          </cell>
        </row>
        <row r="1419">
          <cell r="A1419" t="str">
            <v>92,14</v>
          </cell>
          <cell r="B1419" t="str">
            <v>WS 1 kn2</v>
          </cell>
          <cell r="C1419" t="str">
            <v>Kwarter cab c3</v>
          </cell>
          <cell r="E1419">
            <v>15</v>
          </cell>
          <cell r="F1419">
            <v>0.3</v>
          </cell>
          <cell r="G1419">
            <v>0.21450186870683924</v>
          </cell>
        </row>
        <row r="1420">
          <cell r="A1420" t="str">
            <v>92,15</v>
          </cell>
          <cell r="B1420" t="str">
            <v>WS 1 kn2</v>
          </cell>
          <cell r="C1420" t="str">
            <v>Muka a4</v>
          </cell>
          <cell r="D1420">
            <v>12</v>
          </cell>
          <cell r="E1420">
            <v>21.6</v>
          </cell>
          <cell r="F1420">
            <v>0.3</v>
          </cell>
          <cell r="G1420">
            <v>0.18</v>
          </cell>
        </row>
        <row r="1421">
          <cell r="A1421" t="str">
            <v>92,16</v>
          </cell>
          <cell r="B1421" t="str">
            <v>WS 1 kn2</v>
          </cell>
          <cell r="C1421" t="str">
            <v>Muka c4</v>
          </cell>
          <cell r="D1421">
            <v>12</v>
          </cell>
          <cell r="E1421">
            <v>21.6</v>
          </cell>
          <cell r="F1421">
            <v>0.3</v>
          </cell>
          <cell r="G1421">
            <v>0.18034054347579084</v>
          </cell>
        </row>
        <row r="1422">
          <cell r="A1422" t="str">
            <v>92,17</v>
          </cell>
          <cell r="B1422" t="str">
            <v>WS 1 kn2</v>
          </cell>
          <cell r="C1422" t="str">
            <v>Tersier T7-K2</v>
          </cell>
          <cell r="D1422">
            <v>16</v>
          </cell>
          <cell r="E1422">
            <v>28.8</v>
          </cell>
          <cell r="F1422">
            <v>0.3</v>
          </cell>
          <cell r="G1422">
            <v>0.20997228605922097</v>
          </cell>
        </row>
        <row r="1423">
          <cell r="A1423" t="str">
            <v>92,18</v>
          </cell>
          <cell r="B1423" t="str">
            <v>WS 1 kn2</v>
          </cell>
          <cell r="C1423" t="str">
            <v>Tersier T6-T7</v>
          </cell>
          <cell r="D1423">
            <v>21</v>
          </cell>
          <cell r="E1423">
            <v>37.800000000000004</v>
          </cell>
          <cell r="F1423">
            <v>0.3</v>
          </cell>
          <cell r="G1423">
            <v>0.24177224349209758</v>
          </cell>
        </row>
        <row r="1424">
          <cell r="A1424" t="str">
            <v>92,19</v>
          </cell>
          <cell r="B1424" t="str">
            <v>WS 1 kn2</v>
          </cell>
          <cell r="C1424" t="str">
            <v>Tersier T5-T6</v>
          </cell>
          <cell r="D1424">
            <v>29</v>
          </cell>
          <cell r="E1424">
            <v>52.2</v>
          </cell>
          <cell r="F1424">
            <v>0.3</v>
          </cell>
          <cell r="G1424">
            <v>0.28482375147425121</v>
          </cell>
        </row>
        <row r="1425">
          <cell r="A1425" t="str">
            <v>92,20</v>
          </cell>
          <cell r="B1425" t="str">
            <v>WS 1 kn2</v>
          </cell>
          <cell r="C1425" t="str">
            <v>Tersier T4-T5</v>
          </cell>
          <cell r="D1425">
            <v>43</v>
          </cell>
          <cell r="E1425">
            <v>77.400000000000006</v>
          </cell>
          <cell r="F1425">
            <v>0.35</v>
          </cell>
          <cell r="G1425">
            <v>0.32944255513320869</v>
          </cell>
        </row>
        <row r="1426">
          <cell r="A1426" t="str">
            <v>92,21</v>
          </cell>
          <cell r="B1426" t="str">
            <v>WS 1 kn2</v>
          </cell>
          <cell r="C1426" t="str">
            <v>Tersier T4-K1</v>
          </cell>
          <cell r="D1426">
            <v>16</v>
          </cell>
          <cell r="E1426">
            <v>28.8</v>
          </cell>
          <cell r="F1426">
            <v>0.3</v>
          </cell>
          <cell r="G1426">
            <v>0.20997228605922097</v>
          </cell>
        </row>
        <row r="1427">
          <cell r="A1427" t="str">
            <v>92,22</v>
          </cell>
          <cell r="B1427" t="str">
            <v>WS 1 kn2</v>
          </cell>
          <cell r="C1427" t="str">
            <v>Tersier T3-T4</v>
          </cell>
          <cell r="D1427">
            <v>59</v>
          </cell>
          <cell r="E1427">
            <v>106.2</v>
          </cell>
          <cell r="F1427">
            <v>0.4</v>
          </cell>
          <cell r="G1427">
            <v>0.3690504636067371</v>
          </cell>
        </row>
        <row r="1428">
          <cell r="A1428" t="str">
            <v>92,23</v>
          </cell>
          <cell r="B1428" t="str">
            <v>WS 1 kn2</v>
          </cell>
          <cell r="C1428" t="str">
            <v>Tersier T2-T3</v>
          </cell>
          <cell r="D1428">
            <v>69</v>
          </cell>
          <cell r="E1428">
            <v>124.2</v>
          </cell>
          <cell r="F1428">
            <v>0.45</v>
          </cell>
          <cell r="G1428">
            <v>0.38332810544726065</v>
          </cell>
        </row>
        <row r="1429">
          <cell r="A1429" t="str">
            <v>92,24</v>
          </cell>
          <cell r="B1429" t="str">
            <v>WS 1 kn2</v>
          </cell>
          <cell r="C1429" t="str">
            <v>Tersier T1-T2</v>
          </cell>
          <cell r="D1429">
            <v>75</v>
          </cell>
          <cell r="E1429">
            <v>135</v>
          </cell>
          <cell r="F1429">
            <v>0.45</v>
          </cell>
          <cell r="G1429">
            <v>0.39991758724400484</v>
          </cell>
        </row>
        <row r="1430">
          <cell r="A1430" t="str">
            <v>92,25</v>
          </cell>
          <cell r="B1430" t="str">
            <v>WS 1 kn2</v>
          </cell>
          <cell r="C1430" t="str">
            <v>Tersier T1-K3</v>
          </cell>
          <cell r="D1430">
            <v>22</v>
          </cell>
          <cell r="E1430">
            <v>39.6</v>
          </cell>
          <cell r="F1430">
            <v>0.3</v>
          </cell>
          <cell r="G1430">
            <v>0.19</v>
          </cell>
        </row>
        <row r="1431">
          <cell r="A1431" t="str">
            <v>92,26</v>
          </cell>
          <cell r="B1431" t="str">
            <v>WS 1 kn2</v>
          </cell>
          <cell r="C1431" t="str">
            <v>Tersier BWS1-T1</v>
          </cell>
          <cell r="D1431">
            <v>104</v>
          </cell>
          <cell r="E1431">
            <v>187.20000000000002</v>
          </cell>
          <cell r="F1431">
            <v>0.5</v>
          </cell>
          <cell r="G1431">
            <v>0.45479845835698796</v>
          </cell>
        </row>
        <row r="1433">
          <cell r="A1433">
            <v>93</v>
          </cell>
          <cell r="B1433" t="str">
            <v>WS 2 kr</v>
          </cell>
          <cell r="D1433">
            <v>0</v>
          </cell>
        </row>
        <row r="1434">
          <cell r="A1434" t="str">
            <v>93,1</v>
          </cell>
          <cell r="B1434" t="str">
            <v>WS 2 kr</v>
          </cell>
          <cell r="C1434" t="str">
            <v>Kwarter a1</v>
          </cell>
          <cell r="D1434">
            <v>12</v>
          </cell>
          <cell r="E1434">
            <v>21.6</v>
          </cell>
          <cell r="F1434">
            <v>0.3</v>
          </cell>
          <cell r="G1434">
            <v>0.25885060257641224</v>
          </cell>
        </row>
        <row r="1435">
          <cell r="A1435" t="str">
            <v>93,2</v>
          </cell>
          <cell r="B1435" t="str">
            <v>WS 2 kr</v>
          </cell>
          <cell r="C1435" t="str">
            <v>Kwarter a2</v>
          </cell>
          <cell r="D1435">
            <v>6</v>
          </cell>
          <cell r="E1435">
            <v>15</v>
          </cell>
          <cell r="F1435">
            <v>0.3</v>
          </cell>
          <cell r="G1435">
            <v>0.21450186870683924</v>
          </cell>
        </row>
        <row r="1436">
          <cell r="A1436" t="str">
            <v>93,3</v>
          </cell>
          <cell r="B1436" t="str">
            <v>WS 2 kr</v>
          </cell>
          <cell r="C1436" t="str">
            <v>Kwarter b1</v>
          </cell>
          <cell r="D1436">
            <v>7</v>
          </cell>
          <cell r="E1436">
            <v>15</v>
          </cell>
          <cell r="F1436">
            <v>0.3</v>
          </cell>
          <cell r="G1436">
            <v>0.21450186870683924</v>
          </cell>
        </row>
        <row r="1437">
          <cell r="A1437" t="str">
            <v>93,4</v>
          </cell>
          <cell r="B1437" t="str">
            <v>WS 2 kr</v>
          </cell>
          <cell r="C1437" t="str">
            <v>Kwarter b2</v>
          </cell>
          <cell r="D1437">
            <v>12</v>
          </cell>
          <cell r="E1437">
            <v>21.6</v>
          </cell>
          <cell r="F1437">
            <v>0.3</v>
          </cell>
          <cell r="G1437">
            <v>0.25885060257641224</v>
          </cell>
        </row>
        <row r="1438">
          <cell r="A1438" t="str">
            <v>93,5</v>
          </cell>
          <cell r="B1438" t="str">
            <v>WS 2 kr</v>
          </cell>
          <cell r="C1438" t="str">
            <v>Muka b2</v>
          </cell>
          <cell r="D1438">
            <v>12</v>
          </cell>
          <cell r="E1438">
            <v>21.6</v>
          </cell>
          <cell r="F1438">
            <v>0.3</v>
          </cell>
          <cell r="G1438">
            <v>0.18034054347579084</v>
          </cell>
        </row>
        <row r="1439">
          <cell r="A1439" t="str">
            <v>93,6</v>
          </cell>
          <cell r="B1439" t="str">
            <v>WS 2 kr</v>
          </cell>
          <cell r="C1439" t="str">
            <v>Tersier T2-K1</v>
          </cell>
          <cell r="D1439">
            <v>19</v>
          </cell>
          <cell r="E1439">
            <v>34.200000000000003</v>
          </cell>
          <cell r="F1439">
            <v>0.3</v>
          </cell>
          <cell r="G1439">
            <v>0.22961637840568802</v>
          </cell>
        </row>
        <row r="1440">
          <cell r="A1440" t="str">
            <v>93,7</v>
          </cell>
          <cell r="B1440" t="str">
            <v>WS 2 kr</v>
          </cell>
          <cell r="C1440" t="str">
            <v>Tersier T1-T2</v>
          </cell>
          <cell r="D1440">
            <v>25</v>
          </cell>
          <cell r="E1440">
            <v>45</v>
          </cell>
          <cell r="F1440">
            <v>0.3</v>
          </cell>
          <cell r="G1440">
            <v>0.26427423601946898</v>
          </cell>
        </row>
        <row r="1441">
          <cell r="A1441" t="str">
            <v>93,8</v>
          </cell>
          <cell r="B1441" t="str">
            <v>WS 2 kr</v>
          </cell>
          <cell r="C1441" t="str">
            <v>Tersier BWS2-T1</v>
          </cell>
          <cell r="D1441">
            <v>37</v>
          </cell>
          <cell r="E1441">
            <v>66.600000000000009</v>
          </cell>
          <cell r="F1441">
            <v>0.35</v>
          </cell>
          <cell r="G1441">
            <v>0.30535674927654982</v>
          </cell>
        </row>
        <row r="1443">
          <cell r="A1443">
            <v>94</v>
          </cell>
          <cell r="B1443" t="str">
            <v>WS 3 kn1</v>
          </cell>
          <cell r="D1443">
            <v>0</v>
          </cell>
        </row>
        <row r="1444">
          <cell r="A1444" t="str">
            <v>94,1</v>
          </cell>
          <cell r="B1444" t="str">
            <v>WS 3 kn1</v>
          </cell>
          <cell r="C1444" t="str">
            <v>Kwarter a1</v>
          </cell>
          <cell r="D1444">
            <v>11</v>
          </cell>
          <cell r="E1444">
            <v>19.8</v>
          </cell>
          <cell r="F1444">
            <v>0.3</v>
          </cell>
          <cell r="G1444">
            <v>0.24760852933338706</v>
          </cell>
        </row>
        <row r="1445">
          <cell r="A1445" t="str">
            <v>94,2</v>
          </cell>
          <cell r="B1445" t="str">
            <v>WS 3 kn1</v>
          </cell>
          <cell r="C1445" t="str">
            <v>Kwarter a2</v>
          </cell>
          <cell r="D1445">
            <v>6</v>
          </cell>
          <cell r="E1445">
            <v>15</v>
          </cell>
          <cell r="F1445">
            <v>0.3</v>
          </cell>
          <cell r="G1445">
            <v>0.21450186870683924</v>
          </cell>
        </row>
        <row r="1446">
          <cell r="A1446" t="str">
            <v>94,3</v>
          </cell>
          <cell r="B1446" t="str">
            <v>WS 3 kn1</v>
          </cell>
          <cell r="C1446" t="str">
            <v>Kwarter a3</v>
          </cell>
          <cell r="D1446">
            <v>11</v>
          </cell>
          <cell r="E1446">
            <v>19.8</v>
          </cell>
          <cell r="F1446">
            <v>0.3</v>
          </cell>
          <cell r="G1446">
            <v>0.24760852933338706</v>
          </cell>
        </row>
        <row r="1447">
          <cell r="A1447" t="str">
            <v>94,4</v>
          </cell>
          <cell r="B1447" t="str">
            <v>WS 3 kn1</v>
          </cell>
          <cell r="C1447" t="str">
            <v>Kwarter a4</v>
          </cell>
          <cell r="D1447">
            <v>5</v>
          </cell>
          <cell r="E1447">
            <v>15</v>
          </cell>
          <cell r="F1447">
            <v>0.3</v>
          </cell>
          <cell r="G1447">
            <v>0.21450186870683924</v>
          </cell>
        </row>
        <row r="1448">
          <cell r="A1448" t="str">
            <v>94,5</v>
          </cell>
          <cell r="B1448" t="str">
            <v>WS 3 kn1</v>
          </cell>
          <cell r="C1448" t="str">
            <v>Kwarter b1</v>
          </cell>
          <cell r="D1448">
            <v>9</v>
          </cell>
          <cell r="E1448">
            <v>16.2</v>
          </cell>
          <cell r="F1448">
            <v>0.3</v>
          </cell>
          <cell r="G1448">
            <v>0.22327164076703876</v>
          </cell>
        </row>
        <row r="1449">
          <cell r="A1449" t="str">
            <v>94,6</v>
          </cell>
          <cell r="B1449" t="str">
            <v>WS 3 kn1</v>
          </cell>
          <cell r="C1449" t="str">
            <v>Kwarter b2</v>
          </cell>
          <cell r="D1449">
            <v>5</v>
          </cell>
          <cell r="E1449">
            <v>15</v>
          </cell>
          <cell r="F1449">
            <v>0.3</v>
          </cell>
          <cell r="G1449">
            <v>0.21450186870683924</v>
          </cell>
        </row>
        <row r="1450">
          <cell r="A1450" t="str">
            <v>94,7</v>
          </cell>
          <cell r="B1450" t="str">
            <v>WS 3 kn1</v>
          </cell>
          <cell r="C1450" t="str">
            <v>Kwarter b3</v>
          </cell>
          <cell r="D1450">
            <v>5</v>
          </cell>
          <cell r="E1450">
            <v>15</v>
          </cell>
          <cell r="F1450">
            <v>0.3</v>
          </cell>
          <cell r="G1450">
            <v>0.21450186870683924</v>
          </cell>
        </row>
        <row r="1451">
          <cell r="A1451" t="str">
            <v>94,8</v>
          </cell>
          <cell r="B1451" t="str">
            <v>WS 3 kn1</v>
          </cell>
          <cell r="C1451" t="str">
            <v>Kwarter b4</v>
          </cell>
          <cell r="D1451">
            <v>13</v>
          </cell>
          <cell r="E1451">
            <v>23.400000000000002</v>
          </cell>
          <cell r="F1451">
            <v>0.3</v>
          </cell>
          <cell r="G1451">
            <v>0.26957675461177327</v>
          </cell>
        </row>
        <row r="1452">
          <cell r="A1452" t="str">
            <v>94,9</v>
          </cell>
          <cell r="B1452" t="str">
            <v>WS 3 kn1</v>
          </cell>
          <cell r="C1452" t="str">
            <v>Kwarter c1</v>
          </cell>
          <cell r="D1452">
            <v>7</v>
          </cell>
          <cell r="E1452">
            <v>15</v>
          </cell>
          <cell r="F1452">
            <v>0.3</v>
          </cell>
          <cell r="G1452">
            <v>0.21450186870683924</v>
          </cell>
        </row>
        <row r="1453">
          <cell r="A1453" t="str">
            <v>94,10</v>
          </cell>
          <cell r="B1453" t="str">
            <v>WS 3 kn1</v>
          </cell>
          <cell r="C1453" t="str">
            <v>Kwarter c2</v>
          </cell>
          <cell r="D1453">
            <v>8</v>
          </cell>
          <cell r="E1453">
            <v>15</v>
          </cell>
          <cell r="F1453">
            <v>0.3</v>
          </cell>
          <cell r="G1453">
            <v>0.21450186870683924</v>
          </cell>
        </row>
        <row r="1454">
          <cell r="A1454" t="str">
            <v>94,11</v>
          </cell>
          <cell r="B1454" t="str">
            <v>WS 3 kn1</v>
          </cell>
          <cell r="C1454" t="str">
            <v>Kwarter c3</v>
          </cell>
          <cell r="D1454">
            <v>4</v>
          </cell>
          <cell r="E1454">
            <v>15</v>
          </cell>
          <cell r="F1454">
            <v>0.3</v>
          </cell>
          <cell r="G1454">
            <v>0.21450186870683924</v>
          </cell>
        </row>
        <row r="1455">
          <cell r="A1455" t="str">
            <v>94,12</v>
          </cell>
          <cell r="B1455" t="str">
            <v>WS 3 kn1</v>
          </cell>
          <cell r="C1455" t="str">
            <v>Kwarter C4</v>
          </cell>
          <cell r="D1455">
            <v>7</v>
          </cell>
          <cell r="E1455">
            <v>15</v>
          </cell>
          <cell r="F1455">
            <v>0.3</v>
          </cell>
          <cell r="G1455">
            <v>0.21450186870683924</v>
          </cell>
        </row>
        <row r="1456">
          <cell r="A1456" t="str">
            <v>94,13</v>
          </cell>
          <cell r="B1456" t="str">
            <v>WS 3 kn1</v>
          </cell>
          <cell r="C1456" t="str">
            <v>Kwarter d1</v>
          </cell>
          <cell r="D1456">
            <v>7</v>
          </cell>
          <cell r="E1456">
            <v>15</v>
          </cell>
          <cell r="F1456">
            <v>0.3</v>
          </cell>
          <cell r="G1456">
            <v>0.21450186870683924</v>
          </cell>
        </row>
        <row r="1457">
          <cell r="A1457" t="str">
            <v>94,14</v>
          </cell>
          <cell r="B1457" t="str">
            <v>WS 3 kn1</v>
          </cell>
          <cell r="C1457" t="str">
            <v>Kwarter d2</v>
          </cell>
          <cell r="D1457">
            <v>6</v>
          </cell>
          <cell r="E1457">
            <v>15</v>
          </cell>
          <cell r="F1457">
            <v>0.3</v>
          </cell>
          <cell r="G1457">
            <v>0.21450186870683924</v>
          </cell>
        </row>
        <row r="1458">
          <cell r="A1458" t="str">
            <v>94,15</v>
          </cell>
          <cell r="B1458" t="str">
            <v>WS 3 kn1</v>
          </cell>
          <cell r="C1458" t="str">
            <v>Kwarter d3</v>
          </cell>
          <cell r="D1458">
            <v>7</v>
          </cell>
          <cell r="E1458">
            <v>15</v>
          </cell>
          <cell r="F1458">
            <v>0.3</v>
          </cell>
          <cell r="G1458">
            <v>0.21450186870683924</v>
          </cell>
        </row>
        <row r="1459">
          <cell r="A1459" t="str">
            <v>94,16</v>
          </cell>
          <cell r="B1459" t="str">
            <v>WS 3 kn1</v>
          </cell>
          <cell r="C1459" t="str">
            <v>Kwarter d4</v>
          </cell>
          <cell r="D1459">
            <v>11</v>
          </cell>
          <cell r="E1459">
            <v>19.8</v>
          </cell>
          <cell r="F1459">
            <v>0.3</v>
          </cell>
          <cell r="G1459">
            <v>0.24760852933338706</v>
          </cell>
        </row>
        <row r="1460">
          <cell r="A1460" t="str">
            <v>94,17</v>
          </cell>
          <cell r="B1460" t="str">
            <v>WS 3 kn1</v>
          </cell>
          <cell r="C1460" t="str">
            <v>Muka d5</v>
          </cell>
          <cell r="D1460">
            <v>10</v>
          </cell>
          <cell r="E1460">
            <v>18</v>
          </cell>
          <cell r="F1460">
            <v>0.3</v>
          </cell>
          <cell r="G1460">
            <v>0.23577879795157511</v>
          </cell>
        </row>
        <row r="1461">
          <cell r="A1461" t="str">
            <v>94,18</v>
          </cell>
          <cell r="B1461" t="str">
            <v>WS 3 kn1</v>
          </cell>
          <cell r="C1461" t="str">
            <v>Muka a4</v>
          </cell>
          <cell r="D1461">
            <v>5</v>
          </cell>
          <cell r="E1461">
            <v>15</v>
          </cell>
          <cell r="F1461">
            <v>0.3</v>
          </cell>
          <cell r="G1461">
            <v>8.117996690989171E-2</v>
          </cell>
        </row>
        <row r="1462">
          <cell r="A1462" t="str">
            <v>94,19</v>
          </cell>
          <cell r="B1462" t="str">
            <v>WS 3 kn1</v>
          </cell>
          <cell r="C1462" t="str">
            <v>Muka d2</v>
          </cell>
          <cell r="D1462">
            <v>6</v>
          </cell>
          <cell r="E1462">
            <v>15</v>
          </cell>
          <cell r="F1462">
            <v>0.3</v>
          </cell>
          <cell r="G1462">
            <v>0.14808412770373933</v>
          </cell>
        </row>
        <row r="1463">
          <cell r="A1463" t="str">
            <v>94,20</v>
          </cell>
          <cell r="B1463" t="str">
            <v>WS 3 kn1</v>
          </cell>
          <cell r="C1463" t="str">
            <v>Muka b4</v>
          </cell>
          <cell r="D1463">
            <v>5</v>
          </cell>
          <cell r="E1463">
            <v>15</v>
          </cell>
          <cell r="F1463">
            <v>0.3</v>
          </cell>
          <cell r="G1463">
            <v>8.8164585252760733E-2</v>
          </cell>
        </row>
        <row r="1464">
          <cell r="A1464" t="str">
            <v>94,21</v>
          </cell>
          <cell r="B1464" t="str">
            <v>WS 3 kn1</v>
          </cell>
          <cell r="C1464" t="str">
            <v>Tersier T8-K3</v>
          </cell>
          <cell r="D1464">
            <v>21</v>
          </cell>
          <cell r="E1464">
            <v>37.800000000000004</v>
          </cell>
          <cell r="F1464">
            <v>0.3</v>
          </cell>
          <cell r="G1464">
            <v>0.24177224349209758</v>
          </cell>
        </row>
        <row r="1465">
          <cell r="A1465" t="str">
            <v>94,22</v>
          </cell>
          <cell r="B1465" t="str">
            <v>WS 3 kn1</v>
          </cell>
          <cell r="C1465" t="str">
            <v>Tersier T7-T8</v>
          </cell>
          <cell r="D1465">
            <v>28</v>
          </cell>
          <cell r="E1465">
            <v>50.4</v>
          </cell>
          <cell r="F1465">
            <v>0.3</v>
          </cell>
          <cell r="G1465">
            <v>0.27984548368941714</v>
          </cell>
        </row>
        <row r="1466">
          <cell r="A1466" t="str">
            <v>94,23</v>
          </cell>
          <cell r="B1466" t="str">
            <v>WS 3 kn1</v>
          </cell>
          <cell r="C1466" t="str">
            <v>Tersier T6-T7</v>
          </cell>
          <cell r="D1466">
            <v>34</v>
          </cell>
          <cell r="E1466">
            <v>61.2</v>
          </cell>
          <cell r="F1466">
            <v>0.35</v>
          </cell>
          <cell r="G1466">
            <v>0.29248170009744751</v>
          </cell>
        </row>
        <row r="1467">
          <cell r="A1467" t="str">
            <v>94,24</v>
          </cell>
          <cell r="B1467" t="str">
            <v>WS 3 kn1</v>
          </cell>
          <cell r="C1467" t="str">
            <v>Tersier T5-K2</v>
          </cell>
          <cell r="D1467">
            <v>15</v>
          </cell>
          <cell r="E1467">
            <v>27</v>
          </cell>
          <cell r="F1467">
            <v>0.35</v>
          </cell>
          <cell r="G1467">
            <v>0.19020000000001758</v>
          </cell>
        </row>
        <row r="1468">
          <cell r="A1468" t="str">
            <v>94,25</v>
          </cell>
          <cell r="B1468" t="str">
            <v>WS 3 kn1</v>
          </cell>
          <cell r="C1468" t="str">
            <v>Tersier T4-T5</v>
          </cell>
          <cell r="D1468">
            <v>26</v>
          </cell>
          <cell r="E1468">
            <v>46.800000000000004</v>
          </cell>
          <cell r="F1468">
            <v>0.3</v>
          </cell>
          <cell r="G1468">
            <v>0.26957675461177327</v>
          </cell>
        </row>
        <row r="1469">
          <cell r="A1469" t="str">
            <v>94,26</v>
          </cell>
          <cell r="B1469" t="str">
            <v>WS 3 kn1</v>
          </cell>
          <cell r="C1469" t="str">
            <v>Tersier T3-T4</v>
          </cell>
          <cell r="D1469">
            <v>49</v>
          </cell>
          <cell r="E1469">
            <v>88.2</v>
          </cell>
          <cell r="F1469">
            <v>0.35</v>
          </cell>
          <cell r="G1469">
            <v>0.35168261094405812</v>
          </cell>
        </row>
        <row r="1470">
          <cell r="A1470" t="str">
            <v>94,27</v>
          </cell>
          <cell r="B1470" t="str">
            <v>WS 3 kn1</v>
          </cell>
          <cell r="C1470" t="str">
            <v>Tersier T2-T3</v>
          </cell>
          <cell r="D1470">
            <v>58</v>
          </cell>
          <cell r="E1470">
            <v>104.4</v>
          </cell>
          <cell r="F1470">
            <v>0.4</v>
          </cell>
          <cell r="G1470">
            <v>0.36588317394221131</v>
          </cell>
        </row>
        <row r="1471">
          <cell r="A1471" t="str">
            <v>94,28</v>
          </cell>
          <cell r="B1471" t="str">
            <v>WS 3 kn1</v>
          </cell>
          <cell r="C1471" t="str">
            <v>Tersier T2-K1</v>
          </cell>
          <cell r="D1471">
            <v>16</v>
          </cell>
          <cell r="E1471">
            <v>28.8</v>
          </cell>
          <cell r="F1471">
            <v>0.3</v>
          </cell>
          <cell r="G1471">
            <v>0.11877502188831654</v>
          </cell>
        </row>
        <row r="1472">
          <cell r="A1472" t="str">
            <v>94,29</v>
          </cell>
          <cell r="B1472" t="str">
            <v>WS 3 kn1</v>
          </cell>
          <cell r="C1472" t="str">
            <v>Tersier T1-T6</v>
          </cell>
          <cell r="D1472">
            <v>41</v>
          </cell>
          <cell r="E1472">
            <v>73.8</v>
          </cell>
          <cell r="F1472">
            <v>0.3</v>
          </cell>
          <cell r="G1472">
            <v>0.19055217530546253</v>
          </cell>
        </row>
        <row r="1473">
          <cell r="A1473" t="str">
            <v>94,30</v>
          </cell>
          <cell r="B1473" t="str">
            <v>WS 3 kn1</v>
          </cell>
          <cell r="C1473" t="str">
            <v>Tersier T1-T2</v>
          </cell>
          <cell r="D1473">
            <v>80</v>
          </cell>
          <cell r="E1473">
            <v>144</v>
          </cell>
          <cell r="F1473">
            <v>0.45</v>
          </cell>
          <cell r="G1473">
            <v>0.41317771127590514</v>
          </cell>
        </row>
        <row r="1474">
          <cell r="A1474" t="str">
            <v>94,31</v>
          </cell>
          <cell r="B1474" t="str">
            <v>WS 3 kn1</v>
          </cell>
          <cell r="C1474" t="str">
            <v>Tersier BWS3-T1</v>
          </cell>
          <cell r="D1474">
            <v>132</v>
          </cell>
          <cell r="E1474">
            <v>237.6</v>
          </cell>
          <cell r="F1474">
            <v>0.55000000000000004</v>
          </cell>
          <cell r="G1474">
            <v>0.49631346739616672</v>
          </cell>
        </row>
        <row r="1476">
          <cell r="A1476">
            <v>95</v>
          </cell>
          <cell r="B1476" t="str">
            <v>WS 3 kn2</v>
          </cell>
          <cell r="D1476">
            <v>0</v>
          </cell>
        </row>
        <row r="1477">
          <cell r="A1477" t="str">
            <v>95,1</v>
          </cell>
          <cell r="B1477" t="str">
            <v>WS 3 kn2</v>
          </cell>
          <cell r="C1477" t="str">
            <v>Kwarter a1</v>
          </cell>
          <cell r="D1477">
            <v>11</v>
          </cell>
          <cell r="E1477">
            <v>19.8</v>
          </cell>
          <cell r="F1477">
            <v>0.3</v>
          </cell>
          <cell r="G1477">
            <v>0.24760852933338706</v>
          </cell>
        </row>
        <row r="1478">
          <cell r="A1478" t="str">
            <v>95,2</v>
          </cell>
          <cell r="B1478" t="str">
            <v>WS 3 kn2</v>
          </cell>
          <cell r="C1478" t="str">
            <v>Kwarter a2</v>
          </cell>
          <cell r="D1478">
            <v>15</v>
          </cell>
          <cell r="E1478">
            <v>27</v>
          </cell>
          <cell r="F1478">
            <v>0.3</v>
          </cell>
          <cell r="G1478">
            <v>0.28970512341744525</v>
          </cell>
        </row>
        <row r="1479">
          <cell r="A1479" t="str">
            <v>95,3</v>
          </cell>
          <cell r="B1479" t="str">
            <v>WS 3 kn2</v>
          </cell>
          <cell r="C1479" t="str">
            <v>Kwarter a3</v>
          </cell>
          <cell r="D1479">
            <v>14</v>
          </cell>
          <cell r="E1479">
            <v>25.2</v>
          </cell>
          <cell r="F1479">
            <v>0.3</v>
          </cell>
          <cell r="G1479">
            <v>0.27984551330394364</v>
          </cell>
        </row>
        <row r="1480">
          <cell r="A1480" t="str">
            <v>95,4</v>
          </cell>
          <cell r="B1480" t="str">
            <v>WS 3 kn2</v>
          </cell>
          <cell r="C1480" t="str">
            <v>Kwarter b1</v>
          </cell>
          <cell r="D1480">
            <v>10</v>
          </cell>
          <cell r="E1480">
            <v>18</v>
          </cell>
          <cell r="F1480">
            <v>0.3</v>
          </cell>
          <cell r="G1480">
            <v>0.23577879795157511</v>
          </cell>
        </row>
        <row r="1481">
          <cell r="A1481" t="str">
            <v>95,5</v>
          </cell>
          <cell r="B1481" t="str">
            <v>WS 3 kn2</v>
          </cell>
          <cell r="C1481" t="str">
            <v>Muka b2</v>
          </cell>
          <cell r="D1481">
            <v>11</v>
          </cell>
          <cell r="E1481">
            <v>19.8</v>
          </cell>
          <cell r="F1481">
            <v>0.3</v>
          </cell>
          <cell r="G1481">
            <v>0.13237862785964474</v>
          </cell>
        </row>
        <row r="1482">
          <cell r="A1482" t="str">
            <v>95,6</v>
          </cell>
          <cell r="B1482" t="str">
            <v>WS 3 kn2</v>
          </cell>
          <cell r="C1482" t="str">
            <v>Kwarter b2</v>
          </cell>
          <cell r="D1482">
            <v>11</v>
          </cell>
          <cell r="E1482">
            <v>19.8</v>
          </cell>
          <cell r="F1482">
            <v>0.3</v>
          </cell>
          <cell r="G1482">
            <v>0.17213172774180124</v>
          </cell>
        </row>
        <row r="1483">
          <cell r="A1483" t="str">
            <v>95,7</v>
          </cell>
          <cell r="B1483" t="str">
            <v>WS 3 kn2</v>
          </cell>
          <cell r="C1483" t="str">
            <v>Tersier T2-K1</v>
          </cell>
          <cell r="D1483">
            <v>35</v>
          </cell>
          <cell r="E1483">
            <v>63</v>
          </cell>
          <cell r="F1483">
            <v>0.35</v>
          </cell>
          <cell r="G1483">
            <v>0.29684185225160231</v>
          </cell>
        </row>
        <row r="1484">
          <cell r="A1484" t="str">
            <v>95,8</v>
          </cell>
          <cell r="B1484" t="str">
            <v>WS 3 kn2</v>
          </cell>
          <cell r="C1484" t="str">
            <v>Tersier T1-T2</v>
          </cell>
          <cell r="D1484">
            <v>50</v>
          </cell>
          <cell r="E1484">
            <v>90</v>
          </cell>
          <cell r="F1484">
            <v>0.35</v>
          </cell>
          <cell r="G1484">
            <v>0.35523469670309343</v>
          </cell>
        </row>
        <row r="1485">
          <cell r="A1485" t="str">
            <v>95,9</v>
          </cell>
          <cell r="B1485" t="str">
            <v>WS 3 kn2</v>
          </cell>
          <cell r="C1485" t="str">
            <v>Tersier BWS3-T1</v>
          </cell>
          <cell r="D1485">
            <v>61</v>
          </cell>
          <cell r="E1485">
            <v>109.8</v>
          </cell>
          <cell r="F1485">
            <v>0.4</v>
          </cell>
          <cell r="G1485">
            <v>0.37529478056574195</v>
          </cell>
        </row>
        <row r="1487">
          <cell r="A1487">
            <v>96</v>
          </cell>
          <cell r="B1487" t="str">
            <v>WS 4 kn</v>
          </cell>
          <cell r="D1487">
            <v>0</v>
          </cell>
        </row>
        <row r="1488">
          <cell r="A1488" t="str">
            <v>96,1</v>
          </cell>
          <cell r="B1488" t="str">
            <v>WS 4 kn</v>
          </cell>
          <cell r="C1488" t="str">
            <v>Kwarter a1</v>
          </cell>
          <cell r="D1488">
            <v>7</v>
          </cell>
          <cell r="E1488">
            <v>15</v>
          </cell>
          <cell r="F1488">
            <v>0.3</v>
          </cell>
          <cell r="G1488">
            <v>0.21450186870683924</v>
          </cell>
        </row>
        <row r="1489">
          <cell r="A1489" t="str">
            <v>96,2</v>
          </cell>
          <cell r="B1489" t="str">
            <v>WS 4 kn</v>
          </cell>
          <cell r="C1489" t="str">
            <v>Kwarter a2</v>
          </cell>
          <cell r="D1489">
            <v>10</v>
          </cell>
          <cell r="E1489">
            <v>18</v>
          </cell>
          <cell r="F1489">
            <v>0.3</v>
          </cell>
          <cell r="G1489">
            <v>0.23577879795157511</v>
          </cell>
        </row>
        <row r="1490">
          <cell r="A1490" t="str">
            <v>96,3</v>
          </cell>
          <cell r="B1490" t="str">
            <v>WS 4 kn</v>
          </cell>
          <cell r="C1490" t="str">
            <v>Muka a2</v>
          </cell>
          <cell r="D1490">
            <v>10</v>
          </cell>
          <cell r="E1490">
            <v>18</v>
          </cell>
          <cell r="F1490">
            <v>0.3</v>
          </cell>
          <cell r="G1490">
            <v>9.2389409715459017E-2</v>
          </cell>
        </row>
        <row r="1491">
          <cell r="A1491" t="str">
            <v>96,4</v>
          </cell>
          <cell r="B1491" t="str">
            <v>WS 4 kn</v>
          </cell>
          <cell r="C1491" t="str">
            <v>Tersier BWS4-K1</v>
          </cell>
          <cell r="D1491">
            <v>17</v>
          </cell>
          <cell r="E1491">
            <v>30.6</v>
          </cell>
          <cell r="F1491">
            <v>0.3</v>
          </cell>
          <cell r="G1491">
            <v>0.21672942090731576</v>
          </cell>
        </row>
        <row r="1493">
          <cell r="A1493">
            <v>97</v>
          </cell>
          <cell r="B1493" t="str">
            <v>WS 4 kr</v>
          </cell>
          <cell r="D1493">
            <v>0</v>
          </cell>
        </row>
        <row r="1494">
          <cell r="A1494" t="str">
            <v>97,1</v>
          </cell>
          <cell r="B1494" t="str">
            <v>WS 4 kr</v>
          </cell>
          <cell r="C1494" t="str">
            <v>Kwarter a1</v>
          </cell>
          <cell r="D1494">
            <v>10</v>
          </cell>
          <cell r="E1494">
            <v>18</v>
          </cell>
          <cell r="F1494">
            <v>0.3</v>
          </cell>
          <cell r="G1494">
            <v>0.23577879795157511</v>
          </cell>
        </row>
        <row r="1495">
          <cell r="A1495" t="str">
            <v>97,2</v>
          </cell>
          <cell r="B1495" t="str">
            <v>WS 4 kr</v>
          </cell>
          <cell r="C1495" t="str">
            <v>Kwarter a2</v>
          </cell>
          <cell r="D1495">
            <v>9</v>
          </cell>
          <cell r="E1495">
            <v>16.2</v>
          </cell>
          <cell r="F1495">
            <v>0.3</v>
          </cell>
          <cell r="G1495">
            <v>0.22327164076703876</v>
          </cell>
        </row>
        <row r="1496">
          <cell r="A1496" t="str">
            <v>97,3</v>
          </cell>
          <cell r="B1496" t="str">
            <v>WS 4 kr</v>
          </cell>
          <cell r="C1496" t="str">
            <v>Kwarter a3</v>
          </cell>
          <cell r="D1496">
            <v>11</v>
          </cell>
          <cell r="E1496">
            <v>19.8</v>
          </cell>
          <cell r="F1496">
            <v>0.3</v>
          </cell>
          <cell r="G1496">
            <v>0.24760852933338706</v>
          </cell>
        </row>
        <row r="1497">
          <cell r="A1497" t="str">
            <v>97,4</v>
          </cell>
          <cell r="B1497" t="str">
            <v>WS 4 kr</v>
          </cell>
          <cell r="C1497" t="str">
            <v>Kwarter a4</v>
          </cell>
          <cell r="D1497">
            <v>11</v>
          </cell>
          <cell r="E1497">
            <v>19.8</v>
          </cell>
          <cell r="F1497">
            <v>0.3</v>
          </cell>
          <cell r="G1497">
            <v>0.24760852933338706</v>
          </cell>
        </row>
        <row r="1498">
          <cell r="A1498" t="str">
            <v>97,5</v>
          </cell>
          <cell r="B1498" t="str">
            <v>WS 4 kr</v>
          </cell>
          <cell r="C1498" t="str">
            <v>Kwarter b1</v>
          </cell>
          <cell r="D1498">
            <v>10</v>
          </cell>
          <cell r="E1498">
            <v>18</v>
          </cell>
          <cell r="F1498">
            <v>0.3</v>
          </cell>
          <cell r="G1498">
            <v>0.23577879795157511</v>
          </cell>
        </row>
        <row r="1499">
          <cell r="A1499" t="str">
            <v>97,6</v>
          </cell>
          <cell r="B1499" t="str">
            <v>WS 4 kr</v>
          </cell>
          <cell r="C1499" t="str">
            <v>Kwarter b2</v>
          </cell>
          <cell r="D1499">
            <v>13</v>
          </cell>
          <cell r="E1499">
            <v>23.400000000000002</v>
          </cell>
          <cell r="F1499">
            <v>0.3</v>
          </cell>
          <cell r="G1499">
            <v>0.26957675461177327</v>
          </cell>
        </row>
        <row r="1500">
          <cell r="A1500" t="str">
            <v>97,7</v>
          </cell>
          <cell r="B1500" t="str">
            <v>WS 4 kr</v>
          </cell>
          <cell r="C1500" t="str">
            <v>Kwarter b3</v>
          </cell>
          <cell r="D1500">
            <v>14</v>
          </cell>
          <cell r="E1500">
            <v>25.2</v>
          </cell>
          <cell r="F1500">
            <v>0.3</v>
          </cell>
          <cell r="G1500">
            <v>0.27984551330394364</v>
          </cell>
        </row>
        <row r="1501">
          <cell r="A1501" t="str">
            <v>97,8</v>
          </cell>
          <cell r="B1501" t="str">
            <v>WS 4 kr</v>
          </cell>
          <cell r="C1501" t="str">
            <v>Kwarter cab a3</v>
          </cell>
          <cell r="E1501">
            <v>15</v>
          </cell>
          <cell r="F1501">
            <v>0.3</v>
          </cell>
          <cell r="G1501">
            <v>0.21450186870683924</v>
          </cell>
        </row>
        <row r="1502">
          <cell r="A1502" t="str">
            <v>97,9</v>
          </cell>
          <cell r="B1502" t="str">
            <v>WS 4 kr</v>
          </cell>
          <cell r="C1502" t="str">
            <v>Muka a3</v>
          </cell>
          <cell r="D1502">
            <v>11</v>
          </cell>
          <cell r="E1502">
            <v>19.8</v>
          </cell>
          <cell r="F1502">
            <v>0.3</v>
          </cell>
          <cell r="G1502">
            <v>0.17212948709189466</v>
          </cell>
        </row>
        <row r="1503">
          <cell r="A1503" t="str">
            <v>97,10</v>
          </cell>
          <cell r="B1503" t="str">
            <v>WS 4 kr</v>
          </cell>
          <cell r="C1503" t="str">
            <v>Muka b2</v>
          </cell>
          <cell r="D1503">
            <v>13</v>
          </cell>
          <cell r="E1503">
            <v>23.400000000000002</v>
          </cell>
          <cell r="F1503">
            <v>0.3</v>
          </cell>
          <cell r="G1503">
            <v>0.17745678981445442</v>
          </cell>
        </row>
        <row r="1504">
          <cell r="A1504" t="str">
            <v>97,11</v>
          </cell>
          <cell r="B1504" t="str">
            <v>WS 4 kr</v>
          </cell>
          <cell r="C1504" t="str">
            <v>Tersier T2-K1</v>
          </cell>
          <cell r="D1504">
            <v>37</v>
          </cell>
          <cell r="E1504">
            <v>66.600000000000009</v>
          </cell>
          <cell r="F1504">
            <v>0.35</v>
          </cell>
          <cell r="G1504">
            <v>0.30535674927654982</v>
          </cell>
        </row>
        <row r="1505">
          <cell r="A1505" t="str">
            <v>97,12</v>
          </cell>
          <cell r="B1505" t="str">
            <v>WS 4 kr</v>
          </cell>
          <cell r="C1505" t="str">
            <v>Tersier T1-T2</v>
          </cell>
          <cell r="D1505">
            <v>59</v>
          </cell>
          <cell r="E1505">
            <v>106.2</v>
          </cell>
          <cell r="F1505">
            <v>0.4</v>
          </cell>
          <cell r="G1505">
            <v>0.36905046090614008</v>
          </cell>
        </row>
        <row r="1506">
          <cell r="A1506" t="str">
            <v>97,13</v>
          </cell>
          <cell r="B1506" t="str">
            <v>WS 4 kr</v>
          </cell>
          <cell r="C1506" t="str">
            <v>Tersier BWS4-T1</v>
          </cell>
          <cell r="D1506">
            <v>78</v>
          </cell>
          <cell r="E1506">
            <v>140.4</v>
          </cell>
          <cell r="F1506">
            <v>0.45</v>
          </cell>
          <cell r="G1506">
            <v>0.4079316229307654</v>
          </cell>
        </row>
        <row r="1508">
          <cell r="A1508">
            <v>98</v>
          </cell>
          <cell r="B1508" t="str">
            <v>WS 5 kn</v>
          </cell>
          <cell r="D1508">
            <v>0</v>
          </cell>
        </row>
        <row r="1509">
          <cell r="A1509" t="str">
            <v>98,1</v>
          </cell>
          <cell r="B1509" t="str">
            <v>WS 5 kn</v>
          </cell>
          <cell r="C1509" t="str">
            <v>Kwarter a1</v>
          </cell>
          <cell r="D1509">
            <v>8</v>
          </cell>
          <cell r="E1509">
            <v>15</v>
          </cell>
          <cell r="F1509">
            <v>0.3</v>
          </cell>
          <cell r="G1509">
            <v>0.21450186870683924</v>
          </cell>
        </row>
        <row r="1510">
          <cell r="A1510" t="str">
            <v>98,2</v>
          </cell>
          <cell r="B1510" t="str">
            <v>WS 5 kn</v>
          </cell>
          <cell r="C1510" t="str">
            <v>Kwarter a2</v>
          </cell>
          <cell r="D1510">
            <v>8</v>
          </cell>
          <cell r="E1510">
            <v>15</v>
          </cell>
          <cell r="F1510">
            <v>0.3</v>
          </cell>
          <cell r="G1510">
            <v>0.21450186870683924</v>
          </cell>
        </row>
        <row r="1511">
          <cell r="A1511" t="str">
            <v>98,3</v>
          </cell>
          <cell r="B1511" t="str">
            <v>WS 5 kn</v>
          </cell>
          <cell r="C1511" t="str">
            <v>Kwarter a3</v>
          </cell>
          <cell r="D1511">
            <v>9</v>
          </cell>
          <cell r="E1511">
            <v>16.2</v>
          </cell>
          <cell r="F1511">
            <v>0.3</v>
          </cell>
          <cell r="G1511">
            <v>0.22327164076703876</v>
          </cell>
        </row>
        <row r="1512">
          <cell r="A1512" t="str">
            <v>98,4</v>
          </cell>
          <cell r="B1512" t="str">
            <v>WS 5 kn</v>
          </cell>
          <cell r="C1512" t="str">
            <v>Kwarter b1</v>
          </cell>
          <cell r="D1512">
            <v>11</v>
          </cell>
          <cell r="E1512">
            <v>19.8</v>
          </cell>
          <cell r="F1512">
            <v>0.3</v>
          </cell>
          <cell r="G1512">
            <v>0.24760852933338706</v>
          </cell>
        </row>
        <row r="1513">
          <cell r="A1513" t="str">
            <v>98,5</v>
          </cell>
          <cell r="B1513" t="str">
            <v>WS 5 kn</v>
          </cell>
          <cell r="C1513" t="str">
            <v>Kwarter b2</v>
          </cell>
          <cell r="D1513">
            <v>10</v>
          </cell>
          <cell r="E1513">
            <v>18</v>
          </cell>
          <cell r="F1513">
            <v>0.3</v>
          </cell>
          <cell r="G1513">
            <v>0.23577879795157511</v>
          </cell>
        </row>
        <row r="1514">
          <cell r="A1514" t="str">
            <v>98,6</v>
          </cell>
          <cell r="B1514" t="str">
            <v>WS 5 kn</v>
          </cell>
          <cell r="C1514" t="str">
            <v>Kwarter b3</v>
          </cell>
          <cell r="D1514">
            <v>7</v>
          </cell>
          <cell r="E1514">
            <v>15</v>
          </cell>
          <cell r="F1514">
            <v>0.3</v>
          </cell>
          <cell r="G1514">
            <v>0.21450186870683924</v>
          </cell>
        </row>
        <row r="1515">
          <cell r="A1515" t="str">
            <v>98,7</v>
          </cell>
          <cell r="B1515" t="str">
            <v>WS 5 kn</v>
          </cell>
          <cell r="C1515" t="str">
            <v>Muka b2</v>
          </cell>
          <cell r="D1515">
            <v>10</v>
          </cell>
          <cell r="E1515">
            <v>18</v>
          </cell>
          <cell r="F1515">
            <v>0.3</v>
          </cell>
          <cell r="G1515">
            <v>0.14711890195874427</v>
          </cell>
        </row>
        <row r="1516">
          <cell r="A1516" t="str">
            <v>98,8</v>
          </cell>
          <cell r="B1516" t="str">
            <v>WS 5 kn</v>
          </cell>
          <cell r="C1516" t="str">
            <v>Muka b3</v>
          </cell>
          <cell r="D1516">
            <v>7</v>
          </cell>
          <cell r="E1516">
            <v>15</v>
          </cell>
          <cell r="F1516">
            <v>0.3</v>
          </cell>
          <cell r="G1516">
            <v>0.10648394180918899</v>
          </cell>
        </row>
        <row r="1517">
          <cell r="A1517" t="str">
            <v>98,9</v>
          </cell>
          <cell r="B1517" t="str">
            <v>WS 5 kn</v>
          </cell>
          <cell r="C1517" t="str">
            <v>Tersier T2-K2</v>
          </cell>
          <cell r="D1517">
            <v>16</v>
          </cell>
          <cell r="E1517">
            <v>28.8</v>
          </cell>
          <cell r="F1517">
            <v>0.3</v>
          </cell>
          <cell r="G1517">
            <v>0.13690897602706323</v>
          </cell>
        </row>
        <row r="1518">
          <cell r="A1518" t="str">
            <v>98,10</v>
          </cell>
          <cell r="B1518" t="str">
            <v>WS 5 kn</v>
          </cell>
          <cell r="C1518" t="str">
            <v>Tersier T2-K1</v>
          </cell>
          <cell r="D1518">
            <v>21</v>
          </cell>
          <cell r="E1518">
            <v>37.800000000000004</v>
          </cell>
          <cell r="F1518">
            <v>0.3</v>
          </cell>
          <cell r="G1518">
            <v>0.24177224349209758</v>
          </cell>
        </row>
        <row r="1519">
          <cell r="A1519" t="str">
            <v>98,11</v>
          </cell>
          <cell r="B1519" t="str">
            <v>WS 5 kn</v>
          </cell>
          <cell r="C1519" t="str">
            <v>Tersier T1-T2</v>
          </cell>
          <cell r="D1519">
            <v>45</v>
          </cell>
          <cell r="E1519">
            <v>81</v>
          </cell>
          <cell r="F1519">
            <v>0.35</v>
          </cell>
          <cell r="G1519">
            <v>0.33704230552529063</v>
          </cell>
        </row>
        <row r="1520">
          <cell r="A1520" t="str">
            <v>98,12</v>
          </cell>
          <cell r="B1520" t="str">
            <v>WS 5 kn</v>
          </cell>
          <cell r="C1520" t="str">
            <v>Tersier BWS5-T1</v>
          </cell>
          <cell r="D1520">
            <v>53</v>
          </cell>
          <cell r="E1520">
            <v>95.4</v>
          </cell>
          <cell r="F1520">
            <v>0.4</v>
          </cell>
          <cell r="G1520">
            <v>0.34956276769100031</v>
          </cell>
        </row>
        <row r="1522">
          <cell r="A1522">
            <v>99</v>
          </cell>
          <cell r="B1522" t="str">
            <v>WS 5 kr</v>
          </cell>
          <cell r="D1522">
            <v>0</v>
          </cell>
        </row>
        <row r="1523">
          <cell r="A1523" t="str">
            <v>99,1</v>
          </cell>
          <cell r="B1523" t="str">
            <v>WS 5 kr</v>
          </cell>
          <cell r="C1523" t="str">
            <v>Kwarter a1</v>
          </cell>
          <cell r="D1523">
            <v>5</v>
          </cell>
          <cell r="E1523">
            <v>15</v>
          </cell>
          <cell r="F1523">
            <v>0.3</v>
          </cell>
          <cell r="G1523">
            <v>0.21450186870683924</v>
          </cell>
        </row>
        <row r="1524">
          <cell r="A1524" t="str">
            <v>99,2</v>
          </cell>
          <cell r="B1524" t="str">
            <v>WS 5 kr</v>
          </cell>
          <cell r="C1524" t="str">
            <v>Kwarter a2</v>
          </cell>
          <cell r="D1524">
            <v>4</v>
          </cell>
          <cell r="E1524">
            <v>15</v>
          </cell>
          <cell r="F1524">
            <v>0.3</v>
          </cell>
          <cell r="G1524">
            <v>0.21450186870683924</v>
          </cell>
        </row>
        <row r="1525">
          <cell r="A1525" t="str">
            <v>99,3</v>
          </cell>
          <cell r="B1525" t="str">
            <v>WS 5 kr</v>
          </cell>
          <cell r="C1525" t="str">
            <v>Kwarter a3</v>
          </cell>
          <cell r="D1525">
            <v>9</v>
          </cell>
          <cell r="E1525">
            <v>16.2</v>
          </cell>
          <cell r="F1525">
            <v>0.3</v>
          </cell>
          <cell r="G1525">
            <v>0.22327164076703876</v>
          </cell>
        </row>
        <row r="1526">
          <cell r="A1526" t="str">
            <v>99,4</v>
          </cell>
          <cell r="B1526" t="str">
            <v>WS 5 kr</v>
          </cell>
          <cell r="C1526" t="str">
            <v>Kwarter a4</v>
          </cell>
          <cell r="D1526">
            <v>7</v>
          </cell>
          <cell r="E1526">
            <v>15</v>
          </cell>
          <cell r="F1526">
            <v>0.3</v>
          </cell>
          <cell r="G1526">
            <v>0.21450186870683924</v>
          </cell>
        </row>
        <row r="1527">
          <cell r="A1527" t="str">
            <v>99,5</v>
          </cell>
          <cell r="B1527" t="str">
            <v>WS 5 kr</v>
          </cell>
          <cell r="C1527" t="str">
            <v>Kwarter b1</v>
          </cell>
          <cell r="D1527">
            <v>16</v>
          </cell>
          <cell r="E1527">
            <v>28.8</v>
          </cell>
          <cell r="F1527">
            <v>0.3</v>
          </cell>
          <cell r="G1527">
            <v>0.29919620491337184</v>
          </cell>
        </row>
        <row r="1528">
          <cell r="A1528" t="str">
            <v>99,6</v>
          </cell>
          <cell r="B1528" t="str">
            <v>WS 5 kr</v>
          </cell>
          <cell r="C1528" t="str">
            <v>Kwarter b2</v>
          </cell>
          <cell r="D1528">
            <v>13</v>
          </cell>
          <cell r="E1528">
            <v>23.400000000000002</v>
          </cell>
          <cell r="F1528">
            <v>0.3</v>
          </cell>
          <cell r="G1528">
            <v>0.26957675461177327</v>
          </cell>
        </row>
        <row r="1529">
          <cell r="A1529" t="str">
            <v>99,7</v>
          </cell>
          <cell r="B1529" t="str">
            <v>WS 5 kr</v>
          </cell>
          <cell r="C1529" t="str">
            <v>Kwarter c1</v>
          </cell>
          <cell r="D1529">
            <v>11</v>
          </cell>
          <cell r="E1529">
            <v>19.8</v>
          </cell>
          <cell r="F1529">
            <v>0.3</v>
          </cell>
          <cell r="G1529">
            <v>0.24760852933338706</v>
          </cell>
        </row>
        <row r="1530">
          <cell r="A1530" t="str">
            <v>99,8</v>
          </cell>
          <cell r="B1530" t="str">
            <v>WS 5 kr</v>
          </cell>
          <cell r="C1530" t="str">
            <v>Kwarter c2</v>
          </cell>
          <cell r="D1530">
            <v>9</v>
          </cell>
          <cell r="E1530">
            <v>16.2</v>
          </cell>
          <cell r="F1530">
            <v>0.3</v>
          </cell>
          <cell r="G1530">
            <v>0.22327164076703876</v>
          </cell>
        </row>
        <row r="1531">
          <cell r="A1531" t="str">
            <v>99,9</v>
          </cell>
          <cell r="B1531" t="str">
            <v>WS 5 kr</v>
          </cell>
          <cell r="C1531" t="str">
            <v>Kwarter cab a1</v>
          </cell>
          <cell r="E1531">
            <v>15</v>
          </cell>
          <cell r="F1531">
            <v>0.3</v>
          </cell>
          <cell r="G1531">
            <v>0.21450186870683924</v>
          </cell>
        </row>
        <row r="1532">
          <cell r="A1532" t="str">
            <v>99,10</v>
          </cell>
          <cell r="B1532" t="str">
            <v>WS 5 kr</v>
          </cell>
          <cell r="C1532" t="str">
            <v>Muka c2</v>
          </cell>
          <cell r="D1532">
            <v>9</v>
          </cell>
          <cell r="E1532">
            <v>16.2</v>
          </cell>
          <cell r="F1532">
            <v>0.3</v>
          </cell>
          <cell r="G1532">
            <v>0.15443256333332417</v>
          </cell>
        </row>
        <row r="1533">
          <cell r="A1533" t="str">
            <v>99,11</v>
          </cell>
          <cell r="B1533" t="str">
            <v>WS 5 kr</v>
          </cell>
          <cell r="C1533" t="str">
            <v>Tersier T6-K1</v>
          </cell>
          <cell r="D1533">
            <v>20</v>
          </cell>
          <cell r="E1533">
            <v>36</v>
          </cell>
          <cell r="F1533">
            <v>0.3</v>
          </cell>
          <cell r="G1533">
            <v>0.23577879795157511</v>
          </cell>
        </row>
        <row r="1534">
          <cell r="A1534" t="str">
            <v>99,12</v>
          </cell>
          <cell r="B1534" t="str">
            <v>WS 5 kr</v>
          </cell>
          <cell r="C1534" t="str">
            <v>Tersier T5-T6</v>
          </cell>
          <cell r="D1534">
            <v>33</v>
          </cell>
          <cell r="E1534">
            <v>59.4</v>
          </cell>
          <cell r="F1534">
            <v>0.35</v>
          </cell>
          <cell r="G1534">
            <v>0.28804905429902994</v>
          </cell>
        </row>
        <row r="1535">
          <cell r="A1535" t="str">
            <v>99,13</v>
          </cell>
          <cell r="B1535" t="str">
            <v>WS 5 kr</v>
          </cell>
          <cell r="C1535" t="str">
            <v>Tersier T4-T5</v>
          </cell>
          <cell r="D1535">
            <v>49</v>
          </cell>
          <cell r="E1535">
            <v>88.2</v>
          </cell>
          <cell r="F1535">
            <v>0.35</v>
          </cell>
          <cell r="G1535">
            <v>0.35168261094405812</v>
          </cell>
        </row>
        <row r="1536">
          <cell r="A1536" t="str">
            <v>99,14</v>
          </cell>
          <cell r="B1536" t="str">
            <v>WS 5 kr</v>
          </cell>
          <cell r="C1536" t="str">
            <v>Tersier T3-T4</v>
          </cell>
          <cell r="D1536">
            <v>56</v>
          </cell>
          <cell r="E1536">
            <v>100.8</v>
          </cell>
          <cell r="F1536">
            <v>0.4</v>
          </cell>
          <cell r="G1536">
            <v>0.35945439153195247</v>
          </cell>
        </row>
        <row r="1537">
          <cell r="A1537" t="str">
            <v>99,15</v>
          </cell>
          <cell r="B1537" t="str">
            <v>WS 5 kr</v>
          </cell>
          <cell r="C1537" t="str">
            <v>Tersier T2-T3</v>
          </cell>
          <cell r="D1537">
            <v>65</v>
          </cell>
          <cell r="E1537">
            <v>117</v>
          </cell>
          <cell r="F1537">
            <v>0.4</v>
          </cell>
          <cell r="G1537">
            <v>0.38744259934654113</v>
          </cell>
        </row>
        <row r="1538">
          <cell r="A1538" t="str">
            <v>99,16</v>
          </cell>
          <cell r="B1538" t="str">
            <v>WS 5 kr</v>
          </cell>
          <cell r="C1538" t="str">
            <v>Tersier T1-T2</v>
          </cell>
          <cell r="D1538">
            <v>69</v>
          </cell>
          <cell r="E1538">
            <v>124.2</v>
          </cell>
          <cell r="F1538">
            <v>0.4</v>
          </cell>
          <cell r="G1538">
            <v>0.39917053479854941</v>
          </cell>
        </row>
        <row r="1539">
          <cell r="A1539" t="str">
            <v>99,17</v>
          </cell>
          <cell r="B1539" t="str">
            <v>WS 5 kr</v>
          </cell>
          <cell r="C1539" t="str">
            <v>Tersier BWS5-T1</v>
          </cell>
          <cell r="D1539">
            <v>74</v>
          </cell>
          <cell r="E1539">
            <v>133.20000000000002</v>
          </cell>
          <cell r="F1539">
            <v>0.45</v>
          </cell>
          <cell r="G1539">
            <v>0.39720605907382428</v>
          </cell>
        </row>
        <row r="1541">
          <cell r="A1541">
            <v>100</v>
          </cell>
          <cell r="B1541" t="str">
            <v>WS 6 kn</v>
          </cell>
          <cell r="D1541">
            <v>0</v>
          </cell>
        </row>
        <row r="1542">
          <cell r="A1542" t="str">
            <v>100,1</v>
          </cell>
          <cell r="B1542" t="str">
            <v>WS 6 kn</v>
          </cell>
          <cell r="C1542" t="str">
            <v>Kwarter a1</v>
          </cell>
          <cell r="D1542">
            <v>9</v>
          </cell>
          <cell r="E1542">
            <v>16.2</v>
          </cell>
          <cell r="F1542">
            <v>0.3</v>
          </cell>
          <cell r="G1542">
            <v>0.22327164076703876</v>
          </cell>
        </row>
        <row r="1543">
          <cell r="A1543" t="str">
            <v>100,2</v>
          </cell>
          <cell r="B1543" t="str">
            <v>WS 6 kn</v>
          </cell>
          <cell r="C1543" t="str">
            <v>Kwarter a2</v>
          </cell>
          <cell r="D1543">
            <v>12</v>
          </cell>
          <cell r="E1543">
            <v>21.6</v>
          </cell>
          <cell r="F1543">
            <v>0.3</v>
          </cell>
          <cell r="G1543">
            <v>0.25885060257641224</v>
          </cell>
        </row>
        <row r="1544">
          <cell r="A1544" t="str">
            <v>100,3</v>
          </cell>
          <cell r="B1544" t="str">
            <v>WS 6 kn</v>
          </cell>
          <cell r="C1544" t="str">
            <v>Kwarter a3</v>
          </cell>
          <cell r="D1544">
            <v>12</v>
          </cell>
          <cell r="E1544">
            <v>21.6</v>
          </cell>
          <cell r="F1544">
            <v>0.3</v>
          </cell>
          <cell r="G1544">
            <v>0.25885060257641224</v>
          </cell>
        </row>
        <row r="1545">
          <cell r="A1545" t="str">
            <v>100,4</v>
          </cell>
          <cell r="B1545" t="str">
            <v>WS 6 kn</v>
          </cell>
          <cell r="C1545" t="str">
            <v>Kwarter a4</v>
          </cell>
          <cell r="D1545">
            <v>8</v>
          </cell>
          <cell r="E1545">
            <v>15</v>
          </cell>
          <cell r="F1545">
            <v>0.3</v>
          </cell>
          <cell r="G1545">
            <v>0.21450186870683924</v>
          </cell>
        </row>
        <row r="1546">
          <cell r="A1546" t="str">
            <v>100,5</v>
          </cell>
          <cell r="B1546" t="str">
            <v>WS 6 kn</v>
          </cell>
          <cell r="C1546" t="str">
            <v>Kwarter b1</v>
          </cell>
          <cell r="D1546">
            <v>13</v>
          </cell>
          <cell r="E1546">
            <v>23.400000000000002</v>
          </cell>
          <cell r="F1546">
            <v>0.3</v>
          </cell>
          <cell r="G1546">
            <v>0.26957675461177327</v>
          </cell>
        </row>
        <row r="1547">
          <cell r="A1547" t="str">
            <v>100,6</v>
          </cell>
          <cell r="B1547" t="str">
            <v>WS 6 kn</v>
          </cell>
          <cell r="C1547" t="str">
            <v>Kwarter b2</v>
          </cell>
          <cell r="D1547">
            <v>6</v>
          </cell>
          <cell r="E1547">
            <v>15</v>
          </cell>
          <cell r="F1547">
            <v>0.3</v>
          </cell>
          <cell r="G1547">
            <v>0.21450186870683924</v>
          </cell>
        </row>
        <row r="1548">
          <cell r="A1548" t="str">
            <v>100,7</v>
          </cell>
          <cell r="B1548" t="str">
            <v>WS 6 kn</v>
          </cell>
          <cell r="C1548" t="str">
            <v>Kwarter b3</v>
          </cell>
          <cell r="D1548">
            <v>6</v>
          </cell>
          <cell r="E1548">
            <v>15</v>
          </cell>
          <cell r="F1548">
            <v>0.3</v>
          </cell>
          <cell r="G1548">
            <v>0.21450186870683924</v>
          </cell>
        </row>
        <row r="1549">
          <cell r="A1549" t="str">
            <v>100,8</v>
          </cell>
          <cell r="B1549" t="str">
            <v>WS 6 kn</v>
          </cell>
          <cell r="C1549" t="str">
            <v>Kwarter b4</v>
          </cell>
          <cell r="D1549">
            <v>8</v>
          </cell>
          <cell r="E1549">
            <v>15</v>
          </cell>
          <cell r="F1549">
            <v>0.3</v>
          </cell>
          <cell r="G1549">
            <v>0.21450186870683924</v>
          </cell>
        </row>
        <row r="1550">
          <cell r="A1550" t="str">
            <v>100,9</v>
          </cell>
          <cell r="B1550" t="str">
            <v>WS 6 kn</v>
          </cell>
          <cell r="C1550" t="str">
            <v>Kwarter cab a4</v>
          </cell>
          <cell r="E1550">
            <v>15</v>
          </cell>
          <cell r="F1550">
            <v>0.3</v>
          </cell>
          <cell r="G1550">
            <v>0.21450186870683924</v>
          </cell>
        </row>
        <row r="1551">
          <cell r="A1551" t="str">
            <v>100,10</v>
          </cell>
          <cell r="B1551" t="str">
            <v>WS 6 kn</v>
          </cell>
          <cell r="C1551" t="str">
            <v>Muka a4</v>
          </cell>
          <cell r="D1551">
            <v>8</v>
          </cell>
          <cell r="E1551">
            <v>15</v>
          </cell>
          <cell r="F1551">
            <v>0.3</v>
          </cell>
          <cell r="G1551">
            <v>0.14808412770373933</v>
          </cell>
        </row>
        <row r="1552">
          <cell r="A1552" t="str">
            <v>100,11</v>
          </cell>
          <cell r="B1552" t="str">
            <v>WS 6 kn</v>
          </cell>
          <cell r="C1552" t="str">
            <v>Tersier T2-K2</v>
          </cell>
          <cell r="D1552">
            <v>14</v>
          </cell>
          <cell r="E1552">
            <v>25.2</v>
          </cell>
          <cell r="F1552">
            <v>0.3</v>
          </cell>
          <cell r="G1552">
            <v>0.14789217147933609</v>
          </cell>
        </row>
        <row r="1553">
          <cell r="A1553" t="str">
            <v>100,12</v>
          </cell>
          <cell r="B1553" t="str">
            <v>WS 6 kn</v>
          </cell>
          <cell r="C1553" t="str">
            <v>Tersier T1-T2</v>
          </cell>
          <cell r="D1553">
            <v>33</v>
          </cell>
          <cell r="E1553">
            <v>59.4</v>
          </cell>
          <cell r="F1553">
            <v>0.3</v>
          </cell>
          <cell r="G1553">
            <v>0.29030747871337831</v>
          </cell>
        </row>
        <row r="1554">
          <cell r="A1554" t="str">
            <v>100,13</v>
          </cell>
          <cell r="B1554" t="str">
            <v>WS 6 kn</v>
          </cell>
          <cell r="C1554" t="str">
            <v>Tersier T1-K1</v>
          </cell>
          <cell r="D1554">
            <v>20</v>
          </cell>
          <cell r="E1554">
            <v>36</v>
          </cell>
          <cell r="F1554">
            <v>0.3</v>
          </cell>
          <cell r="G1554">
            <v>0.21295035163317588</v>
          </cell>
        </row>
        <row r="1555">
          <cell r="A1555" t="str">
            <v>100,14</v>
          </cell>
          <cell r="B1555" t="str">
            <v>WS 6 kn</v>
          </cell>
          <cell r="C1555" t="str">
            <v>Tersier BWS6-T1</v>
          </cell>
          <cell r="D1555">
            <v>74</v>
          </cell>
          <cell r="E1555">
            <v>133.20000000000002</v>
          </cell>
          <cell r="F1555">
            <v>0.45</v>
          </cell>
          <cell r="G1555">
            <v>0.3972060604332609</v>
          </cell>
        </row>
        <row r="1557">
          <cell r="A1557">
            <v>101</v>
          </cell>
          <cell r="B1557" t="str">
            <v>WS 7 kr</v>
          </cell>
          <cell r="D1557">
            <v>0</v>
          </cell>
        </row>
        <row r="1558">
          <cell r="A1558" t="str">
            <v>101,1</v>
          </cell>
          <cell r="B1558" t="str">
            <v>WS 7 kr</v>
          </cell>
          <cell r="C1558" t="str">
            <v>Kwarter a1</v>
          </cell>
          <cell r="D1558">
            <v>7</v>
          </cell>
          <cell r="E1558">
            <v>15</v>
          </cell>
          <cell r="F1558">
            <v>0.3</v>
          </cell>
          <cell r="G1558">
            <v>0.21450186870683924</v>
          </cell>
        </row>
        <row r="1559">
          <cell r="A1559" t="str">
            <v>101,2</v>
          </cell>
          <cell r="B1559" t="str">
            <v>WS 7 kr</v>
          </cell>
          <cell r="C1559" t="str">
            <v>Kwarter a2</v>
          </cell>
          <cell r="D1559">
            <v>12</v>
          </cell>
          <cell r="E1559">
            <v>21.6</v>
          </cell>
          <cell r="F1559">
            <v>0.3</v>
          </cell>
          <cell r="G1559">
            <v>0.25885060257641224</v>
          </cell>
        </row>
        <row r="1560">
          <cell r="A1560" t="str">
            <v>101,3</v>
          </cell>
          <cell r="B1560" t="str">
            <v>WS 7 kr</v>
          </cell>
          <cell r="C1560" t="str">
            <v>Kwarter b1</v>
          </cell>
          <cell r="D1560">
            <v>12</v>
          </cell>
          <cell r="E1560">
            <v>21.6</v>
          </cell>
          <cell r="F1560">
            <v>0.3</v>
          </cell>
          <cell r="G1560">
            <v>0.25885060257641224</v>
          </cell>
        </row>
        <row r="1561">
          <cell r="A1561" t="str">
            <v>101,4</v>
          </cell>
          <cell r="B1561" t="str">
            <v>WS 7 kr</v>
          </cell>
          <cell r="C1561" t="str">
            <v>Kwarter b2</v>
          </cell>
          <cell r="D1561">
            <v>4</v>
          </cell>
          <cell r="E1561">
            <v>15</v>
          </cell>
          <cell r="F1561">
            <v>0.3</v>
          </cell>
          <cell r="G1561">
            <v>0.21450186870683924</v>
          </cell>
        </row>
        <row r="1562">
          <cell r="A1562" t="str">
            <v>101,5</v>
          </cell>
          <cell r="B1562" t="str">
            <v>WS 7 kr</v>
          </cell>
          <cell r="C1562" t="str">
            <v>Kwarter b3</v>
          </cell>
          <cell r="D1562">
            <v>15</v>
          </cell>
          <cell r="E1562">
            <v>27</v>
          </cell>
          <cell r="F1562">
            <v>0.3</v>
          </cell>
          <cell r="G1562">
            <v>0.28970512341744525</v>
          </cell>
        </row>
        <row r="1563">
          <cell r="A1563" t="str">
            <v>101,6</v>
          </cell>
          <cell r="B1563" t="str">
            <v>WS 7 kr</v>
          </cell>
          <cell r="C1563" t="str">
            <v>Kwarter b4</v>
          </cell>
          <cell r="D1563">
            <v>7</v>
          </cell>
          <cell r="E1563">
            <v>15</v>
          </cell>
          <cell r="F1563">
            <v>0.3</v>
          </cell>
          <cell r="G1563">
            <v>0.21450186870683924</v>
          </cell>
        </row>
        <row r="1564">
          <cell r="A1564" t="str">
            <v>101,7</v>
          </cell>
          <cell r="B1564" t="str">
            <v>WS 7 kr</v>
          </cell>
          <cell r="C1564" t="str">
            <v>Muka a2</v>
          </cell>
          <cell r="D1564">
            <v>12</v>
          </cell>
          <cell r="E1564">
            <v>21.6</v>
          </cell>
          <cell r="F1564">
            <v>0.3</v>
          </cell>
          <cell r="G1564">
            <v>0.18034054347579084</v>
          </cell>
        </row>
        <row r="1565">
          <cell r="A1565" t="str">
            <v>101,8</v>
          </cell>
          <cell r="B1565" t="str">
            <v>WS 7 kr</v>
          </cell>
          <cell r="C1565" t="str">
            <v>Muka b3</v>
          </cell>
          <cell r="D1565">
            <v>15</v>
          </cell>
          <cell r="E1565">
            <v>27</v>
          </cell>
          <cell r="F1565">
            <v>0.3</v>
          </cell>
          <cell r="G1565">
            <v>0.2029802970310392</v>
          </cell>
        </row>
        <row r="1566">
          <cell r="A1566" t="str">
            <v>101,9</v>
          </cell>
          <cell r="B1566" t="str">
            <v>WS 7 kr</v>
          </cell>
          <cell r="C1566" t="str">
            <v>Tersier T3-K1</v>
          </cell>
          <cell r="D1566">
            <v>19</v>
          </cell>
          <cell r="E1566">
            <v>34.200000000000003</v>
          </cell>
          <cell r="F1566">
            <v>0.3</v>
          </cell>
          <cell r="G1566">
            <v>0.22961637840568802</v>
          </cell>
        </row>
        <row r="1567">
          <cell r="A1567" t="str">
            <v>101,10</v>
          </cell>
          <cell r="B1567" t="str">
            <v>WS 7 kr</v>
          </cell>
          <cell r="C1567" t="str">
            <v>Tersier T2-T3</v>
          </cell>
          <cell r="D1567">
            <v>26</v>
          </cell>
          <cell r="E1567">
            <v>46.800000000000004</v>
          </cell>
          <cell r="F1567">
            <v>0.3</v>
          </cell>
          <cell r="G1567">
            <v>0.26957675461177327</v>
          </cell>
        </row>
        <row r="1568">
          <cell r="A1568" t="str">
            <v>101,11</v>
          </cell>
          <cell r="B1568" t="str">
            <v>WS 7 kr</v>
          </cell>
          <cell r="C1568" t="str">
            <v>Tersier T1-T2</v>
          </cell>
          <cell r="D1568">
            <v>38</v>
          </cell>
          <cell r="E1568">
            <v>68.400000000000006</v>
          </cell>
          <cell r="F1568">
            <v>0.35</v>
          </cell>
          <cell r="G1568">
            <v>0.30951703165612038</v>
          </cell>
        </row>
        <row r="1569">
          <cell r="A1569" t="str">
            <v>101,12</v>
          </cell>
          <cell r="B1569" t="str">
            <v>WS 7 kr</v>
          </cell>
          <cell r="C1569" t="str">
            <v>Tersier BWS7-T1</v>
          </cell>
          <cell r="D1569">
            <v>57</v>
          </cell>
          <cell r="E1569">
            <v>102.60000000000001</v>
          </cell>
          <cell r="F1569">
            <v>0.4</v>
          </cell>
          <cell r="G1569">
            <v>0.36268475904544556</v>
          </cell>
        </row>
        <row r="1571">
          <cell r="A1571">
            <v>102</v>
          </cell>
          <cell r="B1571" t="str">
            <v>WS 8 kn1</v>
          </cell>
          <cell r="D1571">
            <v>0</v>
          </cell>
        </row>
        <row r="1572">
          <cell r="A1572" t="str">
            <v>102,1</v>
          </cell>
          <cell r="B1572" t="str">
            <v>WS 8 kn1</v>
          </cell>
          <cell r="C1572" t="str">
            <v>Kwarter a1</v>
          </cell>
          <cell r="D1572">
            <v>6</v>
          </cell>
          <cell r="E1572">
            <v>15</v>
          </cell>
          <cell r="F1572">
            <v>0.3</v>
          </cell>
          <cell r="G1572">
            <v>0.21450186870683924</v>
          </cell>
        </row>
        <row r="1573">
          <cell r="A1573" t="str">
            <v>102,2</v>
          </cell>
          <cell r="B1573" t="str">
            <v>WS 8 kn1</v>
          </cell>
          <cell r="C1573" t="str">
            <v>Kwarter a2</v>
          </cell>
          <cell r="D1573">
            <v>7</v>
          </cell>
          <cell r="E1573">
            <v>15</v>
          </cell>
          <cell r="F1573">
            <v>0.3</v>
          </cell>
          <cell r="G1573">
            <v>0.21450186870683924</v>
          </cell>
        </row>
        <row r="1574">
          <cell r="A1574" t="str">
            <v>102,3</v>
          </cell>
          <cell r="B1574" t="str">
            <v>WS 8 kn1</v>
          </cell>
          <cell r="C1574" t="str">
            <v>Kwarter a3</v>
          </cell>
          <cell r="D1574">
            <v>7</v>
          </cell>
          <cell r="E1574">
            <v>15</v>
          </cell>
          <cell r="F1574">
            <v>0.3</v>
          </cell>
          <cell r="G1574">
            <v>0.21450186870683924</v>
          </cell>
        </row>
        <row r="1575">
          <cell r="A1575" t="str">
            <v>102,4</v>
          </cell>
          <cell r="B1575" t="str">
            <v>WS 8 kn1</v>
          </cell>
          <cell r="C1575" t="str">
            <v>Kwarter b1</v>
          </cell>
          <cell r="D1575">
            <v>6</v>
          </cell>
          <cell r="E1575">
            <v>15</v>
          </cell>
          <cell r="F1575">
            <v>0.3</v>
          </cell>
          <cell r="G1575">
            <v>0.21450186870683924</v>
          </cell>
        </row>
        <row r="1576">
          <cell r="A1576" t="str">
            <v>102,5</v>
          </cell>
          <cell r="B1576" t="str">
            <v>WS 8 kn1</v>
          </cell>
          <cell r="C1576" t="str">
            <v>Kwarter b2</v>
          </cell>
          <cell r="D1576">
            <v>11</v>
          </cell>
          <cell r="E1576">
            <v>19.8</v>
          </cell>
          <cell r="F1576">
            <v>0.3</v>
          </cell>
          <cell r="G1576">
            <v>0.24760852933338706</v>
          </cell>
        </row>
        <row r="1577">
          <cell r="A1577" t="str">
            <v>102,6</v>
          </cell>
          <cell r="B1577" t="str">
            <v>WS 8 kn1</v>
          </cell>
          <cell r="C1577" t="str">
            <v>Kwarter b3</v>
          </cell>
          <cell r="D1577">
            <v>10</v>
          </cell>
          <cell r="E1577">
            <v>18</v>
          </cell>
          <cell r="F1577">
            <v>0.3</v>
          </cell>
          <cell r="G1577">
            <v>0.23577879795157511</v>
          </cell>
        </row>
        <row r="1578">
          <cell r="A1578" t="str">
            <v>102,7</v>
          </cell>
          <cell r="B1578" t="str">
            <v>WS 8 kn1</v>
          </cell>
          <cell r="C1578" t="str">
            <v>Kwarter c1</v>
          </cell>
          <cell r="D1578">
            <v>7</v>
          </cell>
          <cell r="E1578">
            <v>15</v>
          </cell>
          <cell r="F1578">
            <v>0.3</v>
          </cell>
          <cell r="G1578">
            <v>0.21450186870683924</v>
          </cell>
        </row>
        <row r="1579">
          <cell r="A1579" t="str">
            <v>102,8</v>
          </cell>
          <cell r="B1579" t="str">
            <v>WS 8 kn1</v>
          </cell>
          <cell r="C1579" t="str">
            <v>Kwarter c2</v>
          </cell>
          <cell r="D1579">
            <v>5</v>
          </cell>
          <cell r="E1579">
            <v>15</v>
          </cell>
          <cell r="F1579">
            <v>0.3</v>
          </cell>
          <cell r="G1579">
            <v>0.21450186870683924</v>
          </cell>
        </row>
        <row r="1580">
          <cell r="A1580" t="str">
            <v>102,9</v>
          </cell>
          <cell r="B1580" t="str">
            <v>WS 8 kn1</v>
          </cell>
          <cell r="C1580" t="str">
            <v>Kwarter c3</v>
          </cell>
          <cell r="D1580">
            <v>10</v>
          </cell>
          <cell r="E1580">
            <v>18</v>
          </cell>
          <cell r="F1580">
            <v>0.3</v>
          </cell>
          <cell r="G1580">
            <v>0.23577879795157511</v>
          </cell>
        </row>
        <row r="1581">
          <cell r="A1581" t="str">
            <v>102,10</v>
          </cell>
          <cell r="B1581" t="str">
            <v>WS 8 kn1</v>
          </cell>
          <cell r="C1581" t="str">
            <v>Muka a2</v>
          </cell>
          <cell r="D1581">
            <v>7</v>
          </cell>
          <cell r="E1581">
            <v>15</v>
          </cell>
          <cell r="F1581">
            <v>0.3</v>
          </cell>
          <cell r="G1581">
            <v>0.14808412770373933</v>
          </cell>
        </row>
        <row r="1582">
          <cell r="A1582" t="str">
            <v>102,11</v>
          </cell>
          <cell r="B1582" t="str">
            <v>WS 8 kn1</v>
          </cell>
          <cell r="C1582" t="str">
            <v>Muka b2</v>
          </cell>
          <cell r="D1582">
            <v>11</v>
          </cell>
          <cell r="E1582">
            <v>19.8</v>
          </cell>
          <cell r="F1582">
            <v>0.3</v>
          </cell>
          <cell r="G1582">
            <v>0.17212948709189466</v>
          </cell>
        </row>
        <row r="1583">
          <cell r="A1583" t="str">
            <v>102,12</v>
          </cell>
          <cell r="B1583" t="str">
            <v>WS 8 kn1</v>
          </cell>
          <cell r="C1583" t="str">
            <v>Muka c3</v>
          </cell>
          <cell r="D1583">
            <v>10</v>
          </cell>
          <cell r="E1583">
            <v>18</v>
          </cell>
          <cell r="F1583">
            <v>0.3</v>
          </cell>
          <cell r="G1583">
            <v>0.16351330600668237</v>
          </cell>
        </row>
        <row r="1584">
          <cell r="A1584" t="str">
            <v>102,13</v>
          </cell>
          <cell r="B1584" t="str">
            <v>WS 8 kn1</v>
          </cell>
          <cell r="C1584" t="str">
            <v>Tersier T4-K1</v>
          </cell>
          <cell r="D1584">
            <v>15</v>
          </cell>
          <cell r="E1584">
            <v>27</v>
          </cell>
          <cell r="F1584">
            <v>0.3</v>
          </cell>
          <cell r="G1584">
            <v>0.2029802970310392</v>
          </cell>
        </row>
        <row r="1585">
          <cell r="A1585" t="str">
            <v>102,14</v>
          </cell>
          <cell r="B1585" t="str">
            <v>WS 8 kn1</v>
          </cell>
          <cell r="C1585" t="str">
            <v>Tersier T3-T4</v>
          </cell>
          <cell r="D1585">
            <v>32</v>
          </cell>
          <cell r="E1585">
            <v>57.6</v>
          </cell>
          <cell r="F1585">
            <v>0.3</v>
          </cell>
          <cell r="G1585">
            <v>0.29919620491337184</v>
          </cell>
        </row>
        <row r="1586">
          <cell r="A1586" t="str">
            <v>102,15</v>
          </cell>
          <cell r="B1586" t="str">
            <v>WS 8 kn1</v>
          </cell>
          <cell r="C1586" t="str">
            <v>Tersier T2-T3</v>
          </cell>
          <cell r="D1586">
            <v>49</v>
          </cell>
          <cell r="E1586">
            <v>88.2</v>
          </cell>
          <cell r="F1586">
            <v>0.35</v>
          </cell>
          <cell r="G1586">
            <v>0.35168261094405812</v>
          </cell>
        </row>
        <row r="1587">
          <cell r="A1587" t="str">
            <v>102,16</v>
          </cell>
          <cell r="B1587" t="str">
            <v>WS 8 kn1</v>
          </cell>
          <cell r="C1587" t="str">
            <v>Tersier T1-T2</v>
          </cell>
          <cell r="D1587">
            <v>63</v>
          </cell>
          <cell r="E1587">
            <v>113.4</v>
          </cell>
          <cell r="F1587">
            <v>0.4</v>
          </cell>
          <cell r="G1587">
            <v>0.38142366496397634</v>
          </cell>
        </row>
        <row r="1588">
          <cell r="A1588" t="str">
            <v>102,17</v>
          </cell>
          <cell r="B1588" t="str">
            <v>WS 8 kn1</v>
          </cell>
          <cell r="C1588" t="str">
            <v>Tersier BWS8-T1</v>
          </cell>
          <cell r="D1588">
            <v>69</v>
          </cell>
          <cell r="E1588">
            <v>124.2</v>
          </cell>
          <cell r="F1588">
            <v>0.45</v>
          </cell>
          <cell r="G1588">
            <v>0.38332810544726065</v>
          </cell>
        </row>
        <row r="1590">
          <cell r="A1590">
            <v>103</v>
          </cell>
          <cell r="B1590" t="str">
            <v>WS 8 kn2</v>
          </cell>
          <cell r="D1590">
            <v>0</v>
          </cell>
        </row>
        <row r="1591">
          <cell r="A1591" t="str">
            <v>103,1</v>
          </cell>
          <cell r="B1591" t="str">
            <v>WS 8 kn2</v>
          </cell>
          <cell r="C1591" t="str">
            <v>Kwarter a1</v>
          </cell>
          <cell r="D1591">
            <v>7</v>
          </cell>
          <cell r="E1591">
            <v>15</v>
          </cell>
          <cell r="F1591">
            <v>0.3</v>
          </cell>
          <cell r="G1591">
            <v>0.21450186870683924</v>
          </cell>
        </row>
        <row r="1592">
          <cell r="A1592" t="str">
            <v>103,2</v>
          </cell>
          <cell r="B1592" t="str">
            <v>WS 8 kn2</v>
          </cell>
          <cell r="C1592" t="str">
            <v>Kwarter a2</v>
          </cell>
          <cell r="D1592">
            <v>8</v>
          </cell>
          <cell r="E1592">
            <v>15</v>
          </cell>
          <cell r="F1592">
            <v>0.3</v>
          </cell>
          <cell r="G1592">
            <v>0.21450186870683924</v>
          </cell>
        </row>
        <row r="1593">
          <cell r="A1593" t="str">
            <v>103,3</v>
          </cell>
          <cell r="B1593" t="str">
            <v>WS 8 kn2</v>
          </cell>
          <cell r="C1593" t="str">
            <v>Kwarter a3</v>
          </cell>
          <cell r="D1593">
            <v>11</v>
          </cell>
          <cell r="E1593">
            <v>19.8</v>
          </cell>
          <cell r="F1593">
            <v>0.3</v>
          </cell>
          <cell r="G1593">
            <v>0.24760852933338706</v>
          </cell>
        </row>
        <row r="1594">
          <cell r="A1594" t="str">
            <v>103,4</v>
          </cell>
          <cell r="B1594" t="str">
            <v>WS 8 kn2</v>
          </cell>
          <cell r="C1594" t="str">
            <v>Kwarter a4</v>
          </cell>
          <cell r="D1594">
            <v>9</v>
          </cell>
          <cell r="E1594">
            <v>16.2</v>
          </cell>
          <cell r="F1594">
            <v>0.3</v>
          </cell>
          <cell r="G1594">
            <v>0.22327164076703876</v>
          </cell>
        </row>
        <row r="1595">
          <cell r="A1595" t="str">
            <v>103,5</v>
          </cell>
          <cell r="B1595" t="str">
            <v>WS 8 kn2</v>
          </cell>
          <cell r="C1595" t="str">
            <v>Kwarter b1</v>
          </cell>
          <cell r="D1595">
            <v>9</v>
          </cell>
          <cell r="E1595">
            <v>16.2</v>
          </cell>
          <cell r="F1595">
            <v>0.3</v>
          </cell>
          <cell r="G1595">
            <v>0.22327164076703876</v>
          </cell>
        </row>
        <row r="1596">
          <cell r="A1596" t="str">
            <v>103,6</v>
          </cell>
          <cell r="B1596" t="str">
            <v>WS 8 kn2</v>
          </cell>
          <cell r="C1596" t="str">
            <v>Kwarter b2</v>
          </cell>
          <cell r="D1596">
            <v>15</v>
          </cell>
          <cell r="E1596">
            <v>27</v>
          </cell>
          <cell r="F1596">
            <v>0.3</v>
          </cell>
          <cell r="G1596">
            <v>0.28970512341744525</v>
          </cell>
        </row>
        <row r="1597">
          <cell r="A1597" t="str">
            <v>103,7</v>
          </cell>
          <cell r="B1597" t="str">
            <v>WS 8 kn2</v>
          </cell>
          <cell r="C1597" t="str">
            <v>Kwarter b3</v>
          </cell>
          <cell r="D1597">
            <v>10</v>
          </cell>
          <cell r="E1597">
            <v>18</v>
          </cell>
          <cell r="F1597">
            <v>0.3</v>
          </cell>
          <cell r="G1597">
            <v>0.23577879795157511</v>
          </cell>
        </row>
        <row r="1598">
          <cell r="A1598" t="str">
            <v>103,8</v>
          </cell>
          <cell r="B1598" t="str">
            <v>WS 8 kn2</v>
          </cell>
          <cell r="C1598" t="str">
            <v>Kwarter b4</v>
          </cell>
          <cell r="D1598">
            <v>10</v>
          </cell>
          <cell r="E1598">
            <v>18</v>
          </cell>
          <cell r="F1598">
            <v>0.3</v>
          </cell>
          <cell r="G1598">
            <v>0.23577879795157511</v>
          </cell>
        </row>
        <row r="1599">
          <cell r="A1599" t="str">
            <v>103,9</v>
          </cell>
          <cell r="B1599" t="str">
            <v>WS 8 kn2</v>
          </cell>
          <cell r="C1599" t="str">
            <v>Kwarter c1</v>
          </cell>
          <cell r="D1599">
            <v>6</v>
          </cell>
          <cell r="E1599">
            <v>15</v>
          </cell>
          <cell r="F1599">
            <v>0.3</v>
          </cell>
          <cell r="G1599">
            <v>0.21450186870683924</v>
          </cell>
        </row>
        <row r="1600">
          <cell r="A1600" t="str">
            <v>103,10</v>
          </cell>
          <cell r="B1600" t="str">
            <v>WS 8 kn2</v>
          </cell>
          <cell r="C1600" t="str">
            <v>Kwarter c2</v>
          </cell>
          <cell r="D1600">
            <v>13</v>
          </cell>
          <cell r="E1600">
            <v>23.400000000000002</v>
          </cell>
          <cell r="F1600">
            <v>0.3</v>
          </cell>
          <cell r="G1600">
            <v>0.26957675461177327</v>
          </cell>
        </row>
        <row r="1601">
          <cell r="A1601" t="str">
            <v>103,11</v>
          </cell>
          <cell r="B1601" t="str">
            <v>WS 8 kn2</v>
          </cell>
          <cell r="C1601" t="str">
            <v>Kwarter c3</v>
          </cell>
          <cell r="D1601">
            <v>14</v>
          </cell>
          <cell r="E1601">
            <v>25.2</v>
          </cell>
          <cell r="F1601">
            <v>0.3</v>
          </cell>
          <cell r="G1601">
            <v>0.27984551330394364</v>
          </cell>
        </row>
        <row r="1602">
          <cell r="A1602" t="str">
            <v>103,12</v>
          </cell>
          <cell r="B1602" t="str">
            <v>WS 8 kn2</v>
          </cell>
          <cell r="C1602" t="str">
            <v>Kwarter c4</v>
          </cell>
          <cell r="D1602">
            <v>10</v>
          </cell>
          <cell r="E1602">
            <v>18</v>
          </cell>
          <cell r="F1602">
            <v>0.3</v>
          </cell>
          <cell r="G1602">
            <v>0.23577879795157511</v>
          </cell>
        </row>
        <row r="1603">
          <cell r="A1603" t="str">
            <v>103,13</v>
          </cell>
          <cell r="B1603" t="str">
            <v>WS 8 kn2</v>
          </cell>
          <cell r="C1603" t="str">
            <v>Muka b3</v>
          </cell>
          <cell r="D1603">
            <v>10</v>
          </cell>
          <cell r="E1603">
            <v>18</v>
          </cell>
          <cell r="F1603">
            <v>0.3</v>
          </cell>
          <cell r="G1603">
            <v>0.16351330600668237</v>
          </cell>
        </row>
        <row r="1604">
          <cell r="A1604" t="str">
            <v>103,14</v>
          </cell>
          <cell r="B1604" t="str">
            <v>WS 8 kn2</v>
          </cell>
          <cell r="C1604" t="str">
            <v>Kwarter cab c2</v>
          </cell>
          <cell r="E1604">
            <v>15</v>
          </cell>
          <cell r="F1604">
            <v>0.3</v>
          </cell>
          <cell r="G1604">
            <v>0.14808412770373933</v>
          </cell>
        </row>
        <row r="1605">
          <cell r="A1605" t="str">
            <v>103,15</v>
          </cell>
          <cell r="B1605" t="str">
            <v>WS 8 kn2</v>
          </cell>
          <cell r="C1605" t="str">
            <v>Tersier T5-K1</v>
          </cell>
          <cell r="D1605">
            <v>33</v>
          </cell>
          <cell r="E1605">
            <v>59.4</v>
          </cell>
          <cell r="F1605">
            <v>0.35</v>
          </cell>
          <cell r="G1605">
            <v>0.28804905429902994</v>
          </cell>
        </row>
        <row r="1606">
          <cell r="A1606" t="str">
            <v>103,16</v>
          </cell>
          <cell r="B1606" t="str">
            <v>WS 8 kn2</v>
          </cell>
          <cell r="C1606" t="str">
            <v>Tersier T4-T5</v>
          </cell>
          <cell r="D1606">
            <v>53</v>
          </cell>
          <cell r="E1606">
            <v>95.4</v>
          </cell>
          <cell r="F1606">
            <v>0.4</v>
          </cell>
          <cell r="G1606">
            <v>0.3495627705851575</v>
          </cell>
        </row>
        <row r="1607">
          <cell r="A1607" t="str">
            <v>103,17</v>
          </cell>
          <cell r="B1607" t="str">
            <v>WS 8 kn2</v>
          </cell>
          <cell r="C1607" t="str">
            <v>Tersier T3-T4</v>
          </cell>
          <cell r="D1607">
            <v>87</v>
          </cell>
          <cell r="E1607">
            <v>156.6</v>
          </cell>
          <cell r="F1607">
            <v>0.45</v>
          </cell>
          <cell r="G1607">
            <v>0.43097430545844356</v>
          </cell>
        </row>
        <row r="1608">
          <cell r="A1608" t="str">
            <v>103,18</v>
          </cell>
          <cell r="B1608" t="str">
            <v>WS 8 kn2</v>
          </cell>
          <cell r="C1608" t="str">
            <v>Tersier T2-T3</v>
          </cell>
          <cell r="D1608">
            <v>96</v>
          </cell>
          <cell r="E1608">
            <v>172.8</v>
          </cell>
          <cell r="F1608">
            <v>0.5</v>
          </cell>
          <cell r="G1608">
            <v>0.43673313337263692</v>
          </cell>
        </row>
        <row r="1609">
          <cell r="A1609" t="str">
            <v>103,19</v>
          </cell>
          <cell r="B1609" t="str">
            <v>WS 8 kn2</v>
          </cell>
          <cell r="C1609" t="str">
            <v>Tersier T1-T2</v>
          </cell>
          <cell r="D1609">
            <v>115</v>
          </cell>
          <cell r="E1609">
            <v>207</v>
          </cell>
          <cell r="F1609">
            <v>0.5</v>
          </cell>
          <cell r="G1609">
            <v>0.47839552665662471</v>
          </cell>
        </row>
        <row r="1610">
          <cell r="A1610" t="str">
            <v>103,20</v>
          </cell>
          <cell r="B1610" t="str">
            <v>WS 8 kn2</v>
          </cell>
          <cell r="C1610" t="str">
            <v>Muka WS 8kn2</v>
          </cell>
          <cell r="D1610">
            <v>122</v>
          </cell>
          <cell r="E1610">
            <v>219.6</v>
          </cell>
          <cell r="F1610">
            <v>0.55000000000000004</v>
          </cell>
          <cell r="G1610">
            <v>0.47688308836035642</v>
          </cell>
        </row>
        <row r="1612">
          <cell r="A1612">
            <v>104</v>
          </cell>
          <cell r="B1612" t="str">
            <v>WS 8 kn3</v>
          </cell>
          <cell r="D1612">
            <v>0</v>
          </cell>
        </row>
        <row r="1613">
          <cell r="A1613" t="str">
            <v>104,1</v>
          </cell>
          <cell r="B1613" t="str">
            <v>WS 8 kn3</v>
          </cell>
          <cell r="C1613" t="str">
            <v>Kwarter a1</v>
          </cell>
          <cell r="D1613">
            <v>11</v>
          </cell>
          <cell r="E1613">
            <v>19.8</v>
          </cell>
          <cell r="F1613">
            <v>0.3</v>
          </cell>
          <cell r="G1613">
            <v>0.24760852933338706</v>
          </cell>
        </row>
        <row r="1614">
          <cell r="A1614" t="str">
            <v>104,2</v>
          </cell>
          <cell r="B1614" t="str">
            <v>WS 8 kn3</v>
          </cell>
          <cell r="C1614" t="str">
            <v>Kwarter a2</v>
          </cell>
          <cell r="D1614">
            <v>6</v>
          </cell>
          <cell r="E1614">
            <v>15</v>
          </cell>
          <cell r="F1614">
            <v>0.3</v>
          </cell>
          <cell r="G1614">
            <v>0.21450186870683924</v>
          </cell>
        </row>
        <row r="1615">
          <cell r="A1615" t="str">
            <v>104,3</v>
          </cell>
          <cell r="B1615" t="str">
            <v>WS 8 kn3</v>
          </cell>
          <cell r="C1615" t="str">
            <v>Kwarter b1</v>
          </cell>
          <cell r="D1615">
            <v>10</v>
          </cell>
          <cell r="E1615">
            <v>18</v>
          </cell>
          <cell r="F1615">
            <v>0.3</v>
          </cell>
          <cell r="G1615">
            <v>0.23577879795157511</v>
          </cell>
        </row>
        <row r="1616">
          <cell r="A1616" t="str">
            <v>104,4</v>
          </cell>
          <cell r="B1616" t="str">
            <v>WS 8 kn3</v>
          </cell>
          <cell r="C1616" t="str">
            <v>Muka b1</v>
          </cell>
          <cell r="D1616">
            <v>10</v>
          </cell>
          <cell r="E1616">
            <v>18</v>
          </cell>
          <cell r="F1616">
            <v>0.3</v>
          </cell>
          <cell r="G1616">
            <v>0.16351330600668237</v>
          </cell>
        </row>
        <row r="1617">
          <cell r="A1617" t="str">
            <v>104,5</v>
          </cell>
          <cell r="B1617" t="str">
            <v>WS 8 kn3</v>
          </cell>
          <cell r="C1617" t="str">
            <v>Tersier T1-K1</v>
          </cell>
          <cell r="D1617">
            <v>16</v>
          </cell>
          <cell r="E1617">
            <v>28.8</v>
          </cell>
          <cell r="F1617">
            <v>0.3</v>
          </cell>
          <cell r="G1617">
            <v>0.20997228605922097</v>
          </cell>
        </row>
        <row r="1618">
          <cell r="A1618" t="str">
            <v>104,6</v>
          </cell>
          <cell r="B1618" t="str">
            <v>WS 8 kn3</v>
          </cell>
          <cell r="C1618" t="str">
            <v>Tersier BWS8-T1</v>
          </cell>
          <cell r="D1618">
            <v>43</v>
          </cell>
          <cell r="E1618">
            <v>77.400000000000006</v>
          </cell>
          <cell r="F1618">
            <v>0.35</v>
          </cell>
          <cell r="G1618">
            <v>0.32944255513320869</v>
          </cell>
        </row>
        <row r="1620">
          <cell r="A1620">
            <v>105</v>
          </cell>
          <cell r="B1620" t="str">
            <v>WS 9 kn1</v>
          </cell>
          <cell r="D1620">
            <v>0</v>
          </cell>
        </row>
        <row r="1621">
          <cell r="A1621" t="str">
            <v>105,1</v>
          </cell>
          <cell r="B1621" t="str">
            <v>WS 9 kn1</v>
          </cell>
          <cell r="C1621" t="str">
            <v>Kwarter a1</v>
          </cell>
          <cell r="D1621">
            <v>9</v>
          </cell>
          <cell r="E1621">
            <v>16.2</v>
          </cell>
          <cell r="F1621">
            <v>0.3</v>
          </cell>
          <cell r="G1621">
            <v>0.22327164076703876</v>
          </cell>
        </row>
        <row r="1622">
          <cell r="A1622" t="str">
            <v>105,2</v>
          </cell>
          <cell r="B1622" t="str">
            <v>WS 9 kn1</v>
          </cell>
          <cell r="C1622" t="str">
            <v>Kwarter a2</v>
          </cell>
          <cell r="D1622">
            <v>8</v>
          </cell>
          <cell r="E1622">
            <v>15</v>
          </cell>
          <cell r="F1622">
            <v>0.3</v>
          </cell>
          <cell r="G1622">
            <v>0.21450186870683924</v>
          </cell>
        </row>
        <row r="1623">
          <cell r="A1623" t="str">
            <v>105,3</v>
          </cell>
          <cell r="B1623" t="str">
            <v>WS 9 kn1</v>
          </cell>
          <cell r="C1623" t="str">
            <v>Kwarter b1</v>
          </cell>
          <cell r="D1623">
            <v>9</v>
          </cell>
          <cell r="E1623">
            <v>16.2</v>
          </cell>
          <cell r="F1623">
            <v>0.3</v>
          </cell>
          <cell r="G1623">
            <v>0.22327164076703876</v>
          </cell>
        </row>
        <row r="1624">
          <cell r="A1624" t="str">
            <v>105,4</v>
          </cell>
          <cell r="B1624" t="str">
            <v>WS 9 kn1</v>
          </cell>
          <cell r="C1624" t="str">
            <v>Kwarter b2</v>
          </cell>
          <cell r="D1624">
            <v>8</v>
          </cell>
          <cell r="E1624">
            <v>15</v>
          </cell>
          <cell r="F1624">
            <v>0.3</v>
          </cell>
          <cell r="G1624">
            <v>0.21450186870683924</v>
          </cell>
        </row>
        <row r="1625">
          <cell r="A1625" t="str">
            <v>105,5</v>
          </cell>
          <cell r="B1625" t="str">
            <v>WS 9 kn1</v>
          </cell>
          <cell r="C1625" t="str">
            <v>Muka b1</v>
          </cell>
          <cell r="D1625">
            <v>9</v>
          </cell>
          <cell r="E1625">
            <v>16.2</v>
          </cell>
          <cell r="F1625">
            <v>0.3</v>
          </cell>
          <cell r="G1625">
            <v>0.15443256333332417</v>
          </cell>
        </row>
        <row r="1626">
          <cell r="A1626" t="str">
            <v>105,6</v>
          </cell>
          <cell r="B1626" t="str">
            <v>WS 9 kn1</v>
          </cell>
          <cell r="C1626" t="str">
            <v>Muka b2</v>
          </cell>
          <cell r="D1626">
            <v>8</v>
          </cell>
          <cell r="E1626">
            <v>15</v>
          </cell>
          <cell r="F1626">
            <v>0.3</v>
          </cell>
          <cell r="G1626">
            <v>0.14808412770373933</v>
          </cell>
        </row>
        <row r="1627">
          <cell r="A1627" t="str">
            <v>105,7</v>
          </cell>
          <cell r="B1627" t="str">
            <v>WS 9 kn1</v>
          </cell>
          <cell r="C1627" t="str">
            <v>Tersier T1-K1</v>
          </cell>
          <cell r="D1627">
            <v>25</v>
          </cell>
          <cell r="E1627">
            <v>45</v>
          </cell>
          <cell r="F1627">
            <v>0.3</v>
          </cell>
          <cell r="G1627">
            <v>0.26427423601946898</v>
          </cell>
        </row>
        <row r="1628">
          <cell r="A1628" t="str">
            <v>105,8</v>
          </cell>
          <cell r="B1628" t="str">
            <v>WS 9 kn1</v>
          </cell>
          <cell r="C1628" t="str">
            <v>Tersier BWS 9-T1</v>
          </cell>
          <cell r="D1628">
            <v>34</v>
          </cell>
          <cell r="E1628">
            <v>61.2</v>
          </cell>
          <cell r="F1628">
            <v>0.35</v>
          </cell>
          <cell r="G1628">
            <v>0.29248170009744751</v>
          </cell>
        </row>
        <row r="1630">
          <cell r="A1630">
            <v>106</v>
          </cell>
          <cell r="B1630" t="str">
            <v>WS 9 kn2</v>
          </cell>
          <cell r="D1630">
            <v>0</v>
          </cell>
        </row>
        <row r="1631">
          <cell r="A1631" t="str">
            <v>106,1</v>
          </cell>
          <cell r="B1631" t="str">
            <v>WS 9 kn2</v>
          </cell>
          <cell r="C1631" t="str">
            <v>Kwarter a1</v>
          </cell>
          <cell r="D1631">
            <v>14</v>
          </cell>
          <cell r="E1631">
            <v>25.2</v>
          </cell>
          <cell r="F1631">
            <v>0.3</v>
          </cell>
          <cell r="G1631">
            <v>0.27984551330394364</v>
          </cell>
        </row>
        <row r="1632">
          <cell r="A1632" t="str">
            <v>106,2</v>
          </cell>
          <cell r="B1632" t="str">
            <v>WS 9 kn2</v>
          </cell>
          <cell r="C1632" t="str">
            <v>Kwarter a2</v>
          </cell>
          <cell r="D1632">
            <v>13</v>
          </cell>
          <cell r="E1632">
            <v>23.400000000000002</v>
          </cell>
          <cell r="F1632">
            <v>0.3</v>
          </cell>
          <cell r="G1632">
            <v>0.26957675461177327</v>
          </cell>
        </row>
        <row r="1633">
          <cell r="A1633" t="str">
            <v>106,3</v>
          </cell>
          <cell r="B1633" t="str">
            <v>WS 9 kn2</v>
          </cell>
          <cell r="C1633" t="str">
            <v>Kwarter a3</v>
          </cell>
          <cell r="D1633">
            <v>11</v>
          </cell>
          <cell r="E1633">
            <v>19.8</v>
          </cell>
          <cell r="F1633">
            <v>0.3</v>
          </cell>
          <cell r="G1633">
            <v>0.24760852933338706</v>
          </cell>
        </row>
        <row r="1634">
          <cell r="A1634" t="str">
            <v>106,4</v>
          </cell>
          <cell r="B1634" t="str">
            <v>WS 9 kn2</v>
          </cell>
          <cell r="C1634" t="str">
            <v>Kwarter b1</v>
          </cell>
          <cell r="D1634">
            <v>14</v>
          </cell>
          <cell r="E1634">
            <v>25.2</v>
          </cell>
          <cell r="F1634">
            <v>0.3</v>
          </cell>
          <cell r="G1634">
            <v>0.27984551330394364</v>
          </cell>
        </row>
        <row r="1635">
          <cell r="A1635" t="str">
            <v>106,5</v>
          </cell>
          <cell r="B1635" t="str">
            <v>WS 9 kn2</v>
          </cell>
          <cell r="C1635" t="str">
            <v>Kwarter b2</v>
          </cell>
          <cell r="D1635">
            <v>9</v>
          </cell>
          <cell r="E1635">
            <v>16.2</v>
          </cell>
          <cell r="F1635">
            <v>0.3</v>
          </cell>
          <cell r="G1635">
            <v>0.22327164076703876</v>
          </cell>
        </row>
        <row r="1636">
          <cell r="A1636" t="str">
            <v>106,6</v>
          </cell>
          <cell r="B1636" t="str">
            <v>WS 9 kn2</v>
          </cell>
          <cell r="C1636" t="str">
            <v>Kwarter b3</v>
          </cell>
          <cell r="D1636">
            <v>9</v>
          </cell>
          <cell r="E1636">
            <v>16.2</v>
          </cell>
          <cell r="F1636">
            <v>0.3</v>
          </cell>
          <cell r="G1636">
            <v>0.22327164076703876</v>
          </cell>
        </row>
        <row r="1637">
          <cell r="A1637" t="str">
            <v>106,7</v>
          </cell>
          <cell r="B1637" t="str">
            <v>WS 9 kn2</v>
          </cell>
          <cell r="C1637" t="str">
            <v>Kwarter b4</v>
          </cell>
          <cell r="D1637">
            <v>9</v>
          </cell>
          <cell r="E1637">
            <v>16.2</v>
          </cell>
          <cell r="F1637">
            <v>0.3</v>
          </cell>
          <cell r="G1637">
            <v>0.22327164076703876</v>
          </cell>
        </row>
        <row r="1638">
          <cell r="A1638" t="str">
            <v>106,8</v>
          </cell>
          <cell r="B1638" t="str">
            <v>WS 9 kn2</v>
          </cell>
          <cell r="C1638" t="str">
            <v>Kwarter c1</v>
          </cell>
          <cell r="D1638">
            <v>7</v>
          </cell>
          <cell r="E1638">
            <v>15</v>
          </cell>
          <cell r="F1638">
            <v>0.3</v>
          </cell>
          <cell r="G1638">
            <v>0.21450186870683924</v>
          </cell>
        </row>
        <row r="1639">
          <cell r="A1639" t="str">
            <v>106,9</v>
          </cell>
          <cell r="B1639" t="str">
            <v>WS 9 kn2</v>
          </cell>
          <cell r="C1639" t="str">
            <v>Kwarter c2</v>
          </cell>
          <cell r="D1639">
            <v>7</v>
          </cell>
          <cell r="E1639">
            <v>15</v>
          </cell>
          <cell r="F1639">
            <v>0.3</v>
          </cell>
          <cell r="G1639">
            <v>0.21450186870683924</v>
          </cell>
        </row>
        <row r="1640">
          <cell r="A1640" t="str">
            <v>106,10</v>
          </cell>
          <cell r="B1640" t="str">
            <v>WS 9 kn2</v>
          </cell>
          <cell r="C1640" t="str">
            <v>Kwarter c3</v>
          </cell>
          <cell r="D1640">
            <v>9</v>
          </cell>
          <cell r="E1640">
            <v>16.2</v>
          </cell>
          <cell r="F1640">
            <v>0.3</v>
          </cell>
          <cell r="G1640">
            <v>0.22327164076703876</v>
          </cell>
        </row>
        <row r="1641">
          <cell r="A1641" t="str">
            <v>106,11</v>
          </cell>
          <cell r="B1641" t="str">
            <v>WS 9 kn2</v>
          </cell>
          <cell r="C1641" t="str">
            <v>Kwarter c4</v>
          </cell>
          <cell r="D1641">
            <v>9</v>
          </cell>
          <cell r="E1641">
            <v>16.2</v>
          </cell>
          <cell r="F1641">
            <v>0.3</v>
          </cell>
          <cell r="G1641">
            <v>0.22327164076703876</v>
          </cell>
        </row>
        <row r="1642">
          <cell r="A1642" t="str">
            <v>106,12</v>
          </cell>
          <cell r="B1642" t="str">
            <v>WS 9 kn2</v>
          </cell>
          <cell r="C1642" t="str">
            <v>Kwarter c5</v>
          </cell>
          <cell r="D1642">
            <v>7</v>
          </cell>
          <cell r="E1642">
            <v>15</v>
          </cell>
          <cell r="F1642">
            <v>0.3</v>
          </cell>
          <cell r="G1642">
            <v>0.21450186870683924</v>
          </cell>
        </row>
        <row r="1643">
          <cell r="A1643" t="str">
            <v>106,13</v>
          </cell>
          <cell r="B1643" t="str">
            <v>WS 9 kn2</v>
          </cell>
          <cell r="C1643" t="str">
            <v>Muka b1</v>
          </cell>
          <cell r="D1643">
            <v>14</v>
          </cell>
          <cell r="E1643">
            <v>25.2</v>
          </cell>
          <cell r="F1643">
            <v>0.3</v>
          </cell>
          <cell r="G1643">
            <v>0.19573011875754986</v>
          </cell>
        </row>
        <row r="1644">
          <cell r="A1644" t="str">
            <v>106,14</v>
          </cell>
          <cell r="B1644" t="str">
            <v>WS 9 kn2</v>
          </cell>
          <cell r="C1644" t="str">
            <v>Muka c3</v>
          </cell>
          <cell r="D1644">
            <v>9</v>
          </cell>
          <cell r="E1644">
            <v>16.2</v>
          </cell>
          <cell r="F1644">
            <v>0.3</v>
          </cell>
          <cell r="G1644">
            <v>0.15443256333332417</v>
          </cell>
        </row>
        <row r="1645">
          <cell r="A1645" t="str">
            <v>106,15</v>
          </cell>
          <cell r="B1645" t="str">
            <v>WS 9 kn2</v>
          </cell>
          <cell r="C1645" t="str">
            <v>Tersier T5-K2</v>
          </cell>
          <cell r="D1645">
            <v>16</v>
          </cell>
          <cell r="E1645">
            <v>28.8</v>
          </cell>
          <cell r="F1645">
            <v>0.3</v>
          </cell>
          <cell r="G1645">
            <v>0.20997228605922097</v>
          </cell>
        </row>
        <row r="1646">
          <cell r="A1646" t="str">
            <v>106,16</v>
          </cell>
          <cell r="B1646" t="str">
            <v>WS 9 kn2</v>
          </cell>
          <cell r="C1646" t="str">
            <v>Tersier T5-K1</v>
          </cell>
          <cell r="D1646">
            <v>16</v>
          </cell>
          <cell r="E1646">
            <v>28.8</v>
          </cell>
          <cell r="F1646">
            <v>0.3</v>
          </cell>
          <cell r="G1646">
            <v>0.20997228605922097</v>
          </cell>
        </row>
        <row r="1647">
          <cell r="A1647" t="str">
            <v>106,17</v>
          </cell>
          <cell r="B1647" t="str">
            <v>WS 9 kn2</v>
          </cell>
          <cell r="C1647" t="str">
            <v>Tersier T4-T5</v>
          </cell>
          <cell r="D1647">
            <v>48</v>
          </cell>
          <cell r="E1647">
            <v>86.4</v>
          </cell>
          <cell r="F1647">
            <v>0.35</v>
          </cell>
          <cell r="G1647">
            <v>0.34808869288612443</v>
          </cell>
        </row>
        <row r="1648">
          <cell r="A1648" t="str">
            <v>106,18</v>
          </cell>
          <cell r="B1648" t="str">
            <v>WS 9 kn2</v>
          </cell>
          <cell r="C1648" t="str">
            <v>Tersier T3-T4</v>
          </cell>
          <cell r="D1648">
            <v>57</v>
          </cell>
          <cell r="E1648">
            <v>102.60000000000001</v>
          </cell>
          <cell r="F1648">
            <v>0.4</v>
          </cell>
          <cell r="G1648">
            <v>0.36268475904544556</v>
          </cell>
        </row>
        <row r="1649">
          <cell r="A1649" t="str">
            <v>106,19</v>
          </cell>
          <cell r="B1649" t="str">
            <v>WS 9 kn2</v>
          </cell>
          <cell r="C1649" t="str">
            <v>Tersier T2-T3</v>
          </cell>
          <cell r="D1649">
            <v>80</v>
          </cell>
          <cell r="E1649">
            <v>144</v>
          </cell>
          <cell r="F1649">
            <v>0.45</v>
          </cell>
          <cell r="G1649">
            <v>0.41317771127590514</v>
          </cell>
        </row>
        <row r="1650">
          <cell r="A1650" t="str">
            <v>106,20</v>
          </cell>
          <cell r="B1650" t="str">
            <v>WS 9 kn2</v>
          </cell>
          <cell r="C1650" t="str">
            <v>Tersier T1-T2</v>
          </cell>
          <cell r="D1650">
            <v>91</v>
          </cell>
          <cell r="E1650">
            <v>163.80000000000001</v>
          </cell>
          <cell r="F1650">
            <v>0.45</v>
          </cell>
          <cell r="G1650">
            <v>0.44077885255363902</v>
          </cell>
        </row>
        <row r="1651">
          <cell r="A1651" t="str">
            <v>106,21</v>
          </cell>
          <cell r="B1651" t="str">
            <v>WS 9 kn2</v>
          </cell>
          <cell r="C1651" t="str">
            <v>Muka WS 9kn2</v>
          </cell>
          <cell r="D1651">
            <v>118</v>
          </cell>
          <cell r="E1651">
            <v>212.4</v>
          </cell>
          <cell r="F1651">
            <v>0.5</v>
          </cell>
          <cell r="G1651">
            <v>0.48460577307390418</v>
          </cell>
        </row>
        <row r="1653">
          <cell r="A1653">
            <v>107</v>
          </cell>
          <cell r="B1653" t="str">
            <v>WS 9 kn3</v>
          </cell>
          <cell r="D1653">
            <v>0</v>
          </cell>
        </row>
        <row r="1654">
          <cell r="A1654" t="str">
            <v>107,1</v>
          </cell>
          <cell r="B1654" t="str">
            <v>WS 9 kn3</v>
          </cell>
          <cell r="C1654" t="str">
            <v>Kwarter a1</v>
          </cell>
          <cell r="D1654">
            <v>5</v>
          </cell>
          <cell r="E1654">
            <v>15</v>
          </cell>
          <cell r="F1654">
            <v>0.3</v>
          </cell>
          <cell r="G1654">
            <v>0.21450186870683924</v>
          </cell>
        </row>
        <row r="1655">
          <cell r="A1655" t="str">
            <v>107,2</v>
          </cell>
          <cell r="B1655" t="str">
            <v>WS 9 kn3</v>
          </cell>
          <cell r="C1655" t="str">
            <v>Kwarter a2</v>
          </cell>
          <cell r="D1655">
            <v>11</v>
          </cell>
          <cell r="E1655">
            <v>19.8</v>
          </cell>
          <cell r="F1655">
            <v>0.3</v>
          </cell>
          <cell r="G1655">
            <v>0.24760852933338706</v>
          </cell>
        </row>
        <row r="1656">
          <cell r="A1656" t="str">
            <v>107,3</v>
          </cell>
          <cell r="B1656" t="str">
            <v>WS 9 kn3</v>
          </cell>
          <cell r="C1656" t="str">
            <v>Kwarter b1</v>
          </cell>
          <cell r="D1656">
            <v>11</v>
          </cell>
          <cell r="E1656">
            <v>19.8</v>
          </cell>
          <cell r="F1656">
            <v>0.3</v>
          </cell>
          <cell r="G1656">
            <v>0.24760852933338706</v>
          </cell>
        </row>
        <row r="1657">
          <cell r="A1657" t="str">
            <v>107,4</v>
          </cell>
          <cell r="B1657" t="str">
            <v>WS 9 kn3</v>
          </cell>
          <cell r="C1657" t="str">
            <v>Kwarter b2</v>
          </cell>
          <cell r="D1657">
            <v>11</v>
          </cell>
          <cell r="E1657">
            <v>19.8</v>
          </cell>
          <cell r="F1657">
            <v>0.3</v>
          </cell>
          <cell r="G1657">
            <v>0.24760852933338706</v>
          </cell>
        </row>
        <row r="1658">
          <cell r="A1658" t="str">
            <v>107,5</v>
          </cell>
          <cell r="B1658" t="str">
            <v>WS 9 kn3</v>
          </cell>
          <cell r="C1658" t="str">
            <v>Muka b2</v>
          </cell>
          <cell r="D1658">
            <v>11</v>
          </cell>
          <cell r="E1658">
            <v>19.8</v>
          </cell>
          <cell r="F1658">
            <v>0.3</v>
          </cell>
          <cell r="G1658">
            <v>0.17212948709189466</v>
          </cell>
        </row>
        <row r="1659">
          <cell r="A1659" t="str">
            <v>107,6</v>
          </cell>
          <cell r="B1659" t="str">
            <v>WS 9 kn3</v>
          </cell>
          <cell r="C1659" t="str">
            <v>Tersier T2-K1</v>
          </cell>
          <cell r="D1659">
            <v>22</v>
          </cell>
          <cell r="E1659">
            <v>39.6</v>
          </cell>
          <cell r="F1659">
            <v>0.3</v>
          </cell>
          <cell r="G1659">
            <v>0.24760852933338706</v>
          </cell>
        </row>
        <row r="1660">
          <cell r="A1660" t="str">
            <v>107,7</v>
          </cell>
          <cell r="B1660" t="str">
            <v>WS 9 kn3</v>
          </cell>
          <cell r="C1660" t="str">
            <v>Tersier T1-T2</v>
          </cell>
          <cell r="D1660">
            <v>33</v>
          </cell>
          <cell r="E1660">
            <v>59.4</v>
          </cell>
          <cell r="F1660">
            <v>0.35</v>
          </cell>
          <cell r="G1660">
            <v>0.28804905429902994</v>
          </cell>
        </row>
        <row r="1661">
          <cell r="A1661" t="str">
            <v>107,8</v>
          </cell>
          <cell r="B1661" t="str">
            <v>WS 9 kn3</v>
          </cell>
          <cell r="C1661" t="str">
            <v>Tersier BWS9-T1</v>
          </cell>
          <cell r="D1661">
            <v>38</v>
          </cell>
          <cell r="E1661">
            <v>68.400000000000006</v>
          </cell>
          <cell r="F1661">
            <v>0.35</v>
          </cell>
          <cell r="G1661">
            <v>0.30951703165612038</v>
          </cell>
        </row>
        <row r="1663">
          <cell r="A1663">
            <v>108</v>
          </cell>
          <cell r="B1663" t="str">
            <v>WS 10 kn</v>
          </cell>
          <cell r="D1663">
            <v>0</v>
          </cell>
        </row>
        <row r="1664">
          <cell r="A1664" t="str">
            <v>108,1</v>
          </cell>
          <cell r="B1664" t="str">
            <v>WS 10 kn</v>
          </cell>
          <cell r="C1664" t="str">
            <v>Kwarter a1</v>
          </cell>
          <cell r="D1664">
            <v>9</v>
          </cell>
          <cell r="E1664">
            <v>16.2</v>
          </cell>
          <cell r="F1664">
            <v>0.3</v>
          </cell>
          <cell r="G1664">
            <v>0.22327164076703876</v>
          </cell>
        </row>
        <row r="1665">
          <cell r="A1665" t="str">
            <v>108,2</v>
          </cell>
          <cell r="B1665" t="str">
            <v>WS 10 kn</v>
          </cell>
          <cell r="C1665" t="str">
            <v>Kwarter a2</v>
          </cell>
          <cell r="D1665">
            <v>11</v>
          </cell>
          <cell r="E1665">
            <v>19.8</v>
          </cell>
          <cell r="F1665">
            <v>0.3</v>
          </cell>
          <cell r="G1665">
            <v>0.24760852933338706</v>
          </cell>
        </row>
        <row r="1666">
          <cell r="A1666" t="str">
            <v>108,3</v>
          </cell>
          <cell r="B1666" t="str">
            <v>WS 10 kn</v>
          </cell>
          <cell r="C1666" t="str">
            <v>Kwarter a3</v>
          </cell>
          <cell r="D1666">
            <v>12</v>
          </cell>
          <cell r="E1666">
            <v>21.6</v>
          </cell>
          <cell r="F1666">
            <v>0.3</v>
          </cell>
          <cell r="G1666">
            <v>0.25885060257641224</v>
          </cell>
        </row>
        <row r="1667">
          <cell r="A1667" t="str">
            <v>108,4</v>
          </cell>
          <cell r="B1667" t="str">
            <v>WS 10 kn</v>
          </cell>
          <cell r="C1667" t="str">
            <v>Kwarter b1</v>
          </cell>
          <cell r="D1667">
            <v>12</v>
          </cell>
          <cell r="E1667">
            <v>21.6</v>
          </cell>
          <cell r="F1667">
            <v>0.3</v>
          </cell>
          <cell r="G1667">
            <v>0.25885060257641224</v>
          </cell>
        </row>
        <row r="1668">
          <cell r="A1668" t="str">
            <v>108,5</v>
          </cell>
          <cell r="B1668" t="str">
            <v>WS 10 kn</v>
          </cell>
          <cell r="C1668" t="str">
            <v>Kwarter b2</v>
          </cell>
          <cell r="D1668">
            <v>7</v>
          </cell>
          <cell r="E1668">
            <v>15</v>
          </cell>
          <cell r="F1668">
            <v>0.3</v>
          </cell>
          <cell r="G1668">
            <v>0.21450186870683924</v>
          </cell>
        </row>
        <row r="1669">
          <cell r="A1669" t="str">
            <v>108,6</v>
          </cell>
          <cell r="B1669" t="str">
            <v>WS 10 kn</v>
          </cell>
          <cell r="C1669" t="str">
            <v>Kwarter c1</v>
          </cell>
          <cell r="D1669">
            <v>4</v>
          </cell>
          <cell r="E1669">
            <v>15</v>
          </cell>
          <cell r="F1669">
            <v>0.3</v>
          </cell>
          <cell r="G1669">
            <v>0.21450186870683924</v>
          </cell>
        </row>
        <row r="1670">
          <cell r="A1670" t="str">
            <v>108,7</v>
          </cell>
          <cell r="B1670" t="str">
            <v>WS 10 kn</v>
          </cell>
          <cell r="C1670" t="str">
            <v>Kwarter c2</v>
          </cell>
          <cell r="D1670">
            <v>4</v>
          </cell>
          <cell r="E1670">
            <v>15</v>
          </cell>
          <cell r="F1670">
            <v>0.3</v>
          </cell>
          <cell r="G1670">
            <v>0.21450186870683924</v>
          </cell>
        </row>
        <row r="1671">
          <cell r="A1671" t="str">
            <v>108,8</v>
          </cell>
          <cell r="B1671" t="str">
            <v>WS 10 kn</v>
          </cell>
          <cell r="C1671" t="str">
            <v>Kwarter c3</v>
          </cell>
          <cell r="D1671">
            <v>10</v>
          </cell>
          <cell r="E1671">
            <v>18</v>
          </cell>
          <cell r="F1671">
            <v>0.3</v>
          </cell>
          <cell r="G1671">
            <v>0.23577879795157511</v>
          </cell>
        </row>
        <row r="1672">
          <cell r="A1672" t="str">
            <v>108,9</v>
          </cell>
          <cell r="B1672" t="str">
            <v>WS 10 kn</v>
          </cell>
          <cell r="C1672" t="str">
            <v>Muka a1</v>
          </cell>
          <cell r="D1672">
            <v>9</v>
          </cell>
          <cell r="E1672">
            <v>16.2</v>
          </cell>
          <cell r="F1672">
            <v>0.3</v>
          </cell>
          <cell r="G1672">
            <v>0.15443256333332417</v>
          </cell>
        </row>
        <row r="1673">
          <cell r="A1673" t="str">
            <v>108,10</v>
          </cell>
          <cell r="B1673" t="str">
            <v>WS 10 kn</v>
          </cell>
          <cell r="C1673" t="str">
            <v>Muka b2</v>
          </cell>
          <cell r="D1673">
            <v>7</v>
          </cell>
          <cell r="E1673">
            <v>15</v>
          </cell>
          <cell r="F1673">
            <v>0.3</v>
          </cell>
          <cell r="G1673">
            <v>0.14808412770373933</v>
          </cell>
        </row>
        <row r="1674">
          <cell r="A1674" t="str">
            <v>108,11</v>
          </cell>
          <cell r="B1674" t="str">
            <v>WS 10 kn</v>
          </cell>
          <cell r="C1674" t="str">
            <v>Muka c3</v>
          </cell>
          <cell r="D1674">
            <v>10</v>
          </cell>
          <cell r="E1674">
            <v>18</v>
          </cell>
          <cell r="F1674">
            <v>0.3</v>
          </cell>
          <cell r="G1674">
            <v>0.16351330600668237</v>
          </cell>
        </row>
        <row r="1675">
          <cell r="A1675" t="str">
            <v>108,12</v>
          </cell>
          <cell r="B1675" t="str">
            <v>WS 10 kn</v>
          </cell>
          <cell r="C1675" t="str">
            <v>Tersier T2-K1</v>
          </cell>
          <cell r="D1675">
            <v>18</v>
          </cell>
          <cell r="E1675">
            <v>32.4</v>
          </cell>
          <cell r="F1675">
            <v>0.3</v>
          </cell>
          <cell r="G1675">
            <v>0.22327164076703876</v>
          </cell>
        </row>
        <row r="1676">
          <cell r="A1676" t="str">
            <v>108,13</v>
          </cell>
          <cell r="B1676" t="str">
            <v>WS 10 kn</v>
          </cell>
          <cell r="C1676" t="str">
            <v>Tersier T1-T2</v>
          </cell>
          <cell r="D1676">
            <v>37</v>
          </cell>
          <cell r="E1676">
            <v>66.600000000000009</v>
          </cell>
          <cell r="F1676">
            <v>0.35</v>
          </cell>
          <cell r="G1676">
            <v>0.30535674927654982</v>
          </cell>
        </row>
        <row r="1677">
          <cell r="A1677" t="str">
            <v>108,14</v>
          </cell>
          <cell r="B1677" t="str">
            <v>WS 10 kn</v>
          </cell>
          <cell r="C1677" t="str">
            <v>Tersier BWS 10-T1</v>
          </cell>
          <cell r="D1677">
            <v>69</v>
          </cell>
          <cell r="E1677">
            <v>124.2</v>
          </cell>
          <cell r="F1677">
            <v>0.45</v>
          </cell>
          <cell r="G1677">
            <v>0.38332810544726065</v>
          </cell>
        </row>
        <row r="1679">
          <cell r="A1679">
            <v>109</v>
          </cell>
          <cell r="B1679" t="str">
            <v>WS 11 kn</v>
          </cell>
          <cell r="D1679">
            <v>0</v>
          </cell>
        </row>
        <row r="1680">
          <cell r="A1680" t="str">
            <v>109,1</v>
          </cell>
          <cell r="B1680" t="str">
            <v>WS 11 kn</v>
          </cell>
          <cell r="C1680" t="str">
            <v>Kwarter a1</v>
          </cell>
          <cell r="D1680">
            <v>5</v>
          </cell>
          <cell r="E1680">
            <v>15</v>
          </cell>
          <cell r="F1680">
            <v>0.3</v>
          </cell>
          <cell r="G1680">
            <v>0.21450186870683924</v>
          </cell>
        </row>
        <row r="1681">
          <cell r="A1681" t="str">
            <v>109,2</v>
          </cell>
          <cell r="B1681" t="str">
            <v>WS 11 kn</v>
          </cell>
          <cell r="C1681" t="str">
            <v>Kwarter a2</v>
          </cell>
          <cell r="D1681">
            <v>8</v>
          </cell>
          <cell r="E1681">
            <v>15</v>
          </cell>
          <cell r="F1681">
            <v>0.3</v>
          </cell>
          <cell r="G1681">
            <v>0.21450186870683924</v>
          </cell>
        </row>
        <row r="1682">
          <cell r="A1682" t="str">
            <v>109,3</v>
          </cell>
          <cell r="B1682" t="str">
            <v>WS 11 kn</v>
          </cell>
          <cell r="C1682" t="str">
            <v>Muka a2</v>
          </cell>
          <cell r="D1682">
            <v>8</v>
          </cell>
          <cell r="E1682">
            <v>15</v>
          </cell>
          <cell r="F1682">
            <v>0.3</v>
          </cell>
          <cell r="G1682">
            <v>0.14808412770373933</v>
          </cell>
        </row>
        <row r="1683">
          <cell r="A1683" t="str">
            <v>109,4</v>
          </cell>
          <cell r="B1683" t="str">
            <v>WS 11 kn</v>
          </cell>
          <cell r="C1683" t="str">
            <v>Tersier BWS11-K1</v>
          </cell>
          <cell r="D1683">
            <v>13</v>
          </cell>
          <cell r="E1683">
            <v>23.400000000000002</v>
          </cell>
          <cell r="F1683">
            <v>0.3</v>
          </cell>
          <cell r="G1683">
            <v>0.18819437534024519</v>
          </cell>
        </row>
        <row r="1685">
          <cell r="A1685">
            <v>110</v>
          </cell>
          <cell r="B1685" t="str">
            <v>WS 11 kr1</v>
          </cell>
          <cell r="D1685">
            <v>0</v>
          </cell>
        </row>
        <row r="1686">
          <cell r="A1686" t="str">
            <v>110,1</v>
          </cell>
          <cell r="B1686" t="str">
            <v>WS 11 kr1</v>
          </cell>
          <cell r="C1686" t="str">
            <v>Kwarter a1</v>
          </cell>
          <cell r="D1686">
            <v>9</v>
          </cell>
          <cell r="E1686">
            <v>16.2</v>
          </cell>
          <cell r="F1686">
            <v>0.3</v>
          </cell>
          <cell r="G1686">
            <v>0.22327164076703876</v>
          </cell>
        </row>
        <row r="1688">
          <cell r="A1688" t="str">
            <v>111</v>
          </cell>
          <cell r="B1688" t="str">
            <v>WS 11 kr2</v>
          </cell>
          <cell r="D1688">
            <v>0</v>
          </cell>
        </row>
        <row r="1689">
          <cell r="A1689" t="str">
            <v>111,1</v>
          </cell>
          <cell r="B1689" t="str">
            <v>WS 11 kr2</v>
          </cell>
          <cell r="C1689" t="str">
            <v>Kwarter a1</v>
          </cell>
          <cell r="D1689">
            <v>5</v>
          </cell>
          <cell r="E1689">
            <v>15</v>
          </cell>
          <cell r="F1689">
            <v>0.3</v>
          </cell>
          <cell r="G1689">
            <v>0.21450186870683924</v>
          </cell>
        </row>
        <row r="1690">
          <cell r="A1690" t="str">
            <v>111,2</v>
          </cell>
          <cell r="B1690" t="str">
            <v>WS 11 kr2</v>
          </cell>
          <cell r="C1690" t="str">
            <v>Kwarter a2</v>
          </cell>
          <cell r="D1690">
            <v>13</v>
          </cell>
          <cell r="E1690">
            <v>23.400000000000002</v>
          </cell>
          <cell r="F1690">
            <v>0.3</v>
          </cell>
          <cell r="G1690">
            <v>0.26957675461177327</v>
          </cell>
        </row>
        <row r="1691">
          <cell r="A1691" t="str">
            <v>111,3</v>
          </cell>
          <cell r="B1691" t="str">
            <v>WS 11 kr2</v>
          </cell>
          <cell r="C1691" t="str">
            <v>Tersier BWS11-K1</v>
          </cell>
          <cell r="D1691">
            <v>18</v>
          </cell>
          <cell r="E1691">
            <v>32.4</v>
          </cell>
          <cell r="F1691">
            <v>0.3</v>
          </cell>
          <cell r="G1691">
            <v>0.22327164076703876</v>
          </cell>
        </row>
        <row r="1693">
          <cell r="A1693" t="str">
            <v>112</v>
          </cell>
          <cell r="B1693" t="str">
            <v>WS 12 kn</v>
          </cell>
          <cell r="D1693">
            <v>0</v>
          </cell>
        </row>
        <row r="1694">
          <cell r="A1694" t="str">
            <v>112,1</v>
          </cell>
          <cell r="B1694" t="str">
            <v>WS 12 kn</v>
          </cell>
          <cell r="C1694" t="str">
            <v>Kwarter a1</v>
          </cell>
          <cell r="D1694">
            <v>10</v>
          </cell>
          <cell r="E1694">
            <v>18</v>
          </cell>
          <cell r="F1694">
            <v>0.3</v>
          </cell>
          <cell r="G1694">
            <v>0.23577879795157511</v>
          </cell>
        </row>
        <row r="1695">
          <cell r="A1695" t="str">
            <v>112,2</v>
          </cell>
          <cell r="B1695" t="str">
            <v>WS 12 kn</v>
          </cell>
          <cell r="C1695" t="str">
            <v>Kwarter a2</v>
          </cell>
          <cell r="D1695">
            <v>8</v>
          </cell>
          <cell r="E1695">
            <v>15</v>
          </cell>
          <cell r="F1695">
            <v>0.3</v>
          </cell>
          <cell r="G1695">
            <v>0.21450186870683924</v>
          </cell>
        </row>
        <row r="1696">
          <cell r="A1696" t="str">
            <v>112,3</v>
          </cell>
          <cell r="B1696" t="str">
            <v>WS 12 kn</v>
          </cell>
          <cell r="C1696" t="str">
            <v>Kwarter a3</v>
          </cell>
          <cell r="D1696">
            <v>5</v>
          </cell>
          <cell r="E1696">
            <v>15</v>
          </cell>
          <cell r="F1696">
            <v>0.3</v>
          </cell>
          <cell r="G1696">
            <v>0.21450186870683924</v>
          </cell>
        </row>
        <row r="1697">
          <cell r="A1697" t="str">
            <v>112,4</v>
          </cell>
          <cell r="B1697" t="str">
            <v>WS 12 kn</v>
          </cell>
          <cell r="C1697" t="str">
            <v>Kwarter a4</v>
          </cell>
          <cell r="D1697">
            <v>3</v>
          </cell>
          <cell r="E1697">
            <v>15</v>
          </cell>
          <cell r="F1697">
            <v>0.3</v>
          </cell>
          <cell r="G1697">
            <v>0.21450186870683924</v>
          </cell>
        </row>
        <row r="1698">
          <cell r="A1698" t="str">
            <v>112,5</v>
          </cell>
          <cell r="B1698" t="str">
            <v>WS 12 kn</v>
          </cell>
          <cell r="C1698" t="str">
            <v>Kwarter a5</v>
          </cell>
          <cell r="D1698">
            <v>6</v>
          </cell>
          <cell r="E1698">
            <v>15</v>
          </cell>
          <cell r="F1698">
            <v>0.3</v>
          </cell>
          <cell r="G1698">
            <v>0.21450186870683924</v>
          </cell>
        </row>
        <row r="1699">
          <cell r="A1699" t="str">
            <v>112,6</v>
          </cell>
          <cell r="B1699" t="str">
            <v>WS 12 kn</v>
          </cell>
          <cell r="C1699" t="str">
            <v>Kwarter a6</v>
          </cell>
          <cell r="D1699">
            <v>7</v>
          </cell>
          <cell r="E1699">
            <v>15</v>
          </cell>
          <cell r="F1699">
            <v>0.3</v>
          </cell>
          <cell r="G1699">
            <v>0.21450186870683924</v>
          </cell>
        </row>
        <row r="1700">
          <cell r="A1700" t="str">
            <v>112,7</v>
          </cell>
          <cell r="B1700" t="str">
            <v>WS 12 kn</v>
          </cell>
          <cell r="C1700" t="str">
            <v>Kwarter b1</v>
          </cell>
          <cell r="D1700">
            <v>5</v>
          </cell>
          <cell r="E1700">
            <v>15</v>
          </cell>
          <cell r="F1700">
            <v>0.3</v>
          </cell>
          <cell r="G1700">
            <v>0.21450186870683924</v>
          </cell>
        </row>
        <row r="1701">
          <cell r="A1701" t="str">
            <v>112,8</v>
          </cell>
          <cell r="B1701" t="str">
            <v>WS 12 kn</v>
          </cell>
          <cell r="C1701" t="str">
            <v>Kwarter b2</v>
          </cell>
          <cell r="D1701">
            <v>9</v>
          </cell>
          <cell r="E1701">
            <v>16.2</v>
          </cell>
          <cell r="F1701">
            <v>0.3</v>
          </cell>
          <cell r="G1701">
            <v>0.22327164076703876</v>
          </cell>
        </row>
        <row r="1702">
          <cell r="A1702" t="str">
            <v>112,9</v>
          </cell>
          <cell r="B1702" t="str">
            <v>WS 12 kn</v>
          </cell>
          <cell r="C1702" t="str">
            <v>Kwarter b3</v>
          </cell>
          <cell r="D1702">
            <v>7</v>
          </cell>
          <cell r="E1702">
            <v>15</v>
          </cell>
          <cell r="F1702">
            <v>0.3</v>
          </cell>
          <cell r="G1702">
            <v>0.21450186870683924</v>
          </cell>
        </row>
        <row r="1703">
          <cell r="A1703" t="str">
            <v>112,10</v>
          </cell>
          <cell r="B1703" t="str">
            <v>WS 12 kn</v>
          </cell>
          <cell r="C1703" t="str">
            <v>Kwarter b4</v>
          </cell>
          <cell r="D1703">
            <v>14</v>
          </cell>
          <cell r="E1703">
            <v>25.2</v>
          </cell>
          <cell r="F1703">
            <v>0.3</v>
          </cell>
          <cell r="G1703">
            <v>0.27984551330394364</v>
          </cell>
        </row>
        <row r="1704">
          <cell r="A1704" t="str">
            <v>112,11</v>
          </cell>
          <cell r="B1704" t="str">
            <v>WS 12 kn</v>
          </cell>
          <cell r="C1704" t="str">
            <v>Kwarter c1</v>
          </cell>
          <cell r="D1704">
            <v>9</v>
          </cell>
          <cell r="E1704">
            <v>16.2</v>
          </cell>
          <cell r="F1704">
            <v>0.3</v>
          </cell>
          <cell r="G1704">
            <v>0.22327164076703876</v>
          </cell>
        </row>
        <row r="1705">
          <cell r="A1705" t="str">
            <v>112,12</v>
          </cell>
          <cell r="B1705" t="str">
            <v>WS 12 kn</v>
          </cell>
          <cell r="C1705" t="str">
            <v>Kwarter c2</v>
          </cell>
          <cell r="D1705">
            <v>9</v>
          </cell>
          <cell r="E1705">
            <v>16.2</v>
          </cell>
          <cell r="F1705">
            <v>0.3</v>
          </cell>
          <cell r="G1705">
            <v>0.22327164076703876</v>
          </cell>
        </row>
        <row r="1706">
          <cell r="A1706" t="str">
            <v>112,13</v>
          </cell>
          <cell r="B1706" t="str">
            <v>WS 12 kn</v>
          </cell>
          <cell r="C1706" t="str">
            <v>Kwarter c3</v>
          </cell>
          <cell r="D1706">
            <v>9</v>
          </cell>
          <cell r="E1706">
            <v>16.2</v>
          </cell>
          <cell r="F1706">
            <v>0.3</v>
          </cell>
          <cell r="G1706">
            <v>0.22327164076703876</v>
          </cell>
        </row>
        <row r="1707">
          <cell r="A1707" t="str">
            <v>112,14</v>
          </cell>
          <cell r="B1707" t="str">
            <v>WS 12 kn</v>
          </cell>
          <cell r="C1707" t="str">
            <v>Kwarter c4</v>
          </cell>
          <cell r="D1707">
            <v>10</v>
          </cell>
          <cell r="E1707">
            <v>18</v>
          </cell>
          <cell r="F1707">
            <v>0.3</v>
          </cell>
          <cell r="G1707">
            <v>0.23577879795157511</v>
          </cell>
        </row>
        <row r="1708">
          <cell r="A1708" t="str">
            <v>112,15</v>
          </cell>
          <cell r="B1708" t="str">
            <v>WS 12 kn</v>
          </cell>
          <cell r="C1708" t="str">
            <v>Kwarter cab c4</v>
          </cell>
          <cell r="E1708">
            <v>15</v>
          </cell>
          <cell r="F1708">
            <v>0.3</v>
          </cell>
          <cell r="G1708">
            <v>0.21450186870683924</v>
          </cell>
        </row>
        <row r="1709">
          <cell r="A1709" t="str">
            <v>112,16</v>
          </cell>
          <cell r="B1709" t="str">
            <v>WS 12 kn</v>
          </cell>
          <cell r="C1709" t="str">
            <v>Muka a1</v>
          </cell>
          <cell r="D1709">
            <v>10</v>
          </cell>
          <cell r="E1709">
            <v>18</v>
          </cell>
          <cell r="F1709">
            <v>0.3</v>
          </cell>
          <cell r="G1709">
            <v>0.16351330600668237</v>
          </cell>
        </row>
        <row r="1710">
          <cell r="A1710" t="str">
            <v>112,17</v>
          </cell>
          <cell r="B1710" t="str">
            <v>WS 12 kn</v>
          </cell>
          <cell r="C1710" t="str">
            <v>Muka a6</v>
          </cell>
          <cell r="D1710">
            <v>7</v>
          </cell>
          <cell r="E1710">
            <v>15</v>
          </cell>
          <cell r="F1710">
            <v>0.3</v>
          </cell>
          <cell r="G1710">
            <v>0.14808412770373933</v>
          </cell>
        </row>
        <row r="1711">
          <cell r="A1711" t="str">
            <v>112,18</v>
          </cell>
          <cell r="B1711" t="str">
            <v>WS 12 kn</v>
          </cell>
          <cell r="C1711" t="str">
            <v>Muka b1</v>
          </cell>
          <cell r="D1711">
            <v>5</v>
          </cell>
          <cell r="E1711">
            <v>15</v>
          </cell>
          <cell r="F1711">
            <v>0.3</v>
          </cell>
          <cell r="G1711">
            <v>0.14808412770373933</v>
          </cell>
        </row>
        <row r="1712">
          <cell r="A1712" t="str">
            <v>112,19</v>
          </cell>
          <cell r="B1712" t="str">
            <v>WS 12 kn</v>
          </cell>
          <cell r="C1712" t="str">
            <v>Muka c4</v>
          </cell>
          <cell r="D1712">
            <v>10</v>
          </cell>
          <cell r="E1712">
            <v>18</v>
          </cell>
          <cell r="F1712">
            <v>0.3</v>
          </cell>
          <cell r="G1712">
            <v>0.16351330600668237</v>
          </cell>
        </row>
        <row r="1713">
          <cell r="A1713" t="str">
            <v>112,20</v>
          </cell>
          <cell r="B1713" t="str">
            <v>WS 12 kn</v>
          </cell>
          <cell r="C1713" t="str">
            <v>Tersier T5-K1</v>
          </cell>
          <cell r="D1713">
            <v>37</v>
          </cell>
          <cell r="E1713">
            <v>66.600000000000009</v>
          </cell>
          <cell r="F1713">
            <v>0.35</v>
          </cell>
          <cell r="G1713">
            <v>0.30535674927654982</v>
          </cell>
        </row>
        <row r="1714">
          <cell r="A1714" t="str">
            <v>112,21</v>
          </cell>
          <cell r="B1714" t="str">
            <v>WS 12 kn</v>
          </cell>
          <cell r="C1714" t="str">
            <v>Tersier T4-T5</v>
          </cell>
          <cell r="D1714">
            <v>58</v>
          </cell>
          <cell r="E1714">
            <v>104.4</v>
          </cell>
          <cell r="F1714">
            <v>0.4</v>
          </cell>
          <cell r="G1714">
            <v>0.36588317394221131</v>
          </cell>
        </row>
        <row r="1715">
          <cell r="A1715" t="str">
            <v>112,22</v>
          </cell>
          <cell r="B1715" t="str">
            <v>WS 12 kn</v>
          </cell>
          <cell r="C1715" t="str">
            <v>Tersier T3-T4</v>
          </cell>
          <cell r="D1715">
            <v>72</v>
          </cell>
          <cell r="E1715">
            <v>129.6</v>
          </cell>
          <cell r="F1715">
            <v>0.45</v>
          </cell>
          <cell r="G1715">
            <v>0.39172026944102462</v>
          </cell>
        </row>
        <row r="1716">
          <cell r="A1716" t="str">
            <v>112,23</v>
          </cell>
          <cell r="B1716" t="str">
            <v>WS 12 kn</v>
          </cell>
          <cell r="C1716" t="str">
            <v>Tersier T2-T3</v>
          </cell>
          <cell r="D1716">
            <v>78</v>
          </cell>
          <cell r="E1716">
            <v>140.4</v>
          </cell>
          <cell r="F1716">
            <v>0.45</v>
          </cell>
          <cell r="G1716">
            <v>0.4079316229307654</v>
          </cell>
        </row>
        <row r="1717">
          <cell r="A1717" t="str">
            <v>112,24</v>
          </cell>
          <cell r="B1717" t="str">
            <v>WS 12 kn</v>
          </cell>
          <cell r="C1717" t="str">
            <v>Tersier T1-T2</v>
          </cell>
          <cell r="D1717">
            <v>93</v>
          </cell>
          <cell r="E1717">
            <v>167.4</v>
          </cell>
          <cell r="F1717">
            <v>0.45</v>
          </cell>
          <cell r="G1717">
            <v>0.44558881128670941</v>
          </cell>
        </row>
        <row r="1718">
          <cell r="A1718" t="str">
            <v>112,25</v>
          </cell>
          <cell r="B1718" t="str">
            <v>WS 12 kn</v>
          </cell>
          <cell r="C1718" t="str">
            <v>Muka WS 12kn</v>
          </cell>
          <cell r="D1718">
            <v>111</v>
          </cell>
          <cell r="E1718">
            <v>199.8</v>
          </cell>
          <cell r="F1718">
            <v>0.5</v>
          </cell>
          <cell r="G1718">
            <v>0.46996973716348572</v>
          </cell>
        </row>
        <row r="1720">
          <cell r="A1720">
            <v>113</v>
          </cell>
          <cell r="B1720" t="str">
            <v>WS 12 kr</v>
          </cell>
          <cell r="D1720">
            <v>0</v>
          </cell>
        </row>
        <row r="1721">
          <cell r="A1721" t="str">
            <v>113,1</v>
          </cell>
          <cell r="B1721" t="str">
            <v>WS 12 kr</v>
          </cell>
          <cell r="C1721" t="str">
            <v>Kwarter a1</v>
          </cell>
          <cell r="D1721">
            <v>6</v>
          </cell>
          <cell r="E1721">
            <v>15</v>
          </cell>
          <cell r="F1721">
            <v>0.3</v>
          </cell>
          <cell r="G1721">
            <v>0.21450186870683924</v>
          </cell>
        </row>
        <row r="1722">
          <cell r="A1722" t="str">
            <v>113,2</v>
          </cell>
          <cell r="B1722" t="str">
            <v>WS 12 kr</v>
          </cell>
          <cell r="C1722" t="str">
            <v>Kwarter a2</v>
          </cell>
          <cell r="D1722">
            <v>7</v>
          </cell>
          <cell r="E1722">
            <v>15</v>
          </cell>
          <cell r="F1722">
            <v>0.3</v>
          </cell>
          <cell r="G1722">
            <v>0.21450186870683924</v>
          </cell>
        </row>
        <row r="1723">
          <cell r="A1723" t="str">
            <v>113,3</v>
          </cell>
          <cell r="B1723" t="str">
            <v>WS 12 kr</v>
          </cell>
          <cell r="C1723" t="str">
            <v>Kwarter a3</v>
          </cell>
          <cell r="D1723">
            <v>14</v>
          </cell>
          <cell r="E1723">
            <v>25.2</v>
          </cell>
          <cell r="F1723">
            <v>0.3</v>
          </cell>
          <cell r="G1723">
            <v>0.27984551330394364</v>
          </cell>
        </row>
        <row r="1724">
          <cell r="A1724" t="str">
            <v>113,4</v>
          </cell>
          <cell r="B1724" t="str">
            <v>WS 12 kr</v>
          </cell>
          <cell r="C1724" t="str">
            <v>Kwarter a4</v>
          </cell>
          <cell r="D1724">
            <v>13</v>
          </cell>
          <cell r="E1724">
            <v>23.400000000000002</v>
          </cell>
          <cell r="F1724">
            <v>0.3</v>
          </cell>
          <cell r="G1724">
            <v>0.26957675461177327</v>
          </cell>
        </row>
        <row r="1725">
          <cell r="A1725" t="str">
            <v>113,5</v>
          </cell>
          <cell r="B1725" t="str">
            <v>WS 12 kr</v>
          </cell>
          <cell r="C1725" t="str">
            <v>Kwarter b1</v>
          </cell>
          <cell r="D1725">
            <v>7</v>
          </cell>
          <cell r="E1725">
            <v>15</v>
          </cell>
          <cell r="F1725">
            <v>0.3</v>
          </cell>
          <cell r="G1725">
            <v>0.21450186870683924</v>
          </cell>
        </row>
        <row r="1726">
          <cell r="A1726" t="str">
            <v>113,6</v>
          </cell>
          <cell r="B1726" t="str">
            <v>WS 12 kr</v>
          </cell>
          <cell r="C1726" t="str">
            <v>Kwarter b2</v>
          </cell>
          <cell r="D1726">
            <v>12</v>
          </cell>
          <cell r="E1726">
            <v>21.6</v>
          </cell>
          <cell r="F1726">
            <v>0.3</v>
          </cell>
          <cell r="G1726">
            <v>0.25885060257641224</v>
          </cell>
        </row>
        <row r="1727">
          <cell r="A1727" t="str">
            <v>113,7</v>
          </cell>
          <cell r="B1727" t="str">
            <v>WS 12 kr</v>
          </cell>
          <cell r="C1727" t="str">
            <v>Kwarter b3</v>
          </cell>
          <cell r="D1727">
            <v>15</v>
          </cell>
          <cell r="E1727">
            <v>27</v>
          </cell>
          <cell r="F1727">
            <v>0.3</v>
          </cell>
          <cell r="G1727">
            <v>0.28970512341744525</v>
          </cell>
        </row>
        <row r="1728">
          <cell r="A1728" t="str">
            <v>113,8</v>
          </cell>
          <cell r="B1728" t="str">
            <v>WS 12 kr</v>
          </cell>
          <cell r="C1728" t="str">
            <v>Kwarter b4</v>
          </cell>
          <cell r="D1728">
            <v>12</v>
          </cell>
          <cell r="E1728">
            <v>21.6</v>
          </cell>
          <cell r="F1728">
            <v>0.3</v>
          </cell>
          <cell r="G1728">
            <v>0.25885060257641224</v>
          </cell>
        </row>
        <row r="1729">
          <cell r="A1729" t="str">
            <v>113,9</v>
          </cell>
          <cell r="B1729" t="str">
            <v>WS 12 kr</v>
          </cell>
          <cell r="C1729" t="str">
            <v>Kwarter c1</v>
          </cell>
          <cell r="D1729">
            <v>6</v>
          </cell>
          <cell r="E1729">
            <v>15</v>
          </cell>
          <cell r="F1729">
            <v>0.3</v>
          </cell>
          <cell r="G1729">
            <v>0.21450186870683924</v>
          </cell>
        </row>
        <row r="1730">
          <cell r="A1730" t="str">
            <v>113,10</v>
          </cell>
          <cell r="B1730" t="str">
            <v>WS 12 kr</v>
          </cell>
          <cell r="C1730" t="str">
            <v>Kwarter c2</v>
          </cell>
          <cell r="D1730">
            <v>11</v>
          </cell>
          <cell r="E1730">
            <v>19.8</v>
          </cell>
          <cell r="F1730">
            <v>0.3</v>
          </cell>
          <cell r="G1730">
            <v>0.24760852933338706</v>
          </cell>
        </row>
        <row r="1731">
          <cell r="A1731" t="str">
            <v>113,11</v>
          </cell>
          <cell r="B1731" t="str">
            <v>WS 12 kr</v>
          </cell>
          <cell r="C1731" t="str">
            <v>Kwarter c3</v>
          </cell>
          <cell r="D1731">
            <v>10</v>
          </cell>
          <cell r="E1731">
            <v>18</v>
          </cell>
          <cell r="F1731">
            <v>0.3</v>
          </cell>
          <cell r="G1731">
            <v>0.23577879795157511</v>
          </cell>
        </row>
        <row r="1732">
          <cell r="A1732" t="str">
            <v>113,12</v>
          </cell>
          <cell r="B1732" t="str">
            <v>WS 12 kr</v>
          </cell>
          <cell r="C1732" t="str">
            <v>Kwarter c4</v>
          </cell>
          <cell r="D1732">
            <v>8</v>
          </cell>
          <cell r="E1732">
            <v>15</v>
          </cell>
          <cell r="F1732">
            <v>0.3</v>
          </cell>
          <cell r="G1732">
            <v>0.21450186870683924</v>
          </cell>
        </row>
        <row r="1733">
          <cell r="A1733" t="str">
            <v>113,13</v>
          </cell>
          <cell r="B1733" t="str">
            <v>WS 12 kr</v>
          </cell>
          <cell r="C1733" t="str">
            <v>Kwarter d1</v>
          </cell>
          <cell r="D1733">
            <v>9</v>
          </cell>
          <cell r="E1733">
            <v>16.2</v>
          </cell>
          <cell r="F1733">
            <v>0.3</v>
          </cell>
          <cell r="G1733">
            <v>0.22327164076703876</v>
          </cell>
        </row>
        <row r="1734">
          <cell r="A1734" t="str">
            <v>113,14</v>
          </cell>
          <cell r="B1734" t="str">
            <v>WS 12 kr</v>
          </cell>
          <cell r="C1734" t="str">
            <v>Kwarter d2</v>
          </cell>
          <cell r="D1734">
            <v>9</v>
          </cell>
          <cell r="E1734">
            <v>16.2</v>
          </cell>
          <cell r="F1734">
            <v>0.3</v>
          </cell>
          <cell r="G1734">
            <v>0.22327164076703876</v>
          </cell>
        </row>
        <row r="1735">
          <cell r="A1735" t="str">
            <v>113,15</v>
          </cell>
          <cell r="B1735" t="str">
            <v>WS 12 kr</v>
          </cell>
          <cell r="C1735" t="str">
            <v>Kwarter d3</v>
          </cell>
          <cell r="D1735">
            <v>10</v>
          </cell>
          <cell r="E1735">
            <v>18</v>
          </cell>
          <cell r="F1735">
            <v>0.3</v>
          </cell>
          <cell r="G1735">
            <v>0.23577879795157511</v>
          </cell>
        </row>
        <row r="1736">
          <cell r="A1736" t="str">
            <v>113,16</v>
          </cell>
          <cell r="B1736" t="str">
            <v>WS 12 kr</v>
          </cell>
          <cell r="C1736" t="str">
            <v>Kwarter d4</v>
          </cell>
          <cell r="D1736">
            <v>7</v>
          </cell>
          <cell r="E1736">
            <v>15</v>
          </cell>
          <cell r="F1736">
            <v>0.3</v>
          </cell>
          <cell r="G1736">
            <v>0.21450186870683924</v>
          </cell>
        </row>
        <row r="1737">
          <cell r="A1737" t="str">
            <v>113,17</v>
          </cell>
          <cell r="B1737" t="str">
            <v>WS 12 kr</v>
          </cell>
          <cell r="C1737" t="str">
            <v>Muka b3</v>
          </cell>
          <cell r="D1737">
            <v>15</v>
          </cell>
          <cell r="E1737">
            <v>27</v>
          </cell>
          <cell r="F1737">
            <v>0.3</v>
          </cell>
          <cell r="G1737">
            <v>0.2029802970310392</v>
          </cell>
        </row>
        <row r="1738">
          <cell r="A1738" t="str">
            <v>113,18</v>
          </cell>
          <cell r="B1738" t="str">
            <v>WS 12 kr</v>
          </cell>
          <cell r="C1738" t="str">
            <v>Muka d4</v>
          </cell>
          <cell r="D1738">
            <v>7</v>
          </cell>
          <cell r="E1738">
            <v>15</v>
          </cell>
          <cell r="F1738">
            <v>0.3</v>
          </cell>
          <cell r="G1738">
            <v>0.14808412770373933</v>
          </cell>
        </row>
        <row r="1739">
          <cell r="A1739" t="str">
            <v>113,19</v>
          </cell>
          <cell r="B1739" t="str">
            <v>WS 12 kr</v>
          </cell>
          <cell r="C1739" t="str">
            <v>Tersier T9-K2</v>
          </cell>
          <cell r="D1739">
            <v>17</v>
          </cell>
          <cell r="E1739">
            <v>30.6</v>
          </cell>
          <cell r="F1739">
            <v>0.3</v>
          </cell>
          <cell r="G1739">
            <v>0.21672942090731576</v>
          </cell>
        </row>
        <row r="1740">
          <cell r="A1740" t="str">
            <v>113,20</v>
          </cell>
          <cell r="B1740" t="str">
            <v>WS 12 kr</v>
          </cell>
          <cell r="C1740" t="str">
            <v>Tersier T8-T9</v>
          </cell>
          <cell r="D1740">
            <v>26</v>
          </cell>
          <cell r="E1740">
            <v>46.800000000000004</v>
          </cell>
          <cell r="F1740">
            <v>0.3</v>
          </cell>
          <cell r="G1740">
            <v>0.26957675461177327</v>
          </cell>
        </row>
        <row r="1741">
          <cell r="A1741" t="str">
            <v>113,21</v>
          </cell>
          <cell r="B1741" t="str">
            <v>WS 12 kr</v>
          </cell>
          <cell r="C1741" t="str">
            <v>Tersier T7-T8</v>
          </cell>
          <cell r="D1741">
            <v>43</v>
          </cell>
          <cell r="E1741">
            <v>77.400000000000006</v>
          </cell>
          <cell r="F1741">
            <v>0.35</v>
          </cell>
          <cell r="G1741">
            <v>0.32944255513320869</v>
          </cell>
        </row>
        <row r="1742">
          <cell r="A1742" t="str">
            <v>113,22</v>
          </cell>
          <cell r="B1742" t="str">
            <v>WS 12 kr</v>
          </cell>
          <cell r="C1742" t="str">
            <v>Tersier T6-T7</v>
          </cell>
          <cell r="D1742">
            <v>64</v>
          </cell>
          <cell r="E1742">
            <v>115.2</v>
          </cell>
          <cell r="F1742">
            <v>0.4</v>
          </cell>
          <cell r="G1742">
            <v>0.38444654974424869</v>
          </cell>
        </row>
        <row r="1743">
          <cell r="A1743" t="str">
            <v>113,23</v>
          </cell>
          <cell r="B1743" t="str">
            <v>WS 12 kr</v>
          </cell>
          <cell r="C1743" t="str">
            <v>Tersier T4-T6</v>
          </cell>
          <cell r="D1743">
            <v>82</v>
          </cell>
          <cell r="E1743">
            <v>147.6</v>
          </cell>
          <cell r="F1743">
            <v>0.45</v>
          </cell>
          <cell r="G1743">
            <v>0.41834989071947382</v>
          </cell>
        </row>
        <row r="1744">
          <cell r="A1744" t="str">
            <v>113,24</v>
          </cell>
          <cell r="B1744" t="str">
            <v>WS 12 kr</v>
          </cell>
          <cell r="C1744" t="str">
            <v>Tersier T5-K1</v>
          </cell>
          <cell r="D1744">
            <v>27</v>
          </cell>
          <cell r="E1744">
            <v>48.6</v>
          </cell>
          <cell r="F1744">
            <v>0.3</v>
          </cell>
          <cell r="G1744">
            <v>0.27476507048510146</v>
          </cell>
        </row>
        <row r="1745">
          <cell r="A1745" t="str">
            <v>113,25</v>
          </cell>
          <cell r="B1745" t="str">
            <v>WS 12 kr</v>
          </cell>
          <cell r="C1745" t="str">
            <v>Tersier T4-T5</v>
          </cell>
          <cell r="D1745">
            <v>34</v>
          </cell>
          <cell r="E1745">
            <v>61.2</v>
          </cell>
          <cell r="F1745">
            <v>0.35</v>
          </cell>
          <cell r="G1745">
            <v>0.29248170009744751</v>
          </cell>
        </row>
        <row r="1746">
          <cell r="A1746" t="str">
            <v>113,26</v>
          </cell>
          <cell r="B1746" t="str">
            <v>WS 12 kr</v>
          </cell>
          <cell r="C1746" t="str">
            <v>Tersier T3-T4</v>
          </cell>
          <cell r="D1746">
            <v>129</v>
          </cell>
          <cell r="E1746">
            <v>232.20000000000002</v>
          </cell>
          <cell r="F1746">
            <v>0.55000000000000004</v>
          </cell>
          <cell r="G1746">
            <v>0.49057440447782685</v>
          </cell>
        </row>
        <row r="1747">
          <cell r="A1747" t="str">
            <v>113,27</v>
          </cell>
          <cell r="B1747" t="str">
            <v>WS 12 kr</v>
          </cell>
          <cell r="C1747" t="str">
            <v>Tersier T2-T3</v>
          </cell>
          <cell r="D1747">
            <v>143</v>
          </cell>
          <cell r="E1747">
            <v>257.40000000000003</v>
          </cell>
          <cell r="F1747">
            <v>0.55000000000000004</v>
          </cell>
          <cell r="G1747">
            <v>0.51674693494798418</v>
          </cell>
        </row>
        <row r="1748">
          <cell r="A1748" t="str">
            <v>113,28</v>
          </cell>
          <cell r="B1748" t="str">
            <v>WS 12 kr</v>
          </cell>
          <cell r="C1748" t="str">
            <v>Tersier T1-T2</v>
          </cell>
          <cell r="D1748">
            <v>150</v>
          </cell>
          <cell r="E1748">
            <v>270</v>
          </cell>
          <cell r="F1748">
            <v>0.55000000000000004</v>
          </cell>
          <cell r="G1748">
            <v>0.52928762472031865</v>
          </cell>
        </row>
        <row r="1749">
          <cell r="A1749" t="str">
            <v>113,29</v>
          </cell>
          <cell r="B1749" t="str">
            <v>WS 12 kr</v>
          </cell>
          <cell r="C1749" t="str">
            <v>Tersier BWS12-T1</v>
          </cell>
          <cell r="D1749">
            <v>156</v>
          </cell>
          <cell r="E1749">
            <v>280.8</v>
          </cell>
          <cell r="F1749">
            <v>0.55000000000000004</v>
          </cell>
          <cell r="G1749">
            <v>0.5397734748478743</v>
          </cell>
        </row>
        <row r="1751">
          <cell r="A1751">
            <v>114</v>
          </cell>
          <cell r="B1751" t="str">
            <v>WS I.1 kn</v>
          </cell>
          <cell r="D1751">
            <v>0</v>
          </cell>
        </row>
        <row r="1752">
          <cell r="A1752" t="str">
            <v>114,1</v>
          </cell>
          <cell r="B1752" t="str">
            <v>WS I.1 kn</v>
          </cell>
          <cell r="C1752" t="str">
            <v>Kwarter a1</v>
          </cell>
          <cell r="D1752">
            <v>9</v>
          </cell>
          <cell r="E1752">
            <v>16.2</v>
          </cell>
          <cell r="F1752">
            <v>0.3</v>
          </cell>
          <cell r="G1752">
            <v>0.22327164076703876</v>
          </cell>
        </row>
        <row r="1753">
          <cell r="A1753" t="str">
            <v>114,2</v>
          </cell>
          <cell r="B1753" t="str">
            <v>WS I.1 kn</v>
          </cell>
          <cell r="C1753" t="str">
            <v>Kwarter a2</v>
          </cell>
          <cell r="D1753">
            <v>8</v>
          </cell>
          <cell r="E1753">
            <v>15</v>
          </cell>
          <cell r="F1753">
            <v>0.3</v>
          </cell>
          <cell r="G1753">
            <v>0.21450186870683924</v>
          </cell>
        </row>
        <row r="1754">
          <cell r="A1754" t="str">
            <v>114,3</v>
          </cell>
          <cell r="B1754" t="str">
            <v>WS I.1 kn</v>
          </cell>
          <cell r="C1754" t="str">
            <v>Kwarter a3</v>
          </cell>
          <cell r="D1754">
            <v>9</v>
          </cell>
          <cell r="E1754">
            <v>16.2</v>
          </cell>
          <cell r="F1754">
            <v>0.3</v>
          </cell>
          <cell r="G1754">
            <v>0.22327164076703876</v>
          </cell>
        </row>
        <row r="1755">
          <cell r="A1755" t="str">
            <v>114,4</v>
          </cell>
          <cell r="B1755" t="str">
            <v>WS I.1 kn</v>
          </cell>
          <cell r="C1755" t="str">
            <v>Kwarter a4</v>
          </cell>
          <cell r="D1755">
            <v>8</v>
          </cell>
          <cell r="E1755">
            <v>15</v>
          </cell>
          <cell r="F1755">
            <v>0.3</v>
          </cell>
          <cell r="G1755">
            <v>0.21450186870683924</v>
          </cell>
        </row>
        <row r="1756">
          <cell r="A1756" t="str">
            <v>114,5</v>
          </cell>
          <cell r="B1756" t="str">
            <v>WS I.1 kn</v>
          </cell>
          <cell r="C1756" t="str">
            <v>Kwarter b1</v>
          </cell>
          <cell r="D1756">
            <v>8</v>
          </cell>
          <cell r="E1756">
            <v>15</v>
          </cell>
          <cell r="F1756">
            <v>0.3</v>
          </cell>
          <cell r="G1756">
            <v>0.21450186870683924</v>
          </cell>
        </row>
        <row r="1757">
          <cell r="A1757" t="str">
            <v>114,6</v>
          </cell>
          <cell r="B1757" t="str">
            <v>WS I.1 kn</v>
          </cell>
          <cell r="C1757" t="str">
            <v>Kwarter b2</v>
          </cell>
          <cell r="D1757">
            <v>9</v>
          </cell>
          <cell r="E1757">
            <v>16.2</v>
          </cell>
          <cell r="F1757">
            <v>0.3</v>
          </cell>
          <cell r="G1757">
            <v>0.22327164076703876</v>
          </cell>
        </row>
        <row r="1758">
          <cell r="A1758" t="str">
            <v>114,7</v>
          </cell>
          <cell r="B1758" t="str">
            <v>WS I.1 kn</v>
          </cell>
          <cell r="C1758" t="str">
            <v>Kwarter b3</v>
          </cell>
          <cell r="D1758">
            <v>6</v>
          </cell>
          <cell r="E1758">
            <v>15</v>
          </cell>
          <cell r="F1758">
            <v>0.3</v>
          </cell>
          <cell r="G1758">
            <v>0.21450186870683924</v>
          </cell>
        </row>
        <row r="1759">
          <cell r="A1759" t="str">
            <v>114,8</v>
          </cell>
          <cell r="B1759" t="str">
            <v>WS I.1 kn</v>
          </cell>
          <cell r="C1759" t="str">
            <v>Kwarter b4</v>
          </cell>
          <cell r="D1759">
            <v>15</v>
          </cell>
          <cell r="E1759">
            <v>27</v>
          </cell>
          <cell r="F1759">
            <v>0.3</v>
          </cell>
          <cell r="G1759">
            <v>0.28970512341744525</v>
          </cell>
        </row>
        <row r="1760">
          <cell r="A1760" t="str">
            <v>114,9</v>
          </cell>
          <cell r="B1760" t="str">
            <v>WS I.1 kn</v>
          </cell>
          <cell r="C1760" t="str">
            <v>Kwarter c1</v>
          </cell>
          <cell r="D1760">
            <v>5</v>
          </cell>
          <cell r="E1760">
            <v>15</v>
          </cell>
          <cell r="F1760">
            <v>0.3</v>
          </cell>
          <cell r="G1760">
            <v>0.21450186870683924</v>
          </cell>
        </row>
        <row r="1761">
          <cell r="A1761" t="str">
            <v>114,10</v>
          </cell>
          <cell r="B1761" t="str">
            <v>WS I.1 kn</v>
          </cell>
          <cell r="C1761" t="str">
            <v>Kwarter c2</v>
          </cell>
          <cell r="D1761">
            <v>3</v>
          </cell>
          <cell r="E1761">
            <v>15</v>
          </cell>
          <cell r="F1761">
            <v>0.3</v>
          </cell>
          <cell r="G1761">
            <v>0.21450186870683924</v>
          </cell>
        </row>
        <row r="1762">
          <cell r="A1762" t="str">
            <v>114,11</v>
          </cell>
          <cell r="B1762" t="str">
            <v>WS I.1 kn</v>
          </cell>
          <cell r="C1762" t="str">
            <v>Kwarter c3</v>
          </cell>
          <cell r="D1762">
            <v>12</v>
          </cell>
          <cell r="E1762">
            <v>21.6</v>
          </cell>
          <cell r="F1762">
            <v>0.3</v>
          </cell>
          <cell r="G1762">
            <v>0.25885060257641224</v>
          </cell>
        </row>
        <row r="1763">
          <cell r="A1763" t="str">
            <v>114,12</v>
          </cell>
          <cell r="B1763" t="str">
            <v>WS I.1 kn</v>
          </cell>
          <cell r="C1763" t="str">
            <v>Kwarter c4</v>
          </cell>
          <cell r="D1763">
            <v>9</v>
          </cell>
          <cell r="E1763">
            <v>16.2</v>
          </cell>
          <cell r="F1763">
            <v>0.3</v>
          </cell>
          <cell r="G1763">
            <v>0.22327164076703876</v>
          </cell>
        </row>
        <row r="1764">
          <cell r="A1764" t="str">
            <v>114,13</v>
          </cell>
          <cell r="B1764" t="str">
            <v>WS I.1 kn</v>
          </cell>
          <cell r="C1764" t="str">
            <v>Muka a4</v>
          </cell>
          <cell r="D1764">
            <v>8</v>
          </cell>
          <cell r="E1764">
            <v>15</v>
          </cell>
          <cell r="F1764">
            <v>0.3</v>
          </cell>
          <cell r="G1764">
            <v>0.14808412770373933</v>
          </cell>
        </row>
        <row r="1765">
          <cell r="A1765" t="str">
            <v>114,14</v>
          </cell>
          <cell r="B1765" t="str">
            <v>WS I.1 kn</v>
          </cell>
          <cell r="C1765" t="str">
            <v>Muka b4</v>
          </cell>
          <cell r="D1765">
            <v>15</v>
          </cell>
          <cell r="E1765">
            <v>27</v>
          </cell>
          <cell r="F1765">
            <v>0.3</v>
          </cell>
          <cell r="G1765">
            <v>0.2029802970310392</v>
          </cell>
        </row>
        <row r="1766">
          <cell r="A1766" t="str">
            <v>114,15</v>
          </cell>
          <cell r="B1766" t="str">
            <v>WS I.1 kn</v>
          </cell>
          <cell r="C1766" t="str">
            <v>Muka c3</v>
          </cell>
          <cell r="D1766">
            <v>12</v>
          </cell>
          <cell r="E1766">
            <v>21.6</v>
          </cell>
          <cell r="F1766">
            <v>0.3</v>
          </cell>
          <cell r="G1766">
            <v>0.18034054347579084</v>
          </cell>
        </row>
        <row r="1767">
          <cell r="A1767" t="str">
            <v>114,16</v>
          </cell>
          <cell r="B1767" t="str">
            <v>WS I.1 kn</v>
          </cell>
          <cell r="C1767" t="str">
            <v>Tersier T4-K2</v>
          </cell>
          <cell r="D1767">
            <v>21</v>
          </cell>
          <cell r="E1767">
            <v>37.800000000000004</v>
          </cell>
          <cell r="F1767">
            <v>0.3</v>
          </cell>
          <cell r="G1767">
            <v>0.24177224349209758</v>
          </cell>
        </row>
        <row r="1768">
          <cell r="A1768" t="str">
            <v>114,17</v>
          </cell>
          <cell r="B1768" t="str">
            <v>WS I.1 kn</v>
          </cell>
          <cell r="C1768" t="str">
            <v>Tersier T3-T4</v>
          </cell>
          <cell r="D1768">
            <v>24</v>
          </cell>
          <cell r="E1768">
            <v>43.2</v>
          </cell>
          <cell r="F1768">
            <v>0.3</v>
          </cell>
          <cell r="G1768">
            <v>0.25885060257641224</v>
          </cell>
        </row>
        <row r="1769">
          <cell r="A1769" t="str">
            <v>114,18</v>
          </cell>
          <cell r="B1769" t="str">
            <v>WS I.1 kn</v>
          </cell>
          <cell r="C1769" t="str">
            <v>Tersier T2-T3</v>
          </cell>
          <cell r="D1769">
            <v>29</v>
          </cell>
          <cell r="E1769">
            <v>52.2</v>
          </cell>
          <cell r="F1769">
            <v>0.3</v>
          </cell>
          <cell r="G1769">
            <v>0.28482375147425121</v>
          </cell>
        </row>
        <row r="1770">
          <cell r="A1770" t="str">
            <v>114,19</v>
          </cell>
          <cell r="B1770" t="str">
            <v>WS I.1 kn</v>
          </cell>
          <cell r="C1770" t="str">
            <v>Tersier T2-K1</v>
          </cell>
          <cell r="D1770">
            <v>30</v>
          </cell>
          <cell r="E1770">
            <v>54</v>
          </cell>
          <cell r="F1770">
            <v>0.3</v>
          </cell>
          <cell r="G1770">
            <v>0.28970512341744525</v>
          </cell>
        </row>
        <row r="1771">
          <cell r="A1771" t="str">
            <v>114,20</v>
          </cell>
          <cell r="B1771" t="str">
            <v>WS I.1 kn</v>
          </cell>
          <cell r="C1771" t="str">
            <v>Tersier T1-T2</v>
          </cell>
          <cell r="D1771">
            <v>67</v>
          </cell>
          <cell r="E1771">
            <v>120.60000000000001</v>
          </cell>
          <cell r="F1771">
            <v>0.4</v>
          </cell>
          <cell r="G1771">
            <v>0.39335665569070533</v>
          </cell>
        </row>
        <row r="1772">
          <cell r="A1772" t="str">
            <v>114,21</v>
          </cell>
          <cell r="B1772" t="str">
            <v>WS I.1 kn</v>
          </cell>
          <cell r="C1772" t="str">
            <v>Tersier T1-K3</v>
          </cell>
          <cell r="D1772">
            <v>17</v>
          </cell>
          <cell r="E1772">
            <v>30.6</v>
          </cell>
          <cell r="F1772">
            <v>0.3</v>
          </cell>
          <cell r="G1772">
            <v>0.21672942090731576</v>
          </cell>
        </row>
        <row r="1773">
          <cell r="A1773" t="str">
            <v>114,22</v>
          </cell>
          <cell r="B1773" t="str">
            <v>WS I.1 kn</v>
          </cell>
          <cell r="C1773" t="str">
            <v>Muka WS I.1kn</v>
          </cell>
          <cell r="D1773">
            <v>101</v>
          </cell>
          <cell r="E1773">
            <v>181.8</v>
          </cell>
          <cell r="F1773">
            <v>0.5</v>
          </cell>
          <cell r="G1773">
            <v>0.44811926397990848</v>
          </cell>
        </row>
        <row r="1775">
          <cell r="A1775">
            <v>115</v>
          </cell>
          <cell r="B1775" t="str">
            <v>WS I.1 kr</v>
          </cell>
          <cell r="D1775">
            <v>0</v>
          </cell>
        </row>
        <row r="1776">
          <cell r="A1776" t="str">
            <v>115,1</v>
          </cell>
          <cell r="B1776" t="str">
            <v>WS I.1 kr</v>
          </cell>
          <cell r="C1776" t="str">
            <v>Kwarter a1</v>
          </cell>
          <cell r="D1776">
            <v>13</v>
          </cell>
          <cell r="E1776">
            <v>23.400000000000002</v>
          </cell>
          <cell r="F1776">
            <v>0.3</v>
          </cell>
          <cell r="G1776">
            <v>0.26957675461177327</v>
          </cell>
        </row>
        <row r="1777">
          <cell r="A1777" t="str">
            <v>115,2</v>
          </cell>
          <cell r="B1777" t="str">
            <v>WS I.1 kr</v>
          </cell>
          <cell r="C1777" t="str">
            <v>Kwarter a2</v>
          </cell>
          <cell r="D1777">
            <v>11</v>
          </cell>
          <cell r="E1777">
            <v>19.8</v>
          </cell>
          <cell r="F1777">
            <v>0.3</v>
          </cell>
          <cell r="G1777">
            <v>0.24760852933338706</v>
          </cell>
        </row>
        <row r="1778">
          <cell r="A1778" t="str">
            <v>115,3</v>
          </cell>
          <cell r="B1778" t="str">
            <v>WS I.1 kr</v>
          </cell>
          <cell r="C1778" t="str">
            <v>Kwarter a3</v>
          </cell>
          <cell r="D1778">
            <v>9</v>
          </cell>
          <cell r="E1778">
            <v>16.2</v>
          </cell>
          <cell r="F1778">
            <v>0.3</v>
          </cell>
          <cell r="G1778">
            <v>0.22327164076703876</v>
          </cell>
        </row>
        <row r="1779">
          <cell r="A1779" t="str">
            <v>115,4</v>
          </cell>
          <cell r="B1779" t="str">
            <v>WS I.1 kr</v>
          </cell>
          <cell r="C1779" t="str">
            <v>Kwarter a4</v>
          </cell>
          <cell r="D1779">
            <v>11</v>
          </cell>
          <cell r="E1779">
            <v>19.8</v>
          </cell>
          <cell r="F1779">
            <v>0.3</v>
          </cell>
          <cell r="G1779">
            <v>0.24760852933338706</v>
          </cell>
        </row>
        <row r="1780">
          <cell r="A1780" t="str">
            <v>115,5</v>
          </cell>
          <cell r="B1780" t="str">
            <v>WS I.1 kr</v>
          </cell>
          <cell r="C1780" t="str">
            <v>Kwarter b1</v>
          </cell>
          <cell r="D1780">
            <v>8</v>
          </cell>
          <cell r="E1780">
            <v>15</v>
          </cell>
          <cell r="F1780">
            <v>0.3</v>
          </cell>
          <cell r="G1780">
            <v>0.21450186870683924</v>
          </cell>
        </row>
        <row r="1781">
          <cell r="A1781" t="str">
            <v>115,6</v>
          </cell>
          <cell r="B1781" t="str">
            <v>WS I.1 kr</v>
          </cell>
          <cell r="C1781" t="str">
            <v>Kwarter b2</v>
          </cell>
          <cell r="D1781">
            <v>11</v>
          </cell>
          <cell r="E1781">
            <v>19.8</v>
          </cell>
          <cell r="F1781">
            <v>0.3</v>
          </cell>
          <cell r="G1781">
            <v>0.24760852933338706</v>
          </cell>
        </row>
        <row r="1782">
          <cell r="A1782" t="str">
            <v>115,7</v>
          </cell>
          <cell r="B1782" t="str">
            <v>WS I.1 kr</v>
          </cell>
          <cell r="C1782" t="str">
            <v>Kwarter b3</v>
          </cell>
          <cell r="D1782">
            <v>14</v>
          </cell>
          <cell r="E1782">
            <v>25.2</v>
          </cell>
          <cell r="F1782">
            <v>0.3</v>
          </cell>
          <cell r="G1782">
            <v>0.27984551330394364</v>
          </cell>
        </row>
        <row r="1783">
          <cell r="A1783" t="str">
            <v>115,8</v>
          </cell>
          <cell r="B1783" t="str">
            <v>WS I.1 kr</v>
          </cell>
          <cell r="C1783" t="str">
            <v>Kwarter c1</v>
          </cell>
          <cell r="D1783">
            <v>8</v>
          </cell>
          <cell r="E1783">
            <v>15</v>
          </cell>
          <cell r="F1783">
            <v>0.3</v>
          </cell>
          <cell r="G1783">
            <v>0.21450186870683924</v>
          </cell>
        </row>
        <row r="1784">
          <cell r="A1784" t="str">
            <v>115,9</v>
          </cell>
          <cell r="B1784" t="str">
            <v>WS I.1 kr</v>
          </cell>
          <cell r="C1784" t="str">
            <v>Kwarter c2</v>
          </cell>
          <cell r="D1784">
            <v>8</v>
          </cell>
          <cell r="E1784">
            <v>15</v>
          </cell>
          <cell r="F1784">
            <v>0.3</v>
          </cell>
          <cell r="G1784">
            <v>0.21450186870683924</v>
          </cell>
        </row>
        <row r="1785">
          <cell r="A1785" t="str">
            <v>115,10</v>
          </cell>
          <cell r="B1785" t="str">
            <v>WS I.1 kr</v>
          </cell>
          <cell r="C1785" t="str">
            <v>Kwarter c3</v>
          </cell>
          <cell r="D1785">
            <v>13</v>
          </cell>
          <cell r="E1785">
            <v>23.400000000000002</v>
          </cell>
          <cell r="F1785">
            <v>0.3</v>
          </cell>
          <cell r="G1785">
            <v>0.26957675461177327</v>
          </cell>
        </row>
        <row r="1786">
          <cell r="A1786" t="str">
            <v>115,11</v>
          </cell>
          <cell r="B1786" t="str">
            <v>WS I.1 kr</v>
          </cell>
          <cell r="C1786" t="str">
            <v>Kwarter cab a3</v>
          </cell>
          <cell r="E1786">
            <v>15</v>
          </cell>
          <cell r="F1786">
            <v>0.3</v>
          </cell>
          <cell r="G1786">
            <v>0.21450186870683924</v>
          </cell>
        </row>
        <row r="1787">
          <cell r="A1787" t="str">
            <v>115,12</v>
          </cell>
          <cell r="B1787" t="str">
            <v>WS I.1 kr</v>
          </cell>
          <cell r="C1787" t="str">
            <v>Muka b3</v>
          </cell>
          <cell r="D1787">
            <v>14</v>
          </cell>
          <cell r="E1787">
            <v>25.2</v>
          </cell>
          <cell r="F1787">
            <v>0.3</v>
          </cell>
          <cell r="G1787">
            <v>0.19573011875754986</v>
          </cell>
        </row>
        <row r="1788">
          <cell r="A1788" t="str">
            <v>115,13</v>
          </cell>
          <cell r="B1788" t="str">
            <v>WS I.1 kr</v>
          </cell>
          <cell r="C1788" t="str">
            <v>Muka c3</v>
          </cell>
          <cell r="D1788">
            <v>13</v>
          </cell>
          <cell r="E1788">
            <v>23.400000000000002</v>
          </cell>
          <cell r="F1788">
            <v>0.3</v>
          </cell>
          <cell r="G1788">
            <v>0.18819437534024519</v>
          </cell>
        </row>
        <row r="1789">
          <cell r="A1789" t="str">
            <v>115,14</v>
          </cell>
          <cell r="B1789" t="str">
            <v>WS I.1 kr</v>
          </cell>
          <cell r="C1789" t="str">
            <v>Tersier T1-K2</v>
          </cell>
          <cell r="D1789">
            <v>29</v>
          </cell>
          <cell r="E1789">
            <v>52.2</v>
          </cell>
          <cell r="F1789">
            <v>0.3</v>
          </cell>
          <cell r="G1789">
            <v>0.28482375147425121</v>
          </cell>
        </row>
        <row r="1790">
          <cell r="A1790" t="str">
            <v>115,15</v>
          </cell>
          <cell r="B1790" t="str">
            <v>WS I.1 kr</v>
          </cell>
          <cell r="C1790" t="str">
            <v>Tersier T1-K1</v>
          </cell>
          <cell r="D1790">
            <v>33</v>
          </cell>
          <cell r="E1790">
            <v>59.4</v>
          </cell>
          <cell r="F1790">
            <v>0.35</v>
          </cell>
          <cell r="G1790">
            <v>0.28804905429902994</v>
          </cell>
        </row>
        <row r="1791">
          <cell r="A1791" t="str">
            <v>115,16</v>
          </cell>
          <cell r="B1791" t="str">
            <v>WS I.1 kr</v>
          </cell>
          <cell r="C1791" t="str">
            <v>Tersier BWS I.1-T1</v>
          </cell>
          <cell r="D1791">
            <v>106</v>
          </cell>
          <cell r="E1791">
            <v>190.8</v>
          </cell>
          <cell r="F1791">
            <v>0.5</v>
          </cell>
          <cell r="G1791">
            <v>0.45919078025328541</v>
          </cell>
        </row>
        <row r="1793">
          <cell r="A1793">
            <v>116</v>
          </cell>
          <cell r="B1793" t="str">
            <v>WS II.1 kn</v>
          </cell>
          <cell r="D1793">
            <v>0</v>
          </cell>
        </row>
        <row r="1794">
          <cell r="A1794" t="str">
            <v>116,1</v>
          </cell>
          <cell r="B1794" t="str">
            <v>WS II.1 kn</v>
          </cell>
          <cell r="C1794" t="str">
            <v>Kwarter a1</v>
          </cell>
          <cell r="D1794">
            <v>6</v>
          </cell>
          <cell r="E1794">
            <v>15</v>
          </cell>
          <cell r="F1794">
            <v>0.3</v>
          </cell>
          <cell r="G1794">
            <v>0.21450186870683924</v>
          </cell>
        </row>
        <row r="1795">
          <cell r="A1795" t="str">
            <v>116,2</v>
          </cell>
          <cell r="B1795" t="str">
            <v>WS II.1 kn</v>
          </cell>
          <cell r="C1795" t="str">
            <v>Kwarter a2</v>
          </cell>
          <cell r="D1795">
            <v>11</v>
          </cell>
          <cell r="E1795">
            <v>19.8</v>
          </cell>
          <cell r="F1795">
            <v>0.3</v>
          </cell>
          <cell r="G1795">
            <v>0.24760852933338706</v>
          </cell>
        </row>
        <row r="1796">
          <cell r="A1796" t="str">
            <v>116,3</v>
          </cell>
          <cell r="B1796" t="str">
            <v>WS II.1 kn</v>
          </cell>
          <cell r="C1796" t="str">
            <v>Kwarter cab a2</v>
          </cell>
          <cell r="E1796">
            <v>15</v>
          </cell>
          <cell r="F1796">
            <v>0.3</v>
          </cell>
          <cell r="G1796">
            <v>0.21450186870683924</v>
          </cell>
        </row>
        <row r="1797">
          <cell r="A1797" t="str">
            <v>116,4</v>
          </cell>
          <cell r="B1797" t="str">
            <v>WS II.1 kn</v>
          </cell>
          <cell r="C1797" t="str">
            <v>Kwarter a3</v>
          </cell>
          <cell r="D1797">
            <v>4</v>
          </cell>
          <cell r="E1797">
            <v>15</v>
          </cell>
          <cell r="F1797">
            <v>0.3</v>
          </cell>
          <cell r="G1797">
            <v>0.21450186870683924</v>
          </cell>
        </row>
        <row r="1798">
          <cell r="A1798" t="str">
            <v>116,5</v>
          </cell>
          <cell r="B1798" t="str">
            <v>WS II.1 kn</v>
          </cell>
          <cell r="C1798" t="str">
            <v>Kwarter b1</v>
          </cell>
          <cell r="D1798">
            <v>13</v>
          </cell>
          <cell r="E1798">
            <v>23.400000000000002</v>
          </cell>
          <cell r="F1798">
            <v>0.3</v>
          </cell>
          <cell r="G1798">
            <v>0.26957675461177327</v>
          </cell>
        </row>
        <row r="1799">
          <cell r="A1799" t="str">
            <v>116,6</v>
          </cell>
          <cell r="B1799" t="str">
            <v>WS II.1 kn</v>
          </cell>
          <cell r="C1799" t="str">
            <v>Kwarter cab b1</v>
          </cell>
          <cell r="E1799">
            <v>15</v>
          </cell>
          <cell r="F1799">
            <v>0.3</v>
          </cell>
          <cell r="G1799">
            <v>0.21450186870683924</v>
          </cell>
        </row>
        <row r="1800">
          <cell r="A1800" t="str">
            <v>116,7</v>
          </cell>
          <cell r="B1800" t="str">
            <v>WS II.1 kn</v>
          </cell>
          <cell r="C1800" t="str">
            <v>Kwarter b2</v>
          </cell>
          <cell r="D1800">
            <v>6</v>
          </cell>
          <cell r="E1800">
            <v>15</v>
          </cell>
          <cell r="F1800">
            <v>0.3</v>
          </cell>
          <cell r="G1800">
            <v>0.21450186870683924</v>
          </cell>
        </row>
        <row r="1801">
          <cell r="A1801" t="str">
            <v>116,8</v>
          </cell>
          <cell r="B1801" t="str">
            <v>WS II.1 kn</v>
          </cell>
          <cell r="C1801" t="str">
            <v>Kwarter b3</v>
          </cell>
          <cell r="D1801">
            <v>9</v>
          </cell>
          <cell r="E1801">
            <v>16.2</v>
          </cell>
          <cell r="F1801">
            <v>0.3</v>
          </cell>
          <cell r="G1801">
            <v>0.22327164076703876</v>
          </cell>
        </row>
        <row r="1802">
          <cell r="A1802" t="str">
            <v>116,9</v>
          </cell>
          <cell r="B1802" t="str">
            <v>WS II.1 kn</v>
          </cell>
          <cell r="C1802" t="str">
            <v>Muka a2</v>
          </cell>
          <cell r="D1802">
            <v>11</v>
          </cell>
          <cell r="E1802">
            <v>19.8</v>
          </cell>
          <cell r="F1802">
            <v>0.3</v>
          </cell>
          <cell r="G1802">
            <v>0.17212948709189466</v>
          </cell>
        </row>
        <row r="1803">
          <cell r="A1803" t="str">
            <v>116,10</v>
          </cell>
          <cell r="B1803" t="str">
            <v>WS II.1 kn</v>
          </cell>
          <cell r="C1803" t="str">
            <v>Muka b3</v>
          </cell>
          <cell r="D1803">
            <v>9</v>
          </cell>
          <cell r="E1803">
            <v>16.2</v>
          </cell>
          <cell r="F1803">
            <v>0.3</v>
          </cell>
          <cell r="G1803">
            <v>0.15443256333332417</v>
          </cell>
        </row>
        <row r="1804">
          <cell r="A1804" t="str">
            <v>116,11</v>
          </cell>
          <cell r="B1804" t="str">
            <v>WS II.1 kn</v>
          </cell>
          <cell r="C1804" t="str">
            <v>Tersier T3-K1</v>
          </cell>
          <cell r="D1804">
            <v>15</v>
          </cell>
          <cell r="E1804">
            <v>27</v>
          </cell>
          <cell r="F1804">
            <v>0.3</v>
          </cell>
          <cell r="G1804">
            <v>0.2029802970310392</v>
          </cell>
        </row>
        <row r="1805">
          <cell r="A1805" t="str">
            <v>116,12</v>
          </cell>
          <cell r="B1805" t="str">
            <v>WS II.1 kn</v>
          </cell>
          <cell r="C1805" t="str">
            <v>Tersier T2-T3</v>
          </cell>
          <cell r="D1805">
            <v>28</v>
          </cell>
          <cell r="E1805">
            <v>50.4</v>
          </cell>
          <cell r="F1805">
            <v>0.3</v>
          </cell>
          <cell r="G1805">
            <v>0.27984548368941714</v>
          </cell>
        </row>
        <row r="1806">
          <cell r="A1806" t="str">
            <v>116,13</v>
          </cell>
          <cell r="B1806" t="str">
            <v>WS II.1 kn</v>
          </cell>
          <cell r="C1806" t="str">
            <v>Tersier T1-T2</v>
          </cell>
          <cell r="D1806">
            <v>32</v>
          </cell>
          <cell r="E1806">
            <v>57.6</v>
          </cell>
          <cell r="F1806">
            <v>0.35</v>
          </cell>
          <cell r="G1806">
            <v>0.28354061571836348</v>
          </cell>
        </row>
        <row r="1807">
          <cell r="A1807" t="str">
            <v>116,14</v>
          </cell>
          <cell r="B1807" t="str">
            <v>WS II.1 kn</v>
          </cell>
          <cell r="C1807" t="str">
            <v>Tersier BWS II.1-T1</v>
          </cell>
          <cell r="D1807">
            <v>49</v>
          </cell>
          <cell r="E1807">
            <v>88.2</v>
          </cell>
          <cell r="F1807">
            <v>0.4</v>
          </cell>
          <cell r="G1807">
            <v>0.33586962970211431</v>
          </cell>
        </row>
        <row r="1809">
          <cell r="A1809">
            <v>117</v>
          </cell>
          <cell r="B1809" t="str">
            <v>WS II.2 kr</v>
          </cell>
          <cell r="D1809">
            <v>0</v>
          </cell>
        </row>
        <row r="1810">
          <cell r="A1810" t="str">
            <v>117,1</v>
          </cell>
          <cell r="B1810" t="str">
            <v>WS II.2 kr</v>
          </cell>
          <cell r="C1810" t="str">
            <v>Kwarter a1</v>
          </cell>
          <cell r="D1810">
            <v>14</v>
          </cell>
          <cell r="E1810">
            <v>25.2</v>
          </cell>
          <cell r="F1810">
            <v>0.3</v>
          </cell>
          <cell r="G1810">
            <v>0.27984551330394364</v>
          </cell>
        </row>
        <row r="1811">
          <cell r="A1811" t="str">
            <v>117,2</v>
          </cell>
          <cell r="B1811" t="str">
            <v>WS II.2 kr</v>
          </cell>
          <cell r="C1811" t="str">
            <v>Kwarter a2</v>
          </cell>
          <cell r="D1811">
            <v>5</v>
          </cell>
          <cell r="E1811">
            <v>15</v>
          </cell>
          <cell r="F1811">
            <v>0.3</v>
          </cell>
          <cell r="G1811">
            <v>0.21450186870683924</v>
          </cell>
        </row>
        <row r="1812">
          <cell r="A1812" t="str">
            <v>117,3</v>
          </cell>
          <cell r="B1812" t="str">
            <v>WS II.2 kr</v>
          </cell>
          <cell r="C1812" t="str">
            <v>Kwarter b1</v>
          </cell>
          <cell r="D1812">
            <v>15</v>
          </cell>
          <cell r="E1812">
            <v>27</v>
          </cell>
          <cell r="F1812">
            <v>0.3</v>
          </cell>
          <cell r="G1812">
            <v>0.28970512341744525</v>
          </cell>
        </row>
        <row r="1813">
          <cell r="A1813" t="str">
            <v>117,4</v>
          </cell>
          <cell r="B1813" t="str">
            <v>WS II.2 kr</v>
          </cell>
          <cell r="C1813" t="str">
            <v>Kwarter b2</v>
          </cell>
          <cell r="D1813">
            <v>8</v>
          </cell>
          <cell r="E1813">
            <v>15</v>
          </cell>
          <cell r="F1813">
            <v>0.3</v>
          </cell>
          <cell r="G1813">
            <v>0.21450186870683924</v>
          </cell>
        </row>
        <row r="1814">
          <cell r="A1814" t="str">
            <v>117,5</v>
          </cell>
          <cell r="B1814" t="str">
            <v>WS II.2 kr</v>
          </cell>
          <cell r="C1814" t="str">
            <v>Muka b2</v>
          </cell>
          <cell r="D1814">
            <v>8</v>
          </cell>
          <cell r="E1814">
            <v>15</v>
          </cell>
          <cell r="F1814">
            <v>0.3</v>
          </cell>
          <cell r="G1814">
            <v>0.14808412770373933</v>
          </cell>
        </row>
        <row r="1815">
          <cell r="A1815" t="str">
            <v>117,6</v>
          </cell>
          <cell r="B1815" t="str">
            <v>WS II.2 kr</v>
          </cell>
          <cell r="C1815" t="str">
            <v>Tersier T1-K1</v>
          </cell>
          <cell r="D1815">
            <v>23</v>
          </cell>
          <cell r="E1815">
            <v>41.4</v>
          </cell>
          <cell r="F1815">
            <v>0.3</v>
          </cell>
          <cell r="G1815">
            <v>0.25329817369006491</v>
          </cell>
        </row>
        <row r="1816">
          <cell r="A1816" t="str">
            <v>117,7</v>
          </cell>
          <cell r="B1816" t="str">
            <v>WS II.2 kr</v>
          </cell>
          <cell r="C1816" t="str">
            <v>Tersier BWSII.2-T1</v>
          </cell>
          <cell r="D1816">
            <v>42</v>
          </cell>
          <cell r="E1816">
            <v>75.600000000000009</v>
          </cell>
          <cell r="F1816">
            <v>0.35</v>
          </cell>
          <cell r="G1816">
            <v>0.32556709491456592</v>
          </cell>
        </row>
        <row r="1818">
          <cell r="A1818">
            <v>118</v>
          </cell>
          <cell r="B1818" t="str">
            <v>WS II.3 kn</v>
          </cell>
          <cell r="D1818">
            <v>0</v>
          </cell>
        </row>
        <row r="1819">
          <cell r="A1819" t="str">
            <v>118,1</v>
          </cell>
          <cell r="B1819" t="str">
            <v>WS II.3 kn</v>
          </cell>
          <cell r="C1819" t="str">
            <v>Kwarter a1</v>
          </cell>
          <cell r="D1819">
            <v>9</v>
          </cell>
          <cell r="E1819">
            <v>16.2</v>
          </cell>
          <cell r="F1819">
            <v>0.3</v>
          </cell>
          <cell r="G1819">
            <v>0.22327164076703876</v>
          </cell>
        </row>
        <row r="1820">
          <cell r="A1820" t="str">
            <v>118,2</v>
          </cell>
          <cell r="B1820" t="str">
            <v>WS II.3 kn</v>
          </cell>
          <cell r="C1820" t="str">
            <v>Kwarter cab a1</v>
          </cell>
          <cell r="E1820">
            <v>15</v>
          </cell>
          <cell r="F1820">
            <v>0.3</v>
          </cell>
          <cell r="G1820">
            <v>0.21450186870683924</v>
          </cell>
        </row>
        <row r="1821">
          <cell r="A1821" t="str">
            <v>118,3</v>
          </cell>
          <cell r="B1821" t="str">
            <v>WS II.3 kn</v>
          </cell>
          <cell r="C1821" t="str">
            <v>Kwarter a2</v>
          </cell>
          <cell r="D1821">
            <v>7</v>
          </cell>
          <cell r="E1821">
            <v>15</v>
          </cell>
          <cell r="F1821">
            <v>0.3</v>
          </cell>
          <cell r="G1821">
            <v>0.21450186870683924</v>
          </cell>
        </row>
        <row r="1822">
          <cell r="A1822" t="str">
            <v>118,4</v>
          </cell>
          <cell r="B1822" t="str">
            <v>WS II.3 kn</v>
          </cell>
          <cell r="C1822" t="str">
            <v>Kwarter a3</v>
          </cell>
          <cell r="D1822">
            <v>4</v>
          </cell>
          <cell r="E1822">
            <v>15</v>
          </cell>
          <cell r="F1822">
            <v>0.3</v>
          </cell>
          <cell r="G1822">
            <v>0.21450186870683924</v>
          </cell>
        </row>
        <row r="1823">
          <cell r="A1823" t="str">
            <v>118,5</v>
          </cell>
          <cell r="B1823" t="str">
            <v>WS II.3 kn</v>
          </cell>
          <cell r="C1823" t="str">
            <v>Kwarter a4</v>
          </cell>
          <cell r="D1823">
            <v>7</v>
          </cell>
          <cell r="E1823">
            <v>15</v>
          </cell>
          <cell r="F1823">
            <v>0.3</v>
          </cell>
          <cell r="G1823">
            <v>0.21450186870683924</v>
          </cell>
        </row>
        <row r="1824">
          <cell r="A1824" t="str">
            <v>118,6</v>
          </cell>
          <cell r="B1824" t="str">
            <v>WS II.3 kn</v>
          </cell>
          <cell r="C1824" t="str">
            <v>Kwarter b1</v>
          </cell>
          <cell r="D1824">
            <v>8</v>
          </cell>
          <cell r="E1824">
            <v>15</v>
          </cell>
          <cell r="F1824">
            <v>0.3</v>
          </cell>
          <cell r="G1824">
            <v>0.21450186870683924</v>
          </cell>
        </row>
        <row r="1825">
          <cell r="A1825" t="str">
            <v>118,7</v>
          </cell>
          <cell r="B1825" t="str">
            <v>WS II.3 kn</v>
          </cell>
          <cell r="C1825" t="str">
            <v>Kwarter b2</v>
          </cell>
          <cell r="D1825">
            <v>9</v>
          </cell>
          <cell r="E1825">
            <v>16.2</v>
          </cell>
          <cell r="F1825">
            <v>0.3</v>
          </cell>
          <cell r="G1825">
            <v>0.22327164076703876</v>
          </cell>
        </row>
        <row r="1826">
          <cell r="A1826" t="str">
            <v>118,8</v>
          </cell>
          <cell r="B1826" t="str">
            <v>WS II.3 kn</v>
          </cell>
          <cell r="C1826" t="str">
            <v>Kwarter b3</v>
          </cell>
          <cell r="D1826">
            <v>14</v>
          </cell>
          <cell r="E1826">
            <v>25.2</v>
          </cell>
          <cell r="F1826">
            <v>0.3</v>
          </cell>
          <cell r="G1826">
            <v>0.27984551330394364</v>
          </cell>
        </row>
        <row r="1827">
          <cell r="A1827" t="str">
            <v>118,9</v>
          </cell>
          <cell r="B1827" t="str">
            <v>WS II.3 kn</v>
          </cell>
          <cell r="C1827" t="str">
            <v>Kwarter c1</v>
          </cell>
          <cell r="D1827">
            <v>12</v>
          </cell>
          <cell r="E1827">
            <v>21.6</v>
          </cell>
          <cell r="F1827">
            <v>0.3</v>
          </cell>
          <cell r="G1827">
            <v>0.25885060257641224</v>
          </cell>
        </row>
        <row r="1828">
          <cell r="A1828" t="str">
            <v>118,10</v>
          </cell>
          <cell r="B1828" t="str">
            <v>WS II.3 kn</v>
          </cell>
          <cell r="C1828" t="str">
            <v>Kwarter c2</v>
          </cell>
          <cell r="D1828">
            <v>11</v>
          </cell>
          <cell r="E1828">
            <v>19.8</v>
          </cell>
          <cell r="F1828">
            <v>0.3</v>
          </cell>
          <cell r="G1828">
            <v>0.24760852933338706</v>
          </cell>
        </row>
        <row r="1829">
          <cell r="A1829" t="str">
            <v>118,11</v>
          </cell>
          <cell r="B1829" t="str">
            <v>WS II.3 kn</v>
          </cell>
          <cell r="C1829" t="str">
            <v>Kwarter c3</v>
          </cell>
          <cell r="D1829">
            <v>3</v>
          </cell>
          <cell r="E1829">
            <v>15</v>
          </cell>
          <cell r="F1829">
            <v>0.3</v>
          </cell>
          <cell r="G1829">
            <v>0.21450186870683924</v>
          </cell>
        </row>
        <row r="1830">
          <cell r="A1830" t="str">
            <v>118,12</v>
          </cell>
          <cell r="B1830" t="str">
            <v>WS II.3 kn</v>
          </cell>
          <cell r="C1830" t="str">
            <v>Muka b2</v>
          </cell>
          <cell r="D1830">
            <v>9</v>
          </cell>
          <cell r="E1830">
            <v>16.2</v>
          </cell>
          <cell r="F1830">
            <v>0.3</v>
          </cell>
          <cell r="G1830">
            <v>0.15443256333332417</v>
          </cell>
        </row>
        <row r="1831">
          <cell r="A1831" t="str">
            <v>118,13</v>
          </cell>
          <cell r="B1831" t="str">
            <v>WS II.3 kn</v>
          </cell>
          <cell r="C1831" t="str">
            <v>Muka c3</v>
          </cell>
          <cell r="D1831">
            <v>3</v>
          </cell>
          <cell r="E1831">
            <v>15</v>
          </cell>
          <cell r="F1831">
            <v>0.3</v>
          </cell>
          <cell r="G1831">
            <v>0.14808412770373933</v>
          </cell>
        </row>
        <row r="1832">
          <cell r="A1832" t="str">
            <v>118,14</v>
          </cell>
          <cell r="B1832" t="str">
            <v>WS II.3 kn</v>
          </cell>
          <cell r="C1832" t="str">
            <v>Tersier T3-K2</v>
          </cell>
          <cell r="D1832">
            <v>14</v>
          </cell>
          <cell r="E1832">
            <v>25.2</v>
          </cell>
          <cell r="F1832">
            <v>0.3</v>
          </cell>
          <cell r="G1832">
            <v>0.19573011875754986</v>
          </cell>
        </row>
        <row r="1833">
          <cell r="A1833" t="str">
            <v>118,15</v>
          </cell>
          <cell r="B1833" t="str">
            <v>WS II.3 kn</v>
          </cell>
          <cell r="C1833" t="str">
            <v>Tersier T2-T3</v>
          </cell>
          <cell r="D1833">
            <v>26</v>
          </cell>
          <cell r="E1833">
            <v>46.800000000000004</v>
          </cell>
          <cell r="F1833">
            <v>0.3</v>
          </cell>
          <cell r="G1833">
            <v>0.26957675461177327</v>
          </cell>
        </row>
        <row r="1834">
          <cell r="A1834" t="str">
            <v>118,16</v>
          </cell>
          <cell r="B1834" t="str">
            <v>WS II.3 kn</v>
          </cell>
          <cell r="C1834" t="str">
            <v>Tersier T2-K1</v>
          </cell>
          <cell r="D1834">
            <v>31</v>
          </cell>
          <cell r="E1834">
            <v>55.800000000000004</v>
          </cell>
          <cell r="F1834">
            <v>0.3</v>
          </cell>
          <cell r="G1834">
            <v>0.29449445284064335</v>
          </cell>
        </row>
        <row r="1835">
          <cell r="A1835" t="str">
            <v>118,17</v>
          </cell>
          <cell r="B1835" t="str">
            <v>WS II.3 kn</v>
          </cell>
          <cell r="C1835" t="str">
            <v>Tersier T1-T2</v>
          </cell>
          <cell r="D1835">
            <v>68</v>
          </cell>
          <cell r="E1835">
            <v>122.4</v>
          </cell>
          <cell r="F1835">
            <v>0.45</v>
          </cell>
          <cell r="G1835">
            <v>0.38048524172308706</v>
          </cell>
        </row>
        <row r="1836">
          <cell r="A1836" t="str">
            <v>118,18</v>
          </cell>
          <cell r="B1836" t="str">
            <v>WS II.3 kn</v>
          </cell>
          <cell r="C1836" t="str">
            <v>Tersier BWSII.3-T1</v>
          </cell>
          <cell r="D1836">
            <v>84</v>
          </cell>
          <cell r="E1836">
            <v>151.20000000000002</v>
          </cell>
          <cell r="F1836">
            <v>0.45</v>
          </cell>
          <cell r="G1836">
            <v>0.42345085861555692</v>
          </cell>
        </row>
        <row r="1838">
          <cell r="A1838">
            <v>119</v>
          </cell>
          <cell r="B1838" t="str">
            <v>WS II.3 kr</v>
          </cell>
          <cell r="D1838">
            <v>0</v>
          </cell>
        </row>
        <row r="1839">
          <cell r="A1839" t="str">
            <v>119,1</v>
          </cell>
          <cell r="B1839" t="str">
            <v>WS II.3 kr</v>
          </cell>
          <cell r="C1839" t="str">
            <v>Kwarter a1</v>
          </cell>
          <cell r="D1839">
            <v>7</v>
          </cell>
          <cell r="E1839">
            <v>15</v>
          </cell>
          <cell r="F1839">
            <v>0.3</v>
          </cell>
          <cell r="G1839">
            <v>0.21450186870683924</v>
          </cell>
        </row>
        <row r="1840">
          <cell r="A1840" t="str">
            <v>119,2</v>
          </cell>
          <cell r="B1840" t="str">
            <v>WS II.3 kr</v>
          </cell>
          <cell r="C1840" t="str">
            <v>Kwarter a2</v>
          </cell>
          <cell r="D1840">
            <v>12</v>
          </cell>
          <cell r="E1840">
            <v>21.6</v>
          </cell>
          <cell r="F1840">
            <v>0.3</v>
          </cell>
          <cell r="G1840">
            <v>0.25885060257641224</v>
          </cell>
        </row>
        <row r="1841">
          <cell r="A1841" t="str">
            <v>119,3</v>
          </cell>
          <cell r="B1841" t="str">
            <v>WS II.3 kr</v>
          </cell>
          <cell r="C1841" t="str">
            <v>Kwarter a3</v>
          </cell>
          <cell r="D1841">
            <v>7</v>
          </cell>
          <cell r="E1841">
            <v>15</v>
          </cell>
          <cell r="F1841">
            <v>0.3</v>
          </cell>
          <cell r="G1841">
            <v>0.21450186870683924</v>
          </cell>
        </row>
        <row r="1842">
          <cell r="A1842" t="str">
            <v>119,4</v>
          </cell>
          <cell r="B1842" t="str">
            <v>WS II.3 kr</v>
          </cell>
          <cell r="C1842" t="str">
            <v>Muka a3</v>
          </cell>
          <cell r="D1842">
            <v>7</v>
          </cell>
          <cell r="E1842">
            <v>15</v>
          </cell>
          <cell r="F1842">
            <v>0.3</v>
          </cell>
          <cell r="G1842">
            <v>0.14808412770373933</v>
          </cell>
        </row>
        <row r="1843">
          <cell r="A1843" t="str">
            <v>119,5</v>
          </cell>
          <cell r="B1843" t="str">
            <v>WS II.3 kr</v>
          </cell>
          <cell r="C1843" t="str">
            <v>Tersier T1-K1</v>
          </cell>
          <cell r="D1843">
            <v>19</v>
          </cell>
          <cell r="E1843">
            <v>34.200000000000003</v>
          </cell>
          <cell r="F1843">
            <v>0.3</v>
          </cell>
          <cell r="G1843">
            <v>0.22961637840568802</v>
          </cell>
        </row>
        <row r="1844">
          <cell r="A1844" t="str">
            <v>119,6</v>
          </cell>
          <cell r="B1844" t="str">
            <v>WS II.3 kr</v>
          </cell>
          <cell r="C1844" t="str">
            <v>Tersier BWSII.3-T1</v>
          </cell>
          <cell r="D1844">
            <v>26</v>
          </cell>
          <cell r="E1844">
            <v>46.800000000000004</v>
          </cell>
          <cell r="F1844">
            <v>0.3</v>
          </cell>
          <cell r="G1844">
            <v>0.26957675461177327</v>
          </cell>
        </row>
        <row r="1846">
          <cell r="A1846">
            <v>120</v>
          </cell>
          <cell r="B1846" t="str">
            <v>WS III.1 kn</v>
          </cell>
          <cell r="D1846">
            <v>0</v>
          </cell>
        </row>
        <row r="1847">
          <cell r="A1847" t="str">
            <v>120,1</v>
          </cell>
          <cell r="B1847" t="str">
            <v>WS III.1 kn</v>
          </cell>
          <cell r="C1847" t="str">
            <v>Kwarter a1</v>
          </cell>
          <cell r="D1847">
            <v>9</v>
          </cell>
          <cell r="E1847">
            <v>16.2</v>
          </cell>
          <cell r="F1847">
            <v>0.3</v>
          </cell>
          <cell r="G1847">
            <v>0.22327164076703876</v>
          </cell>
        </row>
        <row r="1848">
          <cell r="A1848" t="str">
            <v>120,2</v>
          </cell>
          <cell r="B1848" t="str">
            <v>WS III.1 kn</v>
          </cell>
          <cell r="C1848" t="str">
            <v>Kwarter a2</v>
          </cell>
          <cell r="D1848">
            <v>8</v>
          </cell>
          <cell r="E1848">
            <v>15</v>
          </cell>
          <cell r="F1848">
            <v>0.3</v>
          </cell>
          <cell r="G1848">
            <v>0.21450186870683924</v>
          </cell>
        </row>
        <row r="1849">
          <cell r="A1849" t="str">
            <v>120,3</v>
          </cell>
          <cell r="B1849" t="str">
            <v>WS III.1 kn</v>
          </cell>
          <cell r="C1849" t="str">
            <v>Kwarter b1</v>
          </cell>
          <cell r="D1849">
            <v>14</v>
          </cell>
          <cell r="E1849">
            <v>25.2</v>
          </cell>
          <cell r="F1849">
            <v>0.3</v>
          </cell>
          <cell r="G1849">
            <v>0.27984551330394364</v>
          </cell>
        </row>
        <row r="1850">
          <cell r="A1850" t="str">
            <v>120,4</v>
          </cell>
          <cell r="B1850" t="str">
            <v>WS III.1 kn</v>
          </cell>
          <cell r="C1850" t="str">
            <v>Kwarter b2</v>
          </cell>
          <cell r="D1850">
            <v>15</v>
          </cell>
          <cell r="E1850">
            <v>27</v>
          </cell>
          <cell r="F1850">
            <v>0.3</v>
          </cell>
          <cell r="G1850">
            <v>0.28970512341744525</v>
          </cell>
        </row>
        <row r="1851">
          <cell r="A1851" t="str">
            <v>120,5</v>
          </cell>
          <cell r="B1851" t="str">
            <v>WS III.1 kn</v>
          </cell>
          <cell r="C1851" t="str">
            <v>Kwarter c1</v>
          </cell>
          <cell r="D1851">
            <v>13</v>
          </cell>
          <cell r="E1851">
            <v>23.400000000000002</v>
          </cell>
          <cell r="F1851">
            <v>0.3</v>
          </cell>
          <cell r="G1851">
            <v>0.26957675461177327</v>
          </cell>
        </row>
        <row r="1852">
          <cell r="A1852" t="str">
            <v>120,6</v>
          </cell>
          <cell r="B1852" t="str">
            <v>WS III.1 kn</v>
          </cell>
          <cell r="C1852" t="str">
            <v>Kwarter c2</v>
          </cell>
          <cell r="D1852">
            <v>13</v>
          </cell>
          <cell r="E1852">
            <v>23.400000000000002</v>
          </cell>
          <cell r="F1852">
            <v>0.3</v>
          </cell>
          <cell r="G1852">
            <v>0.26957675461177327</v>
          </cell>
        </row>
        <row r="1853">
          <cell r="A1853" t="str">
            <v>120,7</v>
          </cell>
          <cell r="B1853" t="str">
            <v>WS III.1 kn</v>
          </cell>
          <cell r="C1853" t="str">
            <v>Kwarter cab c2</v>
          </cell>
          <cell r="E1853">
            <v>15</v>
          </cell>
          <cell r="F1853">
            <v>0.3</v>
          </cell>
          <cell r="G1853">
            <v>0.21450186870683924</v>
          </cell>
        </row>
        <row r="1854">
          <cell r="A1854" t="str">
            <v>120,8</v>
          </cell>
          <cell r="B1854" t="str">
            <v>WS III.1 kn</v>
          </cell>
          <cell r="C1854" t="str">
            <v>Muka c2</v>
          </cell>
          <cell r="D1854">
            <v>13</v>
          </cell>
          <cell r="E1854">
            <v>23.400000000000002</v>
          </cell>
          <cell r="F1854">
            <v>0.3</v>
          </cell>
          <cell r="G1854">
            <v>0.18819437534024519</v>
          </cell>
        </row>
        <row r="1855">
          <cell r="A1855" t="str">
            <v>120,9</v>
          </cell>
          <cell r="B1855" t="str">
            <v>WS III.1 kn</v>
          </cell>
          <cell r="C1855" t="str">
            <v>Tersier T1-K1</v>
          </cell>
          <cell r="D1855">
            <v>26</v>
          </cell>
          <cell r="E1855">
            <v>46.800000000000004</v>
          </cell>
          <cell r="F1855">
            <v>0.3</v>
          </cell>
          <cell r="G1855">
            <v>0.26957675461177327</v>
          </cell>
        </row>
        <row r="1856">
          <cell r="A1856" t="str">
            <v>120,10</v>
          </cell>
          <cell r="B1856" t="str">
            <v>WS III.1 kn</v>
          </cell>
          <cell r="C1856" t="str">
            <v>Tersier BWS III.1-T1</v>
          </cell>
          <cell r="D1856">
            <v>72</v>
          </cell>
          <cell r="E1856">
            <v>129.6</v>
          </cell>
          <cell r="F1856">
            <v>0.45</v>
          </cell>
          <cell r="G1856">
            <v>0.39172026944102462</v>
          </cell>
        </row>
        <row r="1858">
          <cell r="A1858">
            <v>121</v>
          </cell>
          <cell r="B1858" t="str">
            <v>WS III.1 kr</v>
          </cell>
          <cell r="D1858">
            <v>0</v>
          </cell>
        </row>
        <row r="1859">
          <cell r="A1859" t="str">
            <v>121,1</v>
          </cell>
          <cell r="B1859" t="str">
            <v>WS III.1 kr</v>
          </cell>
          <cell r="C1859" t="str">
            <v>Kwarter a1</v>
          </cell>
          <cell r="D1859">
            <v>11</v>
          </cell>
          <cell r="E1859">
            <v>19.8</v>
          </cell>
          <cell r="F1859">
            <v>0.3</v>
          </cell>
          <cell r="G1859">
            <v>0.24760852933338706</v>
          </cell>
        </row>
        <row r="1860">
          <cell r="A1860" t="str">
            <v>121,2</v>
          </cell>
          <cell r="B1860" t="str">
            <v>WS III.1 kr</v>
          </cell>
          <cell r="C1860" t="str">
            <v>Kwarter a2</v>
          </cell>
          <cell r="D1860">
            <v>7</v>
          </cell>
          <cell r="E1860">
            <v>15</v>
          </cell>
          <cell r="F1860">
            <v>0.3</v>
          </cell>
          <cell r="G1860">
            <v>0.21450186870683924</v>
          </cell>
        </row>
        <row r="1861">
          <cell r="A1861" t="str">
            <v>121,3</v>
          </cell>
          <cell r="B1861" t="str">
            <v>WS III.1 kr</v>
          </cell>
          <cell r="C1861" t="str">
            <v>Kwarter b1</v>
          </cell>
          <cell r="D1861">
            <v>7</v>
          </cell>
          <cell r="E1861">
            <v>15</v>
          </cell>
          <cell r="F1861">
            <v>0.3</v>
          </cell>
          <cell r="G1861">
            <v>0.21450186870683924</v>
          </cell>
        </row>
        <row r="1862">
          <cell r="A1862" t="str">
            <v>121,4</v>
          </cell>
          <cell r="B1862" t="str">
            <v>WS III.1 kr</v>
          </cell>
          <cell r="C1862" t="str">
            <v>Kwarter b2</v>
          </cell>
          <cell r="D1862">
            <v>10</v>
          </cell>
          <cell r="E1862">
            <v>18</v>
          </cell>
          <cell r="F1862">
            <v>0.3</v>
          </cell>
          <cell r="G1862">
            <v>0.23577879795157511</v>
          </cell>
        </row>
        <row r="1863">
          <cell r="A1863" t="str">
            <v>121,5</v>
          </cell>
          <cell r="B1863" t="str">
            <v>WS III.1 kr</v>
          </cell>
          <cell r="C1863" t="str">
            <v>Kwarter b3</v>
          </cell>
          <cell r="D1863">
            <v>9</v>
          </cell>
          <cell r="E1863">
            <v>16.2</v>
          </cell>
          <cell r="F1863">
            <v>0.3</v>
          </cell>
          <cell r="G1863">
            <v>0.22327164076703876</v>
          </cell>
        </row>
        <row r="1864">
          <cell r="A1864" t="str">
            <v>121,6</v>
          </cell>
          <cell r="B1864" t="str">
            <v>WS III.1 kr</v>
          </cell>
          <cell r="C1864" t="str">
            <v>Muka b2</v>
          </cell>
          <cell r="D1864">
            <v>10</v>
          </cell>
          <cell r="E1864">
            <v>18</v>
          </cell>
          <cell r="F1864">
            <v>0.3</v>
          </cell>
          <cell r="G1864">
            <v>0.16351330600668237</v>
          </cell>
        </row>
        <row r="1865">
          <cell r="A1865" t="str">
            <v>121,7</v>
          </cell>
          <cell r="B1865" t="str">
            <v>WS III.1 kr</v>
          </cell>
          <cell r="C1865" t="str">
            <v>Tersier T2-K1</v>
          </cell>
          <cell r="D1865">
            <v>26</v>
          </cell>
          <cell r="E1865">
            <v>46.800000000000004</v>
          </cell>
          <cell r="F1865">
            <v>0.3</v>
          </cell>
          <cell r="G1865">
            <v>0.26957675461177327</v>
          </cell>
        </row>
        <row r="1866">
          <cell r="A1866" t="str">
            <v>121,8</v>
          </cell>
          <cell r="B1866" t="str">
            <v>WS III.1 kr</v>
          </cell>
          <cell r="C1866" t="str">
            <v>Tersier T1-T2</v>
          </cell>
          <cell r="D1866">
            <v>33</v>
          </cell>
          <cell r="E1866">
            <v>59.4</v>
          </cell>
          <cell r="F1866">
            <v>0.35</v>
          </cell>
          <cell r="G1866">
            <v>0.28804905429902994</v>
          </cell>
        </row>
        <row r="1867">
          <cell r="A1867" t="str">
            <v>121,9</v>
          </cell>
          <cell r="B1867" t="str">
            <v>WS III.1 kr</v>
          </cell>
          <cell r="C1867" t="str">
            <v>Tersier BWSIII.1-T1</v>
          </cell>
          <cell r="D1867">
            <v>44</v>
          </cell>
          <cell r="E1867">
            <v>79.2</v>
          </cell>
          <cell r="F1867">
            <v>0.35</v>
          </cell>
          <cell r="G1867">
            <v>0.33326704609053015</v>
          </cell>
        </row>
        <row r="1869">
          <cell r="A1869" t="str">
            <v>122</v>
          </cell>
          <cell r="B1869" t="str">
            <v>SS Lempuing</v>
          </cell>
          <cell r="D1869">
            <v>9063</v>
          </cell>
          <cell r="E1869">
            <v>13050.72</v>
          </cell>
          <cell r="F1869">
            <v>4</v>
          </cell>
          <cell r="G1869">
            <v>1.74</v>
          </cell>
        </row>
        <row r="1870">
          <cell r="A1870" t="str">
            <v>122,1</v>
          </cell>
          <cell r="C1870" t="str">
            <v>Sek. BL 14 - BL 15</v>
          </cell>
          <cell r="D1870">
            <v>8106</v>
          </cell>
          <cell r="E1870">
            <v>11672.64</v>
          </cell>
          <cell r="F1870">
            <v>4</v>
          </cell>
          <cell r="G1870">
            <v>1.6</v>
          </cell>
        </row>
        <row r="1871">
          <cell r="A1871" t="str">
            <v>122,2</v>
          </cell>
          <cell r="C1871" t="str">
            <v>Sek. BL 15 - BL 16</v>
          </cell>
          <cell r="D1871">
            <v>8069</v>
          </cell>
          <cell r="E1871">
            <v>11619.359999999999</v>
          </cell>
          <cell r="F1871">
            <v>4</v>
          </cell>
          <cell r="G1871">
            <v>1.58</v>
          </cell>
        </row>
        <row r="1872">
          <cell r="A1872" t="str">
            <v>122,3</v>
          </cell>
          <cell r="C1872" t="str">
            <v>Sek. BL 16 - BL 17</v>
          </cell>
          <cell r="D1872">
            <v>8012</v>
          </cell>
          <cell r="E1872">
            <v>11537.279999999999</v>
          </cell>
          <cell r="F1872">
            <v>4</v>
          </cell>
          <cell r="G1872">
            <v>1.58</v>
          </cell>
        </row>
        <row r="1873">
          <cell r="A1873" t="str">
            <v>122,4</v>
          </cell>
          <cell r="C1873" t="str">
            <v>Sek. BL 17 - BL 18</v>
          </cell>
          <cell r="D1873">
            <v>7885</v>
          </cell>
          <cell r="E1873">
            <v>11354.4</v>
          </cell>
          <cell r="F1873">
            <v>4</v>
          </cell>
          <cell r="G1873">
            <v>1.55</v>
          </cell>
        </row>
        <row r="1874">
          <cell r="A1874" t="str">
            <v>122,5</v>
          </cell>
          <cell r="C1874" t="str">
            <v>Sek. BL 18 - BL 19</v>
          </cell>
          <cell r="D1874">
            <v>7288</v>
          </cell>
          <cell r="E1874">
            <v>10494.72</v>
          </cell>
          <cell r="F1874">
            <v>3.8</v>
          </cell>
          <cell r="G1874">
            <v>1.5</v>
          </cell>
        </row>
        <row r="1875">
          <cell r="A1875" t="str">
            <v>122,6</v>
          </cell>
          <cell r="C1875" t="str">
            <v>Sek. BL 19 - BL 20</v>
          </cell>
          <cell r="D1875">
            <v>7213</v>
          </cell>
          <cell r="E1875">
            <v>10386.719999999999</v>
          </cell>
          <cell r="F1875">
            <v>3.8</v>
          </cell>
          <cell r="G1875">
            <v>1.48</v>
          </cell>
        </row>
        <row r="1876">
          <cell r="A1876" t="str">
            <v>122,7</v>
          </cell>
          <cell r="C1876" t="str">
            <v>Sek. BL 20 - BL 21</v>
          </cell>
          <cell r="D1876">
            <v>5791</v>
          </cell>
          <cell r="E1876">
            <v>8339.0399999999991</v>
          </cell>
          <cell r="F1876">
            <v>3</v>
          </cell>
          <cell r="G1876">
            <v>1.38</v>
          </cell>
        </row>
        <row r="1878">
          <cell r="A1878" t="str">
            <v>123</v>
          </cell>
          <cell r="B1878" t="str">
            <v>SS Tugu Mulyo</v>
          </cell>
        </row>
        <row r="1879">
          <cell r="A1879" t="str">
            <v>123,1</v>
          </cell>
          <cell r="C1879" t="str">
            <v>Sek. BL 18 - BTM 1</v>
          </cell>
          <cell r="D1879">
            <v>520</v>
          </cell>
          <cell r="E1879">
            <v>748.8</v>
          </cell>
          <cell r="F1879">
            <v>1.1000000000000001</v>
          </cell>
          <cell r="G1879">
            <v>0.83692099121015207</v>
          </cell>
        </row>
        <row r="1880">
          <cell r="A1880" t="str">
            <v>123,2</v>
          </cell>
          <cell r="C1880" t="str">
            <v>Sek. BTM 1 - BTM 2</v>
          </cell>
          <cell r="D1880">
            <v>409</v>
          </cell>
          <cell r="E1880">
            <v>588.95999999999992</v>
          </cell>
          <cell r="F1880">
            <v>1</v>
          </cell>
          <cell r="G1880">
            <v>0.76638738993725486</v>
          </cell>
        </row>
        <row r="1881">
          <cell r="A1881" t="str">
            <v>123,3</v>
          </cell>
          <cell r="C1881" t="str">
            <v>Sek. BTM 2 - BTM 3</v>
          </cell>
          <cell r="D1881">
            <v>385</v>
          </cell>
          <cell r="E1881">
            <v>554.4</v>
          </cell>
          <cell r="F1881">
            <v>1</v>
          </cell>
          <cell r="G1881">
            <v>0.74274014481906137</v>
          </cell>
        </row>
        <row r="1882">
          <cell r="A1882" t="str">
            <v>123,4</v>
          </cell>
          <cell r="C1882" t="str">
            <v>Sek. BTM 3 - BTM 4</v>
          </cell>
          <cell r="D1882">
            <v>202</v>
          </cell>
          <cell r="E1882">
            <v>290.88</v>
          </cell>
          <cell r="F1882">
            <v>0.7</v>
          </cell>
          <cell r="G1882">
            <v>0.60848310312630749</v>
          </cell>
        </row>
        <row r="1883">
          <cell r="A1883" t="str">
            <v>123,5</v>
          </cell>
          <cell r="C1883" t="str">
            <v>Sek. BTM 4 - BTM 5</v>
          </cell>
          <cell r="D1883">
            <v>123</v>
          </cell>
          <cell r="E1883">
            <v>177.12</v>
          </cell>
          <cell r="F1883">
            <v>0.6</v>
          </cell>
          <cell r="G1883">
            <v>0.49943851320007226</v>
          </cell>
        </row>
        <row r="1884">
          <cell r="A1884" t="str">
            <v>123,6</v>
          </cell>
          <cell r="C1884" t="str">
            <v>Muka TM 5 tg</v>
          </cell>
          <cell r="D1884">
            <v>84</v>
          </cell>
          <cell r="E1884">
            <v>120.96</v>
          </cell>
          <cell r="F1884">
            <v>0.5</v>
          </cell>
          <cell r="G1884">
            <v>0.43902484092970717</v>
          </cell>
        </row>
        <row r="1885">
          <cell r="A1885" t="str">
            <v>123,7</v>
          </cell>
          <cell r="C1885" t="str">
            <v>Muka TM 4kr</v>
          </cell>
          <cell r="D1885">
            <v>62</v>
          </cell>
          <cell r="E1885">
            <v>89.28</v>
          </cell>
          <cell r="F1885">
            <v>0.45</v>
          </cell>
          <cell r="G1885">
            <v>0.39058909281554749</v>
          </cell>
        </row>
        <row r="1887">
          <cell r="A1887" t="str">
            <v>124</v>
          </cell>
          <cell r="B1887" t="str">
            <v>SS Wanasari</v>
          </cell>
        </row>
        <row r="1888">
          <cell r="A1888" t="str">
            <v>124,1</v>
          </cell>
          <cell r="C1888" t="str">
            <v>Sek. BL 21 - BWS 1</v>
          </cell>
          <cell r="D1888">
            <v>3935</v>
          </cell>
          <cell r="E1888">
            <v>5666.4</v>
          </cell>
          <cell r="F1888">
            <v>3.5</v>
          </cell>
          <cell r="G1888">
            <v>1.398857477590032</v>
          </cell>
        </row>
        <row r="1889">
          <cell r="A1889" t="str">
            <v>124,2</v>
          </cell>
          <cell r="C1889" t="str">
            <v>Sek. BWS 1 - BWS 2</v>
          </cell>
          <cell r="D1889">
            <v>3759</v>
          </cell>
          <cell r="E1889">
            <v>5412.96</v>
          </cell>
          <cell r="F1889">
            <v>3.5</v>
          </cell>
          <cell r="G1889">
            <v>1.3654848503113333</v>
          </cell>
        </row>
        <row r="1890">
          <cell r="A1890" t="str">
            <v>124,3</v>
          </cell>
          <cell r="C1890" t="str">
            <v>Sek. BWS 2 - BWS 3</v>
          </cell>
          <cell r="D1890">
            <v>3722</v>
          </cell>
          <cell r="E1890">
            <v>5359.6799999999994</v>
          </cell>
          <cell r="F1890">
            <v>3.5</v>
          </cell>
          <cell r="G1890">
            <v>1.3583632789456281</v>
          </cell>
        </row>
        <row r="1891">
          <cell r="A1891" t="str">
            <v>124,4</v>
          </cell>
          <cell r="C1891" t="str">
            <v>Sek. BWS 3 - BWS 4</v>
          </cell>
          <cell r="D1891">
            <v>1661</v>
          </cell>
          <cell r="E1891">
            <v>2391.8399999999997</v>
          </cell>
          <cell r="F1891">
            <v>1.9</v>
          </cell>
          <cell r="G1891">
            <v>0.89196424991589118</v>
          </cell>
        </row>
        <row r="1892">
          <cell r="A1892" t="str">
            <v>124,5</v>
          </cell>
          <cell r="C1892" t="str">
            <v>Sek. BWS 4 - BWS 5</v>
          </cell>
          <cell r="D1892">
            <v>1566</v>
          </cell>
          <cell r="E1892">
            <v>2255.04</v>
          </cell>
          <cell r="F1892">
            <v>1.9</v>
          </cell>
          <cell r="G1892">
            <v>0.86519056968379071</v>
          </cell>
        </row>
        <row r="1893">
          <cell r="A1893" t="str">
            <v>124,6</v>
          </cell>
          <cell r="C1893" t="str">
            <v>Sek. BWS 5 - BWS 6</v>
          </cell>
          <cell r="D1893">
            <v>1439</v>
          </cell>
          <cell r="E1893">
            <v>2072.16</v>
          </cell>
          <cell r="F1893">
            <v>1.8</v>
          </cell>
          <cell r="G1893">
            <v>0.84532771985191979</v>
          </cell>
        </row>
        <row r="1894">
          <cell r="A1894" t="str">
            <v>124,7</v>
          </cell>
          <cell r="C1894" t="str">
            <v>Sek. BWS 6 - BWS 7</v>
          </cell>
          <cell r="D1894">
            <v>1390</v>
          </cell>
          <cell r="E1894">
            <v>2001.6</v>
          </cell>
          <cell r="F1894">
            <v>1.8</v>
          </cell>
          <cell r="G1894">
            <v>0.83032080481451143</v>
          </cell>
        </row>
        <row r="1895">
          <cell r="A1895" t="str">
            <v>124,8</v>
          </cell>
          <cell r="C1895" t="str">
            <v>Sek. BWS 7 - BWS 8</v>
          </cell>
          <cell r="D1895">
            <v>1126</v>
          </cell>
          <cell r="E1895">
            <v>1621.4399999999998</v>
          </cell>
          <cell r="F1895">
            <v>1.7</v>
          </cell>
          <cell r="G1895">
            <v>0.76087223021445782</v>
          </cell>
        </row>
        <row r="1896">
          <cell r="A1896" t="str">
            <v>124,9</v>
          </cell>
          <cell r="C1896" t="str">
            <v>Sek. BWS 8 - BWS 9</v>
          </cell>
          <cell r="D1896">
            <v>895</v>
          </cell>
          <cell r="E1896">
            <v>1288.8</v>
          </cell>
          <cell r="F1896">
            <v>1.3</v>
          </cell>
          <cell r="G1896">
            <v>0.74588382353373872</v>
          </cell>
        </row>
        <row r="1897">
          <cell r="A1897" t="str">
            <v>124,10</v>
          </cell>
          <cell r="C1897" t="str">
            <v>Sek. BWS 9 - BWS 10</v>
          </cell>
          <cell r="D1897">
            <v>504</v>
          </cell>
          <cell r="E1897">
            <v>725.76</v>
          </cell>
          <cell r="F1897">
            <v>0.9</v>
          </cell>
          <cell r="G1897">
            <v>0.7011286943624887</v>
          </cell>
        </row>
        <row r="1898">
          <cell r="A1898" t="str">
            <v>124,11</v>
          </cell>
          <cell r="C1898" t="str">
            <v>Sek. BWS 10 - BWS 11</v>
          </cell>
          <cell r="D1898">
            <v>435</v>
          </cell>
          <cell r="E1898">
            <v>626.4</v>
          </cell>
          <cell r="F1898">
            <v>0.9</v>
          </cell>
          <cell r="G1898">
            <v>0.64957719823136928</v>
          </cell>
        </row>
        <row r="1899">
          <cell r="A1899" t="str">
            <v>124,12</v>
          </cell>
          <cell r="C1899" t="str">
            <v>Sek. BWS 11 - BWS 12</v>
          </cell>
          <cell r="D1899">
            <v>279</v>
          </cell>
          <cell r="E1899">
            <v>401.76</v>
          </cell>
          <cell r="F1899">
            <v>0.7</v>
          </cell>
          <cell r="G1899">
            <v>0.56789053547753354</v>
          </cell>
        </row>
        <row r="1900">
          <cell r="A1900" t="str">
            <v>124,13</v>
          </cell>
          <cell r="C1900" t="str">
            <v>Muka WS 12kn</v>
          </cell>
          <cell r="D1900">
            <v>123</v>
          </cell>
          <cell r="E1900">
            <v>177.12</v>
          </cell>
          <cell r="F1900">
            <v>0.45</v>
          </cell>
          <cell r="G1900">
            <v>0.38496446223959063</v>
          </cell>
        </row>
        <row r="1901">
          <cell r="A1901" t="str">
            <v>124,14</v>
          </cell>
          <cell r="C1901" t="str">
            <v>Muka WS 1kn1</v>
          </cell>
          <cell r="D1901">
            <v>71</v>
          </cell>
          <cell r="E1901">
            <v>102.24</v>
          </cell>
          <cell r="F1901">
            <v>0.4</v>
          </cell>
          <cell r="G1901">
            <v>0.34569100578717193</v>
          </cell>
        </row>
        <row r="1902">
          <cell r="A1902" t="str">
            <v>124,15</v>
          </cell>
          <cell r="C1902" t="str">
            <v>Sek. BWS 7 - BWS I.1</v>
          </cell>
          <cell r="D1902">
            <v>207</v>
          </cell>
          <cell r="E1902">
            <v>298.08</v>
          </cell>
          <cell r="F1902">
            <v>0.55000000000000004</v>
          </cell>
          <cell r="G1902">
            <v>0.53135343116523637</v>
          </cell>
        </row>
        <row r="1903">
          <cell r="A1903" t="str">
            <v>124,16</v>
          </cell>
          <cell r="C1903" t="str">
            <v>Muka WS I.1 kn</v>
          </cell>
          <cell r="D1903">
            <v>102</v>
          </cell>
          <cell r="E1903">
            <v>146.88</v>
          </cell>
          <cell r="F1903">
            <v>0.45</v>
          </cell>
          <cell r="G1903">
            <v>0.39853881277248487</v>
          </cell>
        </row>
        <row r="1904">
          <cell r="A1904" t="str">
            <v>124,17</v>
          </cell>
          <cell r="C1904" t="str">
            <v>Muka WS 8kn2</v>
          </cell>
          <cell r="D1904">
            <v>119</v>
          </cell>
          <cell r="E1904">
            <v>171.35999999999999</v>
          </cell>
          <cell r="F1904">
            <v>0.4</v>
          </cell>
          <cell r="G1904">
            <v>0.39428348509496319</v>
          </cell>
        </row>
        <row r="1905">
          <cell r="A1905" t="str">
            <v>124,18</v>
          </cell>
          <cell r="C1905" t="str">
            <v>Sek. BWS 11 - BWS III.1</v>
          </cell>
          <cell r="D1905">
            <v>116</v>
          </cell>
          <cell r="E1905">
            <v>167.04</v>
          </cell>
          <cell r="F1905">
            <v>0.4</v>
          </cell>
          <cell r="G1905">
            <v>0.38928650431818201</v>
          </cell>
        </row>
        <row r="1906">
          <cell r="A1906" t="str">
            <v>124,19</v>
          </cell>
          <cell r="C1906" t="str">
            <v>Muka WS 9kn2</v>
          </cell>
          <cell r="D1906">
            <v>125</v>
          </cell>
          <cell r="E1906">
            <v>180</v>
          </cell>
          <cell r="F1906">
            <v>0.45</v>
          </cell>
          <cell r="G1906">
            <v>0.38813815029697507</v>
          </cell>
        </row>
        <row r="1907">
          <cell r="A1907" t="str">
            <v>124,20</v>
          </cell>
          <cell r="C1907" t="str">
            <v>Sek. BWS 9 - BWS II.1</v>
          </cell>
          <cell r="D1907">
            <v>201</v>
          </cell>
          <cell r="E1907">
            <v>289.44</v>
          </cell>
          <cell r="F1907">
            <v>0.6</v>
          </cell>
          <cell r="G1907">
            <v>0.50791991205931564</v>
          </cell>
        </row>
        <row r="1908">
          <cell r="A1908" t="str">
            <v>124,21</v>
          </cell>
          <cell r="C1908" t="str">
            <v>Sek. BWS II.1 - BWS II.2</v>
          </cell>
          <cell r="D1908">
            <v>152</v>
          </cell>
          <cell r="E1908">
            <v>218.88</v>
          </cell>
          <cell r="F1908">
            <v>0.5</v>
          </cell>
          <cell r="G1908">
            <v>0.46998062610271824</v>
          </cell>
        </row>
        <row r="1909">
          <cell r="A1909" t="str">
            <v>124,22</v>
          </cell>
          <cell r="C1909" t="str">
            <v>Sek. BWS II.2 - BWS II.3</v>
          </cell>
          <cell r="D1909">
            <v>110</v>
          </cell>
          <cell r="E1909">
            <v>158.4</v>
          </cell>
          <cell r="F1909">
            <v>0.45</v>
          </cell>
          <cell r="G1909">
            <v>0.41404311773978514</v>
          </cell>
        </row>
        <row r="1912">
          <cell r="A1912" t="str">
            <v>125</v>
          </cell>
          <cell r="B1912" t="str">
            <v>Lubuk Seberuk</v>
          </cell>
        </row>
        <row r="1913">
          <cell r="A1913" t="str">
            <v>125,1</v>
          </cell>
          <cell r="C1913" t="str">
            <v>Sek. BWS 3 - BLS 1</v>
          </cell>
          <cell r="D1913">
            <v>1868</v>
          </cell>
          <cell r="E1913">
            <v>2689.92</v>
          </cell>
          <cell r="F1913">
            <v>2.1</v>
          </cell>
          <cell r="G1913">
            <v>0.95656836494054998</v>
          </cell>
        </row>
        <row r="1914">
          <cell r="A1914" t="str">
            <v>125,2</v>
          </cell>
          <cell r="C1914" t="str">
            <v>Sek. BLS 1 - BLS 2</v>
          </cell>
          <cell r="D1914">
            <v>1778</v>
          </cell>
          <cell r="E1914">
            <v>2560.3199999999997</v>
          </cell>
          <cell r="F1914">
            <v>2</v>
          </cell>
          <cell r="G1914">
            <v>0.94985002821152043</v>
          </cell>
        </row>
        <row r="1915">
          <cell r="A1915" t="str">
            <v>125,3</v>
          </cell>
          <cell r="C1915" t="str">
            <v>Sek. BLS 2 - BLS 3</v>
          </cell>
          <cell r="D1915">
            <v>1676</v>
          </cell>
          <cell r="E1915">
            <v>2413.44</v>
          </cell>
          <cell r="F1915">
            <v>2</v>
          </cell>
          <cell r="G1915">
            <v>0.92129278928306313</v>
          </cell>
        </row>
        <row r="1916">
          <cell r="A1916" t="str">
            <v>125,4</v>
          </cell>
          <cell r="C1916" t="str">
            <v>Sek. BLS 3 - BLS 4</v>
          </cell>
          <cell r="D1916">
            <v>1477</v>
          </cell>
          <cell r="E1916">
            <v>2126.88</v>
          </cell>
          <cell r="F1916">
            <v>1.9</v>
          </cell>
          <cell r="G1916">
            <v>0.87994484932167205</v>
          </cell>
        </row>
        <row r="1917">
          <cell r="A1917" t="str">
            <v>125,5</v>
          </cell>
          <cell r="C1917" t="str">
            <v>Sek. BLS 4 - BLS 5</v>
          </cell>
          <cell r="D1917">
            <v>728</v>
          </cell>
          <cell r="E1917">
            <v>1048.32</v>
          </cell>
          <cell r="F1917">
            <v>1.3</v>
          </cell>
          <cell r="G1917">
            <v>0.7036763477212078</v>
          </cell>
        </row>
        <row r="1918">
          <cell r="A1918" t="str">
            <v>125,6</v>
          </cell>
          <cell r="C1918" t="str">
            <v>Sek. BLS 5 - BLS 6</v>
          </cell>
          <cell r="D1918">
            <v>647</v>
          </cell>
          <cell r="E1918">
            <v>931.68</v>
          </cell>
          <cell r="F1918">
            <v>1.1000000000000001</v>
          </cell>
          <cell r="G1918">
            <v>0.77469178719605458</v>
          </cell>
        </row>
        <row r="1919">
          <cell r="A1919" t="str">
            <v>125,7</v>
          </cell>
          <cell r="C1919" t="str">
            <v>Sek. BLS 6 - BLS 7</v>
          </cell>
          <cell r="D1919">
            <v>568</v>
          </cell>
          <cell r="E1919">
            <v>817.92</v>
          </cell>
          <cell r="F1919">
            <v>1.1000000000000001</v>
          </cell>
          <cell r="G1919">
            <v>0.72344901169876852</v>
          </cell>
        </row>
        <row r="1920">
          <cell r="A1920" t="str">
            <v>125,8</v>
          </cell>
          <cell r="C1920" t="str">
            <v>Sek. BLS 7 - BLS 8</v>
          </cell>
          <cell r="D1920">
            <v>197</v>
          </cell>
          <cell r="E1920">
            <v>283.68</v>
          </cell>
          <cell r="F1920">
            <v>0.55000000000000004</v>
          </cell>
          <cell r="G1920">
            <v>0.54253063704148408</v>
          </cell>
        </row>
        <row r="1921">
          <cell r="A1921" t="str">
            <v>125,9</v>
          </cell>
          <cell r="C1921" t="str">
            <v>Muka LS 3kn</v>
          </cell>
          <cell r="D1921">
            <v>144</v>
          </cell>
          <cell r="E1921">
            <v>207.35999999999999</v>
          </cell>
          <cell r="F1921">
            <v>0.5</v>
          </cell>
          <cell r="G1921">
            <v>0.45735795625174602</v>
          </cell>
        </row>
        <row r="1922">
          <cell r="A1922" t="str">
            <v>125,10</v>
          </cell>
          <cell r="C1922" t="str">
            <v>Sek. BLS 4 - BLS I.1</v>
          </cell>
          <cell r="D1922">
            <v>591</v>
          </cell>
          <cell r="E1922">
            <v>851.04</v>
          </cell>
          <cell r="F1922">
            <v>1</v>
          </cell>
          <cell r="G1922">
            <v>0.70257017665820931</v>
          </cell>
        </row>
        <row r="1923">
          <cell r="A1923" t="str">
            <v>125,11</v>
          </cell>
          <cell r="C1923" t="str">
            <v>Sek. BLS I.1 - BLS I.2</v>
          </cell>
          <cell r="D1923">
            <v>488</v>
          </cell>
          <cell r="E1923">
            <v>702.72</v>
          </cell>
          <cell r="F1923">
            <v>0.85</v>
          </cell>
          <cell r="G1923">
            <v>0.67704115652315122</v>
          </cell>
        </row>
        <row r="1924">
          <cell r="A1924" t="str">
            <v>125,12</v>
          </cell>
          <cell r="C1924" t="str">
            <v>Sek. BLS I.2 - BLS I.3</v>
          </cell>
          <cell r="D1924">
            <v>400</v>
          </cell>
          <cell r="E1924">
            <v>576</v>
          </cell>
          <cell r="F1924">
            <v>0.8</v>
          </cell>
          <cell r="G1924">
            <v>0.6251257251602651</v>
          </cell>
        </row>
        <row r="1925">
          <cell r="A1925" t="str">
            <v>125,13</v>
          </cell>
          <cell r="C1925" t="str">
            <v>Sek. BLS I.3 - BLS I.4</v>
          </cell>
          <cell r="D1925">
            <v>280</v>
          </cell>
          <cell r="E1925">
            <v>403.2</v>
          </cell>
          <cell r="F1925">
            <v>0.65</v>
          </cell>
          <cell r="G1925">
            <v>0.5618469797204293</v>
          </cell>
        </row>
        <row r="1926">
          <cell r="A1926" t="str">
            <v>125,14</v>
          </cell>
          <cell r="C1926" t="str">
            <v>Sek. BLS I.4 - BMLS I.4 tg</v>
          </cell>
          <cell r="D1926">
            <v>149</v>
          </cell>
          <cell r="E1926">
            <v>214.56</v>
          </cell>
          <cell r="F1926">
            <v>0.5</v>
          </cell>
          <cell r="G1926">
            <v>0.44754107550902206</v>
          </cell>
        </row>
        <row r="1927">
          <cell r="A1927" t="str">
            <v>125,15</v>
          </cell>
          <cell r="C1927" t="str">
            <v>Sek. BLS 7 - BLS II.1</v>
          </cell>
          <cell r="D1927">
            <v>158</v>
          </cell>
          <cell r="E1927">
            <v>227.51999999999998</v>
          </cell>
          <cell r="F1927">
            <v>0.5</v>
          </cell>
          <cell r="G1927">
            <v>0.47920156486325127</v>
          </cell>
        </row>
        <row r="1928">
          <cell r="A1928" t="str">
            <v>125,16</v>
          </cell>
          <cell r="C1928" t="str">
            <v>Sek. BLS II.1 - BMLS II.1 tg</v>
          </cell>
          <cell r="D1928">
            <v>97</v>
          </cell>
          <cell r="E1928">
            <v>139.68</v>
          </cell>
          <cell r="F1928">
            <v>0.45</v>
          </cell>
          <cell r="G1928">
            <v>0.38849570403903344</v>
          </cell>
        </row>
        <row r="1930">
          <cell r="A1930" t="str">
            <v>126</v>
          </cell>
          <cell r="B1930" t="str">
            <v>Lubuk Makmur Barat</v>
          </cell>
        </row>
        <row r="1931">
          <cell r="A1931" t="str">
            <v>126,1</v>
          </cell>
          <cell r="C1931" t="str">
            <v>Sek. BL 21 - BLMB 1</v>
          </cell>
          <cell r="D1931">
            <v>1666</v>
          </cell>
          <cell r="E1931">
            <v>2399.04</v>
          </cell>
          <cell r="F1931">
            <v>2.2000000000000002</v>
          </cell>
          <cell r="G1931">
            <v>1.0109419678953844</v>
          </cell>
        </row>
        <row r="1932">
          <cell r="A1932" t="str">
            <v>126,2</v>
          </cell>
          <cell r="C1932" t="str">
            <v>Sek. BLMB 1 - BLMB 2</v>
          </cell>
          <cell r="D1932">
            <v>1588</v>
          </cell>
          <cell r="E1932">
            <v>2286.7199999999998</v>
          </cell>
          <cell r="F1932">
            <v>2.2000000000000002</v>
          </cell>
          <cell r="G1932">
            <v>0.98610863480859101</v>
          </cell>
        </row>
        <row r="1933">
          <cell r="A1933" t="str">
            <v>126,3</v>
          </cell>
          <cell r="C1933" t="str">
            <v>Sek. BLMB 2 - BLMB 3</v>
          </cell>
          <cell r="D1933">
            <v>735</v>
          </cell>
          <cell r="E1933">
            <v>1058.3999999999999</v>
          </cell>
          <cell r="F1933">
            <v>1.2</v>
          </cell>
          <cell r="G1933">
            <v>0.69424078088804586</v>
          </cell>
        </row>
        <row r="1934">
          <cell r="A1934" t="str">
            <v>126,4</v>
          </cell>
          <cell r="C1934" t="str">
            <v>Sek. BLMB 3 - BLMB 4</v>
          </cell>
          <cell r="D1934">
            <v>619</v>
          </cell>
          <cell r="E1934">
            <v>891.36</v>
          </cell>
          <cell r="F1934">
            <v>1.1000000000000001</v>
          </cell>
          <cell r="G1934">
            <v>0.72147430473548269</v>
          </cell>
        </row>
        <row r="1935">
          <cell r="A1935" t="str">
            <v>126,5</v>
          </cell>
          <cell r="C1935" t="str">
            <v>Sek. BLMB 4 - BLMB 5</v>
          </cell>
          <cell r="D1935">
            <v>571</v>
          </cell>
          <cell r="E1935">
            <v>822.24</v>
          </cell>
          <cell r="F1935">
            <v>1.1000000000000001</v>
          </cell>
          <cell r="G1935">
            <v>0.69128612149442692</v>
          </cell>
        </row>
        <row r="1936">
          <cell r="A1936" t="str">
            <v>126,6</v>
          </cell>
          <cell r="C1936" t="str">
            <v>Sek. BLMB 5 - BLMB 6</v>
          </cell>
          <cell r="D1936">
            <v>398</v>
          </cell>
          <cell r="E1936">
            <v>573.12</v>
          </cell>
          <cell r="F1936">
            <v>0.9</v>
          </cell>
          <cell r="G1936">
            <v>0.62006578605651186</v>
          </cell>
        </row>
        <row r="1937">
          <cell r="A1937" t="str">
            <v>126,7</v>
          </cell>
          <cell r="C1937" t="str">
            <v>Sek. BLMB 6 - BLMB 7</v>
          </cell>
          <cell r="D1937">
            <v>188</v>
          </cell>
          <cell r="E1937">
            <v>270.71999999999997</v>
          </cell>
          <cell r="F1937">
            <v>0.55000000000000004</v>
          </cell>
          <cell r="G1937">
            <v>0.50626695581989367</v>
          </cell>
        </row>
        <row r="1938">
          <cell r="A1938" t="str">
            <v>126,8</v>
          </cell>
          <cell r="C1938" t="str">
            <v>Muka LMB 6kr2</v>
          </cell>
          <cell r="D1938">
            <v>74</v>
          </cell>
          <cell r="E1938">
            <v>133</v>
          </cell>
          <cell r="F1938">
            <v>0.5</v>
          </cell>
          <cell r="G1938">
            <v>0.37</v>
          </cell>
        </row>
        <row r="1940">
          <cell r="A1940">
            <v>127</v>
          </cell>
          <cell r="B1940" t="str">
            <v>Lubuk Makmur Timur</v>
          </cell>
        </row>
        <row r="1941">
          <cell r="A1941" t="str">
            <v>127,1</v>
          </cell>
          <cell r="C1941" t="str">
            <v>Sek. BLMB 2 - BLMT 1</v>
          </cell>
          <cell r="D1941">
            <v>765</v>
          </cell>
          <cell r="E1941">
            <v>1101.5999999999999</v>
          </cell>
          <cell r="F1941">
            <v>1.3</v>
          </cell>
          <cell r="G1941">
            <v>0.75291177577662116</v>
          </cell>
        </row>
        <row r="1942">
          <cell r="A1942" t="str">
            <v>127,2</v>
          </cell>
          <cell r="C1942" t="str">
            <v>Sek. BLMT 1 - BLMT 2</v>
          </cell>
          <cell r="D1942">
            <v>559</v>
          </cell>
          <cell r="E1942">
            <v>804.95999999999992</v>
          </cell>
          <cell r="F1942">
            <v>1</v>
          </cell>
          <cell r="G1942">
            <v>0.71047948474768685</v>
          </cell>
        </row>
        <row r="1943">
          <cell r="A1943" t="str">
            <v>127,3</v>
          </cell>
          <cell r="C1943" t="str">
            <v>Sek. BLMT 2 - BLMT 3</v>
          </cell>
          <cell r="D1943">
            <v>286</v>
          </cell>
          <cell r="E1943">
            <v>411.84</v>
          </cell>
          <cell r="F1943">
            <v>0.7</v>
          </cell>
          <cell r="G1943">
            <v>0.57515141077191789</v>
          </cell>
        </row>
        <row r="1944">
          <cell r="A1944" t="str">
            <v>127,4</v>
          </cell>
          <cell r="C1944" t="str">
            <v>Sek. BLMT 3 - BMLMT 3kn</v>
          </cell>
          <cell r="D1944">
            <v>140</v>
          </cell>
          <cell r="E1944">
            <v>252</v>
          </cell>
          <cell r="F1944">
            <v>0.55000000000000004</v>
          </cell>
          <cell r="G1944">
            <v>0.49</v>
          </cell>
        </row>
        <row r="1945">
          <cell r="A1945" t="str">
            <v>127,5</v>
          </cell>
          <cell r="C1945" t="str">
            <v>Muka LMT 1kr1</v>
          </cell>
          <cell r="D1945">
            <v>83</v>
          </cell>
          <cell r="E1945">
            <v>119.52</v>
          </cell>
          <cell r="F1945">
            <v>0.4</v>
          </cell>
          <cell r="G1945">
            <v>0.37410078054199836</v>
          </cell>
        </row>
        <row r="1946">
          <cell r="A1946" t="str">
            <v>127,6</v>
          </cell>
          <cell r="C1946" t="str">
            <v>Sek. BLMT 2 - BLMT II.1</v>
          </cell>
          <cell r="D1946">
            <v>226</v>
          </cell>
          <cell r="E1946">
            <v>325.44</v>
          </cell>
          <cell r="F1946">
            <v>0.6</v>
          </cell>
          <cell r="G1946">
            <v>0.53908306559913566</v>
          </cell>
        </row>
        <row r="1947">
          <cell r="A1947" t="str">
            <v>127,7</v>
          </cell>
          <cell r="C1947" t="str">
            <v>Sek. BLMT II.1 - BLMT II.2</v>
          </cell>
          <cell r="D1947">
            <v>197</v>
          </cell>
          <cell r="E1947">
            <v>283.68</v>
          </cell>
          <cell r="F1947">
            <v>0.55000000000000004</v>
          </cell>
          <cell r="G1947">
            <v>0.51832155260405088</v>
          </cell>
        </row>
        <row r="1948">
          <cell r="A1948" t="str">
            <v>127,8</v>
          </cell>
          <cell r="C1948" t="str">
            <v>Sek. BLMT II.2 - BMLMT II.2kn</v>
          </cell>
          <cell r="D1948">
            <v>110</v>
          </cell>
          <cell r="E1948">
            <v>158.4</v>
          </cell>
          <cell r="F1948">
            <v>0.45</v>
          </cell>
          <cell r="G1948">
            <v>0.41404311773978514</v>
          </cell>
        </row>
        <row r="1950">
          <cell r="A1950">
            <v>128</v>
          </cell>
          <cell r="B1950" t="str">
            <v>Mekarjaya</v>
          </cell>
        </row>
        <row r="1951">
          <cell r="A1951" t="str">
            <v>128,1</v>
          </cell>
          <cell r="C1951" t="str">
            <v>Sek. BL 20 - BMJ 1</v>
          </cell>
          <cell r="D1951">
            <v>1395</v>
          </cell>
          <cell r="E1951">
            <v>2008.8</v>
          </cell>
          <cell r="F1951">
            <v>1.8</v>
          </cell>
          <cell r="G1951">
            <v>0.83186528651278246</v>
          </cell>
        </row>
        <row r="1952">
          <cell r="A1952" t="str">
            <v>128,2</v>
          </cell>
          <cell r="C1952" t="str">
            <v>Sek. BMJ 1 - BMJ 2</v>
          </cell>
          <cell r="D1952">
            <v>1225</v>
          </cell>
          <cell r="E1952">
            <v>1764</v>
          </cell>
          <cell r="F1952">
            <v>1.7</v>
          </cell>
          <cell r="G1952">
            <v>0.79483218152236734</v>
          </cell>
        </row>
        <row r="1953">
          <cell r="A1953" t="str">
            <v>128,3</v>
          </cell>
          <cell r="C1953" t="str">
            <v>Sek. BMJ 2 - BMJ 3</v>
          </cell>
          <cell r="D1953">
            <v>1113</v>
          </cell>
          <cell r="E1953">
            <v>1602.72</v>
          </cell>
          <cell r="F1953">
            <v>1.65</v>
          </cell>
          <cell r="G1953">
            <v>0.76499122331913183</v>
          </cell>
        </row>
        <row r="1954">
          <cell r="A1954" t="str">
            <v>128,4</v>
          </cell>
          <cell r="C1954" t="str">
            <v>Sek. BMJ 3 - BMJ 4</v>
          </cell>
          <cell r="D1954">
            <v>769</v>
          </cell>
          <cell r="E1954">
            <v>1107.3599999999999</v>
          </cell>
          <cell r="F1954">
            <v>1.3</v>
          </cell>
          <cell r="G1954">
            <v>0.75502084714750406</v>
          </cell>
        </row>
        <row r="1955">
          <cell r="A1955" t="str">
            <v>128,5</v>
          </cell>
          <cell r="C1955" t="str">
            <v>Sek. BMJ 4 - BMJ 5</v>
          </cell>
          <cell r="D1955">
            <v>669</v>
          </cell>
          <cell r="E1955">
            <v>963.36</v>
          </cell>
          <cell r="F1955">
            <v>1.1000000000000001</v>
          </cell>
          <cell r="G1955">
            <v>0.75160222368708651</v>
          </cell>
        </row>
        <row r="1956">
          <cell r="A1956" t="str">
            <v>128,6</v>
          </cell>
          <cell r="C1956" t="str">
            <v>Sek. BMJ 5 - BMJ 6</v>
          </cell>
          <cell r="D1956">
            <v>436</v>
          </cell>
          <cell r="E1956">
            <v>627.84</v>
          </cell>
          <cell r="F1956">
            <v>0.9</v>
          </cell>
          <cell r="G1956">
            <v>0.65035530124441987</v>
          </cell>
        </row>
        <row r="1957">
          <cell r="A1957" t="str">
            <v>128,7</v>
          </cell>
          <cell r="C1957" t="str">
            <v>Sek. BMJ 6 - BMJ 7</v>
          </cell>
          <cell r="D1957">
            <v>233</v>
          </cell>
          <cell r="E1957">
            <v>335.52</v>
          </cell>
          <cell r="F1957">
            <v>0.65</v>
          </cell>
          <cell r="G1957">
            <v>0.53206672991125492</v>
          </cell>
        </row>
        <row r="1958">
          <cell r="A1958" t="str">
            <v>128,8</v>
          </cell>
          <cell r="C1958" t="str">
            <v>Sek. BMJ 7 - BMJ 7tg</v>
          </cell>
          <cell r="D1958">
            <v>27</v>
          </cell>
          <cell r="E1958">
            <v>38.879999999999995</v>
          </cell>
          <cell r="F1958">
            <v>0.3</v>
          </cell>
          <cell r="G1958">
            <v>0.23406140188874439</v>
          </cell>
        </row>
        <row r="1959">
          <cell r="A1959" t="str">
            <v>128,9</v>
          </cell>
          <cell r="C1959" t="str">
            <v>Muka MJ 1kn1</v>
          </cell>
          <cell r="D1959">
            <v>115</v>
          </cell>
          <cell r="E1959">
            <v>165.6</v>
          </cell>
          <cell r="F1959">
            <v>0.45</v>
          </cell>
          <cell r="G1959">
            <v>0.42341066595797522</v>
          </cell>
        </row>
        <row r="1960">
          <cell r="A1960" t="str">
            <v>128,10</v>
          </cell>
          <cell r="C1960" t="str">
            <v>Sek. BMJ 3 - BMJ I.1</v>
          </cell>
          <cell r="D1960">
            <v>270</v>
          </cell>
          <cell r="E1960">
            <v>388.8</v>
          </cell>
          <cell r="F1960">
            <v>0.65</v>
          </cell>
          <cell r="G1960">
            <v>0.57358299870339047</v>
          </cell>
        </row>
        <row r="1961">
          <cell r="A1961" t="str">
            <v>128,11</v>
          </cell>
          <cell r="C1961" t="str">
            <v>Sek. BMJ I.1 - BMJ I.2</v>
          </cell>
          <cell r="D1961">
            <v>256</v>
          </cell>
          <cell r="E1961">
            <v>368.64</v>
          </cell>
          <cell r="F1961">
            <v>0.65</v>
          </cell>
          <cell r="G1961">
            <v>0.55827442937852023</v>
          </cell>
        </row>
        <row r="1962">
          <cell r="A1962" t="str">
            <v>128,12</v>
          </cell>
          <cell r="C1962" t="str">
            <v>Sek. BMJ I.2 - BMJ I.3</v>
          </cell>
          <cell r="D1962">
            <v>176</v>
          </cell>
          <cell r="E1962">
            <v>253.44</v>
          </cell>
          <cell r="F1962">
            <v>0.55000000000000004</v>
          </cell>
          <cell r="G1962">
            <v>0.48967355736603174</v>
          </cell>
        </row>
        <row r="1963">
          <cell r="A1963" t="str">
            <v>128,13</v>
          </cell>
          <cell r="C1963" t="str">
            <v>Sek. BMJ 5 - BMJ II.1</v>
          </cell>
          <cell r="D1963">
            <v>157</v>
          </cell>
          <cell r="E1963">
            <v>226.07999999999998</v>
          </cell>
          <cell r="F1963">
            <v>0.5</v>
          </cell>
          <cell r="G1963">
            <v>0.47767877347752125</v>
          </cell>
        </row>
        <row r="1964">
          <cell r="A1964" t="str">
            <v>128,14</v>
          </cell>
          <cell r="C1964" t="str">
            <v>Muka BMJ II.1 - BMMJ II.1kr</v>
          </cell>
          <cell r="D1964">
            <v>123</v>
          </cell>
          <cell r="E1964">
            <v>177.12</v>
          </cell>
          <cell r="F1964">
            <v>0.45</v>
          </cell>
          <cell r="G1964">
            <v>0.43792955895552788</v>
          </cell>
        </row>
        <row r="1965">
          <cell r="A1965" t="str">
            <v>128,15</v>
          </cell>
          <cell r="C1965" t="str">
            <v>Sek. BMJ 6 - BMJ III.1</v>
          </cell>
          <cell r="D1965">
            <v>150</v>
          </cell>
          <cell r="E1965">
            <v>216</v>
          </cell>
          <cell r="F1965">
            <v>0.5</v>
          </cell>
          <cell r="G1965">
            <v>0.46686104358468183</v>
          </cell>
        </row>
        <row r="1966">
          <cell r="A1966" t="str">
            <v>128,16</v>
          </cell>
          <cell r="C1966" t="str">
            <v>Sek. BMJ III.1 - BMJ III.2</v>
          </cell>
          <cell r="D1966">
            <v>105</v>
          </cell>
          <cell r="E1966">
            <v>151.19999999999999</v>
          </cell>
          <cell r="F1966">
            <v>0.45</v>
          </cell>
          <cell r="G1966">
            <v>0.40443084156890607</v>
          </cell>
        </row>
        <row r="1967">
          <cell r="A1967" t="str">
            <v>128,17</v>
          </cell>
          <cell r="C1967" t="str">
            <v>Muka BMJ III.2 - BMJ III.2kn</v>
          </cell>
          <cell r="D1967">
            <v>38</v>
          </cell>
          <cell r="E1967">
            <v>54.72</v>
          </cell>
          <cell r="F1967">
            <v>0.3</v>
          </cell>
          <cell r="G1967">
            <v>0.27859166464088891</v>
          </cell>
        </row>
        <row r="1969">
          <cell r="D1969">
            <v>37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231E5-0FC3-4FD2-9C67-67D3AA924EC9}">
  <sheetPr codeName="Sheet1"/>
  <dimension ref="A1:AG506"/>
  <sheetViews>
    <sheetView tabSelected="1" view="pageBreakPreview" zoomScale="85" zoomScaleNormal="85" zoomScaleSheetLayoutView="85" workbookViewId="0">
      <selection activeCell="I19" sqref="I19:I20"/>
    </sheetView>
  </sheetViews>
  <sheetFormatPr defaultRowHeight="14.4"/>
  <cols>
    <col min="2" max="2" width="24.109375" bestFit="1" customWidth="1"/>
    <col min="3" max="3" width="9.88671875" bestFit="1" customWidth="1"/>
    <col min="4" max="4" width="16.21875" bestFit="1" customWidth="1"/>
    <col min="5" max="5" width="4.5546875" style="35" customWidth="1"/>
    <col min="6" max="6" width="9.6640625" style="8" customWidth="1"/>
    <col min="7" max="7" width="10.6640625" customWidth="1"/>
    <col min="8" max="8" width="33.21875" customWidth="1"/>
    <col min="9" max="9" width="77.33203125" customWidth="1"/>
    <col min="10" max="16" width="12.21875" customWidth="1"/>
    <col min="17" max="17" width="9.88671875" style="8" customWidth="1"/>
    <col min="18" max="40" width="8.88671875" customWidth="1"/>
  </cols>
  <sheetData>
    <row r="1" spans="1:33" ht="15" thickBot="1">
      <c r="A1" s="24"/>
      <c r="B1" s="25"/>
      <c r="C1" s="25"/>
      <c r="D1" s="25"/>
      <c r="E1" s="29"/>
      <c r="F1" s="26"/>
      <c r="G1" s="25"/>
      <c r="H1" s="25"/>
      <c r="I1" s="25"/>
      <c r="J1" s="25"/>
      <c r="K1" s="25"/>
      <c r="L1" s="25"/>
      <c r="M1" s="25"/>
      <c r="N1" s="25"/>
      <c r="O1" s="25"/>
      <c r="P1" s="25"/>
      <c r="Q1" s="89"/>
    </row>
    <row r="2" spans="1:33">
      <c r="A2" s="27"/>
      <c r="B2" s="123" t="s">
        <v>215</v>
      </c>
      <c r="C2" s="124"/>
      <c r="D2" s="124"/>
      <c r="E2" s="124"/>
      <c r="F2" s="124"/>
      <c r="G2" s="36" t="s">
        <v>216</v>
      </c>
      <c r="H2" s="47"/>
      <c r="I2" s="48"/>
      <c r="J2" s="48"/>
      <c r="K2" s="48"/>
      <c r="L2" s="48"/>
      <c r="M2" s="48"/>
      <c r="N2" s="163"/>
      <c r="O2" s="164"/>
      <c r="P2" s="165"/>
      <c r="Q2" s="90"/>
    </row>
    <row r="3" spans="1:33">
      <c r="A3" s="27"/>
      <c r="B3" s="125"/>
      <c r="C3" s="126"/>
      <c r="D3" s="126"/>
      <c r="E3" s="126"/>
      <c r="F3" s="126"/>
      <c r="G3" s="4" t="s">
        <v>217</v>
      </c>
      <c r="H3" s="49"/>
      <c r="I3" s="50"/>
      <c r="J3" s="50"/>
      <c r="K3" s="50"/>
      <c r="L3" s="50"/>
      <c r="M3" s="50"/>
      <c r="N3" s="166"/>
      <c r="O3" s="167"/>
      <c r="P3" s="168"/>
      <c r="Q3" s="90"/>
    </row>
    <row r="4" spans="1:33">
      <c r="A4" s="27"/>
      <c r="B4" s="127" t="s">
        <v>218</v>
      </c>
      <c r="C4" s="128"/>
      <c r="D4" s="128"/>
      <c r="E4" s="128"/>
      <c r="F4" s="128"/>
      <c r="G4" s="4" t="s">
        <v>219</v>
      </c>
      <c r="H4" s="49"/>
      <c r="I4" s="50"/>
      <c r="J4" s="50"/>
      <c r="K4" s="50"/>
      <c r="L4" s="50"/>
      <c r="M4" s="50"/>
      <c r="N4" s="169"/>
      <c r="O4" s="170"/>
      <c r="P4" s="171"/>
      <c r="Q4" s="90"/>
    </row>
    <row r="5" spans="1:33" ht="14.4" customHeight="1">
      <c r="A5" s="27"/>
      <c r="B5" s="125"/>
      <c r="C5" s="126"/>
      <c r="D5" s="126"/>
      <c r="E5" s="126"/>
      <c r="F5" s="126"/>
      <c r="G5" s="3" t="s">
        <v>261</v>
      </c>
      <c r="H5" s="49"/>
      <c r="I5" s="50"/>
      <c r="J5" s="50"/>
      <c r="K5" s="50"/>
      <c r="L5" s="23" t="s">
        <v>255</v>
      </c>
      <c r="M5" s="5"/>
      <c r="N5" s="160" t="s">
        <v>220</v>
      </c>
      <c r="O5" s="161"/>
      <c r="P5" s="162"/>
      <c r="Q5" s="90"/>
    </row>
    <row r="6" spans="1:33" ht="15" thickBot="1">
      <c r="A6" s="27"/>
      <c r="B6" s="156"/>
      <c r="C6" s="157"/>
      <c r="D6" s="157"/>
      <c r="E6" s="157"/>
      <c r="F6" s="157"/>
      <c r="G6" s="37" t="s">
        <v>221</v>
      </c>
      <c r="H6" s="49"/>
      <c r="I6" s="50"/>
      <c r="J6" s="50"/>
      <c r="K6" s="50"/>
      <c r="L6" s="38" t="s">
        <v>255</v>
      </c>
      <c r="M6" s="5"/>
      <c r="N6" s="39"/>
      <c r="O6" s="40" t="s">
        <v>222</v>
      </c>
      <c r="P6" s="41"/>
      <c r="Q6" s="90"/>
    </row>
    <row r="7" spans="1:33" ht="16.2" thickBot="1">
      <c r="A7" s="27"/>
      <c r="B7" s="9"/>
      <c r="C7" s="9"/>
      <c r="D7" s="9"/>
      <c r="E7" s="30"/>
      <c r="F7" s="14"/>
      <c r="G7" s="9"/>
      <c r="H7" s="9"/>
      <c r="I7" s="11"/>
      <c r="J7" s="9"/>
      <c r="K7" s="9"/>
      <c r="L7" s="9"/>
      <c r="M7" s="9"/>
      <c r="N7" s="9"/>
      <c r="O7" s="10"/>
      <c r="P7" s="12"/>
      <c r="Q7" s="28"/>
      <c r="R7" s="10"/>
      <c r="S7" s="10"/>
      <c r="W7" s="7"/>
      <c r="Y7" t="s">
        <v>304</v>
      </c>
    </row>
    <row r="8" spans="1:33" ht="53.4" thickBot="1">
      <c r="A8" s="27"/>
      <c r="B8" s="16" t="s">
        <v>223</v>
      </c>
      <c r="C8" s="17" t="s">
        <v>0</v>
      </c>
      <c r="D8" s="1" t="s">
        <v>1</v>
      </c>
      <c r="E8" s="31"/>
      <c r="F8" s="1" t="s">
        <v>225</v>
      </c>
      <c r="G8" s="1" t="s">
        <v>229</v>
      </c>
      <c r="H8" s="1" t="s">
        <v>224</v>
      </c>
      <c r="I8" s="1" t="s">
        <v>213</v>
      </c>
      <c r="J8" s="1" t="s">
        <v>258</v>
      </c>
      <c r="K8" s="1" t="s">
        <v>256</v>
      </c>
      <c r="L8" s="1" t="s">
        <v>214</v>
      </c>
      <c r="M8" s="1" t="s">
        <v>259</v>
      </c>
      <c r="N8" s="1" t="s">
        <v>260</v>
      </c>
      <c r="O8" s="1" t="s">
        <v>257</v>
      </c>
      <c r="P8" s="18" t="s">
        <v>307</v>
      </c>
      <c r="Q8" s="90"/>
      <c r="R8" s="52"/>
      <c r="S8" s="53"/>
      <c r="T8" s="53"/>
      <c r="U8" s="53"/>
      <c r="V8" s="53"/>
      <c r="Y8" s="1" t="s">
        <v>259</v>
      </c>
      <c r="Z8" s="1" t="s">
        <v>260</v>
      </c>
      <c r="AC8" s="8" t="s">
        <v>305</v>
      </c>
      <c r="AD8" s="105" t="s">
        <v>306</v>
      </c>
      <c r="AF8" t="s">
        <v>305</v>
      </c>
      <c r="AG8" t="s">
        <v>306</v>
      </c>
    </row>
    <row r="9" spans="1:33" ht="17.399999999999999">
      <c r="A9" s="27"/>
      <c r="B9" s="178"/>
      <c r="C9" s="147"/>
      <c r="D9" s="147"/>
      <c r="E9" s="58"/>
      <c r="F9" s="57"/>
      <c r="G9" s="59"/>
      <c r="H9" s="59"/>
      <c r="I9" s="172" t="s">
        <v>270</v>
      </c>
      <c r="J9" s="121"/>
      <c r="K9" s="121"/>
      <c r="L9" s="121"/>
      <c r="M9" s="121"/>
      <c r="N9" s="121"/>
      <c r="O9" s="147"/>
      <c r="P9" s="176"/>
      <c r="Q9" s="90"/>
      <c r="R9" s="52"/>
      <c r="S9" s="53"/>
      <c r="T9" s="53"/>
      <c r="U9" s="53"/>
      <c r="V9" s="53"/>
      <c r="Y9" s="121"/>
      <c r="Z9" s="121"/>
    </row>
    <row r="10" spans="1:33" ht="17.399999999999999">
      <c r="A10" s="27"/>
      <c r="B10" s="179"/>
      <c r="C10" s="148"/>
      <c r="D10" s="148"/>
      <c r="E10" s="55"/>
      <c r="F10" s="54"/>
      <c r="G10" s="56"/>
      <c r="H10" s="56"/>
      <c r="I10" s="173"/>
      <c r="J10" s="122"/>
      <c r="K10" s="122"/>
      <c r="L10" s="122"/>
      <c r="M10" s="122"/>
      <c r="N10" s="122"/>
      <c r="O10" s="148"/>
      <c r="P10" s="177"/>
      <c r="Q10" s="90"/>
      <c r="R10" s="52"/>
      <c r="S10" s="53" t="s">
        <v>40</v>
      </c>
      <c r="T10" s="53"/>
      <c r="U10" s="53"/>
      <c r="V10" s="53"/>
      <c r="Y10" s="122"/>
      <c r="Z10" s="122"/>
    </row>
    <row r="11" spans="1:33" ht="15.6">
      <c r="A11" s="27"/>
      <c r="B11" s="138" t="s">
        <v>231</v>
      </c>
      <c r="C11" s="140"/>
      <c r="D11" s="140"/>
      <c r="E11" s="32"/>
      <c r="F11" s="19"/>
      <c r="G11" s="20"/>
      <c r="H11" s="20"/>
      <c r="I11" s="20" t="str">
        <f>IF(H11="","",H11 &amp; " - Input for design of " &amp;D11)</f>
        <v/>
      </c>
      <c r="J11" s="20"/>
      <c r="K11" s="20"/>
      <c r="L11" s="20"/>
      <c r="M11" s="20"/>
      <c r="N11" s="20"/>
      <c r="O11" s="20"/>
      <c r="P11" s="42"/>
      <c r="Q11" s="90"/>
      <c r="R11" s="51"/>
      <c r="S11" s="180" t="s">
        <v>271</v>
      </c>
      <c r="T11" s="181"/>
      <c r="U11" s="182"/>
      <c r="V11" s="61" t="s">
        <v>272</v>
      </c>
      <c r="Y11" s="20"/>
      <c r="Z11" s="20"/>
    </row>
    <row r="12" spans="1:33" ht="15.6">
      <c r="A12" s="27"/>
      <c r="B12" s="139"/>
      <c r="C12" s="141"/>
      <c r="D12" s="141"/>
      <c r="E12" s="33"/>
      <c r="F12" s="21"/>
      <c r="G12" s="22"/>
      <c r="H12" s="22"/>
      <c r="I12" s="22"/>
      <c r="J12" s="22"/>
      <c r="K12" s="22"/>
      <c r="L12" s="22"/>
      <c r="M12" s="22"/>
      <c r="N12" s="22"/>
      <c r="O12" s="22"/>
      <c r="P12" s="43"/>
      <c r="Q12" s="90"/>
      <c r="S12" s="86" t="s">
        <v>299</v>
      </c>
      <c r="T12" s="67" t="s">
        <v>296</v>
      </c>
      <c r="U12" s="68">
        <v>0.04</v>
      </c>
      <c r="V12" s="62">
        <v>0.3</v>
      </c>
      <c r="Y12" s="22"/>
      <c r="Z12" s="22"/>
    </row>
    <row r="13" spans="1:33" ht="15.6">
      <c r="A13" s="27"/>
      <c r="B13" s="132" t="s">
        <v>3</v>
      </c>
      <c r="C13" s="134" t="s">
        <v>4</v>
      </c>
      <c r="D13" s="136" t="s">
        <v>230</v>
      </c>
      <c r="E13" s="34" t="s">
        <v>227</v>
      </c>
      <c r="F13" s="6" t="s">
        <v>2</v>
      </c>
      <c r="G13" s="13">
        <v>28.149578900000026</v>
      </c>
      <c r="H13" s="2" t="s">
        <v>308</v>
      </c>
      <c r="I13" s="114" t="s">
        <v>309</v>
      </c>
      <c r="J13" s="112">
        <v>4</v>
      </c>
      <c r="K13" s="112"/>
      <c r="L13" s="112"/>
      <c r="M13" s="112"/>
      <c r="N13" s="112"/>
      <c r="O13" s="112"/>
      <c r="P13" s="116"/>
      <c r="Q13" s="90"/>
      <c r="S13" s="86">
        <v>0.04</v>
      </c>
      <c r="T13" s="67" t="s">
        <v>297</v>
      </c>
      <c r="U13" s="68">
        <v>0.1</v>
      </c>
      <c r="V13" s="62">
        <v>0.4</v>
      </c>
      <c r="Y13" s="112"/>
      <c r="Z13" s="112"/>
      <c r="AC13" s="111">
        <f>IF(J13="","",VLOOKUP(F14,[1]dim!$A:$F,6,FALSE))</f>
        <v>4</v>
      </c>
      <c r="AD13" s="111">
        <f>IF(J13="","",VLOOKUP(F14,[1]dim!$A:$G,7,FALSE))</f>
        <v>1.58</v>
      </c>
      <c r="AF13">
        <v>4</v>
      </c>
      <c r="AG13">
        <v>1.58</v>
      </c>
    </row>
    <row r="14" spans="1:33" ht="15.6">
      <c r="A14" s="27"/>
      <c r="B14" s="133"/>
      <c r="C14" s="135"/>
      <c r="D14" s="137"/>
      <c r="E14" s="34" t="s">
        <v>228</v>
      </c>
      <c r="F14" s="6" t="s">
        <v>5</v>
      </c>
      <c r="G14" s="13">
        <v>28.149578900000026</v>
      </c>
      <c r="H14" s="2" t="s">
        <v>310</v>
      </c>
      <c r="I14" s="115"/>
      <c r="J14" s="113"/>
      <c r="K14" s="113"/>
      <c r="L14" s="113"/>
      <c r="M14" s="113"/>
      <c r="N14" s="113"/>
      <c r="O14" s="113"/>
      <c r="P14" s="117"/>
      <c r="Q14" s="90"/>
      <c r="R14" t="str">
        <f>IF(D13="Crump De Gruyter",(VLOOKUP(F14,[1]dim!$A:$E,5,FALSE))/1000,"")</f>
        <v/>
      </c>
      <c r="S14" s="86">
        <v>0.1</v>
      </c>
      <c r="T14" s="67" t="s">
        <v>298</v>
      </c>
      <c r="U14" s="68">
        <v>0.3</v>
      </c>
      <c r="V14" s="62">
        <v>0.6</v>
      </c>
      <c r="Y14" s="113"/>
      <c r="Z14" s="113"/>
      <c r="AC14" s="111"/>
      <c r="AD14" s="111"/>
    </row>
    <row r="15" spans="1:33" ht="15.6">
      <c r="A15" s="27"/>
      <c r="B15" s="129" t="s">
        <v>6</v>
      </c>
      <c r="C15" s="130" t="s">
        <v>7</v>
      </c>
      <c r="D15" s="131" t="s">
        <v>8</v>
      </c>
      <c r="E15" s="34" t="s">
        <v>227</v>
      </c>
      <c r="F15" s="6" t="s">
        <v>5</v>
      </c>
      <c r="G15" s="13">
        <v>27.762420700000028</v>
      </c>
      <c r="H15" s="2" t="s">
        <v>310</v>
      </c>
      <c r="I15" s="114" t="s">
        <v>311</v>
      </c>
      <c r="J15" s="112">
        <v>4</v>
      </c>
      <c r="K15" s="112">
        <v>0.10000000000000142</v>
      </c>
      <c r="L15" s="112"/>
      <c r="M15" s="112">
        <v>2</v>
      </c>
      <c r="N15" s="112">
        <v>2</v>
      </c>
      <c r="O15" s="112" t="s">
        <v>312</v>
      </c>
      <c r="P15" s="149" t="s">
        <v>312</v>
      </c>
      <c r="Q15" s="90"/>
      <c r="S15" s="86">
        <v>0.3</v>
      </c>
      <c r="T15" s="67" t="s">
        <v>298</v>
      </c>
      <c r="U15" s="68">
        <v>0.5</v>
      </c>
      <c r="V15" s="62">
        <v>0.8</v>
      </c>
      <c r="Y15" s="112">
        <f>IF(V15&gt;=$S$28,IF(V15/2&gt;=$S$28,$S$28,IF(AND(V15/2&lt;$S$28,V15/2&gt;=$S$27),$S$27,IF(AND(V15/2&lt;$S$27,V15/2&gt;=$S$26),$S$26,IF(AND(V15/2&lt;$S$26,V15/2&gt;=$S$25),$S$25,IF(AND(V15/2&lt;$S$25,V15/2&gt;=$S$24),$S$24,IF(AND(V15/2&lt;$S$24,V15/2&gt;=$S$23),$S$23,IF(AND(V15/2&lt;$S$23,V15/2&gt;=$S$22),$S$22,""))))))),
IF(V15="","",
IF(AND(V15&gt;=$S$22,V15&lt;$S$23),$S$22,IF(AND(V15&gt;=$S$23,V15&lt;$S$24),$S$23,IF(AND(V15&gt;=$S$24,V15&lt;$S$25),$S$24,IF(AND(V15&gt;=$S$25,V15&lt;$S$26),$S$25,IF(AND(V15&gt;=$S$26,V15&lt;$S$27),$S$26,IF(AND(V15&gt;=$S$27,V15&lt;$S$28),$S$27,""))))))))</f>
        <v>0.75</v>
      </c>
      <c r="Z15" s="112">
        <f>IF(V15&gt;$S$28,2,1)</f>
        <v>1</v>
      </c>
      <c r="AC15" s="111">
        <f>IF(J15="","",VLOOKUP(F16,[1]dim!$A:$F,6,FALSE))</f>
        <v>4</v>
      </c>
      <c r="AD15" s="111">
        <f>IF(J15="","",VLOOKUP(F16,[1]dim!$A:$G,7,FALSE))</f>
        <v>1.58</v>
      </c>
      <c r="AF15">
        <v>4</v>
      </c>
      <c r="AG15">
        <v>1.58</v>
      </c>
    </row>
    <row r="16" spans="1:33" ht="15.6">
      <c r="A16" s="27"/>
      <c r="B16" s="129"/>
      <c r="C16" s="130"/>
      <c r="D16" s="131"/>
      <c r="E16" s="34" t="s">
        <v>228</v>
      </c>
      <c r="F16" s="6" t="s">
        <v>9</v>
      </c>
      <c r="G16" s="13">
        <v>27.662420700000027</v>
      </c>
      <c r="H16" s="2" t="s">
        <v>313</v>
      </c>
      <c r="I16" s="115"/>
      <c r="J16" s="113"/>
      <c r="K16" s="113"/>
      <c r="L16" s="113"/>
      <c r="M16" s="113"/>
      <c r="N16" s="113"/>
      <c r="O16" s="113"/>
      <c r="P16" s="117"/>
      <c r="Q16" s="90"/>
      <c r="R16" t="str">
        <f>IF(D15="Crump De Gruyter",(VLOOKUP(F16,[1]dim!$A:$E,5,FALSE))/1000,"")</f>
        <v/>
      </c>
      <c r="S16" s="86">
        <v>0.5</v>
      </c>
      <c r="T16" s="67" t="s">
        <v>298</v>
      </c>
      <c r="U16" s="68">
        <v>0.8</v>
      </c>
      <c r="V16" s="62">
        <v>1</v>
      </c>
      <c r="Y16" s="113"/>
      <c r="Z16" s="113"/>
      <c r="AC16" s="111"/>
      <c r="AD16" s="111"/>
    </row>
    <row r="17" spans="1:33" ht="15.6">
      <c r="A17" s="27"/>
      <c r="B17" s="129" t="s">
        <v>10</v>
      </c>
      <c r="C17" s="130" t="s">
        <v>11</v>
      </c>
      <c r="D17" s="131" t="s">
        <v>8</v>
      </c>
      <c r="E17" s="34" t="s">
        <v>227</v>
      </c>
      <c r="F17" s="6" t="s">
        <v>9</v>
      </c>
      <c r="G17" s="13">
        <v>27.291681500000028</v>
      </c>
      <c r="H17" s="2" t="s">
        <v>313</v>
      </c>
      <c r="I17" s="114" t="s">
        <v>314</v>
      </c>
      <c r="J17" s="112">
        <v>4</v>
      </c>
      <c r="K17" s="112">
        <v>0.10000000000000142</v>
      </c>
      <c r="L17" s="112"/>
      <c r="M17" s="112">
        <v>2</v>
      </c>
      <c r="N17" s="112">
        <v>2</v>
      </c>
      <c r="O17" s="112" t="s">
        <v>312</v>
      </c>
      <c r="P17" s="149" t="s">
        <v>312</v>
      </c>
      <c r="Q17" s="90"/>
      <c r="S17" s="86">
        <v>0.8</v>
      </c>
      <c r="T17" s="67" t="s">
        <v>298</v>
      </c>
      <c r="U17" s="68">
        <v>1.2</v>
      </c>
      <c r="V17" s="62">
        <v>1.2</v>
      </c>
      <c r="Y17" s="112">
        <f>IF(V17&gt;=$S$28,IF(V17/2&gt;=$S$28,$S$28,IF(AND(V17/2&lt;$S$28,V17/2&gt;=$S$27),$S$27,IF(AND(V17/2&lt;$S$27,V17/2&gt;=$S$26),$S$26,IF(AND(V17/2&lt;$S$26,V17/2&gt;=$S$25),$S$25,IF(AND(V17/2&lt;$S$25,V17/2&gt;=$S$24),$S$24,IF(AND(V17/2&lt;$S$24,V17/2&gt;=$S$23),$S$23,IF(AND(V17/2&lt;$S$23,V17/2&gt;=$S$22),$S$22,""))))))),
IF(V17="","",
IF(AND(V17&gt;=$S$22,V17&lt;$S$23),$S$22,IF(AND(V17&gt;=$S$23,V17&lt;$S$24),$S$23,IF(AND(V17&gt;=$S$24,V17&lt;$S$25),$S$24,IF(AND(V17&gt;=$S$25,V17&lt;$S$26),$S$25,IF(AND(V17&gt;=$S$26,V17&lt;$S$27),$S$26,IF(AND(V17&gt;=$S$27,V17&lt;$S$28),$S$27,""))))))))</f>
        <v>1</v>
      </c>
      <c r="Z17" s="112">
        <f>IF(V17&gt;$S$28,2,1)</f>
        <v>1</v>
      </c>
      <c r="AC17" s="111">
        <f>IF(J17="","",VLOOKUP(F18,[1]dim!$A:$F,6,FALSE))</f>
        <v>4</v>
      </c>
      <c r="AD17" s="111">
        <f>IF(J17="","",VLOOKUP(F18,[1]dim!$A:$G,7,FALSE))</f>
        <v>1.55</v>
      </c>
      <c r="AF17">
        <v>4</v>
      </c>
      <c r="AG17">
        <v>1.55</v>
      </c>
    </row>
    <row r="18" spans="1:33" ht="15.6">
      <c r="A18" s="27"/>
      <c r="B18" s="129"/>
      <c r="C18" s="130"/>
      <c r="D18" s="131"/>
      <c r="E18" s="34" t="s">
        <v>228</v>
      </c>
      <c r="F18" s="6" t="s">
        <v>12</v>
      </c>
      <c r="G18" s="13">
        <v>27.191681500000026</v>
      </c>
      <c r="H18" s="2" t="s">
        <v>315</v>
      </c>
      <c r="I18" s="115"/>
      <c r="J18" s="113"/>
      <c r="K18" s="113"/>
      <c r="L18" s="113"/>
      <c r="M18" s="113"/>
      <c r="N18" s="113"/>
      <c r="O18" s="113"/>
      <c r="P18" s="117"/>
      <c r="Q18" s="90"/>
      <c r="R18" t="str">
        <f>IF(D17="Crump De Gruyter",(VLOOKUP(F18,[1]dim!$A:$E,5,FALSE))/1000,"")</f>
        <v/>
      </c>
      <c r="S18" s="61">
        <v>1.2</v>
      </c>
      <c r="T18" s="61" t="s">
        <v>296</v>
      </c>
      <c r="U18" s="61" t="s">
        <v>299</v>
      </c>
      <c r="V18" s="61" t="s">
        <v>288</v>
      </c>
      <c r="Y18" s="113"/>
      <c r="Z18" s="113"/>
      <c r="AC18" s="111"/>
      <c r="AD18" s="111"/>
    </row>
    <row r="19" spans="1:33">
      <c r="A19" s="27"/>
      <c r="B19" s="129" t="s">
        <v>13</v>
      </c>
      <c r="C19" s="130" t="s">
        <v>14</v>
      </c>
      <c r="D19" s="131" t="s">
        <v>8</v>
      </c>
      <c r="E19" s="34" t="s">
        <v>227</v>
      </c>
      <c r="F19" s="6" t="s">
        <v>12</v>
      </c>
      <c r="G19" s="13">
        <v>26.978152000000026</v>
      </c>
      <c r="H19" s="2" t="s">
        <v>315</v>
      </c>
      <c r="I19" s="114" t="s">
        <v>316</v>
      </c>
      <c r="J19" s="112">
        <v>3.8</v>
      </c>
      <c r="K19" s="112">
        <v>0.55000000000000071</v>
      </c>
      <c r="L19" s="112"/>
      <c r="M19" s="112">
        <v>1.75</v>
      </c>
      <c r="N19" s="112">
        <v>2</v>
      </c>
      <c r="O19" s="112" t="s">
        <v>312</v>
      </c>
      <c r="P19" s="149" t="s">
        <v>312</v>
      </c>
      <c r="Q19" s="90"/>
      <c r="Y19" s="112" t="str">
        <f>IF(V19&gt;=$S$28,IF(V19/2&gt;=$S$28,$S$28,IF(AND(V19/2&lt;$S$28,V19/2&gt;=$S$27),$S$27,IF(AND(V19/2&lt;$S$27,V19/2&gt;=$S$26),$S$26,IF(AND(V19/2&lt;$S$26,V19/2&gt;=$S$25),$S$25,IF(AND(V19/2&lt;$S$25,V19/2&gt;=$S$24),$S$24,IF(AND(V19/2&lt;$S$24,V19/2&gt;=$S$23),$S$23,IF(AND(V19/2&lt;$S$23,V19/2&gt;=$S$22),$S$22,""))))))),
IF(V19="","",
IF(AND(V19&gt;=$S$22,V19&lt;$S$23),$S$22,IF(AND(V19&gt;=$S$23,V19&lt;$S$24),$S$23,IF(AND(V19&gt;=$S$24,V19&lt;$S$25),$S$24,IF(AND(V19&gt;=$S$25,V19&lt;$S$26),$S$25,IF(AND(V19&gt;=$S$26,V19&lt;$S$27),$S$26,IF(AND(V19&gt;=$S$27,V19&lt;$S$28),$S$27,""))))))))</f>
        <v/>
      </c>
      <c r="Z19" s="112">
        <f>IF(V19&gt;$S$28,2,1)</f>
        <v>1</v>
      </c>
      <c r="AC19" s="111">
        <f>IF(J19="","",VLOOKUP(F20,[1]dim!$A:$F,6,FALSE))</f>
        <v>3.8</v>
      </c>
      <c r="AD19" s="111">
        <f>IF(J19="","",VLOOKUP(F20,[1]dim!$A:$G,7,FALSE))</f>
        <v>1.5</v>
      </c>
      <c r="AF19">
        <v>3.8</v>
      </c>
      <c r="AG19">
        <v>1.5</v>
      </c>
    </row>
    <row r="20" spans="1:33">
      <c r="A20" s="27"/>
      <c r="B20" s="129"/>
      <c r="C20" s="130"/>
      <c r="D20" s="131"/>
      <c r="E20" s="34" t="s">
        <v>228</v>
      </c>
      <c r="F20" s="6" t="s">
        <v>15</v>
      </c>
      <c r="G20" s="13">
        <v>26.428152000000026</v>
      </c>
      <c r="H20" s="2" t="s">
        <v>317</v>
      </c>
      <c r="I20" s="115"/>
      <c r="J20" s="113"/>
      <c r="K20" s="113"/>
      <c r="L20" s="113"/>
      <c r="M20" s="113"/>
      <c r="N20" s="113"/>
      <c r="O20" s="113"/>
      <c r="P20" s="117"/>
      <c r="Q20" s="90"/>
      <c r="S20" s="87" t="s">
        <v>8</v>
      </c>
      <c r="Y20" s="113"/>
      <c r="Z20" s="113"/>
      <c r="AC20" s="111"/>
      <c r="AD20" s="111"/>
    </row>
    <row r="21" spans="1:33" ht="15.6">
      <c r="A21" s="27"/>
      <c r="B21" s="129" t="s">
        <v>16</v>
      </c>
      <c r="C21" s="130" t="s">
        <v>17</v>
      </c>
      <c r="D21" s="136" t="s">
        <v>230</v>
      </c>
      <c r="E21" s="34" t="s">
        <v>227</v>
      </c>
      <c r="F21" s="6" t="s">
        <v>15</v>
      </c>
      <c r="G21" s="13">
        <v>26.247389600000027</v>
      </c>
      <c r="H21" s="2" t="s">
        <v>317</v>
      </c>
      <c r="I21" s="114" t="s">
        <v>309</v>
      </c>
      <c r="J21" s="112">
        <v>3.8</v>
      </c>
      <c r="K21" s="112"/>
      <c r="L21" s="112"/>
      <c r="M21" s="112"/>
      <c r="N21" s="112"/>
      <c r="O21" s="112"/>
      <c r="P21" s="116"/>
      <c r="Q21" s="90"/>
      <c r="S21" s="61" t="s">
        <v>272</v>
      </c>
      <c r="Y21" s="112"/>
      <c r="Z21" s="112"/>
      <c r="AC21" s="111">
        <f>IF(J21="","",VLOOKUP(F22,[1]dim!$A:$F,6,FALSE))</f>
        <v>3.8</v>
      </c>
      <c r="AD21" s="111">
        <f>IF(J21="","",VLOOKUP(F22,[1]dim!$A:$G,7,FALSE))</f>
        <v>1.48</v>
      </c>
      <c r="AF21">
        <v>3.8</v>
      </c>
      <c r="AG21">
        <v>1.48</v>
      </c>
    </row>
    <row r="22" spans="1:33" ht="15.6">
      <c r="A22" s="27"/>
      <c r="B22" s="129"/>
      <c r="C22" s="130"/>
      <c r="D22" s="137"/>
      <c r="E22" s="34" t="s">
        <v>228</v>
      </c>
      <c r="F22" s="6" t="s">
        <v>18</v>
      </c>
      <c r="G22" s="13">
        <v>26.247389600000027</v>
      </c>
      <c r="H22" s="2" t="s">
        <v>318</v>
      </c>
      <c r="I22" s="115"/>
      <c r="J22" s="113"/>
      <c r="K22" s="113"/>
      <c r="L22" s="113"/>
      <c r="M22" s="113"/>
      <c r="N22" s="113"/>
      <c r="O22" s="113"/>
      <c r="P22" s="117"/>
      <c r="Q22" s="90"/>
      <c r="S22" s="62">
        <v>0.5</v>
      </c>
      <c r="Y22" s="113"/>
      <c r="Z22" s="113"/>
      <c r="AC22" s="111"/>
      <c r="AD22" s="111"/>
    </row>
    <row r="23" spans="1:33" ht="15.6">
      <c r="A23" s="27"/>
      <c r="B23" s="129" t="s">
        <v>19</v>
      </c>
      <c r="C23" s="130" t="s">
        <v>20</v>
      </c>
      <c r="D23" s="131" t="s">
        <v>8</v>
      </c>
      <c r="E23" s="34" t="s">
        <v>227</v>
      </c>
      <c r="F23" s="6" t="s">
        <v>18</v>
      </c>
      <c r="G23" s="13">
        <v>26.145269000000027</v>
      </c>
      <c r="H23" s="2" t="s">
        <v>318</v>
      </c>
      <c r="I23" s="114" t="s">
        <v>319</v>
      </c>
      <c r="J23" s="112">
        <v>3</v>
      </c>
      <c r="K23" s="112">
        <v>0.15000000000000213</v>
      </c>
      <c r="L23" s="112"/>
      <c r="M23" s="112">
        <v>1.5</v>
      </c>
      <c r="N23" s="112">
        <v>2</v>
      </c>
      <c r="O23" s="112" t="s">
        <v>312</v>
      </c>
      <c r="P23" s="149" t="s">
        <v>312</v>
      </c>
      <c r="Q23" s="90"/>
      <c r="S23" s="62">
        <v>0.75</v>
      </c>
      <c r="Y23" s="112" t="str">
        <f>IF(V23&gt;=$S$28,IF(V23/2&gt;=$S$28,$S$28,IF(AND(V23/2&lt;$S$28,V23/2&gt;=$S$27),$S$27,IF(AND(V23/2&lt;$S$27,V23/2&gt;=$S$26),$S$26,IF(AND(V23/2&lt;$S$26,V23/2&gt;=$S$25),$S$25,IF(AND(V23/2&lt;$S$25,V23/2&gt;=$S$24),$S$24,IF(AND(V23/2&lt;$S$24,V23/2&gt;=$S$23),$S$23,IF(AND(V23/2&lt;$S$23,V23/2&gt;=$S$22),$S$22,""))))))),
IF(V23="","",
IF(AND(V23&gt;=$S$22,V23&lt;$S$23),$S$22,IF(AND(V23&gt;=$S$23,V23&lt;$S$24),$S$23,IF(AND(V23&gt;=$S$24,V23&lt;$S$25),$S$24,IF(AND(V23&gt;=$S$25,V23&lt;$S$26),$S$25,IF(AND(V23&gt;=$S$26,V23&lt;$S$27),$S$26,IF(AND(V23&gt;=$S$27,V23&lt;$S$28),$S$27,""))))))))</f>
        <v/>
      </c>
      <c r="Z23" s="112">
        <f>IF(V23&gt;$S$28,2,1)</f>
        <v>1</v>
      </c>
      <c r="AC23" s="111">
        <f>IF(J23="","",VLOOKUP(F24,[1]dim!$A:$F,6,FALSE))</f>
        <v>3</v>
      </c>
      <c r="AD23" s="111">
        <f>IF(J23="","",VLOOKUP(F24,[1]dim!$A:$G,7,FALSE))</f>
        <v>1.38</v>
      </c>
      <c r="AF23">
        <v>3</v>
      </c>
      <c r="AG23">
        <v>1.38</v>
      </c>
    </row>
    <row r="24" spans="1:33" ht="15.6">
      <c r="A24" s="27"/>
      <c r="B24" s="129"/>
      <c r="C24" s="130"/>
      <c r="D24" s="131"/>
      <c r="E24" s="34" t="s">
        <v>228</v>
      </c>
      <c r="F24" s="6" t="s">
        <v>21</v>
      </c>
      <c r="G24" s="13">
        <v>25.995269000000025</v>
      </c>
      <c r="H24" s="2" t="s">
        <v>320</v>
      </c>
      <c r="I24" s="115"/>
      <c r="J24" s="113"/>
      <c r="K24" s="113"/>
      <c r="L24" s="113"/>
      <c r="M24" s="113"/>
      <c r="N24" s="113"/>
      <c r="O24" s="113"/>
      <c r="P24" s="117"/>
      <c r="Q24" s="90"/>
      <c r="S24" s="62">
        <v>1</v>
      </c>
      <c r="Y24" s="113"/>
      <c r="Z24" s="113"/>
      <c r="AC24" s="111"/>
      <c r="AD24" s="111"/>
    </row>
    <row r="25" spans="1:33" ht="15.6">
      <c r="A25" s="27"/>
      <c r="B25" s="138" t="s">
        <v>232</v>
      </c>
      <c r="C25" s="140"/>
      <c r="D25" s="140"/>
      <c r="E25" s="32"/>
      <c r="F25" s="19"/>
      <c r="G25" s="20"/>
      <c r="H25" s="20"/>
      <c r="I25" s="140" t="s">
        <v>302</v>
      </c>
      <c r="J25" s="119"/>
      <c r="K25" s="119"/>
      <c r="L25" s="119"/>
      <c r="M25" s="119"/>
      <c r="N25" s="119"/>
      <c r="O25" s="140"/>
      <c r="P25" s="150"/>
      <c r="Q25" s="90"/>
      <c r="R25" s="87"/>
      <c r="S25" s="62">
        <v>1.25</v>
      </c>
      <c r="Y25" s="119"/>
      <c r="Z25" s="119"/>
      <c r="AC25" s="111" t="str">
        <f>IF(J25="","",VLOOKUP(F26,[1]dim!$A:$F,6,FALSE))</f>
        <v/>
      </c>
      <c r="AD25" s="111" t="str">
        <f>IF(J25="","",VLOOKUP(F26,[1]dim!$A:$G,7,FALSE))</f>
        <v/>
      </c>
      <c r="AF25" t="s">
        <v>302</v>
      </c>
      <c r="AG25" t="s">
        <v>302</v>
      </c>
    </row>
    <row r="26" spans="1:33" ht="15.6">
      <c r="A26" s="27"/>
      <c r="B26" s="139"/>
      <c r="C26" s="141"/>
      <c r="D26" s="141"/>
      <c r="E26" s="33"/>
      <c r="F26" s="21"/>
      <c r="G26" s="22"/>
      <c r="H26" s="22"/>
      <c r="I26" s="141"/>
      <c r="J26" s="120"/>
      <c r="K26" s="120"/>
      <c r="L26" s="120"/>
      <c r="M26" s="120"/>
      <c r="N26" s="120"/>
      <c r="O26" s="141"/>
      <c r="P26" s="151"/>
      <c r="Q26" s="90"/>
      <c r="R26" s="87"/>
      <c r="S26" s="62">
        <v>1.5</v>
      </c>
      <c r="Y26" s="120"/>
      <c r="Z26" s="120"/>
      <c r="AC26" s="111"/>
      <c r="AD26" s="111"/>
    </row>
    <row r="27" spans="1:33" ht="15.6">
      <c r="A27" s="27"/>
      <c r="B27" s="142" t="s">
        <v>13</v>
      </c>
      <c r="C27" s="130" t="s">
        <v>14</v>
      </c>
      <c r="D27" s="131" t="s">
        <v>40</v>
      </c>
      <c r="E27" s="34" t="s">
        <v>227</v>
      </c>
      <c r="F27" s="6" t="s">
        <v>12</v>
      </c>
      <c r="G27" s="13">
        <v>26.978152000000026</v>
      </c>
      <c r="H27" s="2" t="s">
        <v>315</v>
      </c>
      <c r="I27" s="114" t="s">
        <v>321</v>
      </c>
      <c r="J27" s="112">
        <v>1.1000000000000001</v>
      </c>
      <c r="K27" s="112">
        <v>0.29904815169661347</v>
      </c>
      <c r="L27" s="112">
        <v>0.24929434548485313</v>
      </c>
      <c r="M27" s="112">
        <v>1</v>
      </c>
      <c r="N27" s="112">
        <v>1</v>
      </c>
      <c r="O27" s="114" t="s">
        <v>312</v>
      </c>
      <c r="P27" s="116" t="s">
        <v>312</v>
      </c>
      <c r="Q27" s="90"/>
      <c r="S27" s="62">
        <v>1.75</v>
      </c>
      <c r="Y27" s="112" t="str">
        <f>IF(V27="","",
IF(AND(V27&gt;=$V$12,V27&lt;$V$13),$V$12,
IF(AND(V27&gt;=$V$13,V27&lt;$V$14),$V$13,
IF(AND(V27&gt;=$V$14,V27&lt;$V$15),$V$14,
IF(AND(V27&gt;=$V$15,V27&lt;$V$16),$V$15,
IF(AND(V27&gt;=$V$16,V27&lt;$V$17),$V$16,""))))))</f>
        <v/>
      </c>
      <c r="Z27" s="112">
        <v>1</v>
      </c>
      <c r="AC27" s="111">
        <f>IF(J27="","",VLOOKUP(F28,[1]dim!$A:$F,6,FALSE))</f>
        <v>1.1000000000000001</v>
      </c>
      <c r="AD27" s="111">
        <f>IF(J27="","",VLOOKUP(F28,[1]dim!$A:$G,7,FALSE))</f>
        <v>0.83692099121015207</v>
      </c>
      <c r="AF27">
        <v>1.1000000000000001</v>
      </c>
      <c r="AG27">
        <v>0.83692099121015207</v>
      </c>
    </row>
    <row r="28" spans="1:33" ht="15.6">
      <c r="A28" s="27"/>
      <c r="B28" s="142"/>
      <c r="C28" s="130"/>
      <c r="D28" s="131"/>
      <c r="E28" s="34" t="s">
        <v>228</v>
      </c>
      <c r="F28" s="6" t="s">
        <v>24</v>
      </c>
      <c r="G28" s="13">
        <v>26.679103848303413</v>
      </c>
      <c r="H28" s="2" t="s">
        <v>322</v>
      </c>
      <c r="I28" s="115"/>
      <c r="J28" s="113"/>
      <c r="K28" s="113"/>
      <c r="L28" s="113"/>
      <c r="M28" s="113"/>
      <c r="N28" s="113"/>
      <c r="O28" s="115"/>
      <c r="P28" s="117"/>
      <c r="Q28" s="90"/>
      <c r="S28" s="106">
        <v>2</v>
      </c>
      <c r="U28" s="87"/>
      <c r="Y28" s="113"/>
      <c r="Z28" s="113"/>
      <c r="AC28" s="111"/>
      <c r="AD28" s="111"/>
    </row>
    <row r="29" spans="1:33">
      <c r="A29" s="27"/>
      <c r="B29" s="129" t="s">
        <v>25</v>
      </c>
      <c r="C29" s="130" t="s">
        <v>26</v>
      </c>
      <c r="D29" s="131" t="s">
        <v>8</v>
      </c>
      <c r="E29" s="34" t="s">
        <v>227</v>
      </c>
      <c r="F29" s="6" t="s">
        <v>24</v>
      </c>
      <c r="G29" s="13">
        <v>26.613487848303414</v>
      </c>
      <c r="H29" s="2" t="s">
        <v>322</v>
      </c>
      <c r="I29" s="114" t="s">
        <v>323</v>
      </c>
      <c r="J29" s="112">
        <v>1</v>
      </c>
      <c r="K29" s="112">
        <v>0.10000000000000142</v>
      </c>
      <c r="L29" s="112"/>
      <c r="M29" s="112">
        <v>1</v>
      </c>
      <c r="N29" s="112">
        <v>1</v>
      </c>
      <c r="O29" s="112" t="s">
        <v>312</v>
      </c>
      <c r="P29" s="149" t="s">
        <v>312</v>
      </c>
      <c r="Q29" s="90"/>
      <c r="U29" s="87"/>
      <c r="Y29" s="112" t="str">
        <f>IF(V29&gt;=$S$28,IF(V29/2&gt;=$S$28,$S$28,IF(AND(V29/2&lt;$S$28,V29/2&gt;=$S$27),$S$27,IF(AND(V29/2&lt;$S$27,V29/2&gt;=$S$26),$S$26,IF(AND(V29/2&lt;$S$26,V29/2&gt;=$S$25),$S$25,IF(AND(V29/2&lt;$S$25,V29/2&gt;=$S$24),$S$24,IF(AND(V29/2&lt;$S$24,V29/2&gt;=$S$23),$S$23,IF(AND(V29/2&lt;$S$23,V29/2&gt;=$S$22),$S$22,""))))))),
IF(V29="","",
IF(AND(V29&gt;=$S$22,V29&lt;$S$23),$S$22,IF(AND(V29&gt;=$S$23,V29&lt;$S$24),$S$23,IF(AND(V29&gt;=$S$24,V29&lt;$S$25),$S$24,IF(AND(V29&gt;=$S$25,V29&lt;$S$26),$S$25,IF(AND(V29&gt;=$S$26,V29&lt;$S$27),$S$26,IF(AND(V29&gt;=$S$27,V29&lt;$S$28),$S$27,""))))))))</f>
        <v/>
      </c>
      <c r="Z29" s="112">
        <f>IF(V29&gt;$S$28,2,1)</f>
        <v>1</v>
      </c>
      <c r="AC29" s="111">
        <f>IF(J29="","",VLOOKUP(F30,[1]dim!$A:$F,6,FALSE))</f>
        <v>1</v>
      </c>
      <c r="AD29" s="111">
        <f>IF(J29="","",VLOOKUP(F30,[1]dim!$A:$G,7,FALSE))</f>
        <v>0.76638738993725486</v>
      </c>
      <c r="AF29">
        <v>1</v>
      </c>
      <c r="AG29">
        <v>0.76638738993725486</v>
      </c>
    </row>
    <row r="30" spans="1:33">
      <c r="A30" s="27"/>
      <c r="B30" s="129"/>
      <c r="C30" s="130"/>
      <c r="D30" s="131"/>
      <c r="E30" s="34" t="s">
        <v>228</v>
      </c>
      <c r="F30" s="6" t="s">
        <v>27</v>
      </c>
      <c r="G30" s="13">
        <v>26.513487848303413</v>
      </c>
      <c r="H30" s="2" t="s">
        <v>324</v>
      </c>
      <c r="I30" s="115"/>
      <c r="J30" s="113"/>
      <c r="K30" s="113"/>
      <c r="L30" s="113"/>
      <c r="M30" s="113"/>
      <c r="N30" s="113"/>
      <c r="O30" s="113"/>
      <c r="P30" s="117"/>
      <c r="Q30" s="90"/>
      <c r="U30" s="87"/>
      <c r="Y30" s="113"/>
      <c r="Z30" s="113"/>
      <c r="AC30" s="111"/>
      <c r="AD30" s="111"/>
    </row>
    <row r="31" spans="1:33">
      <c r="A31" s="27"/>
      <c r="B31" s="129" t="s">
        <v>28</v>
      </c>
      <c r="C31" s="130" t="s">
        <v>29</v>
      </c>
      <c r="D31" s="136" t="s">
        <v>230</v>
      </c>
      <c r="E31" s="34" t="s">
        <v>227</v>
      </c>
      <c r="F31" s="6" t="s">
        <v>27</v>
      </c>
      <c r="G31" s="13">
        <v>26.350762248303411</v>
      </c>
      <c r="H31" s="2" t="s">
        <v>324</v>
      </c>
      <c r="I31" s="114" t="s">
        <v>309</v>
      </c>
      <c r="J31" s="112">
        <v>1</v>
      </c>
      <c r="K31" s="112"/>
      <c r="L31" s="112"/>
      <c r="M31" s="112"/>
      <c r="N31" s="112"/>
      <c r="O31" s="112"/>
      <c r="P31" s="116"/>
      <c r="Q31" s="90"/>
      <c r="U31" s="87"/>
      <c r="Y31" s="112"/>
      <c r="Z31" s="112"/>
      <c r="AC31" s="111">
        <f>IF(J31="","",VLOOKUP(F32,[1]dim!$A:$F,6,FALSE))</f>
        <v>1</v>
      </c>
      <c r="AD31" s="111">
        <f>IF(J31="","",VLOOKUP(F32,[1]dim!$A:$G,7,FALSE))</f>
        <v>0.74274014481906137</v>
      </c>
      <c r="AF31">
        <v>1</v>
      </c>
      <c r="AG31">
        <v>0.74274014481906137</v>
      </c>
    </row>
    <row r="32" spans="1:33">
      <c r="A32" s="27"/>
      <c r="B32" s="129"/>
      <c r="C32" s="130"/>
      <c r="D32" s="137"/>
      <c r="E32" s="34" t="s">
        <v>228</v>
      </c>
      <c r="F32" s="6" t="s">
        <v>30</v>
      </c>
      <c r="G32" s="13">
        <v>26.350762248303411</v>
      </c>
      <c r="H32" s="2" t="s">
        <v>325</v>
      </c>
      <c r="I32" s="115"/>
      <c r="J32" s="113"/>
      <c r="K32" s="113"/>
      <c r="L32" s="113"/>
      <c r="M32" s="113"/>
      <c r="N32" s="113"/>
      <c r="O32" s="113"/>
      <c r="P32" s="117"/>
      <c r="Q32" s="90"/>
      <c r="U32" s="87"/>
      <c r="Y32" s="113"/>
      <c r="Z32" s="113"/>
      <c r="AC32" s="111"/>
      <c r="AD32" s="111"/>
    </row>
    <row r="33" spans="1:33">
      <c r="A33" s="27"/>
      <c r="B33" s="129" t="s">
        <v>31</v>
      </c>
      <c r="C33" s="130" t="s">
        <v>32</v>
      </c>
      <c r="D33" s="131" t="s">
        <v>8</v>
      </c>
      <c r="E33" s="34" t="s">
        <v>227</v>
      </c>
      <c r="F33" s="6" t="s">
        <v>30</v>
      </c>
      <c r="G33" s="13">
        <v>25.871165448303412</v>
      </c>
      <c r="H33" s="2" t="s">
        <v>325</v>
      </c>
      <c r="I33" s="114" t="s">
        <v>326</v>
      </c>
      <c r="J33" s="112">
        <v>0.7</v>
      </c>
      <c r="K33" s="112">
        <v>0.10000000000000142</v>
      </c>
      <c r="L33" s="112"/>
      <c r="M33" s="112">
        <v>0.75</v>
      </c>
      <c r="N33" s="112">
        <v>1</v>
      </c>
      <c r="O33" s="112" t="s">
        <v>312</v>
      </c>
      <c r="P33" s="149" t="s">
        <v>312</v>
      </c>
      <c r="Q33" s="90"/>
      <c r="U33" s="87"/>
      <c r="Y33" s="112" t="str">
        <f>IF(V33&gt;=$S$28,IF(V33/2&gt;=$S$28,$S$28,IF(AND(V33/2&lt;$S$28,V33/2&gt;=$S$27),$S$27,IF(AND(V33/2&lt;$S$27,V33/2&gt;=$S$26),$S$26,IF(AND(V33/2&lt;$S$26,V33/2&gt;=$S$25),$S$25,IF(AND(V33/2&lt;$S$25,V33/2&gt;=$S$24),$S$24,IF(AND(V33/2&lt;$S$24,V33/2&gt;=$S$23),$S$23,IF(AND(V33/2&lt;$S$23,V33/2&gt;=$S$22),$S$22,""))))))),
IF(V33="","",
IF(AND(V33&gt;=$S$22,V33&lt;$S$23),$S$22,IF(AND(V33&gt;=$S$23,V33&lt;$S$24),$S$23,IF(AND(V33&gt;=$S$24,V33&lt;$S$25),$S$24,IF(AND(V33&gt;=$S$25,V33&lt;$S$26),$S$25,IF(AND(V33&gt;=$S$26,V33&lt;$S$27),$S$26,IF(AND(V33&gt;=$S$27,V33&lt;$S$28),$S$27,""))))))))</f>
        <v/>
      </c>
      <c r="Z33" s="112">
        <f>IF(V33&gt;$S$28,2,1)</f>
        <v>1</v>
      </c>
      <c r="AC33" s="111">
        <f>IF(J33="","",VLOOKUP(F34,[1]dim!$A:$F,6,FALSE))</f>
        <v>0.7</v>
      </c>
      <c r="AD33" s="111">
        <f>IF(J33="","",VLOOKUP(F34,[1]dim!$A:$G,7,FALSE))</f>
        <v>0.60848310312630749</v>
      </c>
      <c r="AF33">
        <v>0.7</v>
      </c>
      <c r="AG33">
        <v>0.60848310312630749</v>
      </c>
    </row>
    <row r="34" spans="1:33">
      <c r="A34" s="27"/>
      <c r="B34" s="129"/>
      <c r="C34" s="130"/>
      <c r="D34" s="131"/>
      <c r="E34" s="34" t="s">
        <v>228</v>
      </c>
      <c r="F34" s="6" t="s">
        <v>33</v>
      </c>
      <c r="G34" s="13">
        <v>25.77116544830341</v>
      </c>
      <c r="H34" s="2" t="s">
        <v>327</v>
      </c>
      <c r="I34" s="115"/>
      <c r="J34" s="113"/>
      <c r="K34" s="113"/>
      <c r="L34" s="113"/>
      <c r="M34" s="113"/>
      <c r="N34" s="113"/>
      <c r="O34" s="113"/>
      <c r="P34" s="117"/>
      <c r="Q34" s="90"/>
      <c r="U34" s="87"/>
      <c r="Y34" s="113"/>
      <c r="Z34" s="113"/>
      <c r="AC34" s="111"/>
      <c r="AD34" s="111"/>
    </row>
    <row r="35" spans="1:33">
      <c r="A35" s="27"/>
      <c r="B35" s="129" t="s">
        <v>34</v>
      </c>
      <c r="C35" s="130" t="s">
        <v>35</v>
      </c>
      <c r="D35" s="131" t="s">
        <v>8</v>
      </c>
      <c r="E35" s="34" t="s">
        <v>227</v>
      </c>
      <c r="F35" s="6" t="s">
        <v>33</v>
      </c>
      <c r="G35" s="13">
        <v>25.66155664830341</v>
      </c>
      <c r="H35" s="2" t="s">
        <v>327</v>
      </c>
      <c r="I35" s="114" t="s">
        <v>328</v>
      </c>
      <c r="J35" s="112">
        <v>0.6</v>
      </c>
      <c r="K35" s="112">
        <v>0.45000000000000284</v>
      </c>
      <c r="L35" s="112"/>
      <c r="M35" s="112">
        <v>0.5</v>
      </c>
      <c r="N35" s="112">
        <v>1</v>
      </c>
      <c r="O35" s="112" t="s">
        <v>312</v>
      </c>
      <c r="P35" s="149" t="s">
        <v>312</v>
      </c>
      <c r="Q35" s="90"/>
      <c r="U35" s="87"/>
      <c r="Y35" s="112" t="str">
        <f>IF(V35&gt;=$S$28,IF(V35/2&gt;=$S$28,$S$28,IF(AND(V35/2&lt;$S$28,V35/2&gt;=$S$27),$S$27,IF(AND(V35/2&lt;$S$27,V35/2&gt;=$S$26),$S$26,IF(AND(V35/2&lt;$S$26,V35/2&gt;=$S$25),$S$25,IF(AND(V35/2&lt;$S$25,V35/2&gt;=$S$24),$S$24,IF(AND(V35/2&lt;$S$24,V35/2&gt;=$S$23),$S$23,IF(AND(V35/2&lt;$S$23,V35/2&gt;=$S$22),$S$22,""))))))),
IF(V35="","",
IF(AND(V35&gt;=$S$22,V35&lt;$S$23),$S$22,IF(AND(V35&gt;=$S$23,V35&lt;$S$24),$S$23,IF(AND(V35&gt;=$S$24,V35&lt;$S$25),$S$24,IF(AND(V35&gt;=$S$25,V35&lt;$S$26),$S$25,IF(AND(V35&gt;=$S$26,V35&lt;$S$27),$S$26,IF(AND(V35&gt;=$S$27,V35&lt;$S$28),$S$27,""))))))))</f>
        <v/>
      </c>
      <c r="Z35" s="112">
        <f>IF(V35&gt;$S$28,2,1)</f>
        <v>1</v>
      </c>
      <c r="AC35" s="111">
        <f>IF(J35="","",VLOOKUP(F36,[1]dim!$A:$F,6,FALSE))</f>
        <v>0.6</v>
      </c>
      <c r="AD35" s="111">
        <f>IF(J35="","",VLOOKUP(F36,[1]dim!$A:$G,7,FALSE))</f>
        <v>0.49943851320007226</v>
      </c>
      <c r="AF35">
        <v>0.6</v>
      </c>
      <c r="AG35">
        <v>0.49943851320007226</v>
      </c>
    </row>
    <row r="36" spans="1:33">
      <c r="A36" s="27"/>
      <c r="B36" s="129"/>
      <c r="C36" s="130"/>
      <c r="D36" s="131"/>
      <c r="E36" s="34" t="s">
        <v>228</v>
      </c>
      <c r="F36" s="6" t="s">
        <v>36</v>
      </c>
      <c r="G36" s="13">
        <v>25.211556648303407</v>
      </c>
      <c r="H36" s="2" t="s">
        <v>329</v>
      </c>
      <c r="I36" s="115"/>
      <c r="J36" s="113"/>
      <c r="K36" s="113"/>
      <c r="L36" s="113"/>
      <c r="M36" s="113"/>
      <c r="N36" s="113"/>
      <c r="O36" s="113"/>
      <c r="P36" s="117"/>
      <c r="Q36" s="90"/>
      <c r="U36" s="87"/>
      <c r="Y36" s="113"/>
      <c r="Z36" s="113"/>
      <c r="AC36" s="111"/>
      <c r="AD36" s="111"/>
    </row>
    <row r="37" spans="1:33">
      <c r="A37" s="27"/>
      <c r="B37" s="129" t="s">
        <v>37</v>
      </c>
      <c r="C37" s="130" t="s">
        <v>38</v>
      </c>
      <c r="D37" s="131" t="s">
        <v>8</v>
      </c>
      <c r="E37" s="34" t="s">
        <v>227</v>
      </c>
      <c r="F37" s="6" t="s">
        <v>36</v>
      </c>
      <c r="G37" s="13">
        <v>25.127910648303406</v>
      </c>
      <c r="H37" s="2" t="s">
        <v>329</v>
      </c>
      <c r="I37" s="114" t="s">
        <v>330</v>
      </c>
      <c r="J37" s="112">
        <v>0.5</v>
      </c>
      <c r="K37" s="112">
        <v>0.30000000000000071</v>
      </c>
      <c r="L37" s="112"/>
      <c r="M37" s="112">
        <v>0.5</v>
      </c>
      <c r="N37" s="112">
        <v>1</v>
      </c>
      <c r="O37" s="112" t="s">
        <v>312</v>
      </c>
      <c r="P37" s="149" t="s">
        <v>312</v>
      </c>
      <c r="Q37" s="90"/>
      <c r="U37" s="87"/>
      <c r="Y37" s="112" t="str">
        <f>IF(V37&gt;=$S$28,IF(V37/2&gt;=$S$28,$S$28,IF(AND(V37/2&lt;$S$28,V37/2&gt;=$S$27),$S$27,IF(AND(V37/2&lt;$S$27,V37/2&gt;=$S$26),$S$26,IF(AND(V37/2&lt;$S$26,V37/2&gt;=$S$25),$S$25,IF(AND(V37/2&lt;$S$25,V37/2&gt;=$S$24),$S$24,IF(AND(V37/2&lt;$S$24,V37/2&gt;=$S$23),$S$23,IF(AND(V37/2&lt;$S$23,V37/2&gt;=$S$22),$S$22,""))))))),
IF(V37="","",
IF(AND(V37&gt;=$S$22,V37&lt;$S$23),$S$22,IF(AND(V37&gt;=$S$23,V37&lt;$S$24),$S$23,IF(AND(V37&gt;=$S$24,V37&lt;$S$25),$S$24,IF(AND(V37&gt;=$S$25,V37&lt;$S$26),$S$25,IF(AND(V37&gt;=$S$26,V37&lt;$S$27),$S$26,IF(AND(V37&gt;=$S$27,V37&lt;$S$28),$S$27,""))))))))</f>
        <v/>
      </c>
      <c r="Z37" s="112">
        <f>IF(V37&gt;$S$28,2,1)</f>
        <v>1</v>
      </c>
      <c r="AC37" s="111">
        <f>IF(J37="","",VLOOKUP(F38,[1]dim!$A:$F,6,FALSE))</f>
        <v>0.5</v>
      </c>
      <c r="AD37" s="111">
        <f>IF(J37="","",VLOOKUP(F38,[1]dim!$A:$G,7,FALSE))</f>
        <v>0.43902484092970717</v>
      </c>
      <c r="AF37">
        <v>0.5</v>
      </c>
      <c r="AG37">
        <v>0.43902484092970717</v>
      </c>
    </row>
    <row r="38" spans="1:33">
      <c r="A38" s="27"/>
      <c r="B38" s="129"/>
      <c r="C38" s="130"/>
      <c r="D38" s="131"/>
      <c r="E38" s="34" t="s">
        <v>228</v>
      </c>
      <c r="F38" s="6" t="s">
        <v>39</v>
      </c>
      <c r="G38" s="13">
        <v>24.827910648303405</v>
      </c>
      <c r="H38" s="2" t="s">
        <v>331</v>
      </c>
      <c r="I38" s="115"/>
      <c r="J38" s="113"/>
      <c r="K38" s="113"/>
      <c r="L38" s="113"/>
      <c r="M38" s="113"/>
      <c r="N38" s="113"/>
      <c r="O38" s="113"/>
      <c r="P38" s="117"/>
      <c r="Q38" s="90"/>
      <c r="U38" s="87"/>
      <c r="Y38" s="113"/>
      <c r="Z38" s="113"/>
      <c r="AC38" s="111"/>
      <c r="AD38" s="111"/>
    </row>
    <row r="39" spans="1:33">
      <c r="A39" s="27"/>
      <c r="B39" s="138" t="s">
        <v>235</v>
      </c>
      <c r="C39" s="140"/>
      <c r="D39" s="140"/>
      <c r="E39" s="32"/>
      <c r="F39" s="19"/>
      <c r="G39" s="20"/>
      <c r="H39" s="20"/>
      <c r="I39" s="140" t="s">
        <v>302</v>
      </c>
      <c r="J39" s="119"/>
      <c r="K39" s="119"/>
      <c r="L39" s="119"/>
      <c r="M39" s="119"/>
      <c r="N39" s="119"/>
      <c r="O39" s="140"/>
      <c r="P39" s="150"/>
      <c r="Q39" s="90"/>
      <c r="R39" s="87"/>
      <c r="U39" s="87"/>
      <c r="Y39" s="119"/>
      <c r="Z39" s="119"/>
      <c r="AC39" s="111" t="str">
        <f>IF(J39="","",VLOOKUP(F40,[1]dim!$A:$F,6,FALSE))</f>
        <v/>
      </c>
      <c r="AD39" s="111" t="str">
        <f>IF(J39="","",VLOOKUP(F40,[1]dim!$A:$G,7,FALSE))</f>
        <v/>
      </c>
      <c r="AF39" t="s">
        <v>302</v>
      </c>
      <c r="AG39" t="s">
        <v>302</v>
      </c>
    </row>
    <row r="40" spans="1:33">
      <c r="A40" s="27"/>
      <c r="B40" s="139"/>
      <c r="C40" s="141"/>
      <c r="D40" s="141"/>
      <c r="E40" s="33"/>
      <c r="F40" s="21"/>
      <c r="G40" s="22"/>
      <c r="H40" s="22"/>
      <c r="I40" s="141"/>
      <c r="J40" s="120"/>
      <c r="K40" s="120"/>
      <c r="L40" s="120"/>
      <c r="M40" s="120"/>
      <c r="N40" s="120"/>
      <c r="O40" s="141"/>
      <c r="P40" s="151"/>
      <c r="Q40" s="90"/>
      <c r="R40" s="87"/>
      <c r="U40" s="87"/>
      <c r="Y40" s="120"/>
      <c r="Z40" s="120"/>
      <c r="AC40" s="111"/>
      <c r="AD40" s="111"/>
    </row>
    <row r="41" spans="1:33">
      <c r="A41" s="27"/>
      <c r="B41" s="129" t="s">
        <v>34</v>
      </c>
      <c r="C41" s="130" t="s">
        <v>35</v>
      </c>
      <c r="D41" s="131" t="s">
        <v>40</v>
      </c>
      <c r="E41" s="34" t="s">
        <v>227</v>
      </c>
      <c r="F41" s="15" t="s">
        <v>33</v>
      </c>
      <c r="G41" s="13">
        <v>25.66155664830341</v>
      </c>
      <c r="H41" s="2" t="s">
        <v>327</v>
      </c>
      <c r="I41" s="114" t="s">
        <v>332</v>
      </c>
      <c r="J41" s="112">
        <v>0.45</v>
      </c>
      <c r="K41" s="112">
        <v>0.33393384830340977</v>
      </c>
      <c r="L41" s="112">
        <v>0.27544785423477192</v>
      </c>
      <c r="M41" s="112">
        <v>0.4</v>
      </c>
      <c r="N41" s="112">
        <v>1</v>
      </c>
      <c r="O41" s="114" t="s">
        <v>312</v>
      </c>
      <c r="P41" s="116" t="s">
        <v>312</v>
      </c>
      <c r="Q41" s="90"/>
      <c r="U41" s="87"/>
      <c r="Y41" s="112" t="str">
        <f>IF(V41="","",
IF(AND(V41&gt;=$V$12,V41&lt;$V$13),$V$12,
IF(AND(V41&gt;=$V$13,V41&lt;$V$14),$V$13,
IF(AND(V41&gt;=$V$14,V41&lt;$V$15),$V$14,
IF(AND(V41&gt;=$V$15,V41&lt;$V$16),$V$15,
IF(AND(V41&gt;=$V$16,V41&lt;$V$17),$V$16,""))))))</f>
        <v/>
      </c>
      <c r="Z41" s="112">
        <v>1</v>
      </c>
      <c r="AC41" s="111">
        <f>IF(J41="","",VLOOKUP(F42,[1]dim!$A:$F,6,FALSE))</f>
        <v>0.45</v>
      </c>
      <c r="AD41" s="111">
        <f>IF(J41="","",VLOOKUP(F42,[1]dim!$A:$G,7,FALSE))</f>
        <v>0.39058909281554749</v>
      </c>
      <c r="AF41">
        <v>0.45</v>
      </c>
      <c r="AG41">
        <v>0.39058909281554749</v>
      </c>
    </row>
    <row r="42" spans="1:33">
      <c r="A42" s="27"/>
      <c r="B42" s="129"/>
      <c r="C42" s="130"/>
      <c r="D42" s="131"/>
      <c r="E42" s="34" t="s">
        <v>228</v>
      </c>
      <c r="F42" s="15" t="s">
        <v>41</v>
      </c>
      <c r="G42" s="13">
        <v>25.3276228</v>
      </c>
      <c r="H42" s="2" t="s">
        <v>333</v>
      </c>
      <c r="I42" s="115"/>
      <c r="J42" s="113"/>
      <c r="K42" s="113"/>
      <c r="L42" s="113"/>
      <c r="M42" s="113"/>
      <c r="N42" s="113"/>
      <c r="O42" s="115"/>
      <c r="P42" s="117"/>
      <c r="Q42" s="90"/>
      <c r="U42" s="87"/>
      <c r="Y42" s="113"/>
      <c r="Z42" s="113"/>
      <c r="AC42" s="111"/>
      <c r="AD42" s="111"/>
    </row>
    <row r="43" spans="1:33">
      <c r="A43" s="27"/>
      <c r="B43" s="138" t="s">
        <v>233</v>
      </c>
      <c r="C43" s="140"/>
      <c r="D43" s="140"/>
      <c r="E43" s="32"/>
      <c r="F43" s="19"/>
      <c r="G43" s="20"/>
      <c r="H43" s="20"/>
      <c r="I43" s="140" t="s">
        <v>302</v>
      </c>
      <c r="J43" s="119"/>
      <c r="K43" s="119"/>
      <c r="L43" s="119"/>
      <c r="M43" s="119"/>
      <c r="N43" s="119"/>
      <c r="O43" s="140"/>
      <c r="P43" s="150"/>
      <c r="Q43" s="90"/>
      <c r="R43" s="87"/>
      <c r="U43" s="87"/>
      <c r="Y43" s="119"/>
      <c r="Z43" s="119"/>
      <c r="AC43" s="111" t="str">
        <f>IF(J43="","",VLOOKUP(F44,[1]dim!$A:$F,6,FALSE))</f>
        <v/>
      </c>
      <c r="AD43" s="111" t="str">
        <f>IF(J43="","",VLOOKUP(F44,[1]dim!$A:$G,7,FALSE))</f>
        <v/>
      </c>
      <c r="AF43" t="s">
        <v>302</v>
      </c>
      <c r="AG43" t="s">
        <v>302</v>
      </c>
    </row>
    <row r="44" spans="1:33">
      <c r="A44" s="27"/>
      <c r="B44" s="139"/>
      <c r="C44" s="141"/>
      <c r="D44" s="141"/>
      <c r="E44" s="33"/>
      <c r="F44" s="21"/>
      <c r="G44" s="22"/>
      <c r="H44" s="22"/>
      <c r="I44" s="141"/>
      <c r="J44" s="120"/>
      <c r="K44" s="120"/>
      <c r="L44" s="120"/>
      <c r="M44" s="120"/>
      <c r="N44" s="120"/>
      <c r="O44" s="141"/>
      <c r="P44" s="151"/>
      <c r="Q44" s="90"/>
      <c r="R44" s="87"/>
      <c r="U44" s="87"/>
      <c r="Y44" s="120"/>
      <c r="Z44" s="120"/>
      <c r="AC44" s="111"/>
      <c r="AD44" s="111"/>
    </row>
    <row r="45" spans="1:33">
      <c r="A45" s="27"/>
      <c r="B45" s="142" t="s">
        <v>19</v>
      </c>
      <c r="C45" s="130" t="s">
        <v>20</v>
      </c>
      <c r="D45" s="131" t="s">
        <v>226</v>
      </c>
      <c r="E45" s="34" t="s">
        <v>227</v>
      </c>
      <c r="F45" s="6" t="s">
        <v>18</v>
      </c>
      <c r="G45" s="13">
        <v>26.145269000000027</v>
      </c>
      <c r="H45" s="2" t="s">
        <v>318</v>
      </c>
      <c r="I45" s="114" t="s">
        <v>334</v>
      </c>
      <c r="J45" s="112">
        <v>1.8</v>
      </c>
      <c r="K45" s="112">
        <v>0.43913700000001299</v>
      </c>
      <c r="L45" s="112"/>
      <c r="M45" s="112">
        <v>1.75</v>
      </c>
      <c r="N45" s="112">
        <v>1</v>
      </c>
      <c r="O45" s="114" t="s">
        <v>312</v>
      </c>
      <c r="P45" s="116" t="s">
        <v>312</v>
      </c>
      <c r="Q45" s="90"/>
      <c r="U45" s="87"/>
      <c r="Y45" s="112" t="str">
        <f>IF(V45&gt;=$S$28,IF(V45/2&gt;=$S$28,$S$28,IF(AND(V45/2&lt;$S$28,V45/2&gt;=$S$27),$S$27,IF(AND(V45/2&lt;$S$27,V45/2&gt;=$S$26),$S$26,IF(AND(V45/2&lt;$S$26,V45/2&gt;=$S$25),$S$25,IF(AND(V45/2&lt;$S$25,V45/2&gt;=$S$24),$S$24,IF(AND(V45/2&lt;$S$24,V45/2&gt;=$S$23),$S$23,IF(AND(V45/2&lt;$S$23,V45/2&gt;=$S$22),$S$22,""))))))),
IF(V45="","",
IF(AND(V45&gt;=$S$22,V45&lt;$S$23),$S$22,IF(AND(V45&gt;=$S$23,V45&lt;$S$24),$S$23,IF(AND(V45&gt;=$S$24,V45&lt;$S$25),$S$24,IF(AND(V45&gt;=$S$25,V45&lt;$S$26),$S$25,IF(AND(V45&gt;=$S$26,V45&lt;$S$27),$S$26,IF(AND(V45&gt;=$S$27,V45&lt;$S$28),$S$27,""))))))))</f>
        <v/>
      </c>
      <c r="Z45" s="112">
        <f>IF(V45&gt;$S$28,2,1)</f>
        <v>1</v>
      </c>
      <c r="AC45" s="111">
        <f>IF(J45="","",VLOOKUP(F46,[1]dim!$A:$F,6,FALSE))</f>
        <v>1.8</v>
      </c>
      <c r="AD45" s="111">
        <f>IF(J45="","",VLOOKUP(F46,[1]dim!$A:$G,7,FALSE))</f>
        <v>0.83186528651278246</v>
      </c>
      <c r="AF45">
        <v>1.8</v>
      </c>
      <c r="AG45">
        <v>0.83186528651278246</v>
      </c>
    </row>
    <row r="46" spans="1:33">
      <c r="A46" s="27"/>
      <c r="B46" s="142"/>
      <c r="C46" s="130"/>
      <c r="D46" s="131"/>
      <c r="E46" s="34" t="s">
        <v>228</v>
      </c>
      <c r="F46" s="6" t="s">
        <v>42</v>
      </c>
      <c r="G46" s="13">
        <v>25.706132000000014</v>
      </c>
      <c r="H46" s="2" t="s">
        <v>335</v>
      </c>
      <c r="I46" s="115"/>
      <c r="J46" s="113"/>
      <c r="K46" s="113"/>
      <c r="L46" s="113"/>
      <c r="M46" s="113"/>
      <c r="N46" s="113"/>
      <c r="O46" s="115"/>
      <c r="P46" s="117"/>
      <c r="Q46" s="90"/>
      <c r="U46" s="87"/>
      <c r="Y46" s="113"/>
      <c r="Z46" s="113"/>
      <c r="AC46" s="111"/>
      <c r="AD46" s="111"/>
    </row>
    <row r="47" spans="1:33">
      <c r="A47" s="27"/>
      <c r="B47" s="129" t="s">
        <v>43</v>
      </c>
      <c r="C47" s="130" t="s">
        <v>44</v>
      </c>
      <c r="D47" s="131" t="s">
        <v>8</v>
      </c>
      <c r="E47" s="34" t="s">
        <v>227</v>
      </c>
      <c r="F47" s="6" t="s">
        <v>42</v>
      </c>
      <c r="G47" s="13">
        <v>25.489049000000016</v>
      </c>
      <c r="H47" s="2" t="s">
        <v>335</v>
      </c>
      <c r="I47" s="114" t="s">
        <v>336</v>
      </c>
      <c r="J47" s="112">
        <v>1.7</v>
      </c>
      <c r="K47" s="112">
        <v>0.10000000000000142</v>
      </c>
      <c r="L47" s="112"/>
      <c r="M47" s="112">
        <v>1.75</v>
      </c>
      <c r="N47" s="112">
        <v>1</v>
      </c>
      <c r="O47" s="114" t="s">
        <v>312</v>
      </c>
      <c r="P47" s="149" t="s">
        <v>312</v>
      </c>
      <c r="Q47" s="90"/>
      <c r="U47" s="87"/>
      <c r="Y47" s="112" t="str">
        <f>IF(V47&gt;=$S$28,IF(V47/2&gt;=$S$28,$S$28,IF(AND(V47/2&lt;$S$28,V47/2&gt;=$S$27),$S$27,IF(AND(V47/2&lt;$S$27,V47/2&gt;=$S$26),$S$26,IF(AND(V47/2&lt;$S$26,V47/2&gt;=$S$25),$S$25,IF(AND(V47/2&lt;$S$25,V47/2&gt;=$S$24),$S$24,IF(AND(V47/2&lt;$S$24,V47/2&gt;=$S$23),$S$23,IF(AND(V47/2&lt;$S$23,V47/2&gt;=$S$22),$S$22,""))))))),
IF(V47="","",
IF(AND(V47&gt;=$S$22,V47&lt;$S$23),$S$22,IF(AND(V47&gt;=$S$23,V47&lt;$S$24),$S$23,IF(AND(V47&gt;=$S$24,V47&lt;$S$25),$S$24,IF(AND(V47&gt;=$S$25,V47&lt;$S$26),$S$25,IF(AND(V47&gt;=$S$26,V47&lt;$S$27),$S$26,IF(AND(V47&gt;=$S$27,V47&lt;$S$28),$S$27,""))))))))</f>
        <v/>
      </c>
      <c r="Z47" s="112">
        <f>IF(V47&gt;$S$28,2,1)</f>
        <v>1</v>
      </c>
      <c r="AC47" s="111">
        <f>IF(J47="","",VLOOKUP(F48,[1]dim!$A:$F,6,FALSE))</f>
        <v>1.7</v>
      </c>
      <c r="AD47" s="111">
        <f>IF(J47="","",VLOOKUP(F48,[1]dim!$A:$G,7,FALSE))</f>
        <v>0.79483218152236734</v>
      </c>
      <c r="AF47">
        <v>1.7</v>
      </c>
      <c r="AG47">
        <v>0.79483218152236734</v>
      </c>
    </row>
    <row r="48" spans="1:33">
      <c r="A48" s="27"/>
      <c r="B48" s="129"/>
      <c r="C48" s="130"/>
      <c r="D48" s="131"/>
      <c r="E48" s="34" t="s">
        <v>228</v>
      </c>
      <c r="F48" s="6" t="s">
        <v>45</v>
      </c>
      <c r="G48" s="13">
        <v>25.389049000000014</v>
      </c>
      <c r="H48" s="2" t="s">
        <v>337</v>
      </c>
      <c r="I48" s="115"/>
      <c r="J48" s="113"/>
      <c r="K48" s="113"/>
      <c r="L48" s="113"/>
      <c r="M48" s="113"/>
      <c r="N48" s="113"/>
      <c r="O48" s="115"/>
      <c r="P48" s="117"/>
      <c r="Q48" s="90"/>
      <c r="U48" s="87"/>
      <c r="Y48" s="113"/>
      <c r="Z48" s="113"/>
      <c r="AC48" s="111"/>
      <c r="AD48" s="111"/>
    </row>
    <row r="49" spans="1:33">
      <c r="A49" s="27"/>
      <c r="B49" s="129" t="s">
        <v>46</v>
      </c>
      <c r="C49" s="130" t="s">
        <v>47</v>
      </c>
      <c r="D49" s="131" t="s">
        <v>8</v>
      </c>
      <c r="E49" s="34" t="s">
        <v>227</v>
      </c>
      <c r="F49" s="6" t="s">
        <v>45</v>
      </c>
      <c r="G49" s="13">
        <v>25.159292000000015</v>
      </c>
      <c r="H49" s="2" t="s">
        <v>337</v>
      </c>
      <c r="I49" s="114" t="s">
        <v>338</v>
      </c>
      <c r="J49" s="112">
        <v>1.65</v>
      </c>
      <c r="K49" s="112">
        <v>0.10000000000000142</v>
      </c>
      <c r="L49" s="112"/>
      <c r="M49" s="112">
        <v>1.75</v>
      </c>
      <c r="N49" s="112">
        <v>1</v>
      </c>
      <c r="O49" s="114" t="s">
        <v>312</v>
      </c>
      <c r="P49" s="149" t="s">
        <v>312</v>
      </c>
      <c r="Q49" s="90"/>
      <c r="U49" s="87"/>
      <c r="Y49" s="112" t="str">
        <f>IF(V49&gt;=$S$28,IF(V49/2&gt;=$S$28,$S$28,IF(AND(V49/2&lt;$S$28,V49/2&gt;=$S$27),$S$27,IF(AND(V49/2&lt;$S$27,V49/2&gt;=$S$26),$S$26,IF(AND(V49/2&lt;$S$26,V49/2&gt;=$S$25),$S$25,IF(AND(V49/2&lt;$S$25,V49/2&gt;=$S$24),$S$24,IF(AND(V49/2&lt;$S$24,V49/2&gt;=$S$23),$S$23,IF(AND(V49/2&lt;$S$23,V49/2&gt;=$S$22),$S$22,""))))))),
IF(V49="","",
IF(AND(V49&gt;=$S$22,V49&lt;$S$23),$S$22,IF(AND(V49&gt;=$S$23,V49&lt;$S$24),$S$23,IF(AND(V49&gt;=$S$24,V49&lt;$S$25),$S$24,IF(AND(V49&gt;=$S$25,V49&lt;$S$26),$S$25,IF(AND(V49&gt;=$S$26,V49&lt;$S$27),$S$26,IF(AND(V49&gt;=$S$27,V49&lt;$S$28),$S$27,""))))))))</f>
        <v/>
      </c>
      <c r="Z49" s="112">
        <f>IF(V49&gt;$S$28,2,1)</f>
        <v>1</v>
      </c>
      <c r="AC49" s="111">
        <f>IF(J49="","",VLOOKUP(F50,[1]dim!$A:$F,6,FALSE))</f>
        <v>1.65</v>
      </c>
      <c r="AD49" s="111">
        <f>IF(J49="","",VLOOKUP(F50,[1]dim!$A:$G,7,FALSE))</f>
        <v>0.76499122331913183</v>
      </c>
      <c r="AF49">
        <v>1.65</v>
      </c>
      <c r="AG49">
        <v>0.76499122331913183</v>
      </c>
    </row>
    <row r="50" spans="1:33">
      <c r="A50" s="27"/>
      <c r="B50" s="129"/>
      <c r="C50" s="130"/>
      <c r="D50" s="131"/>
      <c r="E50" s="34" t="s">
        <v>228</v>
      </c>
      <c r="F50" s="6" t="s">
        <v>48</v>
      </c>
      <c r="G50" s="13">
        <v>25.059292000000013</v>
      </c>
      <c r="H50" s="2" t="s">
        <v>339</v>
      </c>
      <c r="I50" s="115"/>
      <c r="J50" s="113"/>
      <c r="K50" s="113"/>
      <c r="L50" s="113"/>
      <c r="M50" s="113"/>
      <c r="N50" s="113"/>
      <c r="O50" s="115"/>
      <c r="P50" s="117"/>
      <c r="Q50" s="90"/>
      <c r="U50" s="87"/>
      <c r="Y50" s="113"/>
      <c r="Z50" s="113"/>
      <c r="AC50" s="111"/>
      <c r="AD50" s="111"/>
    </row>
    <row r="51" spans="1:33">
      <c r="A51" s="27"/>
      <c r="B51" s="129" t="s">
        <v>49</v>
      </c>
      <c r="C51" s="130" t="s">
        <v>50</v>
      </c>
      <c r="D51" s="131" t="s">
        <v>8</v>
      </c>
      <c r="E51" s="34" t="s">
        <v>227</v>
      </c>
      <c r="F51" s="6" t="s">
        <v>48</v>
      </c>
      <c r="G51" s="13">
        <v>24.738308000000014</v>
      </c>
      <c r="H51" s="2" t="s">
        <v>339</v>
      </c>
      <c r="I51" s="114" t="s">
        <v>340</v>
      </c>
      <c r="J51" s="112">
        <v>1.3</v>
      </c>
      <c r="K51" s="112">
        <v>0.10000000000000142</v>
      </c>
      <c r="L51" s="112"/>
      <c r="M51" s="112">
        <v>1.25</v>
      </c>
      <c r="N51" s="112">
        <v>1</v>
      </c>
      <c r="O51" s="114" t="s">
        <v>312</v>
      </c>
      <c r="P51" s="149" t="s">
        <v>312</v>
      </c>
      <c r="Q51" s="90"/>
      <c r="U51" s="87"/>
      <c r="Y51" s="112" t="str">
        <f>IF(V51&gt;=$S$28,IF(V51/2&gt;=$S$28,$S$28,IF(AND(V51/2&lt;$S$28,V51/2&gt;=$S$27),$S$27,IF(AND(V51/2&lt;$S$27,V51/2&gt;=$S$26),$S$26,IF(AND(V51/2&lt;$S$26,V51/2&gt;=$S$25),$S$25,IF(AND(V51/2&lt;$S$25,V51/2&gt;=$S$24),$S$24,IF(AND(V51/2&lt;$S$24,V51/2&gt;=$S$23),$S$23,IF(AND(V51/2&lt;$S$23,V51/2&gt;=$S$22),$S$22,""))))))),
IF(V51="","",
IF(AND(V51&gt;=$S$22,V51&lt;$S$23),$S$22,IF(AND(V51&gt;=$S$23,V51&lt;$S$24),$S$23,IF(AND(V51&gt;=$S$24,V51&lt;$S$25),$S$24,IF(AND(V51&gt;=$S$25,V51&lt;$S$26),$S$25,IF(AND(V51&gt;=$S$26,V51&lt;$S$27),$S$26,IF(AND(V51&gt;=$S$27,V51&lt;$S$28),$S$27,""))))))))</f>
        <v/>
      </c>
      <c r="Z51" s="112">
        <f>IF(V51&gt;$S$28,2,1)</f>
        <v>1</v>
      </c>
      <c r="AC51" s="111">
        <f>IF(J51="","",VLOOKUP(F52,[1]dim!$A:$F,6,FALSE))</f>
        <v>1.3</v>
      </c>
      <c r="AD51" s="111">
        <f>IF(J51="","",VLOOKUP(F52,[1]dim!$A:$G,7,FALSE))</f>
        <v>0.75502084714750406</v>
      </c>
      <c r="AF51">
        <v>1.3</v>
      </c>
      <c r="AG51">
        <v>0.75502084714750406</v>
      </c>
    </row>
    <row r="52" spans="1:33">
      <c r="A52" s="27"/>
      <c r="B52" s="129"/>
      <c r="C52" s="130"/>
      <c r="D52" s="131"/>
      <c r="E52" s="34" t="s">
        <v>228</v>
      </c>
      <c r="F52" s="6" t="s">
        <v>51</v>
      </c>
      <c r="G52" s="13">
        <v>24.638308000000013</v>
      </c>
      <c r="H52" s="2" t="s">
        <v>341</v>
      </c>
      <c r="I52" s="115"/>
      <c r="J52" s="113"/>
      <c r="K52" s="113"/>
      <c r="L52" s="113"/>
      <c r="M52" s="113"/>
      <c r="N52" s="113"/>
      <c r="O52" s="115"/>
      <c r="P52" s="117"/>
      <c r="Q52" s="90"/>
      <c r="U52" s="87"/>
      <c r="Y52" s="113"/>
      <c r="Z52" s="113"/>
      <c r="AC52" s="111"/>
      <c r="AD52" s="111"/>
    </row>
    <row r="53" spans="1:33">
      <c r="A53" s="27"/>
      <c r="B53" s="129" t="s">
        <v>52</v>
      </c>
      <c r="C53" s="130" t="s">
        <v>53</v>
      </c>
      <c r="D53" s="131" t="s">
        <v>8</v>
      </c>
      <c r="E53" s="34" t="s">
        <v>227</v>
      </c>
      <c r="F53" s="6" t="s">
        <v>51</v>
      </c>
      <c r="G53" s="13">
        <v>24.373376000000011</v>
      </c>
      <c r="H53" s="2" t="s">
        <v>341</v>
      </c>
      <c r="I53" s="114" t="s">
        <v>342</v>
      </c>
      <c r="J53" s="112">
        <v>1.1000000000000001</v>
      </c>
      <c r="K53" s="112">
        <v>0.10000000000000142</v>
      </c>
      <c r="L53" s="112"/>
      <c r="M53" s="112">
        <v>1</v>
      </c>
      <c r="N53" s="112">
        <v>1</v>
      </c>
      <c r="O53" s="114" t="s">
        <v>312</v>
      </c>
      <c r="P53" s="149" t="s">
        <v>312</v>
      </c>
      <c r="Q53" s="90"/>
      <c r="U53" s="87"/>
      <c r="Y53" s="112" t="str">
        <f>IF(V53&gt;=$S$28,IF(V53/2&gt;=$S$28,$S$28,IF(AND(V53/2&lt;$S$28,V53/2&gt;=$S$27),$S$27,IF(AND(V53/2&lt;$S$27,V53/2&gt;=$S$26),$S$26,IF(AND(V53/2&lt;$S$26,V53/2&gt;=$S$25),$S$25,IF(AND(V53/2&lt;$S$25,V53/2&gt;=$S$24),$S$24,IF(AND(V53/2&lt;$S$24,V53/2&gt;=$S$23),$S$23,IF(AND(V53/2&lt;$S$23,V53/2&gt;=$S$22),$S$22,""))))))),
IF(V53="","",
IF(AND(V53&gt;=$S$22,V53&lt;$S$23),$S$22,IF(AND(V53&gt;=$S$23,V53&lt;$S$24),$S$23,IF(AND(V53&gt;=$S$24,V53&lt;$S$25),$S$24,IF(AND(V53&gt;=$S$25,V53&lt;$S$26),$S$25,IF(AND(V53&gt;=$S$26,V53&lt;$S$27),$S$26,IF(AND(V53&gt;=$S$27,V53&lt;$S$28),$S$27,""))))))))</f>
        <v/>
      </c>
      <c r="Z53" s="112">
        <f>IF(V53&gt;$S$28,2,1)</f>
        <v>1</v>
      </c>
      <c r="AC53" s="111">
        <f>IF(J53="","",VLOOKUP(F54,[1]dim!$A:$F,6,FALSE))</f>
        <v>1.1000000000000001</v>
      </c>
      <c r="AD53" s="111">
        <f>IF(J53="","",VLOOKUP(F54,[1]dim!$A:$G,7,FALSE))</f>
        <v>0.75160222368708651</v>
      </c>
      <c r="AF53">
        <v>1.1000000000000001</v>
      </c>
      <c r="AG53">
        <v>0.75160222368708651</v>
      </c>
    </row>
    <row r="54" spans="1:33">
      <c r="A54" s="27"/>
      <c r="B54" s="129"/>
      <c r="C54" s="130"/>
      <c r="D54" s="131"/>
      <c r="E54" s="34" t="s">
        <v>228</v>
      </c>
      <c r="F54" s="6" t="s">
        <v>54</v>
      </c>
      <c r="G54" s="13">
        <v>24.27337600000001</v>
      </c>
      <c r="H54" s="2" t="s">
        <v>343</v>
      </c>
      <c r="I54" s="115"/>
      <c r="J54" s="113"/>
      <c r="K54" s="113"/>
      <c r="L54" s="113"/>
      <c r="M54" s="113"/>
      <c r="N54" s="113"/>
      <c r="O54" s="115"/>
      <c r="P54" s="117"/>
      <c r="Q54" s="90"/>
      <c r="U54" s="87"/>
      <c r="Y54" s="113"/>
      <c r="Z54" s="113"/>
      <c r="AC54" s="111"/>
      <c r="AD54" s="111"/>
    </row>
    <row r="55" spans="1:33">
      <c r="A55" s="27"/>
      <c r="B55" s="129" t="s">
        <v>55</v>
      </c>
      <c r="C55" s="130" t="s">
        <v>56</v>
      </c>
      <c r="D55" s="131" t="s">
        <v>8</v>
      </c>
      <c r="E55" s="34" t="s">
        <v>227</v>
      </c>
      <c r="F55" s="6" t="s">
        <v>54</v>
      </c>
      <c r="G55" s="13">
        <v>23.943239000000009</v>
      </c>
      <c r="H55" s="2" t="s">
        <v>343</v>
      </c>
      <c r="I55" s="114" t="s">
        <v>344</v>
      </c>
      <c r="J55" s="112">
        <v>0.9</v>
      </c>
      <c r="K55" s="112">
        <v>0.10000000000000142</v>
      </c>
      <c r="L55" s="112"/>
      <c r="M55" s="112">
        <v>1</v>
      </c>
      <c r="N55" s="112">
        <v>1</v>
      </c>
      <c r="O55" s="114" t="s">
        <v>312</v>
      </c>
      <c r="P55" s="149" t="s">
        <v>312</v>
      </c>
      <c r="Q55" s="90"/>
      <c r="U55" s="87"/>
      <c r="Y55" s="112" t="str">
        <f>IF(V55&gt;=$S$28,IF(V55/2&gt;=$S$28,$S$28,IF(AND(V55/2&lt;$S$28,V55/2&gt;=$S$27),$S$27,IF(AND(V55/2&lt;$S$27,V55/2&gt;=$S$26),$S$26,IF(AND(V55/2&lt;$S$26,V55/2&gt;=$S$25),$S$25,IF(AND(V55/2&lt;$S$25,V55/2&gt;=$S$24),$S$24,IF(AND(V55/2&lt;$S$24,V55/2&gt;=$S$23),$S$23,IF(AND(V55/2&lt;$S$23,V55/2&gt;=$S$22),$S$22,""))))))),
IF(V55="","",
IF(AND(V55&gt;=$S$22,V55&lt;$S$23),$S$22,IF(AND(V55&gt;=$S$23,V55&lt;$S$24),$S$23,IF(AND(V55&gt;=$S$24,V55&lt;$S$25),$S$24,IF(AND(V55&gt;=$S$25,V55&lt;$S$26),$S$25,IF(AND(V55&gt;=$S$26,V55&lt;$S$27),$S$26,IF(AND(V55&gt;=$S$27,V55&lt;$S$28),$S$27,""))))))))</f>
        <v/>
      </c>
      <c r="Z55" s="112">
        <f>IF(V55&gt;$S$28,2,1)</f>
        <v>1</v>
      </c>
      <c r="AC55" s="111">
        <f>IF(J55="","",VLOOKUP(F56,[1]dim!$A:$F,6,FALSE))</f>
        <v>0.9</v>
      </c>
      <c r="AD55" s="111">
        <f>IF(J55="","",VLOOKUP(F56,[1]dim!$A:$G,7,FALSE))</f>
        <v>0.65035530124441987</v>
      </c>
      <c r="AF55">
        <v>0.9</v>
      </c>
      <c r="AG55">
        <v>0.65035530124441987</v>
      </c>
    </row>
    <row r="56" spans="1:33">
      <c r="A56" s="27"/>
      <c r="B56" s="129"/>
      <c r="C56" s="130"/>
      <c r="D56" s="131"/>
      <c r="E56" s="34" t="s">
        <v>228</v>
      </c>
      <c r="F56" s="6" t="s">
        <v>57</v>
      </c>
      <c r="G56" s="13">
        <v>23.843239000000008</v>
      </c>
      <c r="H56" s="2" t="s">
        <v>345</v>
      </c>
      <c r="I56" s="115"/>
      <c r="J56" s="113"/>
      <c r="K56" s="113"/>
      <c r="L56" s="113"/>
      <c r="M56" s="113"/>
      <c r="N56" s="113"/>
      <c r="O56" s="115"/>
      <c r="P56" s="117"/>
      <c r="Q56" s="90"/>
      <c r="U56" s="87"/>
      <c r="Y56" s="113"/>
      <c r="Z56" s="113"/>
      <c r="AC56" s="111"/>
      <c r="AD56" s="111"/>
    </row>
    <row r="57" spans="1:33">
      <c r="A57" s="27"/>
      <c r="B57" s="129" t="s">
        <v>58</v>
      </c>
      <c r="C57" s="130" t="s">
        <v>59</v>
      </c>
      <c r="D57" s="131" t="s">
        <v>8</v>
      </c>
      <c r="E57" s="34" t="s">
        <v>227</v>
      </c>
      <c r="F57" s="6" t="s">
        <v>57</v>
      </c>
      <c r="G57" s="13">
        <v>23.09727800000001</v>
      </c>
      <c r="H57" s="2" t="s">
        <v>345</v>
      </c>
      <c r="I57" s="114" t="s">
        <v>346</v>
      </c>
      <c r="J57" s="112">
        <v>0.65</v>
      </c>
      <c r="K57" s="112">
        <v>0.20000000000000284</v>
      </c>
      <c r="L57" s="112"/>
      <c r="M57" s="112">
        <v>0.75</v>
      </c>
      <c r="N57" s="112">
        <v>1</v>
      </c>
      <c r="O57" s="114" t="s">
        <v>312</v>
      </c>
      <c r="P57" s="149" t="s">
        <v>312</v>
      </c>
      <c r="Q57" s="90"/>
      <c r="U57" s="87"/>
      <c r="Y57" s="112" t="str">
        <f>IF(V57&gt;=$S$28,IF(V57/2&gt;=$S$28,$S$28,IF(AND(V57/2&lt;$S$28,V57/2&gt;=$S$27),$S$27,IF(AND(V57/2&lt;$S$27,V57/2&gt;=$S$26),$S$26,IF(AND(V57/2&lt;$S$26,V57/2&gt;=$S$25),$S$25,IF(AND(V57/2&lt;$S$25,V57/2&gt;=$S$24),$S$24,IF(AND(V57/2&lt;$S$24,V57/2&gt;=$S$23),$S$23,IF(AND(V57/2&lt;$S$23,V57/2&gt;=$S$22),$S$22,""))))))),
IF(V57="","",
IF(AND(V57&gt;=$S$22,V57&lt;$S$23),$S$22,IF(AND(V57&gt;=$S$23,V57&lt;$S$24),$S$23,IF(AND(V57&gt;=$S$24,V57&lt;$S$25),$S$24,IF(AND(V57&gt;=$S$25,V57&lt;$S$26),$S$25,IF(AND(V57&gt;=$S$26,V57&lt;$S$27),$S$26,IF(AND(V57&gt;=$S$27,V57&lt;$S$28),$S$27,""))))))))</f>
        <v/>
      </c>
      <c r="Z57" s="112">
        <f>IF(V57&gt;$S$28,2,1)</f>
        <v>1</v>
      </c>
      <c r="AC57" s="111">
        <f>IF(J57="","",VLOOKUP(F58,[1]dim!$A:$F,6,FALSE))</f>
        <v>0.65</v>
      </c>
      <c r="AD57" s="111">
        <f>IF(J57="","",VLOOKUP(F58,[1]dim!$A:$G,7,FALSE))</f>
        <v>0.53206672991125492</v>
      </c>
      <c r="AF57">
        <v>0.65</v>
      </c>
      <c r="AG57">
        <v>0.53206672991125492</v>
      </c>
    </row>
    <row r="58" spans="1:33">
      <c r="A58" s="27"/>
      <c r="B58" s="129"/>
      <c r="C58" s="130"/>
      <c r="D58" s="131"/>
      <c r="E58" s="34" t="s">
        <v>228</v>
      </c>
      <c r="F58" s="6" t="s">
        <v>60</v>
      </c>
      <c r="G58" s="13">
        <v>22.897278000000007</v>
      </c>
      <c r="H58" s="2" t="s">
        <v>347</v>
      </c>
      <c r="I58" s="115"/>
      <c r="J58" s="113"/>
      <c r="K58" s="113"/>
      <c r="L58" s="113"/>
      <c r="M58" s="113"/>
      <c r="N58" s="113"/>
      <c r="O58" s="115"/>
      <c r="P58" s="117"/>
      <c r="Q58" s="90"/>
      <c r="U58" s="87"/>
      <c r="Y58" s="113"/>
      <c r="Z58" s="113"/>
      <c r="AC58" s="111"/>
      <c r="AD58" s="111"/>
    </row>
    <row r="59" spans="1:33">
      <c r="A59" s="27"/>
      <c r="B59" s="143" t="s">
        <v>61</v>
      </c>
      <c r="C59" s="144" t="s">
        <v>62</v>
      </c>
      <c r="D59" s="131" t="s">
        <v>40</v>
      </c>
      <c r="E59" s="108" t="s">
        <v>227</v>
      </c>
      <c r="F59" s="107" t="s">
        <v>60</v>
      </c>
      <c r="G59" s="109">
        <v>22.670858000000006</v>
      </c>
      <c r="H59" s="110" t="s">
        <v>347</v>
      </c>
      <c r="I59" s="154" t="s">
        <v>348</v>
      </c>
      <c r="J59" s="152">
        <v>0.3</v>
      </c>
      <c r="K59" s="112">
        <v>0.60000000000000142</v>
      </c>
      <c r="L59" s="112">
        <v>0.2827657334422311</v>
      </c>
      <c r="M59" s="112">
        <v>0.3</v>
      </c>
      <c r="N59" s="112">
        <v>1</v>
      </c>
      <c r="O59" s="114" t="s">
        <v>312</v>
      </c>
      <c r="P59" s="149" t="s">
        <v>312</v>
      </c>
      <c r="Q59" s="90"/>
      <c r="U59" s="87"/>
      <c r="Y59" s="112">
        <v>0.3</v>
      </c>
      <c r="Z59" s="112">
        <f>IF(V59&gt;$S$28,2,1)</f>
        <v>1</v>
      </c>
      <c r="AC59" s="111">
        <f>IF(J59="","",VLOOKUP(F60,[1]dim!$A:$F,6,FALSE))</f>
        <v>0.3</v>
      </c>
      <c r="AD59" s="111">
        <f>IF(J59="","",VLOOKUP(F60,[1]dim!$A:$G,7,FALSE))</f>
        <v>0.23406140188874439</v>
      </c>
      <c r="AF59">
        <v>0.3</v>
      </c>
      <c r="AG59">
        <v>0.23406140188874439</v>
      </c>
    </row>
    <row r="60" spans="1:33">
      <c r="A60" s="27"/>
      <c r="B60" s="143"/>
      <c r="C60" s="144"/>
      <c r="D60" s="131"/>
      <c r="E60" s="108" t="s">
        <v>228</v>
      </c>
      <c r="F60" s="107" t="s">
        <v>63</v>
      </c>
      <c r="G60" s="109">
        <v>22.070858000000005</v>
      </c>
      <c r="H60" s="110" t="s">
        <v>349</v>
      </c>
      <c r="I60" s="155"/>
      <c r="J60" s="153"/>
      <c r="K60" s="113"/>
      <c r="L60" s="113"/>
      <c r="M60" s="113"/>
      <c r="N60" s="113"/>
      <c r="O60" s="115"/>
      <c r="P60" s="117"/>
      <c r="Q60" s="90"/>
      <c r="U60" s="87"/>
      <c r="Y60" s="113"/>
      <c r="Z60" s="113"/>
      <c r="AC60" s="111"/>
      <c r="AD60" s="111"/>
    </row>
    <row r="61" spans="1:33">
      <c r="A61" s="27"/>
      <c r="B61" s="138" t="s">
        <v>234</v>
      </c>
      <c r="C61" s="140"/>
      <c r="D61" s="140"/>
      <c r="E61" s="32"/>
      <c r="F61" s="19"/>
      <c r="G61" s="20"/>
      <c r="H61" s="20"/>
      <c r="I61" s="140" t="s">
        <v>302</v>
      </c>
      <c r="J61" s="119"/>
      <c r="K61" s="119"/>
      <c r="L61" s="119"/>
      <c r="M61" s="119"/>
      <c r="N61" s="119"/>
      <c r="O61" s="140"/>
      <c r="P61" s="150"/>
      <c r="Q61" s="90"/>
      <c r="R61" s="87"/>
      <c r="U61" s="87"/>
      <c r="Y61" s="119"/>
      <c r="Z61" s="119"/>
      <c r="AC61" s="111" t="str">
        <f>IF(J61="","",VLOOKUP(F62,[1]dim!$A:$F,6,FALSE))</f>
        <v/>
      </c>
      <c r="AD61" s="111" t="str">
        <f>IF(J61="","",VLOOKUP(F62,[1]dim!$A:$G,7,FALSE))</f>
        <v/>
      </c>
      <c r="AF61" t="s">
        <v>302</v>
      </c>
      <c r="AG61" t="s">
        <v>302</v>
      </c>
    </row>
    <row r="62" spans="1:33">
      <c r="A62" s="27"/>
      <c r="B62" s="139"/>
      <c r="C62" s="141"/>
      <c r="D62" s="141"/>
      <c r="E62" s="33"/>
      <c r="F62" s="21"/>
      <c r="G62" s="22"/>
      <c r="H62" s="22"/>
      <c r="I62" s="141"/>
      <c r="J62" s="120"/>
      <c r="K62" s="120"/>
      <c r="L62" s="120"/>
      <c r="M62" s="120"/>
      <c r="N62" s="120"/>
      <c r="O62" s="141"/>
      <c r="P62" s="151"/>
      <c r="Q62" s="90"/>
      <c r="R62" s="87"/>
      <c r="U62" s="87"/>
      <c r="Y62" s="120"/>
      <c r="Z62" s="120"/>
      <c r="AC62" s="111"/>
      <c r="AD62" s="111"/>
    </row>
    <row r="63" spans="1:33">
      <c r="A63" s="27"/>
      <c r="B63" s="142" t="s">
        <v>43</v>
      </c>
      <c r="C63" s="130" t="s">
        <v>44</v>
      </c>
      <c r="D63" s="131" t="s">
        <v>40</v>
      </c>
      <c r="E63" s="34" t="s">
        <v>227</v>
      </c>
      <c r="F63" s="6" t="s">
        <v>42</v>
      </c>
      <c r="G63" s="13">
        <v>25.489049000000016</v>
      </c>
      <c r="H63" s="2" t="s">
        <v>335</v>
      </c>
      <c r="I63" s="114" t="s">
        <v>350</v>
      </c>
      <c r="J63" s="112">
        <v>0.45</v>
      </c>
      <c r="K63" s="112">
        <v>0.51602200000000309</v>
      </c>
      <c r="L63" s="112">
        <v>0.34512400968297408</v>
      </c>
      <c r="M63" s="112">
        <v>0.4</v>
      </c>
      <c r="N63" s="112">
        <v>1</v>
      </c>
      <c r="O63" s="114" t="s">
        <v>312</v>
      </c>
      <c r="P63" s="116" t="s">
        <v>312</v>
      </c>
      <c r="Q63" s="90"/>
      <c r="U63" s="87"/>
      <c r="Y63" s="112" t="str">
        <f>IF(V63="","",
IF(AND(V63&gt;=$V$12,V63&lt;$V$13),$V$12,
IF(AND(V63&gt;=$V$13,V63&lt;$V$14),$V$13,
IF(AND(V63&gt;=$V$14,V63&lt;$V$15),$V$14,
IF(AND(V63&gt;=$V$15,V63&lt;$V$16),$V$15,
IF(AND(V63&gt;=$V$16,V63&lt;$V$17),$V$16,""))))))</f>
        <v/>
      </c>
      <c r="Z63" s="112">
        <v>1</v>
      </c>
      <c r="AC63" s="111">
        <f>IF(J63="","",VLOOKUP(F64,[1]dim!$A:$F,6,FALSE))</f>
        <v>0.45</v>
      </c>
      <c r="AD63" s="111">
        <f>IF(J63="","",VLOOKUP(F64,[1]dim!$A:$G,7,FALSE))</f>
        <v>0.42341066595797522</v>
      </c>
      <c r="AF63">
        <v>0.45</v>
      </c>
      <c r="AG63">
        <v>0.42341066595797522</v>
      </c>
    </row>
    <row r="64" spans="1:33">
      <c r="A64" s="27"/>
      <c r="B64" s="142"/>
      <c r="C64" s="130"/>
      <c r="D64" s="131"/>
      <c r="E64" s="34" t="s">
        <v>228</v>
      </c>
      <c r="F64" s="6" t="s">
        <v>64</v>
      </c>
      <c r="G64" s="13">
        <v>24.973027000000013</v>
      </c>
      <c r="H64" s="2" t="s">
        <v>351</v>
      </c>
      <c r="I64" s="115"/>
      <c r="J64" s="113"/>
      <c r="K64" s="113"/>
      <c r="L64" s="113"/>
      <c r="M64" s="113"/>
      <c r="N64" s="113"/>
      <c r="O64" s="115"/>
      <c r="P64" s="117"/>
      <c r="Q64" s="90"/>
      <c r="U64" s="87"/>
      <c r="Y64" s="113"/>
      <c r="Z64" s="113"/>
      <c r="AC64" s="111"/>
      <c r="AD64" s="111"/>
    </row>
    <row r="65" spans="1:33">
      <c r="A65" s="27"/>
      <c r="B65" s="138" t="s">
        <v>236</v>
      </c>
      <c r="C65" s="140"/>
      <c r="D65" s="140"/>
      <c r="E65" s="32"/>
      <c r="F65" s="19"/>
      <c r="G65" s="20"/>
      <c r="H65" s="20"/>
      <c r="I65" s="140" t="s">
        <v>302</v>
      </c>
      <c r="J65" s="119"/>
      <c r="K65" s="119"/>
      <c r="L65" s="119"/>
      <c r="M65" s="119"/>
      <c r="N65" s="119"/>
      <c r="O65" s="140"/>
      <c r="P65" s="150"/>
      <c r="Q65" s="90"/>
      <c r="R65" s="87"/>
      <c r="U65" s="87"/>
      <c r="Y65" s="119"/>
      <c r="Z65" s="119"/>
      <c r="AC65" s="111" t="str">
        <f>IF(J65="","",VLOOKUP(F66,[1]dim!$A:$F,6,FALSE))</f>
        <v/>
      </c>
      <c r="AD65" s="111" t="str">
        <f>IF(J65="","",VLOOKUP(F66,[1]dim!$A:$G,7,FALSE))</f>
        <v/>
      </c>
      <c r="AF65" t="s">
        <v>302</v>
      </c>
      <c r="AG65" t="s">
        <v>302</v>
      </c>
    </row>
    <row r="66" spans="1:33">
      <c r="A66" s="27"/>
      <c r="B66" s="139"/>
      <c r="C66" s="141"/>
      <c r="D66" s="141"/>
      <c r="E66" s="33"/>
      <c r="F66" s="21"/>
      <c r="G66" s="22"/>
      <c r="H66" s="22"/>
      <c r="I66" s="141"/>
      <c r="J66" s="120"/>
      <c r="K66" s="120"/>
      <c r="L66" s="120"/>
      <c r="M66" s="120"/>
      <c r="N66" s="120"/>
      <c r="O66" s="141"/>
      <c r="P66" s="151"/>
      <c r="Q66" s="90"/>
      <c r="R66" s="87"/>
      <c r="U66" s="87"/>
      <c r="Y66" s="120"/>
      <c r="Z66" s="120"/>
      <c r="AC66" s="111"/>
      <c r="AD66" s="111"/>
    </row>
    <row r="67" spans="1:33">
      <c r="A67" s="27"/>
      <c r="B67" s="142" t="s">
        <v>49</v>
      </c>
      <c r="C67" s="130" t="s">
        <v>50</v>
      </c>
      <c r="D67" s="131" t="s">
        <v>40</v>
      </c>
      <c r="E67" s="34" t="s">
        <v>227</v>
      </c>
      <c r="F67" s="6" t="s">
        <v>48</v>
      </c>
      <c r="G67" s="13">
        <v>24.738308000000014</v>
      </c>
      <c r="H67" s="2" t="s">
        <v>339</v>
      </c>
      <c r="I67" s="114" t="s">
        <v>352</v>
      </c>
      <c r="J67" s="112">
        <v>0.65</v>
      </c>
      <c r="K67" s="112">
        <v>1.0404110000000024</v>
      </c>
      <c r="L67" s="112">
        <v>0.18848196179129315</v>
      </c>
      <c r="M67" s="112">
        <v>0.6</v>
      </c>
      <c r="N67" s="112">
        <v>1</v>
      </c>
      <c r="O67" s="114" t="s">
        <v>312</v>
      </c>
      <c r="P67" s="116" t="s">
        <v>312</v>
      </c>
      <c r="Q67" s="90"/>
      <c r="U67" s="87"/>
      <c r="Y67" s="112" t="str">
        <f>IF(V67="","",
IF(AND(V67&gt;=$V$12,V67&lt;$V$13),$V$12,
IF(AND(V67&gt;=$V$13,V67&lt;$V$14),$V$13,
IF(AND(V67&gt;=$V$14,V67&lt;$V$15),$V$14,
IF(AND(V67&gt;=$V$15,V67&lt;$V$16),$V$15,
IF(AND(V67&gt;=$V$16,V67&lt;$V$17),$V$16,""))))))</f>
        <v/>
      </c>
      <c r="Z67" s="112">
        <v>1</v>
      </c>
      <c r="AC67" s="111">
        <f>IF(J67="","",VLOOKUP(F68,[1]dim!$A:$F,6,FALSE))</f>
        <v>0.65</v>
      </c>
      <c r="AD67" s="111">
        <f>IF(J67="","",VLOOKUP(F68,[1]dim!$A:$G,7,FALSE))</f>
        <v>0.57358299870339047</v>
      </c>
      <c r="AF67">
        <v>0.65</v>
      </c>
      <c r="AG67">
        <v>0.57358299870339047</v>
      </c>
    </row>
    <row r="68" spans="1:33">
      <c r="A68" s="27"/>
      <c r="B68" s="142"/>
      <c r="C68" s="130"/>
      <c r="D68" s="131"/>
      <c r="E68" s="34" t="s">
        <v>228</v>
      </c>
      <c r="F68" s="6" t="s">
        <v>65</v>
      </c>
      <c r="G68" s="13">
        <v>23.697897000000012</v>
      </c>
      <c r="H68" s="2" t="s">
        <v>353</v>
      </c>
      <c r="I68" s="115"/>
      <c r="J68" s="113"/>
      <c r="K68" s="113"/>
      <c r="L68" s="113"/>
      <c r="M68" s="113"/>
      <c r="N68" s="113"/>
      <c r="O68" s="115"/>
      <c r="P68" s="117"/>
      <c r="Q68" s="90"/>
      <c r="U68" s="87"/>
      <c r="Y68" s="113"/>
      <c r="Z68" s="113"/>
      <c r="AC68" s="111"/>
      <c r="AD68" s="111"/>
    </row>
    <row r="69" spans="1:33">
      <c r="A69" s="27"/>
      <c r="B69" s="129" t="s">
        <v>66</v>
      </c>
      <c r="C69" s="130" t="s">
        <v>67</v>
      </c>
      <c r="D69" s="136" t="s">
        <v>230</v>
      </c>
      <c r="E69" s="34" t="s">
        <v>227</v>
      </c>
      <c r="F69" s="6" t="s">
        <v>65</v>
      </c>
      <c r="G69" s="13">
        <v>23.45706100000001</v>
      </c>
      <c r="H69" s="2" t="s">
        <v>353</v>
      </c>
      <c r="I69" s="114" t="s">
        <v>309</v>
      </c>
      <c r="J69" s="112">
        <v>0.65</v>
      </c>
      <c r="K69" s="112"/>
      <c r="L69" s="112"/>
      <c r="M69" s="112"/>
      <c r="N69" s="112"/>
      <c r="O69" s="114"/>
      <c r="P69" s="116"/>
      <c r="Q69" s="90"/>
      <c r="U69" s="87"/>
      <c r="Y69" s="112"/>
      <c r="Z69" s="112"/>
      <c r="AC69" s="111">
        <f>IF(J69="","",VLOOKUP(F70,[1]dim!$A:$F,6,FALSE))</f>
        <v>0.65</v>
      </c>
      <c r="AD69" s="111">
        <f>IF(J69="","",VLOOKUP(F70,[1]dim!$A:$G,7,FALSE))</f>
        <v>0.55827442937852023</v>
      </c>
      <c r="AF69">
        <v>0.65</v>
      </c>
      <c r="AG69">
        <v>0.55827442937852023</v>
      </c>
    </row>
    <row r="70" spans="1:33">
      <c r="A70" s="27"/>
      <c r="B70" s="129"/>
      <c r="C70" s="130"/>
      <c r="D70" s="137"/>
      <c r="E70" s="34" t="s">
        <v>228</v>
      </c>
      <c r="F70" s="6" t="s">
        <v>68</v>
      </c>
      <c r="G70" s="13">
        <v>23.45706100000001</v>
      </c>
      <c r="H70" s="2" t="s">
        <v>354</v>
      </c>
      <c r="I70" s="115"/>
      <c r="J70" s="113"/>
      <c r="K70" s="113"/>
      <c r="L70" s="113"/>
      <c r="M70" s="113"/>
      <c r="N70" s="113"/>
      <c r="O70" s="115"/>
      <c r="P70" s="117"/>
      <c r="Q70" s="90"/>
      <c r="U70" s="87"/>
      <c r="Y70" s="113"/>
      <c r="Z70" s="113"/>
      <c r="AC70" s="111"/>
      <c r="AD70" s="111"/>
    </row>
    <row r="71" spans="1:33">
      <c r="A71" s="27"/>
      <c r="B71" s="129" t="s">
        <v>69</v>
      </c>
      <c r="C71" s="130" t="s">
        <v>70</v>
      </c>
      <c r="D71" s="131" t="s">
        <v>8</v>
      </c>
      <c r="E71" s="34" t="s">
        <v>227</v>
      </c>
      <c r="F71" s="6" t="s">
        <v>68</v>
      </c>
      <c r="G71" s="13">
        <v>23.218208000000008</v>
      </c>
      <c r="H71" s="2" t="s">
        <v>354</v>
      </c>
      <c r="I71" s="114" t="s">
        <v>355</v>
      </c>
      <c r="J71" s="112">
        <v>0.55000000000000004</v>
      </c>
      <c r="K71" s="112">
        <v>0.5</v>
      </c>
      <c r="L71" s="112"/>
      <c r="M71" s="112">
        <v>0.5</v>
      </c>
      <c r="N71" s="112">
        <v>1</v>
      </c>
      <c r="O71" s="114" t="s">
        <v>312</v>
      </c>
      <c r="P71" s="149" t="s">
        <v>312</v>
      </c>
      <c r="Q71" s="90"/>
      <c r="U71" s="87"/>
      <c r="Y71" s="112" t="str">
        <f>IF(V71&gt;=$S$28,IF(V71/2&gt;=$S$28,$S$28,IF(AND(V71/2&lt;$S$28,V71/2&gt;=$S$27),$S$27,IF(AND(V71/2&lt;$S$27,V71/2&gt;=$S$26),$S$26,IF(AND(V71/2&lt;$S$26,V71/2&gt;=$S$25),$S$25,IF(AND(V71/2&lt;$S$25,V71/2&gt;=$S$24),$S$24,IF(AND(V71/2&lt;$S$24,V71/2&gt;=$S$23),$S$23,IF(AND(V71/2&lt;$S$23,V71/2&gt;=$S$22),$S$22,""))))))),
IF(V71="","",
IF(AND(V71&gt;=$S$22,V71&lt;$S$23),$S$22,IF(AND(V71&gt;=$S$23,V71&lt;$S$24),$S$23,IF(AND(V71&gt;=$S$24,V71&lt;$S$25),$S$24,IF(AND(V71&gt;=$S$25,V71&lt;$S$26),$S$25,IF(AND(V71&gt;=$S$26,V71&lt;$S$27),$S$26,IF(AND(V71&gt;=$S$27,V71&lt;$S$28),$S$27,""))))))))</f>
        <v/>
      </c>
      <c r="Z71" s="112">
        <f>IF(V71&gt;$S$28,2,1)</f>
        <v>1</v>
      </c>
      <c r="AC71" s="111">
        <f>IF(J71="","",VLOOKUP(F72,[1]dim!$A:$F,6,FALSE))</f>
        <v>0.55000000000000004</v>
      </c>
      <c r="AD71" s="111">
        <f>IF(J71="","",VLOOKUP(F72,[1]dim!$A:$G,7,FALSE))</f>
        <v>0.48967355736603174</v>
      </c>
      <c r="AF71">
        <v>0.55000000000000004</v>
      </c>
      <c r="AG71">
        <v>0.48967355736603174</v>
      </c>
    </row>
    <row r="72" spans="1:33">
      <c r="A72" s="27"/>
      <c r="B72" s="129"/>
      <c r="C72" s="130"/>
      <c r="D72" s="131"/>
      <c r="E72" s="34" t="s">
        <v>228</v>
      </c>
      <c r="F72" s="6" t="s">
        <v>71</v>
      </c>
      <c r="G72" s="13">
        <v>22.718208000000008</v>
      </c>
      <c r="H72" s="2" t="s">
        <v>356</v>
      </c>
      <c r="I72" s="115"/>
      <c r="J72" s="113"/>
      <c r="K72" s="113"/>
      <c r="L72" s="113"/>
      <c r="M72" s="113"/>
      <c r="N72" s="113"/>
      <c r="O72" s="115"/>
      <c r="P72" s="117"/>
      <c r="Q72" s="90"/>
      <c r="U72" s="87"/>
      <c r="Y72" s="113"/>
      <c r="Z72" s="113"/>
      <c r="AC72" s="111"/>
      <c r="AD72" s="111"/>
    </row>
    <row r="73" spans="1:33">
      <c r="A73" s="27"/>
      <c r="B73" s="138" t="s">
        <v>237</v>
      </c>
      <c r="C73" s="140"/>
      <c r="D73" s="140"/>
      <c r="E73" s="32"/>
      <c r="F73" s="19"/>
      <c r="G73" s="20"/>
      <c r="H73" s="20"/>
      <c r="I73" s="140" t="s">
        <v>302</v>
      </c>
      <c r="J73" s="119"/>
      <c r="K73" s="119"/>
      <c r="L73" s="119"/>
      <c r="M73" s="119"/>
      <c r="N73" s="119"/>
      <c r="O73" s="140"/>
      <c r="P73" s="150"/>
      <c r="Q73" s="90"/>
      <c r="R73" s="87"/>
      <c r="U73" s="87"/>
      <c r="Y73" s="119"/>
      <c r="Z73" s="119"/>
      <c r="AC73" s="111" t="str">
        <f>IF(J73="","",VLOOKUP(F74,[1]dim!$A:$F,6,FALSE))</f>
        <v/>
      </c>
      <c r="AD73" s="111" t="str">
        <f>IF(J73="","",VLOOKUP(F74,[1]dim!$A:$G,7,FALSE))</f>
        <v/>
      </c>
      <c r="AF73" t="s">
        <v>302</v>
      </c>
      <c r="AG73" t="s">
        <v>302</v>
      </c>
    </row>
    <row r="74" spans="1:33">
      <c r="A74" s="27"/>
      <c r="B74" s="139"/>
      <c r="C74" s="141"/>
      <c r="D74" s="141"/>
      <c r="E74" s="33"/>
      <c r="F74" s="21"/>
      <c r="G74" s="22"/>
      <c r="H74" s="22"/>
      <c r="I74" s="141"/>
      <c r="J74" s="120"/>
      <c r="K74" s="120"/>
      <c r="L74" s="120"/>
      <c r="M74" s="120"/>
      <c r="N74" s="120"/>
      <c r="O74" s="141"/>
      <c r="P74" s="151"/>
      <c r="Q74" s="90"/>
      <c r="R74" s="87"/>
      <c r="U74" s="87"/>
      <c r="Y74" s="120"/>
      <c r="Z74" s="120"/>
      <c r="AC74" s="111"/>
      <c r="AD74" s="111"/>
    </row>
    <row r="75" spans="1:33">
      <c r="A75" s="27"/>
      <c r="B75" s="142" t="s">
        <v>55</v>
      </c>
      <c r="C75" s="130" t="s">
        <v>56</v>
      </c>
      <c r="D75" s="131" t="s">
        <v>40</v>
      </c>
      <c r="E75" s="34" t="s">
        <v>227</v>
      </c>
      <c r="F75" s="6" t="s">
        <v>54</v>
      </c>
      <c r="G75" s="13">
        <v>23.943239000000009</v>
      </c>
      <c r="H75" s="2" t="s">
        <v>343</v>
      </c>
      <c r="I75" s="114" t="s">
        <v>357</v>
      </c>
      <c r="J75" s="112">
        <v>0.5</v>
      </c>
      <c r="K75" s="112">
        <v>0.58176599999999468</v>
      </c>
      <c r="L75" s="112">
        <v>0.2117565767233123</v>
      </c>
      <c r="M75" s="112">
        <v>0.4</v>
      </c>
      <c r="N75" s="112">
        <v>1</v>
      </c>
      <c r="O75" s="114" t="s">
        <v>312</v>
      </c>
      <c r="P75" s="116" t="s">
        <v>312</v>
      </c>
      <c r="Q75" s="90"/>
      <c r="U75" s="87"/>
      <c r="Y75" s="112" t="str">
        <f>IF(V75="","",
IF(AND(V75&gt;=$V$12,V75&lt;$V$13),$V$12,
IF(AND(V75&gt;=$V$13,V75&lt;$V$14),$V$13,
IF(AND(V75&gt;=$V$14,V75&lt;$V$15),$V$14,
IF(AND(V75&gt;=$V$15,V75&lt;$V$16),$V$15,
IF(AND(V75&gt;=$V$16,V75&lt;$V$17),$V$16,""))))))</f>
        <v/>
      </c>
      <c r="Z75" s="112">
        <v>1</v>
      </c>
      <c r="AC75" s="111">
        <f>IF(J75="","",VLOOKUP(F76,[1]dim!$A:$F,6,FALSE))</f>
        <v>0.5</v>
      </c>
      <c r="AD75" s="111">
        <f>IF(J75="","",VLOOKUP(F76,[1]dim!$A:$G,7,FALSE))</f>
        <v>0.47767877347752125</v>
      </c>
      <c r="AF75">
        <v>0.5</v>
      </c>
      <c r="AG75">
        <v>0.47767877347752125</v>
      </c>
    </row>
    <row r="76" spans="1:33">
      <c r="A76" s="27"/>
      <c r="B76" s="142"/>
      <c r="C76" s="130"/>
      <c r="D76" s="131"/>
      <c r="E76" s="34" t="s">
        <v>228</v>
      </c>
      <c r="F76" s="6" t="s">
        <v>72</v>
      </c>
      <c r="G76" s="13">
        <v>23.361473000000014</v>
      </c>
      <c r="H76" s="2" t="s">
        <v>358</v>
      </c>
      <c r="I76" s="115"/>
      <c r="J76" s="113"/>
      <c r="K76" s="113"/>
      <c r="L76" s="113"/>
      <c r="M76" s="113"/>
      <c r="N76" s="113"/>
      <c r="O76" s="115"/>
      <c r="P76" s="117"/>
      <c r="Q76" s="90"/>
      <c r="U76" s="87"/>
      <c r="Y76" s="113"/>
      <c r="Z76" s="113"/>
      <c r="AC76" s="111"/>
      <c r="AD76" s="111"/>
    </row>
    <row r="77" spans="1:33">
      <c r="A77" s="27"/>
      <c r="B77" s="129" t="s">
        <v>73</v>
      </c>
      <c r="C77" s="130" t="s">
        <v>74</v>
      </c>
      <c r="D77" s="131" t="s">
        <v>8</v>
      </c>
      <c r="E77" s="34" t="s">
        <v>227</v>
      </c>
      <c r="F77" s="6" t="s">
        <v>72</v>
      </c>
      <c r="G77" s="13">
        <v>23.065874000000015</v>
      </c>
      <c r="H77" s="2" t="s">
        <v>358</v>
      </c>
      <c r="I77" s="114" t="s">
        <v>359</v>
      </c>
      <c r="J77" s="112">
        <v>0.45</v>
      </c>
      <c r="K77" s="112">
        <v>0.10000000000000142</v>
      </c>
      <c r="L77" s="112"/>
      <c r="M77" s="112">
        <v>0.5</v>
      </c>
      <c r="N77" s="112">
        <v>1</v>
      </c>
      <c r="O77" s="114" t="s">
        <v>312</v>
      </c>
      <c r="P77" s="149" t="s">
        <v>312</v>
      </c>
      <c r="Q77" s="90"/>
      <c r="U77" s="87"/>
      <c r="Y77" s="112">
        <v>0.4</v>
      </c>
      <c r="Z77" s="112">
        <f>IF(V77&gt;$S$28,2,1)</f>
        <v>1</v>
      </c>
      <c r="AC77" s="111">
        <f>IF(J77="","",VLOOKUP(F78,[1]dim!$A:$F,6,FALSE))</f>
        <v>0.45</v>
      </c>
      <c r="AD77" s="111">
        <f>IF(J77="","",VLOOKUP(F78,[1]dim!$A:$G,7,FALSE))</f>
        <v>0.43792955895552788</v>
      </c>
      <c r="AF77">
        <v>0.45</v>
      </c>
      <c r="AG77">
        <v>0.43792955895552788</v>
      </c>
    </row>
    <row r="78" spans="1:33">
      <c r="A78" s="27"/>
      <c r="B78" s="129"/>
      <c r="C78" s="130"/>
      <c r="D78" s="131"/>
      <c r="E78" s="34" t="s">
        <v>228</v>
      </c>
      <c r="F78" s="6" t="s">
        <v>75</v>
      </c>
      <c r="G78" s="13">
        <v>22.965874000000014</v>
      </c>
      <c r="H78" s="2" t="s">
        <v>360</v>
      </c>
      <c r="I78" s="115"/>
      <c r="J78" s="113"/>
      <c r="K78" s="113"/>
      <c r="L78" s="113"/>
      <c r="M78" s="113"/>
      <c r="N78" s="113"/>
      <c r="O78" s="115"/>
      <c r="P78" s="117"/>
      <c r="Q78" s="90"/>
      <c r="U78" s="87"/>
      <c r="Y78" s="113"/>
      <c r="Z78" s="113"/>
      <c r="AC78" s="111"/>
      <c r="AD78" s="111"/>
    </row>
    <row r="79" spans="1:33">
      <c r="A79" s="27"/>
      <c r="B79" s="138" t="s">
        <v>238</v>
      </c>
      <c r="C79" s="140"/>
      <c r="D79" s="140"/>
      <c r="E79" s="32"/>
      <c r="F79" s="19"/>
      <c r="G79" s="20"/>
      <c r="H79" s="20"/>
      <c r="I79" s="140" t="s">
        <v>302</v>
      </c>
      <c r="J79" s="119"/>
      <c r="K79" s="119"/>
      <c r="L79" s="119"/>
      <c r="M79" s="119"/>
      <c r="N79" s="119"/>
      <c r="O79" s="140"/>
      <c r="P79" s="150"/>
      <c r="Q79" s="90"/>
      <c r="R79" s="87"/>
      <c r="U79" s="87"/>
      <c r="Y79" s="119"/>
      <c r="Z79" s="119"/>
      <c r="AC79" s="111" t="str">
        <f>IF(J79="","",VLOOKUP(F80,[1]dim!$A:$F,6,FALSE))</f>
        <v/>
      </c>
      <c r="AD79" s="111" t="str">
        <f>IF(J79="","",VLOOKUP(F80,[1]dim!$A:$G,7,FALSE))</f>
        <v/>
      </c>
      <c r="AF79" t="s">
        <v>302</v>
      </c>
      <c r="AG79" t="s">
        <v>302</v>
      </c>
    </row>
    <row r="80" spans="1:33">
      <c r="A80" s="27"/>
      <c r="B80" s="139"/>
      <c r="C80" s="141"/>
      <c r="D80" s="141"/>
      <c r="E80" s="33"/>
      <c r="F80" s="21"/>
      <c r="G80" s="22"/>
      <c r="H80" s="22"/>
      <c r="I80" s="141"/>
      <c r="J80" s="120"/>
      <c r="K80" s="120"/>
      <c r="L80" s="120"/>
      <c r="M80" s="120"/>
      <c r="N80" s="120"/>
      <c r="O80" s="141"/>
      <c r="P80" s="151"/>
      <c r="Q80" s="90"/>
      <c r="R80" s="87"/>
      <c r="U80" s="87"/>
      <c r="Y80" s="120"/>
      <c r="Z80" s="120"/>
      <c r="AC80" s="111"/>
      <c r="AD80" s="111"/>
    </row>
    <row r="81" spans="1:33">
      <c r="A81" s="27"/>
      <c r="B81" s="129" t="s">
        <v>58</v>
      </c>
      <c r="C81" s="130" t="s">
        <v>59</v>
      </c>
      <c r="D81" s="131" t="s">
        <v>40</v>
      </c>
      <c r="E81" s="34" t="s">
        <v>227</v>
      </c>
      <c r="F81" s="6" t="s">
        <v>57</v>
      </c>
      <c r="G81" s="13">
        <v>23.09727800000001</v>
      </c>
      <c r="H81" s="2" t="s">
        <v>345</v>
      </c>
      <c r="I81" s="114" t="s">
        <v>361</v>
      </c>
      <c r="J81" s="112">
        <v>0.5</v>
      </c>
      <c r="K81" s="112">
        <v>0.30681000000000225</v>
      </c>
      <c r="L81" s="112">
        <v>0.14780295472664254</v>
      </c>
      <c r="M81" s="112">
        <v>0.4</v>
      </c>
      <c r="N81" s="112">
        <v>1</v>
      </c>
      <c r="O81" s="114" t="s">
        <v>312</v>
      </c>
      <c r="P81" s="116" t="s">
        <v>312</v>
      </c>
      <c r="Q81" s="90"/>
      <c r="U81" s="87"/>
      <c r="Y81" s="112" t="str">
        <f>IF(V81="","",
IF(AND(V81&gt;=$V$12,V81&lt;$V$13),$V$12,
IF(AND(V81&gt;=$V$13,V81&lt;$V$14),$V$13,
IF(AND(V81&gt;=$V$14,V81&lt;$V$15),$V$14,
IF(AND(V81&gt;=$V$15,V81&lt;$V$16),$V$15,
IF(AND(V81&gt;=$V$16,V81&lt;$V$17),$V$16,""))))))</f>
        <v/>
      </c>
      <c r="Z81" s="112">
        <v>1</v>
      </c>
      <c r="AC81" s="111">
        <f>IF(J81="","",VLOOKUP(F82,[1]dim!$A:$F,6,FALSE))</f>
        <v>0.5</v>
      </c>
      <c r="AD81" s="111">
        <f>IF(J81="","",VLOOKUP(F82,[1]dim!$A:$G,7,FALSE))</f>
        <v>0.46686104358468183</v>
      </c>
      <c r="AF81">
        <v>0.5</v>
      </c>
      <c r="AG81">
        <v>0.46686104358468183</v>
      </c>
    </row>
    <row r="82" spans="1:33">
      <c r="A82" s="27"/>
      <c r="B82" s="129"/>
      <c r="C82" s="130"/>
      <c r="D82" s="131"/>
      <c r="E82" s="34" t="s">
        <v>228</v>
      </c>
      <c r="F82" s="6" t="s">
        <v>76</v>
      </c>
      <c r="G82" s="13">
        <v>22.790468000000008</v>
      </c>
      <c r="H82" s="2" t="s">
        <v>362</v>
      </c>
      <c r="I82" s="115"/>
      <c r="J82" s="113"/>
      <c r="K82" s="113"/>
      <c r="L82" s="113"/>
      <c r="M82" s="113"/>
      <c r="N82" s="113"/>
      <c r="O82" s="115"/>
      <c r="P82" s="117"/>
      <c r="Q82" s="90"/>
      <c r="U82" s="87"/>
      <c r="Y82" s="113"/>
      <c r="Z82" s="113"/>
      <c r="AC82" s="111"/>
      <c r="AD82" s="111"/>
    </row>
    <row r="83" spans="1:33">
      <c r="A83" s="27"/>
      <c r="B83" s="129" t="s">
        <v>77</v>
      </c>
      <c r="C83" s="130" t="s">
        <v>78</v>
      </c>
      <c r="D83" s="136" t="s">
        <v>230</v>
      </c>
      <c r="E83" s="34" t="s">
        <v>227</v>
      </c>
      <c r="F83" s="6" t="s">
        <v>76</v>
      </c>
      <c r="G83" s="13">
        <v>22.663803000000009</v>
      </c>
      <c r="H83" s="2" t="s">
        <v>362</v>
      </c>
      <c r="I83" s="114" t="s">
        <v>309</v>
      </c>
      <c r="J83" s="112">
        <v>0.45</v>
      </c>
      <c r="K83" s="112"/>
      <c r="L83" s="112"/>
      <c r="M83" s="112"/>
      <c r="N83" s="112"/>
      <c r="O83" s="114"/>
      <c r="P83" s="116"/>
      <c r="Q83" s="90"/>
      <c r="U83" s="87"/>
      <c r="Y83" s="112"/>
      <c r="Z83" s="112"/>
      <c r="AC83" s="111">
        <f>IF(J83="","",VLOOKUP(F84,[1]dim!$A:$F,6,FALSE))</f>
        <v>0.45</v>
      </c>
      <c r="AD83" s="111">
        <f>IF(J83="","",VLOOKUP(F84,[1]dim!$A:$G,7,FALSE))</f>
        <v>0.40443084156890607</v>
      </c>
      <c r="AF83">
        <v>0.45</v>
      </c>
      <c r="AG83">
        <v>0.40443084156890607</v>
      </c>
    </row>
    <row r="84" spans="1:33">
      <c r="A84" s="27"/>
      <c r="B84" s="129"/>
      <c r="C84" s="130"/>
      <c r="D84" s="137"/>
      <c r="E84" s="34" t="s">
        <v>228</v>
      </c>
      <c r="F84" s="6" t="s">
        <v>79</v>
      </c>
      <c r="G84" s="13">
        <v>22.663803000000009</v>
      </c>
      <c r="H84" s="2" t="s">
        <v>363</v>
      </c>
      <c r="I84" s="115"/>
      <c r="J84" s="113"/>
      <c r="K84" s="113"/>
      <c r="L84" s="113"/>
      <c r="M84" s="113"/>
      <c r="N84" s="113"/>
      <c r="O84" s="115"/>
      <c r="P84" s="117"/>
      <c r="Q84" s="90"/>
      <c r="U84" s="87"/>
      <c r="Y84" s="113"/>
      <c r="Z84" s="113"/>
      <c r="AC84" s="111"/>
      <c r="AD84" s="111"/>
    </row>
    <row r="85" spans="1:33">
      <c r="A85" s="27"/>
      <c r="B85" s="143" t="s">
        <v>80</v>
      </c>
      <c r="C85" s="144" t="s">
        <v>81</v>
      </c>
      <c r="D85" s="131" t="s">
        <v>8</v>
      </c>
      <c r="E85" s="108" t="s">
        <v>227</v>
      </c>
      <c r="F85" s="107" t="s">
        <v>79</v>
      </c>
      <c r="G85" s="109">
        <v>22.405091000000006</v>
      </c>
      <c r="H85" s="110" t="s">
        <v>363</v>
      </c>
      <c r="I85" s="154" t="s">
        <v>364</v>
      </c>
      <c r="J85" s="152">
        <v>0.3</v>
      </c>
      <c r="K85" s="112">
        <v>0.10000000000000142</v>
      </c>
      <c r="L85" s="112">
        <v>0.10906518162888221</v>
      </c>
      <c r="M85" s="112">
        <v>0.5</v>
      </c>
      <c r="N85" s="112">
        <v>1</v>
      </c>
      <c r="O85" s="114" t="s">
        <v>312</v>
      </c>
      <c r="P85" s="149" t="s">
        <v>312</v>
      </c>
      <c r="Q85" s="90"/>
      <c r="U85" s="87"/>
      <c r="Y85" s="112">
        <v>0.3</v>
      </c>
      <c r="Z85" s="112">
        <f>IF(V85&gt;$S$28,2,1)</f>
        <v>1</v>
      </c>
      <c r="AC85" s="111">
        <f>IF(J85="","",VLOOKUP(F86,[1]dim!$A:$F,6,FALSE))</f>
        <v>0.3</v>
      </c>
      <c r="AD85" s="111">
        <f>IF(J85="","",VLOOKUP(F86,[1]dim!$A:$G,7,FALSE))</f>
        <v>0.27859166464088891</v>
      </c>
      <c r="AF85">
        <v>0.3</v>
      </c>
      <c r="AG85">
        <v>0.27859166464088891</v>
      </c>
    </row>
    <row r="86" spans="1:33">
      <c r="A86" s="27"/>
      <c r="B86" s="143"/>
      <c r="C86" s="144"/>
      <c r="D86" s="131"/>
      <c r="E86" s="108" t="s">
        <v>228</v>
      </c>
      <c r="F86" s="107" t="s">
        <v>82</v>
      </c>
      <c r="G86" s="109">
        <v>22.305091000000004</v>
      </c>
      <c r="H86" s="110" t="s">
        <v>365</v>
      </c>
      <c r="I86" s="155"/>
      <c r="J86" s="153"/>
      <c r="K86" s="113"/>
      <c r="L86" s="113"/>
      <c r="M86" s="113"/>
      <c r="N86" s="113"/>
      <c r="O86" s="115"/>
      <c r="P86" s="117"/>
      <c r="Q86" s="90"/>
      <c r="U86" s="87"/>
      <c r="Y86" s="113"/>
      <c r="Z86" s="113"/>
      <c r="AC86" s="111"/>
      <c r="AD86" s="111"/>
    </row>
    <row r="87" spans="1:33">
      <c r="A87" s="27"/>
      <c r="B87" s="138" t="s">
        <v>239</v>
      </c>
      <c r="C87" s="140"/>
      <c r="D87" s="140"/>
      <c r="E87" s="32"/>
      <c r="F87" s="19"/>
      <c r="G87" s="20"/>
      <c r="H87" s="20"/>
      <c r="I87" s="140" t="s">
        <v>302</v>
      </c>
      <c r="J87" s="119"/>
      <c r="K87" s="119"/>
      <c r="L87" s="119"/>
      <c r="M87" s="119"/>
      <c r="N87" s="119"/>
      <c r="O87" s="140"/>
      <c r="P87" s="150"/>
      <c r="Q87" s="90"/>
      <c r="R87" s="87"/>
      <c r="U87" s="87"/>
      <c r="Y87" s="119"/>
      <c r="Z87" s="119"/>
      <c r="AC87" s="111" t="str">
        <f>IF(J87="","",VLOOKUP(F88,[1]dim!$A:$F,6,FALSE))</f>
        <v/>
      </c>
      <c r="AD87" s="111" t="str">
        <f>IF(J87="","",VLOOKUP(F88,[1]dim!$A:$G,7,FALSE))</f>
        <v/>
      </c>
      <c r="AF87" t="s">
        <v>302</v>
      </c>
      <c r="AG87" t="s">
        <v>302</v>
      </c>
    </row>
    <row r="88" spans="1:33">
      <c r="A88" s="27"/>
      <c r="B88" s="139"/>
      <c r="C88" s="141"/>
      <c r="D88" s="141"/>
      <c r="E88" s="33"/>
      <c r="F88" s="21"/>
      <c r="G88" s="22"/>
      <c r="H88" s="22"/>
      <c r="I88" s="141"/>
      <c r="J88" s="120"/>
      <c r="K88" s="120"/>
      <c r="L88" s="120"/>
      <c r="M88" s="120"/>
      <c r="N88" s="120"/>
      <c r="O88" s="141"/>
      <c r="P88" s="151"/>
      <c r="Q88" s="90"/>
      <c r="R88" s="87"/>
      <c r="U88" s="87"/>
      <c r="Y88" s="120"/>
      <c r="Z88" s="120"/>
      <c r="AC88" s="111"/>
      <c r="AD88" s="111"/>
    </row>
    <row r="89" spans="1:33">
      <c r="A89" s="27"/>
      <c r="B89" s="142" t="s">
        <v>22</v>
      </c>
      <c r="C89" s="130" t="s">
        <v>23</v>
      </c>
      <c r="D89" s="131" t="s">
        <v>226</v>
      </c>
      <c r="E89" s="34" t="s">
        <v>227</v>
      </c>
      <c r="F89" s="6" t="s">
        <v>21</v>
      </c>
      <c r="G89" s="13">
        <v>25.534389000000026</v>
      </c>
      <c r="H89" s="2" t="s">
        <v>320</v>
      </c>
      <c r="I89" s="114" t="s">
        <v>366</v>
      </c>
      <c r="J89" s="112">
        <v>2.2000000000000002</v>
      </c>
      <c r="K89" s="112">
        <v>1.0669715000000082</v>
      </c>
      <c r="L89" s="112"/>
      <c r="M89" s="112">
        <v>1</v>
      </c>
      <c r="N89" s="112">
        <v>2</v>
      </c>
      <c r="O89" s="114" t="s">
        <v>312</v>
      </c>
      <c r="P89" s="116" t="s">
        <v>312</v>
      </c>
      <c r="Q89" s="90"/>
      <c r="U89" s="87"/>
      <c r="Y89" s="112" t="str">
        <f>IF(V89&gt;=$S$28,IF(V89/2&gt;=$S$28,$S$28,IF(AND(V89/2&lt;$S$28,V89/2&gt;=$S$27),$S$27,IF(AND(V89/2&lt;$S$27,V89/2&gt;=$S$26),$S$26,IF(AND(V89/2&lt;$S$26,V89/2&gt;=$S$25),$S$25,IF(AND(V89/2&lt;$S$25,V89/2&gt;=$S$24),$S$24,IF(AND(V89/2&lt;$S$24,V89/2&gt;=$S$23),$S$23,IF(AND(V89/2&lt;$S$23,V89/2&gt;=$S$22),$S$22,""))))))),
IF(V89="","",
IF(AND(V89&gt;=$S$22,V89&lt;$S$23),$S$22,IF(AND(V89&gt;=$S$23,V89&lt;$S$24),$S$23,IF(AND(V89&gt;=$S$24,V89&lt;$S$25),$S$24,IF(AND(V89&gt;=$S$25,V89&lt;$S$26),$S$25,IF(AND(V89&gt;=$S$26,V89&lt;$S$27),$S$26,IF(AND(V89&gt;=$S$27,V89&lt;$S$28),$S$27,""))))))))</f>
        <v/>
      </c>
      <c r="Z89" s="112">
        <f>IF(V89&gt;$S$28,2,1)</f>
        <v>1</v>
      </c>
      <c r="AC89" s="111">
        <f>IF(J89="","",VLOOKUP(F90,[1]dim!$A:$F,6,FALSE))</f>
        <v>2.2000000000000002</v>
      </c>
      <c r="AD89" s="111">
        <f>IF(J89="","",VLOOKUP(F90,[1]dim!$A:$G,7,FALSE))</f>
        <v>1.0109419678953844</v>
      </c>
      <c r="AF89">
        <v>2.2000000000000002</v>
      </c>
      <c r="AG89">
        <v>1.0109419678953844</v>
      </c>
    </row>
    <row r="90" spans="1:33">
      <c r="A90" s="27"/>
      <c r="B90" s="142"/>
      <c r="C90" s="130"/>
      <c r="D90" s="131"/>
      <c r="E90" s="34" t="s">
        <v>228</v>
      </c>
      <c r="F90" s="6" t="s">
        <v>83</v>
      </c>
      <c r="G90" s="13">
        <v>24.467417500000018</v>
      </c>
      <c r="H90" s="2" t="s">
        <v>367</v>
      </c>
      <c r="I90" s="115"/>
      <c r="J90" s="113"/>
      <c r="K90" s="113"/>
      <c r="L90" s="113"/>
      <c r="M90" s="113"/>
      <c r="N90" s="113"/>
      <c r="O90" s="115"/>
      <c r="P90" s="117"/>
      <c r="Q90" s="90"/>
      <c r="U90" s="87"/>
      <c r="Y90" s="113"/>
      <c r="Z90" s="113"/>
      <c r="AC90" s="111"/>
      <c r="AD90" s="111"/>
    </row>
    <row r="91" spans="1:33">
      <c r="A91" s="27"/>
      <c r="B91" s="129" t="s">
        <v>84</v>
      </c>
      <c r="C91" s="130" t="s">
        <v>85</v>
      </c>
      <c r="D91" s="131" t="s">
        <v>8</v>
      </c>
      <c r="E91" s="34" t="s">
        <v>227</v>
      </c>
      <c r="F91" s="6" t="s">
        <v>83</v>
      </c>
      <c r="G91" s="13">
        <v>24.105763000000017</v>
      </c>
      <c r="H91" s="2" t="s">
        <v>367</v>
      </c>
      <c r="I91" s="114" t="s">
        <v>368</v>
      </c>
      <c r="J91" s="112">
        <v>2.2000000000000002</v>
      </c>
      <c r="K91" s="112">
        <v>0.10000000000000142</v>
      </c>
      <c r="L91" s="112"/>
      <c r="M91" s="112">
        <v>1</v>
      </c>
      <c r="N91" s="112">
        <v>2</v>
      </c>
      <c r="O91" s="114" t="s">
        <v>312</v>
      </c>
      <c r="P91" s="149" t="s">
        <v>312</v>
      </c>
      <c r="Q91" s="90"/>
      <c r="U91" s="87"/>
      <c r="Y91" s="112" t="str">
        <f>IF(V91&gt;=$S$28,IF(V91/2&gt;=$S$28,$S$28,IF(AND(V91/2&lt;$S$28,V91/2&gt;=$S$27),$S$27,IF(AND(V91/2&lt;$S$27,V91/2&gt;=$S$26),$S$26,IF(AND(V91/2&lt;$S$26,V91/2&gt;=$S$25),$S$25,IF(AND(V91/2&lt;$S$25,V91/2&gt;=$S$24),$S$24,IF(AND(V91/2&lt;$S$24,V91/2&gt;=$S$23),$S$23,IF(AND(V91/2&lt;$S$23,V91/2&gt;=$S$22),$S$22,""))))))),
IF(V91="","",
IF(AND(V91&gt;=$S$22,V91&lt;$S$23),$S$22,IF(AND(V91&gt;=$S$23,V91&lt;$S$24),$S$23,IF(AND(V91&gt;=$S$24,V91&lt;$S$25),$S$24,IF(AND(V91&gt;=$S$25,V91&lt;$S$26),$S$25,IF(AND(V91&gt;=$S$26,V91&lt;$S$27),$S$26,IF(AND(V91&gt;=$S$27,V91&lt;$S$28),$S$27,""))))))))</f>
        <v/>
      </c>
      <c r="Z91" s="112">
        <f>IF(V91&gt;$S$28,2,1)</f>
        <v>1</v>
      </c>
      <c r="AC91" s="111">
        <f>IF(J91="","",VLOOKUP(F92,[1]dim!$A:$F,6,FALSE))</f>
        <v>2.2000000000000002</v>
      </c>
      <c r="AD91" s="111">
        <f>IF(J91="","",VLOOKUP(F92,[1]dim!$A:$G,7,FALSE))</f>
        <v>0.98610863480859101</v>
      </c>
      <c r="AF91">
        <v>2.2000000000000002</v>
      </c>
      <c r="AG91">
        <v>0.98610863480859101</v>
      </c>
    </row>
    <row r="92" spans="1:33">
      <c r="A92" s="27"/>
      <c r="B92" s="129"/>
      <c r="C92" s="130"/>
      <c r="D92" s="131"/>
      <c r="E92" s="34" t="s">
        <v>228</v>
      </c>
      <c r="F92" s="6" t="s">
        <v>86</v>
      </c>
      <c r="G92" s="13">
        <v>24.005763000000016</v>
      </c>
      <c r="H92" s="2" t="s">
        <v>369</v>
      </c>
      <c r="I92" s="115"/>
      <c r="J92" s="113"/>
      <c r="K92" s="113"/>
      <c r="L92" s="113"/>
      <c r="M92" s="113"/>
      <c r="N92" s="113"/>
      <c r="O92" s="115"/>
      <c r="P92" s="117"/>
      <c r="Q92" s="90"/>
      <c r="U92" s="87"/>
      <c r="Y92" s="113"/>
      <c r="Z92" s="113"/>
      <c r="AC92" s="111"/>
      <c r="AD92" s="111"/>
    </row>
    <row r="93" spans="1:33">
      <c r="A93" s="27"/>
      <c r="B93" s="129" t="s">
        <v>87</v>
      </c>
      <c r="C93" s="130" t="s">
        <v>88</v>
      </c>
      <c r="D93" s="131" t="s">
        <v>8</v>
      </c>
      <c r="E93" s="34" t="s">
        <v>227</v>
      </c>
      <c r="F93" s="6" t="s">
        <v>86</v>
      </c>
      <c r="G93" s="13">
        <v>23.823264000000016</v>
      </c>
      <c r="H93" s="2" t="s">
        <v>369</v>
      </c>
      <c r="I93" s="114" t="s">
        <v>370</v>
      </c>
      <c r="J93" s="112">
        <v>1.2</v>
      </c>
      <c r="K93" s="112">
        <v>0.5</v>
      </c>
      <c r="L93" s="112"/>
      <c r="M93" s="112">
        <v>1.25</v>
      </c>
      <c r="N93" s="112">
        <v>1</v>
      </c>
      <c r="O93" s="114" t="s">
        <v>312</v>
      </c>
      <c r="P93" s="149" t="s">
        <v>312</v>
      </c>
      <c r="Q93" s="90"/>
      <c r="U93" s="87"/>
      <c r="Y93" s="112" t="str">
        <f>IF(V93&gt;=$S$28,IF(V93/2&gt;=$S$28,$S$28,IF(AND(V93/2&lt;$S$28,V93/2&gt;=$S$27),$S$27,IF(AND(V93/2&lt;$S$27,V93/2&gt;=$S$26),$S$26,IF(AND(V93/2&lt;$S$26,V93/2&gt;=$S$25),$S$25,IF(AND(V93/2&lt;$S$25,V93/2&gt;=$S$24),$S$24,IF(AND(V93/2&lt;$S$24,V93/2&gt;=$S$23),$S$23,IF(AND(V93/2&lt;$S$23,V93/2&gt;=$S$22),$S$22,""))))))),
IF(V93="","",
IF(AND(V93&gt;=$S$22,V93&lt;$S$23),$S$22,IF(AND(V93&gt;=$S$23,V93&lt;$S$24),$S$23,IF(AND(V93&gt;=$S$24,V93&lt;$S$25),$S$24,IF(AND(V93&gt;=$S$25,V93&lt;$S$26),$S$25,IF(AND(V93&gt;=$S$26,V93&lt;$S$27),$S$26,IF(AND(V93&gt;=$S$27,V93&lt;$S$28),$S$27,""))))))))</f>
        <v/>
      </c>
      <c r="Z93" s="112">
        <f>IF(V93&gt;$S$28,2,1)</f>
        <v>1</v>
      </c>
      <c r="AC93" s="111">
        <f>IF(J93="","",VLOOKUP(F94,[1]dim!$A:$F,6,FALSE))</f>
        <v>1.2</v>
      </c>
      <c r="AD93" s="111">
        <f>IF(J93="","",VLOOKUP(F94,[1]dim!$A:$G,7,FALSE))</f>
        <v>0.69424078088804586</v>
      </c>
      <c r="AF93">
        <v>1.2</v>
      </c>
      <c r="AG93">
        <v>0.69424078088804586</v>
      </c>
    </row>
    <row r="94" spans="1:33">
      <c r="A94" s="27"/>
      <c r="B94" s="129"/>
      <c r="C94" s="130"/>
      <c r="D94" s="131"/>
      <c r="E94" s="34" t="s">
        <v>228</v>
      </c>
      <c r="F94" s="6" t="s">
        <v>89</v>
      </c>
      <c r="G94" s="13">
        <v>23.323264000000016</v>
      </c>
      <c r="H94" s="2" t="s">
        <v>371</v>
      </c>
      <c r="I94" s="115"/>
      <c r="J94" s="113"/>
      <c r="K94" s="113"/>
      <c r="L94" s="113"/>
      <c r="M94" s="113"/>
      <c r="N94" s="113"/>
      <c r="O94" s="115"/>
      <c r="P94" s="117"/>
      <c r="Q94" s="90"/>
      <c r="U94" s="87"/>
      <c r="Y94" s="113"/>
      <c r="Z94" s="113"/>
      <c r="AC94" s="111"/>
      <c r="AD94" s="111"/>
    </row>
    <row r="95" spans="1:33">
      <c r="A95" s="27"/>
      <c r="B95" s="129" t="s">
        <v>90</v>
      </c>
      <c r="C95" s="130" t="s">
        <v>91</v>
      </c>
      <c r="D95" s="131" t="s">
        <v>8</v>
      </c>
      <c r="E95" s="34" t="s">
        <v>227</v>
      </c>
      <c r="F95" s="6" t="s">
        <v>89</v>
      </c>
      <c r="G95" s="13">
        <v>23.054712000000016</v>
      </c>
      <c r="H95" s="2" t="s">
        <v>371</v>
      </c>
      <c r="I95" s="114" t="s">
        <v>372</v>
      </c>
      <c r="J95" s="112">
        <v>1.1000000000000001</v>
      </c>
      <c r="K95" s="112">
        <v>0.10000000000000142</v>
      </c>
      <c r="L95" s="112"/>
      <c r="M95" s="112">
        <v>1</v>
      </c>
      <c r="N95" s="112">
        <v>1</v>
      </c>
      <c r="O95" s="114" t="s">
        <v>312</v>
      </c>
      <c r="P95" s="149" t="s">
        <v>312</v>
      </c>
      <c r="Q95" s="90"/>
      <c r="U95" s="87"/>
      <c r="Y95" s="112" t="str">
        <f>IF(V95&gt;=$S$28,IF(V95/2&gt;=$S$28,$S$28,IF(AND(V95/2&lt;$S$28,V95/2&gt;=$S$27),$S$27,IF(AND(V95/2&lt;$S$27,V95/2&gt;=$S$26),$S$26,IF(AND(V95/2&lt;$S$26,V95/2&gt;=$S$25),$S$25,IF(AND(V95/2&lt;$S$25,V95/2&gt;=$S$24),$S$24,IF(AND(V95/2&lt;$S$24,V95/2&gt;=$S$23),$S$23,IF(AND(V95/2&lt;$S$23,V95/2&gt;=$S$22),$S$22,""))))))),
IF(V95="","",
IF(AND(V95&gt;=$S$22,V95&lt;$S$23),$S$22,IF(AND(V95&gt;=$S$23,V95&lt;$S$24),$S$23,IF(AND(V95&gt;=$S$24,V95&lt;$S$25),$S$24,IF(AND(V95&gt;=$S$25,V95&lt;$S$26),$S$25,IF(AND(V95&gt;=$S$26,V95&lt;$S$27),$S$26,IF(AND(V95&gt;=$S$27,V95&lt;$S$28),$S$27,""))))))))</f>
        <v/>
      </c>
      <c r="Z95" s="112">
        <f>IF(V95&gt;$S$28,2,1)</f>
        <v>1</v>
      </c>
      <c r="AC95" s="111">
        <f>IF(J95="","",VLOOKUP(F96,[1]dim!$A:$F,6,FALSE))</f>
        <v>1.1000000000000001</v>
      </c>
      <c r="AD95" s="111">
        <f>IF(J95="","",VLOOKUP(F96,[1]dim!$A:$G,7,FALSE))</f>
        <v>0.72147430473548269</v>
      </c>
      <c r="AF95">
        <v>1.1000000000000001</v>
      </c>
      <c r="AG95">
        <v>0.72147430473548269</v>
      </c>
    </row>
    <row r="96" spans="1:33">
      <c r="A96" s="27"/>
      <c r="B96" s="129"/>
      <c r="C96" s="130"/>
      <c r="D96" s="131"/>
      <c r="E96" s="34" t="s">
        <v>228</v>
      </c>
      <c r="F96" s="6" t="s">
        <v>92</v>
      </c>
      <c r="G96" s="13">
        <v>22.954712000000015</v>
      </c>
      <c r="H96" s="2" t="s">
        <v>373</v>
      </c>
      <c r="I96" s="115"/>
      <c r="J96" s="113"/>
      <c r="K96" s="113"/>
      <c r="L96" s="113"/>
      <c r="M96" s="113"/>
      <c r="N96" s="113"/>
      <c r="O96" s="115"/>
      <c r="P96" s="117"/>
      <c r="Q96" s="90"/>
      <c r="U96" s="87"/>
      <c r="Y96" s="113"/>
      <c r="Z96" s="113"/>
      <c r="AC96" s="111"/>
      <c r="AD96" s="111"/>
    </row>
    <row r="97" spans="1:33">
      <c r="A97" s="27"/>
      <c r="B97" s="129" t="s">
        <v>93</v>
      </c>
      <c r="C97" s="130" t="s">
        <v>94</v>
      </c>
      <c r="D97" s="136" t="s">
        <v>230</v>
      </c>
      <c r="E97" s="34" t="s">
        <v>227</v>
      </c>
      <c r="F97" s="6" t="s">
        <v>92</v>
      </c>
      <c r="G97" s="13">
        <v>22.678905000000015</v>
      </c>
      <c r="H97" s="2" t="s">
        <v>373</v>
      </c>
      <c r="I97" s="114" t="s">
        <v>309</v>
      </c>
      <c r="J97" s="112">
        <v>1.1000000000000001</v>
      </c>
      <c r="K97" s="112"/>
      <c r="L97" s="112"/>
      <c r="M97" s="112"/>
      <c r="N97" s="112"/>
      <c r="O97" s="114"/>
      <c r="P97" s="116"/>
      <c r="Q97" s="90"/>
      <c r="U97" s="87"/>
      <c r="Y97" s="112"/>
      <c r="Z97" s="112"/>
      <c r="AC97" s="111">
        <f>IF(J97="","",VLOOKUP(F98,[1]dim!$A:$F,6,FALSE))</f>
        <v>1.1000000000000001</v>
      </c>
      <c r="AD97" s="111">
        <f>IF(J97="","",VLOOKUP(F98,[1]dim!$A:$G,7,FALSE))</f>
        <v>0.69128612149442692</v>
      </c>
      <c r="AF97">
        <v>1.1000000000000001</v>
      </c>
      <c r="AG97">
        <v>0.69128612149442692</v>
      </c>
    </row>
    <row r="98" spans="1:33">
      <c r="A98" s="27"/>
      <c r="B98" s="129"/>
      <c r="C98" s="130"/>
      <c r="D98" s="137"/>
      <c r="E98" s="34" t="s">
        <v>228</v>
      </c>
      <c r="F98" s="6" t="s">
        <v>95</v>
      </c>
      <c r="G98" s="13">
        <v>22.678905000000015</v>
      </c>
      <c r="H98" s="2" t="s">
        <v>374</v>
      </c>
      <c r="I98" s="115"/>
      <c r="J98" s="113"/>
      <c r="K98" s="113"/>
      <c r="L98" s="113"/>
      <c r="M98" s="113"/>
      <c r="N98" s="113"/>
      <c r="O98" s="115"/>
      <c r="P98" s="117"/>
      <c r="Q98" s="90"/>
      <c r="U98" s="87"/>
      <c r="Y98" s="113"/>
      <c r="Z98" s="113"/>
      <c r="AC98" s="111"/>
      <c r="AD98" s="111"/>
    </row>
    <row r="99" spans="1:33">
      <c r="A99" s="27"/>
      <c r="B99" s="129" t="s">
        <v>96</v>
      </c>
      <c r="C99" s="130" t="s">
        <v>97</v>
      </c>
      <c r="D99" s="131" t="s">
        <v>8</v>
      </c>
      <c r="E99" s="34" t="s">
        <v>227</v>
      </c>
      <c r="F99" s="6" t="s">
        <v>95</v>
      </c>
      <c r="G99" s="13">
        <v>22.049527000000015</v>
      </c>
      <c r="H99" s="2" t="s">
        <v>374</v>
      </c>
      <c r="I99" s="114" t="s">
        <v>375</v>
      </c>
      <c r="J99" s="112">
        <v>0.9</v>
      </c>
      <c r="K99" s="112">
        <v>0.95000000000000284</v>
      </c>
      <c r="L99" s="112"/>
      <c r="M99" s="112">
        <v>1</v>
      </c>
      <c r="N99" s="112">
        <v>1</v>
      </c>
      <c r="O99" s="114" t="s">
        <v>312</v>
      </c>
      <c r="P99" s="149" t="s">
        <v>312</v>
      </c>
      <c r="Q99" s="90"/>
      <c r="U99" s="87"/>
      <c r="Y99" s="112" t="str">
        <f>IF(V99&gt;=$S$28,IF(V99/2&gt;=$S$28,$S$28,IF(AND(V99/2&lt;$S$28,V99/2&gt;=$S$27),$S$27,IF(AND(V99/2&lt;$S$27,V99/2&gt;=$S$26),$S$26,IF(AND(V99/2&lt;$S$26,V99/2&gt;=$S$25),$S$25,IF(AND(V99/2&lt;$S$25,V99/2&gt;=$S$24),$S$24,IF(AND(V99/2&lt;$S$24,V99/2&gt;=$S$23),$S$23,IF(AND(V99/2&lt;$S$23,V99/2&gt;=$S$22),$S$22,""))))))),
IF(V99="","",
IF(AND(V99&gt;=$S$22,V99&lt;$S$23),$S$22,IF(AND(V99&gt;=$S$23,V99&lt;$S$24),$S$23,IF(AND(V99&gt;=$S$24,V99&lt;$S$25),$S$24,IF(AND(V99&gt;=$S$25,V99&lt;$S$26),$S$25,IF(AND(V99&gt;=$S$26,V99&lt;$S$27),$S$26,IF(AND(V99&gt;=$S$27,V99&lt;$S$28),$S$27,""))))))))</f>
        <v/>
      </c>
      <c r="Z99" s="112">
        <f>IF(V99&gt;$S$28,2,1)</f>
        <v>1</v>
      </c>
      <c r="AC99" s="111">
        <f>IF(J99="","",VLOOKUP(F100,[1]dim!$A:$F,6,FALSE))</f>
        <v>0.9</v>
      </c>
      <c r="AD99" s="111">
        <f>IF(J99="","",VLOOKUP(F100,[1]dim!$A:$G,7,FALSE))</f>
        <v>0.62006578605651186</v>
      </c>
      <c r="AF99">
        <v>0.9</v>
      </c>
      <c r="AG99">
        <v>0.62006578605651186</v>
      </c>
    </row>
    <row r="100" spans="1:33">
      <c r="A100" s="27"/>
      <c r="B100" s="129"/>
      <c r="C100" s="130"/>
      <c r="D100" s="131"/>
      <c r="E100" s="34" t="s">
        <v>228</v>
      </c>
      <c r="F100" s="6" t="s">
        <v>98</v>
      </c>
      <c r="G100" s="13">
        <v>21.099527000000013</v>
      </c>
      <c r="H100" s="2" t="s">
        <v>376</v>
      </c>
      <c r="I100" s="115"/>
      <c r="J100" s="113"/>
      <c r="K100" s="113"/>
      <c r="L100" s="113"/>
      <c r="M100" s="113"/>
      <c r="N100" s="113"/>
      <c r="O100" s="115"/>
      <c r="P100" s="117"/>
      <c r="Q100" s="90"/>
      <c r="U100" s="87"/>
      <c r="Y100" s="113"/>
      <c r="Z100" s="113"/>
      <c r="AC100" s="111"/>
      <c r="AD100" s="111"/>
    </row>
    <row r="101" spans="1:33">
      <c r="A101" s="27"/>
      <c r="B101" s="129" t="s">
        <v>99</v>
      </c>
      <c r="C101" s="130" t="s">
        <v>100</v>
      </c>
      <c r="D101" s="131" t="s">
        <v>8</v>
      </c>
      <c r="E101" s="34" t="s">
        <v>227</v>
      </c>
      <c r="F101" s="6" t="s">
        <v>98</v>
      </c>
      <c r="G101" s="13">
        <v>20.733354000000013</v>
      </c>
      <c r="H101" s="2" t="s">
        <v>376</v>
      </c>
      <c r="I101" s="114" t="s">
        <v>377</v>
      </c>
      <c r="J101" s="112">
        <v>0.55000000000000004</v>
      </c>
      <c r="K101" s="112">
        <v>0.5</v>
      </c>
      <c r="L101" s="112"/>
      <c r="M101" s="112">
        <v>0.5</v>
      </c>
      <c r="N101" s="112">
        <v>1</v>
      </c>
      <c r="O101" s="114" t="s">
        <v>312</v>
      </c>
      <c r="P101" s="149" t="s">
        <v>312</v>
      </c>
      <c r="Q101" s="90"/>
      <c r="S101" s="88"/>
      <c r="U101" s="87"/>
      <c r="Y101" s="112" t="str">
        <f>IF(V101&gt;=$S$28,IF(V101/2&gt;=$S$28,$S$28,IF(AND(V101/2&lt;$S$28,V101/2&gt;=$S$27),$S$27,IF(AND(V101/2&lt;$S$27,V101/2&gt;=$S$26),$S$26,IF(AND(V101/2&lt;$S$26,V101/2&gt;=$S$25),$S$25,IF(AND(V101/2&lt;$S$25,V101/2&gt;=$S$24),$S$24,IF(AND(V101/2&lt;$S$24,V101/2&gt;=$S$23),$S$23,IF(AND(V101/2&lt;$S$23,V101/2&gt;=$S$22),$S$22,""))))))),
IF(V101="","",
IF(AND(V101&gt;=$S$22,V101&lt;$S$23),$S$22,IF(AND(V101&gt;=$S$23,V101&lt;$S$24),$S$23,IF(AND(V101&gt;=$S$24,V101&lt;$S$25),$S$24,IF(AND(V101&gt;=$S$25,V101&lt;$S$26),$S$25,IF(AND(V101&gt;=$S$26,V101&lt;$S$27),$S$26,IF(AND(V101&gt;=$S$27,V101&lt;$S$28),$S$27,""))))))))</f>
        <v/>
      </c>
      <c r="Z101" s="112">
        <f>IF(V101&gt;$S$28,2,1)</f>
        <v>1</v>
      </c>
      <c r="AC101" s="111">
        <f>IF(J101="","",VLOOKUP(F102,[1]dim!$A:$F,6,FALSE))</f>
        <v>0.55000000000000004</v>
      </c>
      <c r="AD101" s="111">
        <f>IF(J101="","",VLOOKUP(F102,[1]dim!$A:$G,7,FALSE))</f>
        <v>0.50626695581989367</v>
      </c>
      <c r="AF101">
        <v>0.55000000000000004</v>
      </c>
      <c r="AG101">
        <v>0.50626695581989367</v>
      </c>
    </row>
    <row r="102" spans="1:33">
      <c r="A102" s="27"/>
      <c r="B102" s="129"/>
      <c r="C102" s="130"/>
      <c r="D102" s="131"/>
      <c r="E102" s="34" t="s">
        <v>228</v>
      </c>
      <c r="F102" s="6" t="s">
        <v>101</v>
      </c>
      <c r="G102" s="13">
        <v>20.233354000000013</v>
      </c>
      <c r="H102" s="2" t="s">
        <v>378</v>
      </c>
      <c r="I102" s="115"/>
      <c r="J102" s="113"/>
      <c r="K102" s="113"/>
      <c r="L102" s="113"/>
      <c r="M102" s="113"/>
      <c r="N102" s="113"/>
      <c r="O102" s="115"/>
      <c r="P102" s="117"/>
      <c r="Q102" s="90"/>
      <c r="S102" s="88"/>
      <c r="U102" s="87"/>
      <c r="Y102" s="113"/>
      <c r="Z102" s="113"/>
      <c r="AC102" s="111"/>
      <c r="AD102" s="111"/>
    </row>
    <row r="103" spans="1:33">
      <c r="A103" s="27"/>
      <c r="B103" s="138" t="s">
        <v>240</v>
      </c>
      <c r="C103" s="140"/>
      <c r="D103" s="140"/>
      <c r="E103" s="32"/>
      <c r="F103" s="19"/>
      <c r="G103" s="20"/>
      <c r="H103" s="20"/>
      <c r="I103" s="140" t="s">
        <v>302</v>
      </c>
      <c r="J103" s="119"/>
      <c r="K103" s="119"/>
      <c r="L103" s="119"/>
      <c r="M103" s="119"/>
      <c r="N103" s="119"/>
      <c r="O103" s="140"/>
      <c r="P103" s="150"/>
      <c r="Q103" s="90"/>
      <c r="R103" s="87"/>
      <c r="U103" s="87"/>
      <c r="Y103" s="119"/>
      <c r="Z103" s="119"/>
      <c r="AC103" s="111" t="str">
        <f>IF(J103="","",VLOOKUP(F104,[1]dim!$A:$F,6,FALSE))</f>
        <v/>
      </c>
      <c r="AD103" s="111" t="str">
        <f>IF(J103="","",VLOOKUP(F104,[1]dim!$A:$G,7,FALSE))</f>
        <v/>
      </c>
      <c r="AF103" t="s">
        <v>302</v>
      </c>
      <c r="AG103" t="s">
        <v>302</v>
      </c>
    </row>
    <row r="104" spans="1:33">
      <c r="A104" s="27"/>
      <c r="B104" s="139"/>
      <c r="C104" s="141"/>
      <c r="D104" s="141"/>
      <c r="E104" s="33"/>
      <c r="F104" s="21"/>
      <c r="G104" s="22"/>
      <c r="H104" s="22"/>
      <c r="I104" s="141"/>
      <c r="J104" s="120"/>
      <c r="K104" s="120"/>
      <c r="L104" s="120"/>
      <c r="M104" s="120"/>
      <c r="N104" s="120"/>
      <c r="O104" s="141"/>
      <c r="P104" s="151"/>
      <c r="Q104" s="90"/>
      <c r="R104" s="87"/>
      <c r="U104" s="87"/>
      <c r="Y104" s="120"/>
      <c r="Z104" s="120"/>
      <c r="AC104" s="111"/>
      <c r="AD104" s="111"/>
    </row>
    <row r="105" spans="1:33">
      <c r="A105" s="27"/>
      <c r="B105" s="129" t="s">
        <v>99</v>
      </c>
      <c r="C105" s="130" t="s">
        <v>100</v>
      </c>
      <c r="D105" s="131" t="s">
        <v>40</v>
      </c>
      <c r="E105" s="34" t="s">
        <v>227</v>
      </c>
      <c r="F105" s="6" t="s">
        <v>98</v>
      </c>
      <c r="G105" s="13">
        <v>20.733354000000013</v>
      </c>
      <c r="H105" s="2" t="s">
        <v>376</v>
      </c>
      <c r="I105" s="114" t="s">
        <v>379</v>
      </c>
      <c r="J105" s="112">
        <v>0.5</v>
      </c>
      <c r="K105" s="112">
        <v>1.8741830000000057</v>
      </c>
      <c r="L105" s="112">
        <v>0.22042738901482273</v>
      </c>
      <c r="M105" s="112">
        <v>0.4</v>
      </c>
      <c r="N105" s="112">
        <v>1</v>
      </c>
      <c r="O105" s="114" t="s">
        <v>312</v>
      </c>
      <c r="P105" s="116" t="s">
        <v>312</v>
      </c>
      <c r="Q105" s="90"/>
      <c r="U105" s="87"/>
      <c r="Y105" s="112" t="str">
        <f>IF(V105="","",
IF(AND(V105&gt;=$V$12,V105&lt;$V$13),$V$12,
IF(AND(V105&gt;=$V$13,V105&lt;$V$14),$V$13,
IF(AND(V105&gt;=$V$14,V105&lt;$V$15),$V$14,
IF(AND(V105&gt;=$V$15,V105&lt;$V$16),$V$15,
IF(AND(V105&gt;=$V$16,V105&lt;$V$17),$V$16,""))))))</f>
        <v/>
      </c>
      <c r="Z105" s="112">
        <v>1</v>
      </c>
      <c r="AC105" s="111">
        <f>IF(J105="","",VLOOKUP(F106,[1]dim!$A:$F,6,FALSE))</f>
        <v>0.5</v>
      </c>
      <c r="AD105" s="111">
        <f>IF(J105="","",VLOOKUP(F106,[1]dim!$A:$G,7,FALSE))</f>
        <v>0.37</v>
      </c>
      <c r="AF105">
        <v>0.5</v>
      </c>
      <c r="AG105">
        <v>0.37</v>
      </c>
    </row>
    <row r="106" spans="1:33">
      <c r="A106" s="27"/>
      <c r="B106" s="129"/>
      <c r="C106" s="130"/>
      <c r="D106" s="131"/>
      <c r="E106" s="34" t="s">
        <v>228</v>
      </c>
      <c r="F106" s="6" t="s">
        <v>102</v>
      </c>
      <c r="G106" s="13">
        <v>18.859171000000007</v>
      </c>
      <c r="H106" s="2" t="s">
        <v>380</v>
      </c>
      <c r="I106" s="115"/>
      <c r="J106" s="113"/>
      <c r="K106" s="113"/>
      <c r="L106" s="113"/>
      <c r="M106" s="113"/>
      <c r="N106" s="113"/>
      <c r="O106" s="115"/>
      <c r="P106" s="117"/>
      <c r="Q106" s="90"/>
      <c r="U106" s="87"/>
      <c r="Y106" s="113"/>
      <c r="Z106" s="113"/>
      <c r="AC106" s="111"/>
      <c r="AD106" s="111"/>
    </row>
    <row r="107" spans="1:33">
      <c r="A107" s="27"/>
      <c r="B107" s="138" t="s">
        <v>241</v>
      </c>
      <c r="C107" s="140"/>
      <c r="D107" s="140"/>
      <c r="E107" s="32"/>
      <c r="F107" s="19"/>
      <c r="G107" s="20"/>
      <c r="H107" s="20"/>
      <c r="I107" s="140" t="s">
        <v>302</v>
      </c>
      <c r="J107" s="119"/>
      <c r="K107" s="119"/>
      <c r="L107" s="119"/>
      <c r="M107" s="119"/>
      <c r="N107" s="119"/>
      <c r="O107" s="140"/>
      <c r="P107" s="150"/>
      <c r="Q107" s="90"/>
      <c r="R107" s="87"/>
      <c r="U107" s="87"/>
      <c r="Y107" s="119"/>
      <c r="Z107" s="119"/>
      <c r="AC107" s="111" t="str">
        <f>IF(J107="","",VLOOKUP(F108,[1]dim!$A:$F,6,FALSE))</f>
        <v/>
      </c>
      <c r="AD107" s="111" t="str">
        <f>IF(J107="","",VLOOKUP(F108,[1]dim!$A:$G,7,FALSE))</f>
        <v/>
      </c>
      <c r="AF107" t="s">
        <v>302</v>
      </c>
      <c r="AG107" t="s">
        <v>302</v>
      </c>
    </row>
    <row r="108" spans="1:33">
      <c r="A108" s="27"/>
      <c r="B108" s="139"/>
      <c r="C108" s="141"/>
      <c r="D108" s="141"/>
      <c r="E108" s="33"/>
      <c r="F108" s="21"/>
      <c r="G108" s="22"/>
      <c r="H108" s="22"/>
      <c r="I108" s="141"/>
      <c r="J108" s="120"/>
      <c r="K108" s="120"/>
      <c r="L108" s="120"/>
      <c r="M108" s="120"/>
      <c r="N108" s="120"/>
      <c r="O108" s="141"/>
      <c r="P108" s="151"/>
      <c r="Q108" s="90"/>
      <c r="R108" s="87"/>
      <c r="U108" s="87"/>
      <c r="Y108" s="120"/>
      <c r="Z108" s="120"/>
      <c r="AC108" s="111"/>
      <c r="AD108" s="111"/>
    </row>
    <row r="109" spans="1:33">
      <c r="A109" s="27"/>
      <c r="B109" s="129" t="s">
        <v>87</v>
      </c>
      <c r="C109" s="130" t="s">
        <v>88</v>
      </c>
      <c r="D109" s="131" t="s">
        <v>40</v>
      </c>
      <c r="E109" s="34" t="s">
        <v>227</v>
      </c>
      <c r="F109" s="6" t="s">
        <v>86</v>
      </c>
      <c r="G109" s="13">
        <v>23.823264000000016</v>
      </c>
      <c r="H109" s="2" t="s">
        <v>369</v>
      </c>
      <c r="I109" s="114" t="s">
        <v>381</v>
      </c>
      <c r="J109" s="112">
        <v>1.3</v>
      </c>
      <c r="K109" s="112">
        <v>0.33485400000000709</v>
      </c>
      <c r="L109" s="112">
        <v>0.25326868663520702</v>
      </c>
      <c r="M109" s="112">
        <v>1.2</v>
      </c>
      <c r="N109" s="112">
        <v>1</v>
      </c>
      <c r="O109" s="114" t="s">
        <v>312</v>
      </c>
      <c r="P109" s="116" t="s">
        <v>312</v>
      </c>
      <c r="Q109" s="90"/>
      <c r="U109" s="87"/>
      <c r="Y109" s="112">
        <v>1.2</v>
      </c>
      <c r="Z109" s="112">
        <v>1</v>
      </c>
      <c r="AC109" s="111">
        <f>IF(J109="","",VLOOKUP(F110,[1]dim!$A:$F,6,FALSE))</f>
        <v>1.3</v>
      </c>
      <c r="AD109" s="111">
        <f>IF(J109="","",VLOOKUP(F110,[1]dim!$A:$G,7,FALSE))</f>
        <v>0.75291177577662116</v>
      </c>
      <c r="AF109">
        <v>1.3</v>
      </c>
      <c r="AG109">
        <v>0.75291177577662116</v>
      </c>
    </row>
    <row r="110" spans="1:33">
      <c r="A110" s="27"/>
      <c r="B110" s="129"/>
      <c r="C110" s="130"/>
      <c r="D110" s="131"/>
      <c r="E110" s="34" t="s">
        <v>228</v>
      </c>
      <c r="F110" s="6" t="s">
        <v>103</v>
      </c>
      <c r="G110" s="13">
        <v>23.488410000000009</v>
      </c>
      <c r="H110" s="2" t="s">
        <v>382</v>
      </c>
      <c r="I110" s="115"/>
      <c r="J110" s="113"/>
      <c r="K110" s="113"/>
      <c r="L110" s="113"/>
      <c r="M110" s="113"/>
      <c r="N110" s="113"/>
      <c r="O110" s="115"/>
      <c r="P110" s="117"/>
      <c r="Q110" s="90"/>
      <c r="U110" s="87"/>
      <c r="Y110" s="113"/>
      <c r="Z110" s="113"/>
      <c r="AC110" s="111"/>
      <c r="AD110" s="111"/>
    </row>
    <row r="111" spans="1:33">
      <c r="A111" s="27"/>
      <c r="B111" s="129" t="s">
        <v>104</v>
      </c>
      <c r="C111" s="130" t="s">
        <v>105</v>
      </c>
      <c r="D111" s="131" t="s">
        <v>8</v>
      </c>
      <c r="E111" s="34" t="s">
        <v>227</v>
      </c>
      <c r="F111" s="6" t="s">
        <v>103</v>
      </c>
      <c r="G111" s="13">
        <v>23.006144000000006</v>
      </c>
      <c r="H111" s="2" t="s">
        <v>382</v>
      </c>
      <c r="I111" s="114" t="s">
        <v>383</v>
      </c>
      <c r="J111" s="112">
        <v>1</v>
      </c>
      <c r="K111" s="112">
        <v>0.10000000000000142</v>
      </c>
      <c r="L111" s="112"/>
      <c r="M111" s="112">
        <v>1</v>
      </c>
      <c r="N111" s="112">
        <v>1</v>
      </c>
      <c r="O111" s="114" t="s">
        <v>312</v>
      </c>
      <c r="P111" s="149" t="s">
        <v>312</v>
      </c>
      <c r="Q111" s="90"/>
      <c r="U111" s="87"/>
      <c r="Y111" s="112" t="str">
        <f>IF(V111&gt;=$S$28,IF(V111/2&gt;=$S$28,$S$28,IF(AND(V111/2&lt;$S$28,V111/2&gt;=$S$27),$S$27,IF(AND(V111/2&lt;$S$27,V111/2&gt;=$S$26),$S$26,IF(AND(V111/2&lt;$S$26,V111/2&gt;=$S$25),$S$25,IF(AND(V111/2&lt;$S$25,V111/2&gt;=$S$24),$S$24,IF(AND(V111/2&lt;$S$24,V111/2&gt;=$S$23),$S$23,IF(AND(V111/2&lt;$S$23,V111/2&gt;=$S$22),$S$22,""))))))),
IF(V111="","",
IF(AND(V111&gt;=$S$22,V111&lt;$S$23),$S$22,IF(AND(V111&gt;=$S$23,V111&lt;$S$24),$S$23,IF(AND(V111&gt;=$S$24,V111&lt;$S$25),$S$24,IF(AND(V111&gt;=$S$25,V111&lt;$S$26),$S$25,IF(AND(V111&gt;=$S$26,V111&lt;$S$27),$S$26,IF(AND(V111&gt;=$S$27,V111&lt;$S$28),$S$27,""))))))))</f>
        <v/>
      </c>
      <c r="Z111" s="112">
        <f>IF(V111&gt;$S$28,2,1)</f>
        <v>1</v>
      </c>
      <c r="AC111" s="111">
        <f>IF(J111="","",VLOOKUP(F112,[1]dim!$A:$F,6,FALSE))</f>
        <v>1</v>
      </c>
      <c r="AD111" s="111">
        <f>IF(J111="","",VLOOKUP(F112,[1]dim!$A:$G,7,FALSE))</f>
        <v>0.71047948474768685</v>
      </c>
      <c r="AF111">
        <v>1</v>
      </c>
      <c r="AG111">
        <v>0.71047948474768685</v>
      </c>
    </row>
    <row r="112" spans="1:33">
      <c r="A112" s="27"/>
      <c r="B112" s="129"/>
      <c r="C112" s="130"/>
      <c r="D112" s="131"/>
      <c r="E112" s="34" t="s">
        <v>228</v>
      </c>
      <c r="F112" s="6" t="s">
        <v>106</v>
      </c>
      <c r="G112" s="13">
        <v>22.906144000000005</v>
      </c>
      <c r="H112" s="2" t="s">
        <v>384</v>
      </c>
      <c r="I112" s="115"/>
      <c r="J112" s="113"/>
      <c r="K112" s="113"/>
      <c r="L112" s="113"/>
      <c r="M112" s="113"/>
      <c r="N112" s="113"/>
      <c r="O112" s="115"/>
      <c r="P112" s="117"/>
      <c r="Q112" s="90"/>
      <c r="U112" s="87"/>
      <c r="Y112" s="113"/>
      <c r="Z112" s="113"/>
      <c r="AC112" s="111"/>
      <c r="AD112" s="111"/>
    </row>
    <row r="113" spans="1:33">
      <c r="A113" s="27"/>
      <c r="B113" s="129" t="s">
        <v>107</v>
      </c>
      <c r="C113" s="130" t="s">
        <v>108</v>
      </c>
      <c r="D113" s="131" t="s">
        <v>8</v>
      </c>
      <c r="E113" s="34" t="s">
        <v>227</v>
      </c>
      <c r="F113" s="6" t="s">
        <v>106</v>
      </c>
      <c r="G113" s="13">
        <v>22.303748000000006</v>
      </c>
      <c r="H113" s="2" t="s">
        <v>384</v>
      </c>
      <c r="I113" s="114" t="s">
        <v>385</v>
      </c>
      <c r="J113" s="112">
        <v>0.7</v>
      </c>
      <c r="K113" s="112">
        <v>0.10000000000000142</v>
      </c>
      <c r="L113" s="112"/>
      <c r="M113" s="112">
        <v>0.75</v>
      </c>
      <c r="N113" s="112">
        <v>1</v>
      </c>
      <c r="O113" s="114" t="s">
        <v>312</v>
      </c>
      <c r="P113" s="149" t="s">
        <v>312</v>
      </c>
      <c r="Q113" s="90"/>
      <c r="U113" s="87"/>
      <c r="Y113" s="112" t="str">
        <f>IF(V113&gt;=$S$28,IF(V113/2&gt;=$S$28,$S$28,IF(AND(V113/2&lt;$S$28,V113/2&gt;=$S$27),$S$27,IF(AND(V113/2&lt;$S$27,V113/2&gt;=$S$26),$S$26,IF(AND(V113/2&lt;$S$26,V113/2&gt;=$S$25),$S$25,IF(AND(V113/2&lt;$S$25,V113/2&gt;=$S$24),$S$24,IF(AND(V113/2&lt;$S$24,V113/2&gt;=$S$23),$S$23,IF(AND(V113/2&lt;$S$23,V113/2&gt;=$S$22),$S$22,""))))))),
IF(V113="","",
IF(AND(V113&gt;=$S$22,V113&lt;$S$23),$S$22,IF(AND(V113&gt;=$S$23,V113&lt;$S$24),$S$23,IF(AND(V113&gt;=$S$24,V113&lt;$S$25),$S$24,IF(AND(V113&gt;=$S$25,V113&lt;$S$26),$S$25,IF(AND(V113&gt;=$S$26,V113&lt;$S$27),$S$26,IF(AND(V113&gt;=$S$27,V113&lt;$S$28),$S$27,""))))))))</f>
        <v/>
      </c>
      <c r="Z113" s="112">
        <f>IF(V113&gt;$S$28,2,1)</f>
        <v>1</v>
      </c>
      <c r="AC113" s="111">
        <f>IF(J113="","",VLOOKUP(F114,[1]dim!$A:$F,6,FALSE))</f>
        <v>0.7</v>
      </c>
      <c r="AD113" s="111">
        <f>IF(J113="","",VLOOKUP(F114,[1]dim!$A:$G,7,FALSE))</f>
        <v>0.57515141077191789</v>
      </c>
      <c r="AF113">
        <v>0.7</v>
      </c>
      <c r="AG113">
        <v>0.57515141077191789</v>
      </c>
    </row>
    <row r="114" spans="1:33">
      <c r="A114" s="27"/>
      <c r="B114" s="129"/>
      <c r="C114" s="130"/>
      <c r="D114" s="131"/>
      <c r="E114" s="34" t="s">
        <v>228</v>
      </c>
      <c r="F114" s="6" t="s">
        <v>109</v>
      </c>
      <c r="G114" s="13">
        <v>22.203748000000004</v>
      </c>
      <c r="H114" s="2" t="s">
        <v>386</v>
      </c>
      <c r="I114" s="115"/>
      <c r="J114" s="113"/>
      <c r="K114" s="113"/>
      <c r="L114" s="113"/>
      <c r="M114" s="113"/>
      <c r="N114" s="113"/>
      <c r="O114" s="115"/>
      <c r="P114" s="117"/>
      <c r="Q114" s="90"/>
      <c r="U114" s="87"/>
      <c r="Y114" s="113"/>
      <c r="Z114" s="113"/>
      <c r="AC114" s="111"/>
      <c r="AD114" s="111"/>
    </row>
    <row r="115" spans="1:33">
      <c r="A115" s="27"/>
      <c r="B115" s="129" t="s">
        <v>110</v>
      </c>
      <c r="C115" s="130" t="s">
        <v>111</v>
      </c>
      <c r="D115" s="131" t="s">
        <v>8</v>
      </c>
      <c r="E115" s="34" t="s">
        <v>227</v>
      </c>
      <c r="F115" s="6" t="s">
        <v>109</v>
      </c>
      <c r="G115" s="13">
        <v>21.769570000000005</v>
      </c>
      <c r="H115" s="2" t="s">
        <v>386</v>
      </c>
      <c r="I115" s="114" t="s">
        <v>387</v>
      </c>
      <c r="J115" s="112">
        <v>0.55000000000000004</v>
      </c>
      <c r="K115" s="112">
        <v>0.10000000000000142</v>
      </c>
      <c r="L115" s="112"/>
      <c r="M115" s="112">
        <v>0.5</v>
      </c>
      <c r="N115" s="112">
        <v>1</v>
      </c>
      <c r="O115" s="114" t="s">
        <v>312</v>
      </c>
      <c r="P115" s="149" t="s">
        <v>312</v>
      </c>
      <c r="Q115" s="90"/>
      <c r="U115" s="87"/>
      <c r="Y115" s="112" t="str">
        <f>IF(V115&gt;=$S$28,IF(V115/2&gt;=$S$28,$S$28,IF(AND(V115/2&lt;$S$28,V115/2&gt;=$S$27),$S$27,IF(AND(V115/2&lt;$S$27,V115/2&gt;=$S$26),$S$26,IF(AND(V115/2&lt;$S$26,V115/2&gt;=$S$25),$S$25,IF(AND(V115/2&lt;$S$25,V115/2&gt;=$S$24),$S$24,IF(AND(V115/2&lt;$S$24,V115/2&gt;=$S$23),$S$23,IF(AND(V115/2&lt;$S$23,V115/2&gt;=$S$22),$S$22,""))))))),
IF(V115="","",
IF(AND(V115&gt;=$S$22,V115&lt;$S$23),$S$22,IF(AND(V115&gt;=$S$23,V115&lt;$S$24),$S$23,IF(AND(V115&gt;=$S$24,V115&lt;$S$25),$S$24,IF(AND(V115&gt;=$S$25,V115&lt;$S$26),$S$25,IF(AND(V115&gt;=$S$26,V115&lt;$S$27),$S$26,IF(AND(V115&gt;=$S$27,V115&lt;$S$28),$S$27,""))))))))</f>
        <v/>
      </c>
      <c r="Z115" s="112">
        <f>IF(V115&gt;$S$28,2,1)</f>
        <v>1</v>
      </c>
      <c r="AC115" s="111">
        <f>IF(J115="","",VLOOKUP(F116,[1]dim!$A:$F,6,FALSE))</f>
        <v>0.55000000000000004</v>
      </c>
      <c r="AD115" s="111">
        <f>IF(J115="","",VLOOKUP(F116,[1]dim!$A:$G,7,FALSE))</f>
        <v>0.49</v>
      </c>
      <c r="AF115">
        <v>0.55000000000000004</v>
      </c>
      <c r="AG115">
        <v>0.49</v>
      </c>
    </row>
    <row r="116" spans="1:33">
      <c r="A116" s="27"/>
      <c r="B116" s="129"/>
      <c r="C116" s="130"/>
      <c r="D116" s="131"/>
      <c r="E116" s="34" t="s">
        <v>228</v>
      </c>
      <c r="F116" s="6" t="s">
        <v>112</v>
      </c>
      <c r="G116" s="13">
        <v>21.669570000000004</v>
      </c>
      <c r="H116" s="2" t="s">
        <v>388</v>
      </c>
      <c r="I116" s="115"/>
      <c r="J116" s="113"/>
      <c r="K116" s="113"/>
      <c r="L116" s="113"/>
      <c r="M116" s="113"/>
      <c r="N116" s="113"/>
      <c r="O116" s="115"/>
      <c r="P116" s="117"/>
      <c r="Q116" s="90"/>
      <c r="U116" s="87"/>
      <c r="Y116" s="113"/>
      <c r="Z116" s="113"/>
      <c r="AC116" s="111"/>
      <c r="AD116" s="111"/>
    </row>
    <row r="117" spans="1:33">
      <c r="A117" s="27"/>
      <c r="B117" s="138" t="s">
        <v>242</v>
      </c>
      <c r="C117" s="140"/>
      <c r="D117" s="140"/>
      <c r="E117" s="32"/>
      <c r="F117" s="19"/>
      <c r="G117" s="20"/>
      <c r="H117" s="20"/>
      <c r="I117" s="140" t="s">
        <v>302</v>
      </c>
      <c r="J117" s="119"/>
      <c r="K117" s="119"/>
      <c r="L117" s="119"/>
      <c r="M117" s="119"/>
      <c r="N117" s="119"/>
      <c r="O117" s="140"/>
      <c r="P117" s="150"/>
      <c r="Q117" s="90"/>
      <c r="R117" s="87"/>
      <c r="U117" s="87"/>
      <c r="Y117" s="119"/>
      <c r="Z117" s="119"/>
      <c r="AC117" s="111" t="str">
        <f>IF(J117="","",VLOOKUP(F118,[1]dim!$A:$F,6,FALSE))</f>
        <v/>
      </c>
      <c r="AD117" s="111" t="str">
        <f>IF(J117="","",VLOOKUP(F118,[1]dim!$A:$G,7,FALSE))</f>
        <v/>
      </c>
      <c r="AF117" t="s">
        <v>302</v>
      </c>
      <c r="AG117" t="s">
        <v>302</v>
      </c>
    </row>
    <row r="118" spans="1:33">
      <c r="A118" s="27"/>
      <c r="B118" s="139"/>
      <c r="C118" s="141"/>
      <c r="D118" s="141"/>
      <c r="E118" s="33"/>
      <c r="F118" s="21"/>
      <c r="G118" s="22"/>
      <c r="H118" s="22"/>
      <c r="I118" s="141"/>
      <c r="J118" s="120"/>
      <c r="K118" s="120"/>
      <c r="L118" s="120"/>
      <c r="M118" s="120"/>
      <c r="N118" s="120"/>
      <c r="O118" s="141"/>
      <c r="P118" s="151"/>
      <c r="Q118" s="90"/>
      <c r="R118" s="87"/>
      <c r="U118" s="87"/>
      <c r="Y118" s="120"/>
      <c r="Z118" s="120"/>
      <c r="AC118" s="111"/>
      <c r="AD118" s="111"/>
    </row>
    <row r="119" spans="1:33">
      <c r="A119" s="27"/>
      <c r="B119" s="129" t="s">
        <v>104</v>
      </c>
      <c r="C119" s="130" t="s">
        <v>105</v>
      </c>
      <c r="D119" s="131" t="s">
        <v>40</v>
      </c>
      <c r="E119" s="34" t="s">
        <v>227</v>
      </c>
      <c r="F119" s="6" t="s">
        <v>103</v>
      </c>
      <c r="G119" s="13">
        <v>23.006144000000006</v>
      </c>
      <c r="H119" s="2" t="s">
        <v>382</v>
      </c>
      <c r="I119" s="114" t="s">
        <v>389</v>
      </c>
      <c r="J119" s="112">
        <v>0.4</v>
      </c>
      <c r="K119" s="112">
        <v>1.3135459999999988</v>
      </c>
      <c r="L119" s="112">
        <v>0.34583197311626951</v>
      </c>
      <c r="M119" s="112">
        <v>0.4</v>
      </c>
      <c r="N119" s="112">
        <v>1</v>
      </c>
      <c r="O119" s="114" t="s">
        <v>312</v>
      </c>
      <c r="P119" s="116" t="s">
        <v>312</v>
      </c>
      <c r="Q119" s="90"/>
      <c r="U119" s="87"/>
      <c r="Y119" s="112" t="str">
        <f>IF(V119="","",
IF(AND(V119&gt;=$V$12,V119&lt;$V$13),$V$12,
IF(AND(V119&gt;=$V$13,V119&lt;$V$14),$V$13,
IF(AND(V119&gt;=$V$14,V119&lt;$V$15),$V$14,
IF(AND(V119&gt;=$V$15,V119&lt;$V$16),$V$15,
IF(AND(V119&gt;=$V$16,V119&lt;$V$17),$V$16,""))))))</f>
        <v/>
      </c>
      <c r="Z119" s="112">
        <v>1</v>
      </c>
      <c r="AC119" s="111">
        <f>IF(J119="","",VLOOKUP(F120,[1]dim!$A:$F,6,FALSE))</f>
        <v>0.4</v>
      </c>
      <c r="AD119" s="111">
        <f>IF(J119="","",VLOOKUP(F120,[1]dim!$A:$G,7,FALSE))</f>
        <v>0.37410078054199836</v>
      </c>
      <c r="AF119">
        <v>0.4</v>
      </c>
      <c r="AG119">
        <v>0.37410078054199836</v>
      </c>
    </row>
    <row r="120" spans="1:33">
      <c r="A120" s="27"/>
      <c r="B120" s="129"/>
      <c r="C120" s="130"/>
      <c r="D120" s="131"/>
      <c r="E120" s="34" t="s">
        <v>228</v>
      </c>
      <c r="F120" s="6" t="s">
        <v>113</v>
      </c>
      <c r="G120" s="13">
        <v>21.692598000000007</v>
      </c>
      <c r="H120" s="2" t="s">
        <v>390</v>
      </c>
      <c r="I120" s="115"/>
      <c r="J120" s="113"/>
      <c r="K120" s="113"/>
      <c r="L120" s="113"/>
      <c r="M120" s="113"/>
      <c r="N120" s="113"/>
      <c r="O120" s="115"/>
      <c r="P120" s="117"/>
      <c r="Q120" s="90"/>
      <c r="U120" s="87"/>
      <c r="Y120" s="113"/>
      <c r="Z120" s="113"/>
      <c r="AC120" s="111"/>
      <c r="AD120" s="111"/>
    </row>
    <row r="121" spans="1:33">
      <c r="A121" s="27"/>
      <c r="B121" s="138" t="s">
        <v>243</v>
      </c>
      <c r="C121" s="140"/>
      <c r="D121" s="140"/>
      <c r="E121" s="32"/>
      <c r="F121" s="19"/>
      <c r="G121" s="20"/>
      <c r="H121" s="20"/>
      <c r="I121" s="140" t="s">
        <v>302</v>
      </c>
      <c r="J121" s="119"/>
      <c r="K121" s="119"/>
      <c r="L121" s="119"/>
      <c r="M121" s="119"/>
      <c r="N121" s="119"/>
      <c r="O121" s="140"/>
      <c r="P121" s="150"/>
      <c r="Q121" s="90"/>
      <c r="R121" s="87"/>
      <c r="U121" s="87"/>
      <c r="Y121" s="119"/>
      <c r="Z121" s="119"/>
      <c r="AC121" s="111" t="str">
        <f>IF(J121="","",VLOOKUP(F122,[1]dim!$A:$F,6,FALSE))</f>
        <v/>
      </c>
      <c r="AD121" s="111" t="str">
        <f>IF(J121="","",VLOOKUP(F122,[1]dim!$A:$G,7,FALSE))</f>
        <v/>
      </c>
      <c r="AF121" t="s">
        <v>302</v>
      </c>
      <c r="AG121" t="s">
        <v>302</v>
      </c>
    </row>
    <row r="122" spans="1:33">
      <c r="A122" s="27"/>
      <c r="B122" s="139"/>
      <c r="C122" s="141"/>
      <c r="D122" s="141"/>
      <c r="E122" s="33"/>
      <c r="F122" s="21"/>
      <c r="G122" s="22"/>
      <c r="H122" s="22"/>
      <c r="I122" s="141"/>
      <c r="J122" s="120"/>
      <c r="K122" s="120"/>
      <c r="L122" s="120"/>
      <c r="M122" s="120"/>
      <c r="N122" s="120"/>
      <c r="O122" s="141"/>
      <c r="P122" s="151"/>
      <c r="Q122" s="90"/>
      <c r="R122" s="87"/>
      <c r="U122" s="87"/>
      <c r="Y122" s="120"/>
      <c r="Z122" s="120"/>
      <c r="AC122" s="111"/>
      <c r="AD122" s="111"/>
    </row>
    <row r="123" spans="1:33">
      <c r="A123" s="27"/>
      <c r="B123" s="129" t="s">
        <v>107</v>
      </c>
      <c r="C123" s="130" t="s">
        <v>108</v>
      </c>
      <c r="D123" s="131" t="s">
        <v>40</v>
      </c>
      <c r="E123" s="34" t="s">
        <v>227</v>
      </c>
      <c r="F123" s="6" t="s">
        <v>106</v>
      </c>
      <c r="G123" s="13">
        <v>22.303748000000006</v>
      </c>
      <c r="H123" s="2" t="s">
        <v>384</v>
      </c>
      <c r="I123" s="114" t="s">
        <v>391</v>
      </c>
      <c r="J123" s="112">
        <v>0.6</v>
      </c>
      <c r="K123" s="112">
        <v>1.2834109999999903</v>
      </c>
      <c r="L123" s="112">
        <v>0.19029020141715461</v>
      </c>
      <c r="M123" s="112">
        <v>0.6</v>
      </c>
      <c r="N123" s="112">
        <v>1</v>
      </c>
      <c r="O123" s="114" t="s">
        <v>312</v>
      </c>
      <c r="P123" s="116" t="s">
        <v>312</v>
      </c>
      <c r="Q123" s="90"/>
      <c r="U123" s="87"/>
      <c r="Y123" s="112" t="str">
        <f>IF(V123="","",
IF(AND(V123&gt;=$V$12,V123&lt;$V$13),$V$12,
IF(AND(V123&gt;=$V$13,V123&lt;$V$14),$V$13,
IF(AND(V123&gt;=$V$14,V123&lt;$V$15),$V$14,
IF(AND(V123&gt;=$V$15,V123&lt;$V$16),$V$15,
IF(AND(V123&gt;=$V$16,V123&lt;$V$17),$V$16,""))))))</f>
        <v/>
      </c>
      <c r="Z123" s="112">
        <v>1</v>
      </c>
      <c r="AC123" s="111">
        <f>IF(J123="","",VLOOKUP(F124,[1]dim!$A:$F,6,FALSE))</f>
        <v>0.6</v>
      </c>
      <c r="AD123" s="111">
        <f>IF(J123="","",VLOOKUP(F124,[1]dim!$A:$G,7,FALSE))</f>
        <v>0.53908306559913566</v>
      </c>
      <c r="AF123">
        <v>0.6</v>
      </c>
      <c r="AG123">
        <v>0.53908306559913566</v>
      </c>
    </row>
    <row r="124" spans="1:33">
      <c r="A124" s="27"/>
      <c r="B124" s="129"/>
      <c r="C124" s="130"/>
      <c r="D124" s="131"/>
      <c r="E124" s="34" t="s">
        <v>228</v>
      </c>
      <c r="F124" s="6" t="s">
        <v>114</v>
      </c>
      <c r="G124" s="13">
        <v>21.020337000000016</v>
      </c>
      <c r="H124" s="2" t="s">
        <v>392</v>
      </c>
      <c r="I124" s="115"/>
      <c r="J124" s="113"/>
      <c r="K124" s="113"/>
      <c r="L124" s="113"/>
      <c r="M124" s="113"/>
      <c r="N124" s="113"/>
      <c r="O124" s="115"/>
      <c r="P124" s="117"/>
      <c r="Q124" s="90"/>
      <c r="U124" s="87"/>
      <c r="Y124" s="113"/>
      <c r="Z124" s="113"/>
      <c r="AC124" s="111"/>
      <c r="AD124" s="111"/>
    </row>
    <row r="125" spans="1:33">
      <c r="A125" s="27"/>
      <c r="B125" s="129" t="s">
        <v>115</v>
      </c>
      <c r="C125" s="130" t="s">
        <v>116</v>
      </c>
      <c r="D125" s="136" t="s">
        <v>230</v>
      </c>
      <c r="E125" s="34" t="s">
        <v>227</v>
      </c>
      <c r="F125" s="6" t="s">
        <v>114</v>
      </c>
      <c r="G125" s="13">
        <v>20.904333000000015</v>
      </c>
      <c r="H125" s="2" t="s">
        <v>392</v>
      </c>
      <c r="I125" s="114" t="s">
        <v>309</v>
      </c>
      <c r="J125" s="112">
        <v>0.55000000000000004</v>
      </c>
      <c r="K125" s="112"/>
      <c r="L125" s="112"/>
      <c r="M125" s="112"/>
      <c r="N125" s="112"/>
      <c r="O125" s="114"/>
      <c r="P125" s="116"/>
      <c r="Q125" s="90"/>
      <c r="U125" s="87"/>
      <c r="Y125" s="112"/>
      <c r="Z125" s="112"/>
      <c r="AC125" s="111">
        <f>IF(J125="","",VLOOKUP(F126,[1]dim!$A:$F,6,FALSE))</f>
        <v>0.55000000000000004</v>
      </c>
      <c r="AD125" s="111">
        <f>IF(J125="","",VLOOKUP(F126,[1]dim!$A:$G,7,FALSE))</f>
        <v>0.51832155260405088</v>
      </c>
      <c r="AF125">
        <v>0.55000000000000004</v>
      </c>
      <c r="AG125">
        <v>0.51832155260405088</v>
      </c>
    </row>
    <row r="126" spans="1:33">
      <c r="A126" s="27"/>
      <c r="B126" s="129"/>
      <c r="C126" s="130"/>
      <c r="D126" s="137"/>
      <c r="E126" s="34" t="s">
        <v>228</v>
      </c>
      <c r="F126" s="6" t="s">
        <v>117</v>
      </c>
      <c r="G126" s="13">
        <v>20.904333000000015</v>
      </c>
      <c r="H126" s="2" t="s">
        <v>393</v>
      </c>
      <c r="I126" s="115"/>
      <c r="J126" s="113"/>
      <c r="K126" s="113"/>
      <c r="L126" s="113"/>
      <c r="M126" s="113"/>
      <c r="N126" s="113"/>
      <c r="O126" s="115"/>
      <c r="P126" s="117"/>
      <c r="Q126" s="90"/>
      <c r="U126" s="87"/>
      <c r="Y126" s="113"/>
      <c r="Z126" s="113"/>
      <c r="AC126" s="111"/>
      <c r="AD126" s="111"/>
    </row>
    <row r="127" spans="1:33">
      <c r="A127" s="27"/>
      <c r="B127" s="129" t="s">
        <v>118</v>
      </c>
      <c r="C127" s="130" t="s">
        <v>119</v>
      </c>
      <c r="D127" s="131" t="s">
        <v>8</v>
      </c>
      <c r="E127" s="34" t="s">
        <v>227</v>
      </c>
      <c r="F127" s="6" t="s">
        <v>117</v>
      </c>
      <c r="G127" s="13">
        <v>20.488634000000015</v>
      </c>
      <c r="H127" s="2" t="s">
        <v>393</v>
      </c>
      <c r="I127" s="114" t="s">
        <v>394</v>
      </c>
      <c r="J127" s="112">
        <v>0.45</v>
      </c>
      <c r="K127" s="112">
        <v>0.10000000000000142</v>
      </c>
      <c r="L127" s="112"/>
      <c r="M127" s="112">
        <v>0.5</v>
      </c>
      <c r="N127" s="112">
        <v>1</v>
      </c>
      <c r="O127" s="114" t="s">
        <v>312</v>
      </c>
      <c r="P127" s="149" t="s">
        <v>312</v>
      </c>
      <c r="Q127" s="90"/>
      <c r="U127" s="87"/>
      <c r="Y127" s="112">
        <v>0.3</v>
      </c>
      <c r="Z127" s="112">
        <f>IF(V127&gt;$S$28,2,1)</f>
        <v>1</v>
      </c>
      <c r="AC127" s="111">
        <f>IF(J127="","",VLOOKUP(F128,[1]dim!$A:$F,6,FALSE))</f>
        <v>0.45</v>
      </c>
      <c r="AD127" s="111">
        <f>IF(J127="","",VLOOKUP(F128,[1]dim!$A:$G,7,FALSE))</f>
        <v>0.41404311773978514</v>
      </c>
      <c r="AF127">
        <v>0.45</v>
      </c>
      <c r="AG127">
        <v>0.41404311773978514</v>
      </c>
    </row>
    <row r="128" spans="1:33">
      <c r="A128" s="27"/>
      <c r="B128" s="129"/>
      <c r="C128" s="130"/>
      <c r="D128" s="131"/>
      <c r="E128" s="34" t="s">
        <v>228</v>
      </c>
      <c r="F128" s="6" t="s">
        <v>120</v>
      </c>
      <c r="G128" s="13">
        <v>20.388634000000014</v>
      </c>
      <c r="H128" s="2" t="s">
        <v>395</v>
      </c>
      <c r="I128" s="115"/>
      <c r="J128" s="113"/>
      <c r="K128" s="113"/>
      <c r="L128" s="113"/>
      <c r="M128" s="113"/>
      <c r="N128" s="113"/>
      <c r="O128" s="115"/>
      <c r="P128" s="117"/>
      <c r="Q128" s="90"/>
      <c r="U128" s="87"/>
      <c r="Y128" s="113"/>
      <c r="Z128" s="113"/>
      <c r="AC128" s="111"/>
      <c r="AD128" s="111"/>
    </row>
    <row r="129" spans="1:33">
      <c r="A129" s="27"/>
      <c r="B129" s="138" t="s">
        <v>244</v>
      </c>
      <c r="C129" s="140"/>
      <c r="D129" s="140"/>
      <c r="E129" s="32"/>
      <c r="F129" s="19"/>
      <c r="G129" s="20"/>
      <c r="H129" s="20"/>
      <c r="I129" s="140" t="s">
        <v>302</v>
      </c>
      <c r="J129" s="119"/>
      <c r="K129" s="119"/>
      <c r="L129" s="119"/>
      <c r="M129" s="119"/>
      <c r="N129" s="119"/>
      <c r="O129" s="140"/>
      <c r="P129" s="150"/>
      <c r="Q129" s="90"/>
      <c r="R129" s="87"/>
      <c r="U129" s="87"/>
      <c r="Y129" s="119"/>
      <c r="Z129" s="119"/>
      <c r="AC129" s="111" t="str">
        <f>IF(J129="","",VLOOKUP(F130,[1]dim!$A:$F,6,FALSE))</f>
        <v/>
      </c>
      <c r="AD129" s="111" t="str">
        <f>IF(J129="","",VLOOKUP(F130,[1]dim!$A:$G,7,FALSE))</f>
        <v/>
      </c>
      <c r="AF129" t="s">
        <v>302</v>
      </c>
      <c r="AG129" t="s">
        <v>302</v>
      </c>
    </row>
    <row r="130" spans="1:33">
      <c r="A130" s="27"/>
      <c r="B130" s="139"/>
      <c r="C130" s="141"/>
      <c r="D130" s="141"/>
      <c r="E130" s="33"/>
      <c r="F130" s="21"/>
      <c r="G130" s="22"/>
      <c r="H130" s="22"/>
      <c r="I130" s="141"/>
      <c r="J130" s="120"/>
      <c r="K130" s="120"/>
      <c r="L130" s="120"/>
      <c r="M130" s="120"/>
      <c r="N130" s="120"/>
      <c r="O130" s="141"/>
      <c r="P130" s="151"/>
      <c r="Q130" s="90"/>
      <c r="R130" s="87"/>
      <c r="U130" s="87"/>
      <c r="Y130" s="120"/>
      <c r="Z130" s="120"/>
      <c r="AC130" s="111"/>
      <c r="AD130" s="111"/>
    </row>
    <row r="131" spans="1:33">
      <c r="A131" s="27"/>
      <c r="B131" s="142" t="s">
        <v>121</v>
      </c>
      <c r="C131" s="131" t="s">
        <v>122</v>
      </c>
      <c r="D131" s="131" t="s">
        <v>226</v>
      </c>
      <c r="E131" s="34" t="s">
        <v>227</v>
      </c>
      <c r="F131" s="6" t="s">
        <v>169</v>
      </c>
      <c r="G131" s="13">
        <v>24.636457000000021</v>
      </c>
      <c r="H131" s="2" t="s">
        <v>396</v>
      </c>
      <c r="I131" s="114" t="s">
        <v>397</v>
      </c>
      <c r="J131" s="112">
        <v>2.1</v>
      </c>
      <c r="K131" s="112">
        <v>0.64263950000000136</v>
      </c>
      <c r="L131" s="112"/>
      <c r="M131" s="112">
        <v>1</v>
      </c>
      <c r="N131" s="112">
        <v>2</v>
      </c>
      <c r="O131" s="114" t="s">
        <v>312</v>
      </c>
      <c r="P131" s="116" t="s">
        <v>312</v>
      </c>
      <c r="Q131" s="90"/>
      <c r="U131" s="87"/>
      <c r="Y131" s="112" t="str">
        <f>IF(V131&gt;=$S$28,IF(V131/2&gt;=$S$28,$S$28,IF(AND(V131/2&lt;$S$28,V131/2&gt;=$S$27),$S$27,IF(AND(V131/2&lt;$S$27,V131/2&gt;=$S$26),$S$26,IF(AND(V131/2&lt;$S$26,V131/2&gt;=$S$25),$S$25,IF(AND(V131/2&lt;$S$25,V131/2&gt;=$S$24),$S$24,IF(AND(V131/2&lt;$S$24,V131/2&gt;=$S$23),$S$23,IF(AND(V131/2&lt;$S$23,V131/2&gt;=$S$22),$S$22,""))))))),
IF(V131="","",
IF(AND(V131&gt;=$S$22,V131&lt;$S$23),$S$22,IF(AND(V131&gt;=$S$23,V131&lt;$S$24),$S$23,IF(AND(V131&gt;=$S$24,V131&lt;$S$25),$S$24,IF(AND(V131&gt;=$S$25,V131&lt;$S$26),$S$25,IF(AND(V131&gt;=$S$26,V131&lt;$S$27),$S$26,IF(AND(V131&gt;=$S$27,V131&lt;$S$28),$S$27,""))))))))</f>
        <v/>
      </c>
      <c r="Z131" s="112">
        <f>IF(V131&gt;$S$28,2,1)</f>
        <v>1</v>
      </c>
      <c r="AC131" s="111">
        <f>IF(J131="","",VLOOKUP(F132,[1]dim!$A:$F,6,FALSE))</f>
        <v>2.1</v>
      </c>
      <c r="AD131" s="111">
        <f>IF(J131="","",VLOOKUP(F132,[1]dim!$A:$G,7,FALSE))</f>
        <v>0.95656836494054998</v>
      </c>
      <c r="AF131">
        <v>2.1</v>
      </c>
      <c r="AG131">
        <v>0.95656836494054998</v>
      </c>
    </row>
    <row r="132" spans="1:33">
      <c r="A132" s="27"/>
      <c r="B132" s="142"/>
      <c r="C132" s="131"/>
      <c r="D132" s="131"/>
      <c r="E132" s="34" t="s">
        <v>228</v>
      </c>
      <c r="F132" s="6" t="s">
        <v>123</v>
      </c>
      <c r="G132" s="13">
        <v>23.99381750000002</v>
      </c>
      <c r="H132" s="2" t="s">
        <v>398</v>
      </c>
      <c r="I132" s="115"/>
      <c r="J132" s="113"/>
      <c r="K132" s="113"/>
      <c r="L132" s="113"/>
      <c r="M132" s="113"/>
      <c r="N132" s="113"/>
      <c r="O132" s="115"/>
      <c r="P132" s="117"/>
      <c r="Q132" s="90"/>
      <c r="U132" s="87"/>
      <c r="Y132" s="113"/>
      <c r="Z132" s="113"/>
      <c r="AC132" s="111"/>
      <c r="AD132" s="111"/>
    </row>
    <row r="133" spans="1:33">
      <c r="A133" s="27"/>
      <c r="B133" s="129" t="s">
        <v>124</v>
      </c>
      <c r="C133" s="130" t="s">
        <v>125</v>
      </c>
      <c r="D133" s="136" t="s">
        <v>230</v>
      </c>
      <c r="E133" s="34" t="s">
        <v>227</v>
      </c>
      <c r="F133" s="6" t="s">
        <v>123</v>
      </c>
      <c r="G133" s="13">
        <v>23.78049500000002</v>
      </c>
      <c r="H133" s="2" t="s">
        <v>398</v>
      </c>
      <c r="I133" s="114" t="s">
        <v>309</v>
      </c>
      <c r="J133" s="112">
        <v>2</v>
      </c>
      <c r="K133" s="112"/>
      <c r="L133" s="112"/>
      <c r="M133" s="112"/>
      <c r="N133" s="112"/>
      <c r="O133" s="114"/>
      <c r="P133" s="116"/>
      <c r="Q133" s="90"/>
      <c r="U133" s="87"/>
      <c r="Y133" s="112"/>
      <c r="Z133" s="112"/>
      <c r="AC133" s="111">
        <f>IF(J133="","",VLOOKUP(F134,[1]dim!$A:$F,6,FALSE))</f>
        <v>2</v>
      </c>
      <c r="AD133" s="111">
        <f>IF(J133="","",VLOOKUP(F134,[1]dim!$A:$G,7,FALSE))</f>
        <v>0.94985002821152043</v>
      </c>
      <c r="AF133">
        <v>2</v>
      </c>
      <c r="AG133">
        <v>0.94985002821152043</v>
      </c>
    </row>
    <row r="134" spans="1:33">
      <c r="A134" s="27"/>
      <c r="B134" s="129"/>
      <c r="C134" s="130"/>
      <c r="D134" s="137"/>
      <c r="E134" s="34" t="s">
        <v>228</v>
      </c>
      <c r="F134" s="6" t="s">
        <v>126</v>
      </c>
      <c r="G134" s="13">
        <v>23.78049500000002</v>
      </c>
      <c r="H134" s="2" t="s">
        <v>399</v>
      </c>
      <c r="I134" s="115"/>
      <c r="J134" s="113"/>
      <c r="K134" s="113"/>
      <c r="L134" s="113"/>
      <c r="M134" s="113"/>
      <c r="N134" s="113"/>
      <c r="O134" s="115"/>
      <c r="P134" s="117"/>
      <c r="Q134" s="90"/>
      <c r="U134" s="87"/>
      <c r="Y134" s="113"/>
      <c r="Z134" s="113"/>
      <c r="AC134" s="111"/>
      <c r="AD134" s="111"/>
    </row>
    <row r="135" spans="1:33">
      <c r="A135" s="27"/>
      <c r="B135" s="129" t="s">
        <v>127</v>
      </c>
      <c r="C135" s="130" t="s">
        <v>128</v>
      </c>
      <c r="D135" s="131" t="s">
        <v>8</v>
      </c>
      <c r="E135" s="34" t="s">
        <v>227</v>
      </c>
      <c r="F135" s="6" t="s">
        <v>126</v>
      </c>
      <c r="G135" s="13">
        <v>23.677707500000018</v>
      </c>
      <c r="H135" s="2" t="s">
        <v>399</v>
      </c>
      <c r="I135" s="114" t="s">
        <v>400</v>
      </c>
      <c r="J135" s="112">
        <v>2</v>
      </c>
      <c r="K135" s="112">
        <v>0.10000000000000142</v>
      </c>
      <c r="L135" s="112"/>
      <c r="M135" s="112">
        <v>1</v>
      </c>
      <c r="N135" s="112">
        <v>2</v>
      </c>
      <c r="O135" s="114" t="s">
        <v>312</v>
      </c>
      <c r="P135" s="149" t="s">
        <v>312</v>
      </c>
      <c r="Q135" s="90"/>
      <c r="U135" s="87"/>
      <c r="Y135" s="112" t="str">
        <f>IF(V135&gt;=$S$28,IF(V135/2&gt;=$S$28,$S$28,IF(AND(V135/2&lt;$S$28,V135/2&gt;=$S$27),$S$27,IF(AND(V135/2&lt;$S$27,V135/2&gt;=$S$26),$S$26,IF(AND(V135/2&lt;$S$26,V135/2&gt;=$S$25),$S$25,IF(AND(V135/2&lt;$S$25,V135/2&gt;=$S$24),$S$24,IF(AND(V135/2&lt;$S$24,V135/2&gt;=$S$23),$S$23,IF(AND(V135/2&lt;$S$23,V135/2&gt;=$S$22),$S$22,""))))))),
IF(V135="","",
IF(AND(V135&gt;=$S$22,V135&lt;$S$23),$S$22,IF(AND(V135&gt;=$S$23,V135&lt;$S$24),$S$23,IF(AND(V135&gt;=$S$24,V135&lt;$S$25),$S$24,IF(AND(V135&gt;=$S$25,V135&lt;$S$26),$S$25,IF(AND(V135&gt;=$S$26,V135&lt;$S$27),$S$26,IF(AND(V135&gt;=$S$27,V135&lt;$S$28),$S$27,""))))))))</f>
        <v/>
      </c>
      <c r="Z135" s="112">
        <f>IF(V135&gt;$S$28,2,1)</f>
        <v>1</v>
      </c>
      <c r="AC135" s="111">
        <f>IF(J135="","",VLOOKUP(F136,[1]dim!$A:$F,6,FALSE))</f>
        <v>2</v>
      </c>
      <c r="AD135" s="111">
        <f>IF(J135="","",VLOOKUP(F136,[1]dim!$A:$G,7,FALSE))</f>
        <v>0.92129278928306313</v>
      </c>
      <c r="AF135">
        <v>2</v>
      </c>
      <c r="AG135">
        <v>0.92129278928306313</v>
      </c>
    </row>
    <row r="136" spans="1:33">
      <c r="A136" s="27"/>
      <c r="B136" s="129"/>
      <c r="C136" s="130"/>
      <c r="D136" s="131"/>
      <c r="E136" s="34" t="s">
        <v>228</v>
      </c>
      <c r="F136" s="6" t="s">
        <v>129</v>
      </c>
      <c r="G136" s="13">
        <v>23.577707500000017</v>
      </c>
      <c r="H136" s="2" t="s">
        <v>401</v>
      </c>
      <c r="I136" s="115"/>
      <c r="J136" s="113"/>
      <c r="K136" s="113"/>
      <c r="L136" s="113"/>
      <c r="M136" s="113"/>
      <c r="N136" s="113"/>
      <c r="O136" s="115"/>
      <c r="P136" s="117"/>
      <c r="Q136" s="90"/>
      <c r="U136" s="87"/>
      <c r="Y136" s="113"/>
      <c r="Z136" s="113"/>
      <c r="AC136" s="111"/>
      <c r="AD136" s="111"/>
    </row>
    <row r="137" spans="1:33">
      <c r="A137" s="27"/>
      <c r="B137" s="129" t="s">
        <v>130</v>
      </c>
      <c r="C137" s="130" t="s">
        <v>131</v>
      </c>
      <c r="D137" s="131" t="s">
        <v>8</v>
      </c>
      <c r="E137" s="34" t="s">
        <v>227</v>
      </c>
      <c r="F137" s="6" t="s">
        <v>129</v>
      </c>
      <c r="G137" s="13">
        <v>23.327695000000016</v>
      </c>
      <c r="H137" s="2" t="s">
        <v>401</v>
      </c>
      <c r="I137" s="114" t="s">
        <v>402</v>
      </c>
      <c r="J137" s="112">
        <v>1.9</v>
      </c>
      <c r="K137" s="112">
        <v>0.5</v>
      </c>
      <c r="L137" s="112"/>
      <c r="M137" s="112">
        <v>2</v>
      </c>
      <c r="N137" s="112">
        <v>1</v>
      </c>
      <c r="O137" s="114" t="s">
        <v>312</v>
      </c>
      <c r="P137" s="149" t="s">
        <v>312</v>
      </c>
      <c r="Q137" s="90"/>
      <c r="U137" s="87"/>
      <c r="Y137" s="112" t="str">
        <f>IF(V137&gt;=$S$28,IF(V137/2&gt;=$S$28,$S$28,IF(AND(V137/2&lt;$S$28,V137/2&gt;=$S$27),$S$27,IF(AND(V137/2&lt;$S$27,V137/2&gt;=$S$26),$S$26,IF(AND(V137/2&lt;$S$26,V137/2&gt;=$S$25),$S$25,IF(AND(V137/2&lt;$S$25,V137/2&gt;=$S$24),$S$24,IF(AND(V137/2&lt;$S$24,V137/2&gt;=$S$23),$S$23,IF(AND(V137/2&lt;$S$23,V137/2&gt;=$S$22),$S$22,""))))))),
IF(V137="","",
IF(AND(V137&gt;=$S$22,V137&lt;$S$23),$S$22,IF(AND(V137&gt;=$S$23,V137&lt;$S$24),$S$23,IF(AND(V137&gt;=$S$24,V137&lt;$S$25),$S$24,IF(AND(V137&gt;=$S$25,V137&lt;$S$26),$S$25,IF(AND(V137&gt;=$S$26,V137&lt;$S$27),$S$26,IF(AND(V137&gt;=$S$27,V137&lt;$S$28),$S$27,""))))))))</f>
        <v/>
      </c>
      <c r="Z137" s="112">
        <f>IF(V137&gt;$S$28,2,1)</f>
        <v>1</v>
      </c>
      <c r="AC137" s="111">
        <f>IF(J137="","",VLOOKUP(F138,[1]dim!$A:$F,6,FALSE))</f>
        <v>1.9</v>
      </c>
      <c r="AD137" s="111">
        <f>IF(J137="","",VLOOKUP(F138,[1]dim!$A:$G,7,FALSE))</f>
        <v>0.87994484932167205</v>
      </c>
      <c r="AF137">
        <v>1.9</v>
      </c>
      <c r="AG137">
        <v>0.87994484932167205</v>
      </c>
    </row>
    <row r="138" spans="1:33">
      <c r="A138" s="27"/>
      <c r="B138" s="129"/>
      <c r="C138" s="130"/>
      <c r="D138" s="131"/>
      <c r="E138" s="34" t="s">
        <v>228</v>
      </c>
      <c r="F138" s="6" t="s">
        <v>132</v>
      </c>
      <c r="G138" s="13">
        <v>22.827695000000016</v>
      </c>
      <c r="H138" s="2" t="s">
        <v>403</v>
      </c>
      <c r="I138" s="115"/>
      <c r="J138" s="113"/>
      <c r="K138" s="113"/>
      <c r="L138" s="113"/>
      <c r="M138" s="113"/>
      <c r="N138" s="113"/>
      <c r="O138" s="115"/>
      <c r="P138" s="117"/>
      <c r="Q138" s="90"/>
      <c r="U138" s="87"/>
      <c r="Y138" s="113"/>
      <c r="Z138" s="113"/>
      <c r="AC138" s="111"/>
      <c r="AD138" s="111"/>
    </row>
    <row r="139" spans="1:33">
      <c r="A139" s="27"/>
      <c r="B139" s="129" t="s">
        <v>133</v>
      </c>
      <c r="C139" s="130" t="s">
        <v>134</v>
      </c>
      <c r="D139" s="131" t="s">
        <v>8</v>
      </c>
      <c r="E139" s="34" t="s">
        <v>227</v>
      </c>
      <c r="F139" s="6" t="s">
        <v>132</v>
      </c>
      <c r="G139" s="13">
        <v>22.621215000000017</v>
      </c>
      <c r="H139" s="2" t="s">
        <v>403</v>
      </c>
      <c r="I139" s="114" t="s">
        <v>404</v>
      </c>
      <c r="J139" s="112">
        <v>1.3</v>
      </c>
      <c r="K139" s="112">
        <v>0.10000000000000142</v>
      </c>
      <c r="L139" s="112"/>
      <c r="M139" s="112">
        <v>1.25</v>
      </c>
      <c r="N139" s="112">
        <v>1</v>
      </c>
      <c r="O139" s="114" t="s">
        <v>312</v>
      </c>
      <c r="P139" s="149" t="s">
        <v>312</v>
      </c>
      <c r="Q139" s="90"/>
      <c r="U139" s="87"/>
      <c r="Y139" s="112" t="str">
        <f>IF(V139&gt;=$S$28,IF(V139/2&gt;=$S$28,$S$28,IF(AND(V139/2&lt;$S$28,V139/2&gt;=$S$27),$S$27,IF(AND(V139/2&lt;$S$27,V139/2&gt;=$S$26),$S$26,IF(AND(V139/2&lt;$S$26,V139/2&gt;=$S$25),$S$25,IF(AND(V139/2&lt;$S$25,V139/2&gt;=$S$24),$S$24,IF(AND(V139/2&lt;$S$24,V139/2&gt;=$S$23),$S$23,IF(AND(V139/2&lt;$S$23,V139/2&gt;=$S$22),$S$22,""))))))),
IF(V139="","",
IF(AND(V139&gt;=$S$22,V139&lt;$S$23),$S$22,IF(AND(V139&gt;=$S$23,V139&lt;$S$24),$S$23,IF(AND(V139&gt;=$S$24,V139&lt;$S$25),$S$24,IF(AND(V139&gt;=$S$25,V139&lt;$S$26),$S$25,IF(AND(V139&gt;=$S$26,V139&lt;$S$27),$S$26,IF(AND(V139&gt;=$S$27,V139&lt;$S$28),$S$27,""))))))))</f>
        <v/>
      </c>
      <c r="Z139" s="112">
        <f>IF(V139&gt;$S$28,2,1)</f>
        <v>1</v>
      </c>
      <c r="AC139" s="111">
        <f>IF(J139="","",VLOOKUP(F140,[1]dim!$A:$F,6,FALSE))</f>
        <v>1.3</v>
      </c>
      <c r="AD139" s="111">
        <f>IF(J139="","",VLOOKUP(F140,[1]dim!$A:$G,7,FALSE))</f>
        <v>0.7036763477212078</v>
      </c>
      <c r="AF139">
        <v>1.3</v>
      </c>
      <c r="AG139">
        <v>0.7036763477212078</v>
      </c>
    </row>
    <row r="140" spans="1:33">
      <c r="A140" s="27"/>
      <c r="B140" s="129"/>
      <c r="C140" s="130"/>
      <c r="D140" s="131"/>
      <c r="E140" s="34" t="s">
        <v>228</v>
      </c>
      <c r="F140" s="6" t="s">
        <v>135</v>
      </c>
      <c r="G140" s="13">
        <v>22.521215000000016</v>
      </c>
      <c r="H140" s="2" t="s">
        <v>405</v>
      </c>
      <c r="I140" s="115"/>
      <c r="J140" s="113"/>
      <c r="K140" s="113"/>
      <c r="L140" s="113"/>
      <c r="M140" s="113"/>
      <c r="N140" s="113"/>
      <c r="O140" s="115"/>
      <c r="P140" s="117"/>
      <c r="Q140" s="90"/>
      <c r="U140" s="87"/>
      <c r="Y140" s="113"/>
      <c r="Z140" s="113"/>
      <c r="AC140" s="111"/>
      <c r="AD140" s="111"/>
    </row>
    <row r="141" spans="1:33">
      <c r="A141" s="27"/>
      <c r="B141" s="129" t="s">
        <v>136</v>
      </c>
      <c r="C141" s="130" t="s">
        <v>137</v>
      </c>
      <c r="D141" s="131" t="s">
        <v>8</v>
      </c>
      <c r="E141" s="34" t="s">
        <v>227</v>
      </c>
      <c r="F141" s="6" t="s">
        <v>135</v>
      </c>
      <c r="G141" s="13">
        <v>22.074810000000017</v>
      </c>
      <c r="H141" s="2" t="s">
        <v>405</v>
      </c>
      <c r="I141" s="114" t="s">
        <v>406</v>
      </c>
      <c r="J141" s="112">
        <v>1.1000000000000001</v>
      </c>
      <c r="K141" s="112">
        <v>0.10000000000000142</v>
      </c>
      <c r="L141" s="112"/>
      <c r="M141" s="112">
        <v>1</v>
      </c>
      <c r="N141" s="112">
        <v>1</v>
      </c>
      <c r="O141" s="114" t="s">
        <v>312</v>
      </c>
      <c r="P141" s="149" t="s">
        <v>312</v>
      </c>
      <c r="Q141" s="90"/>
      <c r="U141" s="87"/>
      <c r="Y141" s="112" t="str">
        <f>IF(V141&gt;=$S$28,IF(V141/2&gt;=$S$28,$S$28,IF(AND(V141/2&lt;$S$28,V141/2&gt;=$S$27),$S$27,IF(AND(V141/2&lt;$S$27,V141/2&gt;=$S$26),$S$26,IF(AND(V141/2&lt;$S$26,V141/2&gt;=$S$25),$S$25,IF(AND(V141/2&lt;$S$25,V141/2&gt;=$S$24),$S$24,IF(AND(V141/2&lt;$S$24,V141/2&gt;=$S$23),$S$23,IF(AND(V141/2&lt;$S$23,V141/2&gt;=$S$22),$S$22,""))))))),
IF(V141="","",
IF(AND(V141&gt;=$S$22,V141&lt;$S$23),$S$22,IF(AND(V141&gt;=$S$23,V141&lt;$S$24),$S$23,IF(AND(V141&gt;=$S$24,V141&lt;$S$25),$S$24,IF(AND(V141&gt;=$S$25,V141&lt;$S$26),$S$25,IF(AND(V141&gt;=$S$26,V141&lt;$S$27),$S$26,IF(AND(V141&gt;=$S$27,V141&lt;$S$28),$S$27,""))))))))</f>
        <v/>
      </c>
      <c r="Z141" s="112">
        <f>IF(V141&gt;$S$28,2,1)</f>
        <v>1</v>
      </c>
      <c r="AC141" s="111">
        <f>IF(J141="","",VLOOKUP(F142,[1]dim!$A:$F,6,FALSE))</f>
        <v>1.1000000000000001</v>
      </c>
      <c r="AD141" s="111">
        <f>IF(J141="","",VLOOKUP(F142,[1]dim!$A:$G,7,FALSE))</f>
        <v>0.77469178719605458</v>
      </c>
      <c r="AF141">
        <v>1.1000000000000001</v>
      </c>
      <c r="AG141">
        <v>0.77469178719605458</v>
      </c>
    </row>
    <row r="142" spans="1:33">
      <c r="A142" s="27"/>
      <c r="B142" s="129"/>
      <c r="C142" s="130"/>
      <c r="D142" s="131"/>
      <c r="E142" s="34" t="s">
        <v>228</v>
      </c>
      <c r="F142" s="6" t="s">
        <v>138</v>
      </c>
      <c r="G142" s="13">
        <v>21.974810000000016</v>
      </c>
      <c r="H142" s="2" t="s">
        <v>407</v>
      </c>
      <c r="I142" s="115"/>
      <c r="J142" s="113"/>
      <c r="K142" s="113"/>
      <c r="L142" s="113"/>
      <c r="M142" s="113"/>
      <c r="N142" s="113"/>
      <c r="O142" s="115"/>
      <c r="P142" s="117"/>
      <c r="Q142" s="90"/>
      <c r="U142" s="87"/>
      <c r="Y142" s="113"/>
      <c r="Z142" s="113"/>
      <c r="AC142" s="111"/>
      <c r="AD142" s="111"/>
    </row>
    <row r="143" spans="1:33">
      <c r="A143" s="27"/>
      <c r="B143" s="129" t="s">
        <v>139</v>
      </c>
      <c r="C143" s="130" t="s">
        <v>140</v>
      </c>
      <c r="D143" s="131" t="s">
        <v>8</v>
      </c>
      <c r="E143" s="34" t="s">
        <v>227</v>
      </c>
      <c r="F143" s="6" t="s">
        <v>138</v>
      </c>
      <c r="G143" s="13">
        <v>21.747617500000015</v>
      </c>
      <c r="H143" s="2" t="s">
        <v>407</v>
      </c>
      <c r="I143" s="114" t="s">
        <v>408</v>
      </c>
      <c r="J143" s="112">
        <v>1.1000000000000001</v>
      </c>
      <c r="K143" s="112">
        <v>0.10000000000000142</v>
      </c>
      <c r="L143" s="112"/>
      <c r="M143" s="112">
        <v>1</v>
      </c>
      <c r="N143" s="112">
        <v>1</v>
      </c>
      <c r="O143" s="114" t="s">
        <v>312</v>
      </c>
      <c r="P143" s="149" t="s">
        <v>312</v>
      </c>
      <c r="Q143" s="90"/>
      <c r="U143" s="87"/>
      <c r="Y143" s="112" t="str">
        <f>IF(V143&gt;=$S$28,IF(V143/2&gt;=$S$28,$S$28,IF(AND(V143/2&lt;$S$28,V143/2&gt;=$S$27),$S$27,IF(AND(V143/2&lt;$S$27,V143/2&gt;=$S$26),$S$26,IF(AND(V143/2&lt;$S$26,V143/2&gt;=$S$25),$S$25,IF(AND(V143/2&lt;$S$25,V143/2&gt;=$S$24),$S$24,IF(AND(V143/2&lt;$S$24,V143/2&gt;=$S$23),$S$23,IF(AND(V143/2&lt;$S$23,V143/2&gt;=$S$22),$S$22,""))))))),
IF(V143="","",
IF(AND(V143&gt;=$S$22,V143&lt;$S$23),$S$22,IF(AND(V143&gt;=$S$23,V143&lt;$S$24),$S$23,IF(AND(V143&gt;=$S$24,V143&lt;$S$25),$S$24,IF(AND(V143&gt;=$S$25,V143&lt;$S$26),$S$25,IF(AND(V143&gt;=$S$26,V143&lt;$S$27),$S$26,IF(AND(V143&gt;=$S$27,V143&lt;$S$28),$S$27,""))))))))</f>
        <v/>
      </c>
      <c r="Z143" s="112">
        <f>IF(V143&gt;$S$28,2,1)</f>
        <v>1</v>
      </c>
      <c r="AC143" s="111">
        <f>IF(J143="","",VLOOKUP(F144,[1]dim!$A:$F,6,FALSE))</f>
        <v>1.1000000000000001</v>
      </c>
      <c r="AD143" s="111">
        <f>IF(J143="","",VLOOKUP(F144,[1]dim!$A:$G,7,FALSE))</f>
        <v>0.72344901169876852</v>
      </c>
      <c r="AF143">
        <v>1.1000000000000001</v>
      </c>
      <c r="AG143">
        <v>0.72344901169876852</v>
      </c>
    </row>
    <row r="144" spans="1:33">
      <c r="A144" s="27"/>
      <c r="B144" s="129"/>
      <c r="C144" s="130"/>
      <c r="D144" s="131"/>
      <c r="E144" s="34" t="s">
        <v>228</v>
      </c>
      <c r="F144" s="6" t="s">
        <v>141</v>
      </c>
      <c r="G144" s="13">
        <v>21.647617500000013</v>
      </c>
      <c r="H144" s="2" t="s">
        <v>409</v>
      </c>
      <c r="I144" s="115"/>
      <c r="J144" s="113"/>
      <c r="K144" s="113"/>
      <c r="L144" s="113"/>
      <c r="M144" s="113"/>
      <c r="N144" s="113"/>
      <c r="O144" s="115"/>
      <c r="P144" s="117"/>
      <c r="Q144" s="90"/>
      <c r="U144" s="87"/>
      <c r="Y144" s="113"/>
      <c r="Z144" s="113"/>
      <c r="AC144" s="111"/>
      <c r="AD144" s="111"/>
    </row>
    <row r="145" spans="1:33">
      <c r="A145" s="27"/>
      <c r="B145" s="129" t="s">
        <v>142</v>
      </c>
      <c r="C145" s="130" t="s">
        <v>143</v>
      </c>
      <c r="D145" s="131" t="s">
        <v>8</v>
      </c>
      <c r="E145" s="34" t="s">
        <v>227</v>
      </c>
      <c r="F145" s="6" t="s">
        <v>141</v>
      </c>
      <c r="G145" s="13">
        <v>21.395770000000013</v>
      </c>
      <c r="H145" s="2" t="s">
        <v>409</v>
      </c>
      <c r="I145" s="114" t="s">
        <v>410</v>
      </c>
      <c r="J145" s="112">
        <v>0.55000000000000004</v>
      </c>
      <c r="K145" s="112">
        <v>0.25</v>
      </c>
      <c r="L145" s="112"/>
      <c r="M145" s="112">
        <v>0.5</v>
      </c>
      <c r="N145" s="112">
        <v>1</v>
      </c>
      <c r="O145" s="114" t="s">
        <v>312</v>
      </c>
      <c r="P145" s="149" t="s">
        <v>312</v>
      </c>
      <c r="Q145" s="90"/>
      <c r="U145" s="87"/>
      <c r="Y145" s="112" t="str">
        <f>IF(V145&gt;=$S$28,IF(V145/2&gt;=$S$28,$S$28,IF(AND(V145/2&lt;$S$28,V145/2&gt;=$S$27),$S$27,IF(AND(V145/2&lt;$S$27,V145/2&gt;=$S$26),$S$26,IF(AND(V145/2&lt;$S$26,V145/2&gt;=$S$25),$S$25,IF(AND(V145/2&lt;$S$25,V145/2&gt;=$S$24),$S$24,IF(AND(V145/2&lt;$S$24,V145/2&gt;=$S$23),$S$23,IF(AND(V145/2&lt;$S$23,V145/2&gt;=$S$22),$S$22,""))))))),
IF(V145="","",
IF(AND(V145&gt;=$S$22,V145&lt;$S$23),$S$22,IF(AND(V145&gt;=$S$23,V145&lt;$S$24),$S$23,IF(AND(V145&gt;=$S$24,V145&lt;$S$25),$S$24,IF(AND(V145&gt;=$S$25,V145&lt;$S$26),$S$25,IF(AND(V145&gt;=$S$26,V145&lt;$S$27),$S$26,IF(AND(V145&gt;=$S$27,V145&lt;$S$28),$S$27,""))))))))</f>
        <v/>
      </c>
      <c r="Z145" s="112">
        <f>IF(V145&gt;$S$28,2,1)</f>
        <v>1</v>
      </c>
      <c r="AC145" s="111">
        <f>IF(J145="","",VLOOKUP(F146,[1]dim!$A:$F,6,FALSE))</f>
        <v>0.55000000000000004</v>
      </c>
      <c r="AD145" s="111">
        <f>IF(J145="","",VLOOKUP(F146,[1]dim!$A:$G,7,FALSE))</f>
        <v>0.54253063704148408</v>
      </c>
      <c r="AF145">
        <v>0.55000000000000004</v>
      </c>
      <c r="AG145">
        <v>0.54253063704148408</v>
      </c>
    </row>
    <row r="146" spans="1:33">
      <c r="A146" s="27"/>
      <c r="B146" s="129"/>
      <c r="C146" s="130"/>
      <c r="D146" s="131"/>
      <c r="E146" s="34" t="s">
        <v>228</v>
      </c>
      <c r="F146" s="6" t="s">
        <v>144</v>
      </c>
      <c r="G146" s="13">
        <v>21.145770000000013</v>
      </c>
      <c r="H146" s="2" t="s">
        <v>411</v>
      </c>
      <c r="I146" s="115"/>
      <c r="J146" s="113"/>
      <c r="K146" s="113"/>
      <c r="L146" s="113"/>
      <c r="M146" s="113"/>
      <c r="N146" s="113"/>
      <c r="O146" s="115"/>
      <c r="P146" s="117"/>
      <c r="Q146" s="90"/>
      <c r="U146" s="87"/>
      <c r="Y146" s="113"/>
      <c r="Z146" s="113"/>
      <c r="AC146" s="111"/>
      <c r="AD146" s="111"/>
    </row>
    <row r="147" spans="1:33">
      <c r="A147" s="27"/>
      <c r="B147" s="138" t="s">
        <v>245</v>
      </c>
      <c r="C147" s="140"/>
      <c r="D147" s="140"/>
      <c r="E147" s="32"/>
      <c r="F147" s="19"/>
      <c r="G147" s="20"/>
      <c r="H147" s="20"/>
      <c r="I147" s="140" t="s">
        <v>302</v>
      </c>
      <c r="J147" s="119"/>
      <c r="K147" s="119"/>
      <c r="L147" s="119"/>
      <c r="M147" s="119"/>
      <c r="N147" s="119"/>
      <c r="O147" s="140"/>
      <c r="P147" s="150"/>
      <c r="Q147" s="90"/>
      <c r="R147" s="87"/>
      <c r="U147" s="87"/>
      <c r="Y147" s="119"/>
      <c r="Z147" s="119"/>
      <c r="AC147" s="111" t="str">
        <f>IF(J147="","",VLOOKUP(F148,[1]dim!$A:$F,6,FALSE))</f>
        <v/>
      </c>
      <c r="AD147" s="111" t="str">
        <f>IF(J147="","",VLOOKUP(F148,[1]dim!$A:$G,7,FALSE))</f>
        <v/>
      </c>
      <c r="AF147" t="s">
        <v>302</v>
      </c>
      <c r="AG147" t="s">
        <v>302</v>
      </c>
    </row>
    <row r="148" spans="1:33">
      <c r="A148" s="27"/>
      <c r="B148" s="139"/>
      <c r="C148" s="141"/>
      <c r="D148" s="141"/>
      <c r="E148" s="33"/>
      <c r="F148" s="21"/>
      <c r="G148" s="22"/>
      <c r="H148" s="22"/>
      <c r="I148" s="141"/>
      <c r="J148" s="120"/>
      <c r="K148" s="120"/>
      <c r="L148" s="120"/>
      <c r="M148" s="120"/>
      <c r="N148" s="120"/>
      <c r="O148" s="141"/>
      <c r="P148" s="151"/>
      <c r="Q148" s="90"/>
      <c r="R148" s="87"/>
      <c r="U148" s="87"/>
      <c r="Y148" s="120"/>
      <c r="Z148" s="120"/>
      <c r="AC148" s="111"/>
      <c r="AD148" s="111"/>
    </row>
    <row r="149" spans="1:33">
      <c r="A149" s="27"/>
      <c r="B149" s="142" t="s">
        <v>130</v>
      </c>
      <c r="C149" s="131" t="s">
        <v>131</v>
      </c>
      <c r="D149" s="131" t="s">
        <v>40</v>
      </c>
      <c r="E149" s="34" t="s">
        <v>227</v>
      </c>
      <c r="F149" s="6" t="s">
        <v>129</v>
      </c>
      <c r="G149" s="13">
        <v>23.327695000000016</v>
      </c>
      <c r="H149" s="2" t="s">
        <v>401</v>
      </c>
      <c r="I149" s="114" t="s">
        <v>412</v>
      </c>
      <c r="J149" s="112">
        <v>0.5</v>
      </c>
      <c r="K149" s="112">
        <v>0.30954599999999743</v>
      </c>
      <c r="L149" s="112">
        <v>0.29838697148132787</v>
      </c>
      <c r="M149" s="112">
        <v>0.4</v>
      </c>
      <c r="N149" s="112">
        <v>1</v>
      </c>
      <c r="O149" s="114" t="s">
        <v>312</v>
      </c>
      <c r="P149" s="116" t="s">
        <v>312</v>
      </c>
      <c r="Q149" s="90"/>
      <c r="U149" s="87"/>
      <c r="Y149" s="112" t="str">
        <f>IF(V149="","",
IF(AND(V149&gt;=$V$12,V149&lt;$V$13),$V$12,
IF(AND(V149&gt;=$V$13,V149&lt;$V$14),$V$13,
IF(AND(V149&gt;=$V$14,V149&lt;$V$15),$V$14,
IF(AND(V149&gt;=$V$15,V149&lt;$V$16),$V$15,
IF(AND(V149&gt;=$V$16,V149&lt;$V$17),$V$16,""))))))</f>
        <v/>
      </c>
      <c r="Z149" s="112">
        <v>1</v>
      </c>
      <c r="AC149" s="111">
        <f>IF(J149="","",VLOOKUP(F150,[1]dim!$A:$F,6,FALSE))</f>
        <v>0.5</v>
      </c>
      <c r="AD149" s="111">
        <f>IF(J149="","",VLOOKUP(F150,[1]dim!$A:$G,7,FALSE))</f>
        <v>0.45735795625174602</v>
      </c>
      <c r="AF149">
        <v>0.5</v>
      </c>
      <c r="AG149">
        <v>0.45735795625174602</v>
      </c>
    </row>
    <row r="150" spans="1:33">
      <c r="A150" s="27"/>
      <c r="B150" s="142"/>
      <c r="C150" s="131"/>
      <c r="D150" s="131"/>
      <c r="E150" s="34" t="s">
        <v>228</v>
      </c>
      <c r="F150" s="6" t="s">
        <v>145</v>
      </c>
      <c r="G150" s="13">
        <v>23.018149000000019</v>
      </c>
      <c r="H150" s="2" t="s">
        <v>413</v>
      </c>
      <c r="I150" s="115"/>
      <c r="J150" s="113"/>
      <c r="K150" s="113"/>
      <c r="L150" s="113"/>
      <c r="M150" s="113"/>
      <c r="N150" s="113"/>
      <c r="O150" s="115"/>
      <c r="P150" s="117"/>
      <c r="Q150" s="90"/>
      <c r="U150" s="87"/>
      <c r="Y150" s="113"/>
      <c r="Z150" s="113"/>
      <c r="AC150" s="111"/>
      <c r="AD150" s="111"/>
    </row>
    <row r="151" spans="1:33">
      <c r="A151" s="27"/>
      <c r="B151" s="138" t="s">
        <v>246</v>
      </c>
      <c r="C151" s="140"/>
      <c r="D151" s="140"/>
      <c r="E151" s="32"/>
      <c r="F151" s="19"/>
      <c r="G151" s="20"/>
      <c r="H151" s="20"/>
      <c r="I151" s="140" t="s">
        <v>302</v>
      </c>
      <c r="J151" s="119"/>
      <c r="K151" s="119"/>
      <c r="L151" s="119"/>
      <c r="M151" s="119"/>
      <c r="N151" s="119"/>
      <c r="O151" s="140"/>
      <c r="P151" s="150"/>
      <c r="Q151" s="90"/>
      <c r="R151" s="87"/>
      <c r="U151" s="87"/>
      <c r="Y151" s="119"/>
      <c r="Z151" s="119"/>
      <c r="AC151" s="111" t="str">
        <f>IF(J151="","",VLOOKUP(F152,[1]dim!$A:$F,6,FALSE))</f>
        <v/>
      </c>
      <c r="AD151" s="111" t="str">
        <f>IF(J151="","",VLOOKUP(F152,[1]dim!$A:$G,7,FALSE))</f>
        <v/>
      </c>
      <c r="AF151" t="s">
        <v>302</v>
      </c>
      <c r="AG151" t="s">
        <v>302</v>
      </c>
    </row>
    <row r="152" spans="1:33">
      <c r="A152" s="27"/>
      <c r="B152" s="139"/>
      <c r="C152" s="141"/>
      <c r="D152" s="141"/>
      <c r="E152" s="33"/>
      <c r="F152" s="21"/>
      <c r="G152" s="22"/>
      <c r="H152" s="22"/>
      <c r="I152" s="141"/>
      <c r="J152" s="120"/>
      <c r="K152" s="120"/>
      <c r="L152" s="120"/>
      <c r="M152" s="120"/>
      <c r="N152" s="120"/>
      <c r="O152" s="141"/>
      <c r="P152" s="151"/>
      <c r="Q152" s="90"/>
      <c r="R152" s="87"/>
      <c r="U152" s="87"/>
      <c r="Y152" s="120"/>
      <c r="Z152" s="120"/>
      <c r="AC152" s="111"/>
      <c r="AD152" s="111"/>
    </row>
    <row r="153" spans="1:33">
      <c r="A153" s="27"/>
      <c r="B153" s="142" t="s">
        <v>133</v>
      </c>
      <c r="C153" s="131" t="s">
        <v>134</v>
      </c>
      <c r="D153" s="131" t="s">
        <v>40</v>
      </c>
      <c r="E153" s="34" t="s">
        <v>227</v>
      </c>
      <c r="F153" s="6" t="s">
        <v>132</v>
      </c>
      <c r="G153" s="13">
        <v>22.621215000000017</v>
      </c>
      <c r="H153" s="2" t="s">
        <v>403</v>
      </c>
      <c r="I153" s="114" t="s">
        <v>414</v>
      </c>
      <c r="J153" s="112">
        <v>1</v>
      </c>
      <c r="K153" s="112">
        <v>0.44473900000000555</v>
      </c>
      <c r="L153" s="112">
        <v>0.19973828979959127</v>
      </c>
      <c r="M153" s="112">
        <v>1</v>
      </c>
      <c r="N153" s="112">
        <v>1</v>
      </c>
      <c r="O153" s="114" t="s">
        <v>312</v>
      </c>
      <c r="P153" s="116" t="s">
        <v>312</v>
      </c>
      <c r="Q153" s="90"/>
      <c r="U153" s="87"/>
      <c r="Y153" s="112" t="str">
        <f>IF(V153="","",
IF(AND(V153&gt;=$V$12,V153&lt;$V$13),$V$12,
IF(AND(V153&gt;=$V$13,V153&lt;$V$14),$V$13,
IF(AND(V153&gt;=$V$14,V153&lt;$V$15),$V$14,
IF(AND(V153&gt;=$V$15,V153&lt;$V$16),$V$15,
IF(AND(V153&gt;=$V$16,V153&lt;$V$17),$V$16,""))))))</f>
        <v/>
      </c>
      <c r="Z153" s="112">
        <v>1</v>
      </c>
      <c r="AC153" s="111">
        <f>IF(J153="","",VLOOKUP(F154,[1]dim!$A:$F,6,FALSE))</f>
        <v>1</v>
      </c>
      <c r="AD153" s="111">
        <f>IF(J153="","",VLOOKUP(F154,[1]dim!$A:$G,7,FALSE))</f>
        <v>0.70257017665820931</v>
      </c>
      <c r="AF153">
        <v>1</v>
      </c>
      <c r="AG153">
        <v>0.70257017665820931</v>
      </c>
    </row>
    <row r="154" spans="1:33">
      <c r="A154" s="27"/>
      <c r="B154" s="142"/>
      <c r="C154" s="131"/>
      <c r="D154" s="131"/>
      <c r="E154" s="34" t="s">
        <v>228</v>
      </c>
      <c r="F154" s="6" t="s">
        <v>146</v>
      </c>
      <c r="G154" s="13">
        <v>22.176476000000012</v>
      </c>
      <c r="H154" s="2" t="s">
        <v>415</v>
      </c>
      <c r="I154" s="115"/>
      <c r="J154" s="113"/>
      <c r="K154" s="113"/>
      <c r="L154" s="113"/>
      <c r="M154" s="113"/>
      <c r="N154" s="113"/>
      <c r="O154" s="115"/>
      <c r="P154" s="117"/>
      <c r="Q154" s="90"/>
      <c r="U154" s="87"/>
      <c r="Y154" s="113"/>
      <c r="Z154" s="113"/>
      <c r="AC154" s="111"/>
      <c r="AD154" s="111"/>
    </row>
    <row r="155" spans="1:33">
      <c r="A155" s="27"/>
      <c r="B155" s="129" t="s">
        <v>147</v>
      </c>
      <c r="C155" s="130" t="s">
        <v>148</v>
      </c>
      <c r="D155" s="131" t="s">
        <v>8</v>
      </c>
      <c r="E155" s="34" t="s">
        <v>227</v>
      </c>
      <c r="F155" s="6" t="s">
        <v>146</v>
      </c>
      <c r="G155" s="13">
        <v>21.69912350000001</v>
      </c>
      <c r="H155" s="2" t="s">
        <v>415</v>
      </c>
      <c r="I155" s="114" t="s">
        <v>416</v>
      </c>
      <c r="J155" s="112">
        <v>0.85</v>
      </c>
      <c r="K155" s="112">
        <v>0.10000000000000142</v>
      </c>
      <c r="L155" s="112"/>
      <c r="M155" s="112">
        <v>1</v>
      </c>
      <c r="N155" s="112">
        <v>1</v>
      </c>
      <c r="O155" s="114" t="s">
        <v>312</v>
      </c>
      <c r="P155" s="149" t="s">
        <v>312</v>
      </c>
      <c r="Q155" s="90"/>
      <c r="U155" s="87"/>
      <c r="Y155" s="112" t="str">
        <f>IF(V155&gt;=$S$28,IF(V155/2&gt;=$S$28,$S$28,IF(AND(V155/2&lt;$S$28,V155/2&gt;=$S$27),$S$27,IF(AND(V155/2&lt;$S$27,V155/2&gt;=$S$26),$S$26,IF(AND(V155/2&lt;$S$26,V155/2&gt;=$S$25),$S$25,IF(AND(V155/2&lt;$S$25,V155/2&gt;=$S$24),$S$24,IF(AND(V155/2&lt;$S$24,V155/2&gt;=$S$23),$S$23,IF(AND(V155/2&lt;$S$23,V155/2&gt;=$S$22),$S$22,""))))))),
IF(V155="","",
IF(AND(V155&gt;=$S$22,V155&lt;$S$23),$S$22,IF(AND(V155&gt;=$S$23,V155&lt;$S$24),$S$23,IF(AND(V155&gt;=$S$24,V155&lt;$S$25),$S$24,IF(AND(V155&gt;=$S$25,V155&lt;$S$26),$S$25,IF(AND(V155&gt;=$S$26,V155&lt;$S$27),$S$26,IF(AND(V155&gt;=$S$27,V155&lt;$S$28),$S$27,""))))))))</f>
        <v/>
      </c>
      <c r="Z155" s="112">
        <f>IF(V155&gt;$S$28,2,1)</f>
        <v>1</v>
      </c>
      <c r="AC155" s="111">
        <f>IF(J155="","",VLOOKUP(F156,[1]dim!$A:$F,6,FALSE))</f>
        <v>0.85</v>
      </c>
      <c r="AD155" s="111">
        <f>IF(J155="","",VLOOKUP(F156,[1]dim!$A:$G,7,FALSE))</f>
        <v>0.67704115652315122</v>
      </c>
      <c r="AF155">
        <v>0.85</v>
      </c>
      <c r="AG155">
        <v>0.67704115652315122</v>
      </c>
    </row>
    <row r="156" spans="1:33">
      <c r="A156" s="27"/>
      <c r="B156" s="129"/>
      <c r="C156" s="130"/>
      <c r="D156" s="131"/>
      <c r="E156" s="34" t="s">
        <v>228</v>
      </c>
      <c r="F156" s="6" t="s">
        <v>149</v>
      </c>
      <c r="G156" s="13">
        <v>21.599123500000008</v>
      </c>
      <c r="H156" s="2" t="s">
        <v>417</v>
      </c>
      <c r="I156" s="115"/>
      <c r="J156" s="113"/>
      <c r="K156" s="113"/>
      <c r="L156" s="113"/>
      <c r="M156" s="113"/>
      <c r="N156" s="113"/>
      <c r="O156" s="115"/>
      <c r="P156" s="117"/>
      <c r="Q156" s="90"/>
      <c r="U156" s="87"/>
      <c r="Y156" s="113"/>
      <c r="Z156" s="113"/>
      <c r="AC156" s="111"/>
      <c r="AD156" s="111"/>
    </row>
    <row r="157" spans="1:33">
      <c r="A157" s="27"/>
      <c r="B157" s="129" t="s">
        <v>150</v>
      </c>
      <c r="C157" s="130" t="s">
        <v>151</v>
      </c>
      <c r="D157" s="131" t="s">
        <v>8</v>
      </c>
      <c r="E157" s="34" t="s">
        <v>227</v>
      </c>
      <c r="F157" s="6" t="s">
        <v>149</v>
      </c>
      <c r="G157" s="13">
        <v>21.409445500000007</v>
      </c>
      <c r="H157" s="2" t="s">
        <v>417</v>
      </c>
      <c r="I157" s="114" t="s">
        <v>418</v>
      </c>
      <c r="J157" s="112">
        <v>0.8</v>
      </c>
      <c r="K157" s="112">
        <v>0.10000000000000142</v>
      </c>
      <c r="L157" s="112"/>
      <c r="M157" s="112">
        <v>0.75</v>
      </c>
      <c r="N157" s="112">
        <v>1</v>
      </c>
      <c r="O157" s="114" t="s">
        <v>312</v>
      </c>
      <c r="P157" s="149" t="s">
        <v>312</v>
      </c>
      <c r="Q157" s="90"/>
      <c r="U157" s="87"/>
      <c r="Y157" s="112" t="str">
        <f>IF(V157&gt;=$S$28,IF(V157/2&gt;=$S$28,$S$28,IF(AND(V157/2&lt;$S$28,V157/2&gt;=$S$27),$S$27,IF(AND(V157/2&lt;$S$27,V157/2&gt;=$S$26),$S$26,IF(AND(V157/2&lt;$S$26,V157/2&gt;=$S$25),$S$25,IF(AND(V157/2&lt;$S$25,V157/2&gt;=$S$24),$S$24,IF(AND(V157/2&lt;$S$24,V157/2&gt;=$S$23),$S$23,IF(AND(V157/2&lt;$S$23,V157/2&gt;=$S$22),$S$22,""))))))),
IF(V157="","",
IF(AND(V157&gt;=$S$22,V157&lt;$S$23),$S$22,IF(AND(V157&gt;=$S$23,V157&lt;$S$24),$S$23,IF(AND(V157&gt;=$S$24,V157&lt;$S$25),$S$24,IF(AND(V157&gt;=$S$25,V157&lt;$S$26),$S$25,IF(AND(V157&gt;=$S$26,V157&lt;$S$27),$S$26,IF(AND(V157&gt;=$S$27,V157&lt;$S$28),$S$27,""))))))))</f>
        <v/>
      </c>
      <c r="Z157" s="112">
        <f>IF(V157&gt;$S$28,2,1)</f>
        <v>1</v>
      </c>
      <c r="AC157" s="111">
        <f>IF(J157="","",VLOOKUP(F158,[1]dim!$A:$F,6,FALSE))</f>
        <v>0.8</v>
      </c>
      <c r="AD157" s="111">
        <f>IF(J157="","",VLOOKUP(F158,[1]dim!$A:$G,7,FALSE))</f>
        <v>0.6251257251602651</v>
      </c>
      <c r="AF157">
        <v>0.8</v>
      </c>
      <c r="AG157">
        <v>0.6251257251602651</v>
      </c>
    </row>
    <row r="158" spans="1:33">
      <c r="A158" s="27"/>
      <c r="B158" s="129"/>
      <c r="C158" s="130"/>
      <c r="D158" s="131"/>
      <c r="E158" s="34" t="s">
        <v>228</v>
      </c>
      <c r="F158" s="6" t="s">
        <v>152</v>
      </c>
      <c r="G158" s="13">
        <v>21.309445500000006</v>
      </c>
      <c r="H158" s="2" t="s">
        <v>419</v>
      </c>
      <c r="I158" s="115"/>
      <c r="J158" s="113"/>
      <c r="K158" s="113"/>
      <c r="L158" s="113"/>
      <c r="M158" s="113"/>
      <c r="N158" s="113"/>
      <c r="O158" s="115"/>
      <c r="P158" s="117"/>
      <c r="Q158" s="90"/>
      <c r="U158" s="87"/>
      <c r="Y158" s="113"/>
      <c r="Z158" s="113"/>
      <c r="AC158" s="111"/>
      <c r="AD158" s="111"/>
    </row>
    <row r="159" spans="1:33">
      <c r="A159" s="27"/>
      <c r="B159" s="129" t="s">
        <v>153</v>
      </c>
      <c r="C159" s="130" t="s">
        <v>154</v>
      </c>
      <c r="D159" s="131" t="s">
        <v>8</v>
      </c>
      <c r="E159" s="34" t="s">
        <v>227</v>
      </c>
      <c r="F159" s="6" t="s">
        <v>152</v>
      </c>
      <c r="G159" s="13">
        <v>20.587368000000009</v>
      </c>
      <c r="H159" s="2" t="s">
        <v>419</v>
      </c>
      <c r="I159" s="114" t="s">
        <v>420</v>
      </c>
      <c r="J159" s="112">
        <v>0.65</v>
      </c>
      <c r="K159" s="112">
        <v>0.10000000000000142</v>
      </c>
      <c r="L159" s="112"/>
      <c r="M159" s="112">
        <v>0.75</v>
      </c>
      <c r="N159" s="112">
        <v>1</v>
      </c>
      <c r="O159" s="114" t="s">
        <v>312</v>
      </c>
      <c r="P159" s="149" t="s">
        <v>312</v>
      </c>
      <c r="Q159" s="90"/>
      <c r="U159" s="87"/>
      <c r="Y159" s="112" t="str">
        <f>IF(V159&gt;=$S$28,IF(V159/2&gt;=$S$28,$S$28,IF(AND(V159/2&lt;$S$28,V159/2&gt;=$S$27),$S$27,IF(AND(V159/2&lt;$S$27,V159/2&gt;=$S$26),$S$26,IF(AND(V159/2&lt;$S$26,V159/2&gt;=$S$25),$S$25,IF(AND(V159/2&lt;$S$25,V159/2&gt;=$S$24),$S$24,IF(AND(V159/2&lt;$S$24,V159/2&gt;=$S$23),$S$23,IF(AND(V159/2&lt;$S$23,V159/2&gt;=$S$22),$S$22,""))))))),
IF(V159="","",
IF(AND(V159&gt;=$S$22,V159&lt;$S$23),$S$22,IF(AND(V159&gt;=$S$23,V159&lt;$S$24),$S$23,IF(AND(V159&gt;=$S$24,V159&lt;$S$25),$S$24,IF(AND(V159&gt;=$S$25,V159&lt;$S$26),$S$25,IF(AND(V159&gt;=$S$26,V159&lt;$S$27),$S$26,IF(AND(V159&gt;=$S$27,V159&lt;$S$28),$S$27,""))))))))</f>
        <v/>
      </c>
      <c r="Z159" s="112">
        <f>IF(V159&gt;$S$28,2,1)</f>
        <v>1</v>
      </c>
      <c r="AC159" s="111">
        <f>IF(J159="","",VLOOKUP(F160,[1]dim!$A:$F,6,FALSE))</f>
        <v>0.65</v>
      </c>
      <c r="AD159" s="111">
        <f>IF(J159="","",VLOOKUP(F160,[1]dim!$A:$G,7,FALSE))</f>
        <v>0.5618469797204293</v>
      </c>
      <c r="AF159">
        <v>0.65</v>
      </c>
      <c r="AG159">
        <v>0.5618469797204293</v>
      </c>
    </row>
    <row r="160" spans="1:33">
      <c r="A160" s="27"/>
      <c r="B160" s="129"/>
      <c r="C160" s="130"/>
      <c r="D160" s="131"/>
      <c r="E160" s="34" t="s">
        <v>228</v>
      </c>
      <c r="F160" s="6" t="s">
        <v>155</v>
      </c>
      <c r="G160" s="13">
        <v>20.487368000000007</v>
      </c>
      <c r="H160" s="2" t="s">
        <v>421</v>
      </c>
      <c r="I160" s="115"/>
      <c r="J160" s="113"/>
      <c r="K160" s="113"/>
      <c r="L160" s="113"/>
      <c r="M160" s="113"/>
      <c r="N160" s="113"/>
      <c r="O160" s="115"/>
      <c r="P160" s="117"/>
      <c r="Q160" s="90"/>
      <c r="U160" s="87"/>
      <c r="Y160" s="113"/>
      <c r="Z160" s="113"/>
      <c r="AC160" s="111"/>
      <c r="AD160" s="111"/>
    </row>
    <row r="161" spans="1:33">
      <c r="A161" s="27"/>
      <c r="B161" s="129" t="s">
        <v>156</v>
      </c>
      <c r="C161" s="130" t="s">
        <v>157</v>
      </c>
      <c r="D161" s="131" t="s">
        <v>8</v>
      </c>
      <c r="E161" s="34" t="s">
        <v>227</v>
      </c>
      <c r="F161" s="6" t="s">
        <v>155</v>
      </c>
      <c r="G161" s="13">
        <v>20.083554000000007</v>
      </c>
      <c r="H161" s="2" t="s">
        <v>421</v>
      </c>
      <c r="I161" s="114" t="s">
        <v>422</v>
      </c>
      <c r="J161" s="112">
        <v>0.5</v>
      </c>
      <c r="K161" s="112">
        <v>0.10000000000000142</v>
      </c>
      <c r="L161" s="112"/>
      <c r="M161" s="112">
        <v>0.5</v>
      </c>
      <c r="N161" s="112">
        <v>1</v>
      </c>
      <c r="O161" s="114" t="s">
        <v>312</v>
      </c>
      <c r="P161" s="149" t="s">
        <v>312</v>
      </c>
      <c r="Q161" s="90"/>
      <c r="U161" s="87"/>
      <c r="Y161" s="112" t="str">
        <f>IF(V161&gt;=$S$28,IF(V161/2&gt;=$S$28,$S$28,IF(AND(V161/2&lt;$S$28,V161/2&gt;=$S$27),$S$27,IF(AND(V161/2&lt;$S$27,V161/2&gt;=$S$26),$S$26,IF(AND(V161/2&lt;$S$26,V161/2&gt;=$S$25),$S$25,IF(AND(V161/2&lt;$S$25,V161/2&gt;=$S$24),$S$24,IF(AND(V161/2&lt;$S$24,V161/2&gt;=$S$23),$S$23,IF(AND(V161/2&lt;$S$23,V161/2&gt;=$S$22),$S$22,""))))))),
IF(V161="","",
IF(AND(V161&gt;=$S$22,V161&lt;$S$23),$S$22,IF(AND(V161&gt;=$S$23,V161&lt;$S$24),$S$23,IF(AND(V161&gt;=$S$24,V161&lt;$S$25),$S$24,IF(AND(V161&gt;=$S$25,V161&lt;$S$26),$S$25,IF(AND(V161&gt;=$S$26,V161&lt;$S$27),$S$26,IF(AND(V161&gt;=$S$27,V161&lt;$S$28),$S$27,""))))))))</f>
        <v/>
      </c>
      <c r="Z161" s="112">
        <f>IF(V161&gt;$S$28,2,1)</f>
        <v>1</v>
      </c>
      <c r="AC161" s="111">
        <f>IF(J161="","",VLOOKUP(F162,[1]dim!$A:$F,6,FALSE))</f>
        <v>0.5</v>
      </c>
      <c r="AD161" s="111">
        <f>IF(J161="","",VLOOKUP(F162,[1]dim!$A:$G,7,FALSE))</f>
        <v>0.44754107550902206</v>
      </c>
      <c r="AF161">
        <v>0.5</v>
      </c>
      <c r="AG161">
        <v>0.44754107550902206</v>
      </c>
    </row>
    <row r="162" spans="1:33">
      <c r="A162" s="27"/>
      <c r="B162" s="129"/>
      <c r="C162" s="130"/>
      <c r="D162" s="131"/>
      <c r="E162" s="34" t="s">
        <v>228</v>
      </c>
      <c r="F162" s="6" t="s">
        <v>158</v>
      </c>
      <c r="G162" s="13">
        <v>19.983554000000005</v>
      </c>
      <c r="H162" s="2" t="s">
        <v>423</v>
      </c>
      <c r="I162" s="115"/>
      <c r="J162" s="113"/>
      <c r="K162" s="113"/>
      <c r="L162" s="113"/>
      <c r="M162" s="113"/>
      <c r="N162" s="113"/>
      <c r="O162" s="115"/>
      <c r="P162" s="117"/>
      <c r="Q162" s="90"/>
      <c r="U162" s="87"/>
      <c r="Y162" s="113"/>
      <c r="Z162" s="113"/>
      <c r="AC162" s="111"/>
      <c r="AD162" s="111"/>
    </row>
    <row r="163" spans="1:33">
      <c r="A163" s="27"/>
      <c r="B163" s="138" t="s">
        <v>247</v>
      </c>
      <c r="C163" s="140"/>
      <c r="D163" s="140"/>
      <c r="E163" s="32"/>
      <c r="F163" s="19"/>
      <c r="G163" s="20"/>
      <c r="H163" s="20"/>
      <c r="I163" s="140" t="s">
        <v>302</v>
      </c>
      <c r="J163" s="119"/>
      <c r="K163" s="119"/>
      <c r="L163" s="119"/>
      <c r="M163" s="119"/>
      <c r="N163" s="119"/>
      <c r="O163" s="140"/>
      <c r="P163" s="150"/>
      <c r="Q163" s="90"/>
      <c r="R163" s="87"/>
      <c r="U163" s="87"/>
      <c r="Y163" s="119"/>
      <c r="Z163" s="119"/>
      <c r="AC163" s="111" t="str">
        <f>IF(J163="","",VLOOKUP(F164,[1]dim!$A:$F,6,FALSE))</f>
        <v/>
      </c>
      <c r="AD163" s="111" t="str">
        <f>IF(J163="","",VLOOKUP(F164,[1]dim!$A:$G,7,FALSE))</f>
        <v/>
      </c>
      <c r="AF163" t="s">
        <v>302</v>
      </c>
      <c r="AG163" t="s">
        <v>302</v>
      </c>
    </row>
    <row r="164" spans="1:33">
      <c r="A164" s="27"/>
      <c r="B164" s="139"/>
      <c r="C164" s="141"/>
      <c r="D164" s="141"/>
      <c r="E164" s="33"/>
      <c r="F164" s="21"/>
      <c r="G164" s="22"/>
      <c r="H164" s="22"/>
      <c r="I164" s="141"/>
      <c r="J164" s="120"/>
      <c r="K164" s="120"/>
      <c r="L164" s="120"/>
      <c r="M164" s="120"/>
      <c r="N164" s="120"/>
      <c r="O164" s="141"/>
      <c r="P164" s="151"/>
      <c r="Q164" s="90"/>
      <c r="R164" s="87"/>
      <c r="U164" s="87"/>
      <c r="Y164" s="120"/>
      <c r="Z164" s="120"/>
      <c r="AC164" s="111"/>
      <c r="AD164" s="111"/>
    </row>
    <row r="165" spans="1:33">
      <c r="A165" s="27"/>
      <c r="B165" s="142" t="s">
        <v>142</v>
      </c>
      <c r="C165" s="131" t="s">
        <v>143</v>
      </c>
      <c r="D165" s="131" t="s">
        <v>40</v>
      </c>
      <c r="E165" s="34" t="s">
        <v>227</v>
      </c>
      <c r="F165" s="6" t="s">
        <v>141</v>
      </c>
      <c r="G165" s="13">
        <v>21.395770000000013</v>
      </c>
      <c r="H165" s="2" t="s">
        <v>409</v>
      </c>
      <c r="I165" s="114" t="s">
        <v>424</v>
      </c>
      <c r="J165" s="112">
        <v>0.5</v>
      </c>
      <c r="K165" s="112">
        <v>0.84992900000000304</v>
      </c>
      <c r="L165" s="112">
        <v>0.18901862177699374</v>
      </c>
      <c r="M165" s="112">
        <v>0.4</v>
      </c>
      <c r="N165" s="112">
        <v>1</v>
      </c>
      <c r="O165" s="114" t="s">
        <v>312</v>
      </c>
      <c r="P165" s="116" t="s">
        <v>312</v>
      </c>
      <c r="Q165" s="90"/>
      <c r="U165" s="87"/>
      <c r="Y165" s="112" t="str">
        <f>IF(V165="","",
IF(AND(V165&gt;=$V$12,V165&lt;$V$13),$V$12,
IF(AND(V165&gt;=$V$13,V165&lt;$V$14),$V$13,
IF(AND(V165&gt;=$V$14,V165&lt;$V$15),$V$14,
IF(AND(V165&gt;=$V$15,V165&lt;$V$16),$V$15,
IF(AND(V165&gt;=$V$16,V165&lt;$V$17),$V$16,""))))))</f>
        <v/>
      </c>
      <c r="Z165" s="112">
        <v>1</v>
      </c>
      <c r="AC165" s="111">
        <f>IF(J165="","",VLOOKUP(F166,[1]dim!$A:$F,6,FALSE))</f>
        <v>0.5</v>
      </c>
      <c r="AD165" s="111">
        <f>IF(J165="","",VLOOKUP(F166,[1]dim!$A:$G,7,FALSE))</f>
        <v>0.47920156486325127</v>
      </c>
      <c r="AF165">
        <v>0.5</v>
      </c>
      <c r="AG165">
        <v>0.47920156486325127</v>
      </c>
    </row>
    <row r="166" spans="1:33">
      <c r="A166" s="27"/>
      <c r="B166" s="142"/>
      <c r="C166" s="131"/>
      <c r="D166" s="131"/>
      <c r="E166" s="34" t="s">
        <v>228</v>
      </c>
      <c r="F166" s="6" t="s">
        <v>159</v>
      </c>
      <c r="G166" s="13">
        <v>20.54584100000001</v>
      </c>
      <c r="H166" s="2" t="s">
        <v>425</v>
      </c>
      <c r="I166" s="115"/>
      <c r="J166" s="113"/>
      <c r="K166" s="113"/>
      <c r="L166" s="113"/>
      <c r="M166" s="113"/>
      <c r="N166" s="113"/>
      <c r="O166" s="115"/>
      <c r="P166" s="117"/>
      <c r="Q166" s="90"/>
      <c r="U166" s="87"/>
      <c r="Y166" s="113"/>
      <c r="Z166" s="113"/>
      <c r="AC166" s="111"/>
      <c r="AD166" s="111"/>
    </row>
    <row r="167" spans="1:33">
      <c r="A167" s="27"/>
      <c r="B167" s="129" t="s">
        <v>160</v>
      </c>
      <c r="C167" s="130" t="s">
        <v>161</v>
      </c>
      <c r="D167" s="131" t="s">
        <v>8</v>
      </c>
      <c r="E167" s="34" t="s">
        <v>227</v>
      </c>
      <c r="F167" s="6" t="s">
        <v>159</v>
      </c>
      <c r="G167" s="13">
        <v>20.04872700000001</v>
      </c>
      <c r="H167" s="2" t="s">
        <v>425</v>
      </c>
      <c r="I167" s="114" t="s">
        <v>426</v>
      </c>
      <c r="J167" s="112">
        <v>0.45</v>
      </c>
      <c r="K167" s="112">
        <v>0.25</v>
      </c>
      <c r="L167" s="112"/>
      <c r="M167" s="112">
        <v>0.5</v>
      </c>
      <c r="N167" s="112">
        <v>1</v>
      </c>
      <c r="O167" s="114" t="s">
        <v>312</v>
      </c>
      <c r="P167" s="149" t="s">
        <v>312</v>
      </c>
      <c r="Q167" s="90"/>
      <c r="S167" s="88"/>
      <c r="U167" s="87"/>
      <c r="Y167" s="112">
        <v>0.3</v>
      </c>
      <c r="Z167" s="112">
        <f>IF(V167&gt;$S$28,2,1)</f>
        <v>1</v>
      </c>
      <c r="AC167" s="111">
        <f>IF(J167="","",VLOOKUP(F168,[1]dim!$A:$F,6,FALSE))</f>
        <v>0.45</v>
      </c>
      <c r="AD167" s="111">
        <f>IF(J167="","",VLOOKUP(F168,[1]dim!$A:$G,7,FALSE))</f>
        <v>0.38849570403903344</v>
      </c>
      <c r="AF167">
        <v>0.45</v>
      </c>
      <c r="AG167">
        <v>0.38849570403903344</v>
      </c>
    </row>
    <row r="168" spans="1:33">
      <c r="A168" s="27"/>
      <c r="B168" s="129"/>
      <c r="C168" s="130"/>
      <c r="D168" s="131"/>
      <c r="E168" s="34" t="s">
        <v>228</v>
      </c>
      <c r="F168" s="6" t="s">
        <v>162</v>
      </c>
      <c r="G168" s="13">
        <v>19.79872700000001</v>
      </c>
      <c r="H168" s="2" t="s">
        <v>427</v>
      </c>
      <c r="I168" s="115"/>
      <c r="J168" s="113"/>
      <c r="K168" s="113"/>
      <c r="L168" s="113"/>
      <c r="M168" s="113"/>
      <c r="N168" s="113"/>
      <c r="O168" s="115"/>
      <c r="P168" s="117"/>
      <c r="Q168" s="90"/>
      <c r="S168" s="88"/>
      <c r="U168" s="87"/>
      <c r="Y168" s="113"/>
      <c r="Z168" s="113"/>
      <c r="AC168" s="111"/>
      <c r="AD168" s="111"/>
    </row>
    <row r="169" spans="1:33">
      <c r="A169" s="27"/>
      <c r="B169" s="138" t="s">
        <v>248</v>
      </c>
      <c r="C169" s="140"/>
      <c r="D169" s="140"/>
      <c r="E169" s="32"/>
      <c r="F169" s="19"/>
      <c r="G169" s="20"/>
      <c r="H169" s="20"/>
      <c r="I169" s="140" t="s">
        <v>302</v>
      </c>
      <c r="J169" s="119"/>
      <c r="K169" s="119"/>
      <c r="L169" s="119"/>
      <c r="M169" s="119"/>
      <c r="N169" s="119"/>
      <c r="O169" s="140"/>
      <c r="P169" s="150"/>
      <c r="Q169" s="90"/>
      <c r="R169" s="87"/>
      <c r="U169" s="87"/>
      <c r="Y169" s="119"/>
      <c r="Z169" s="119"/>
      <c r="AC169" s="111" t="str">
        <f>IF(J169="","",VLOOKUP(F170,[1]dim!$A:$F,6,FALSE))</f>
        <v/>
      </c>
      <c r="AD169" s="111" t="str">
        <f>IF(J169="","",VLOOKUP(F170,[1]dim!$A:$G,7,FALSE))</f>
        <v/>
      </c>
      <c r="AF169" t="s">
        <v>302</v>
      </c>
      <c r="AG169" t="s">
        <v>302</v>
      </c>
    </row>
    <row r="170" spans="1:33">
      <c r="A170" s="27"/>
      <c r="B170" s="139"/>
      <c r="C170" s="141"/>
      <c r="D170" s="141"/>
      <c r="E170" s="33"/>
      <c r="F170" s="21"/>
      <c r="G170" s="22"/>
      <c r="H170" s="22"/>
      <c r="I170" s="141"/>
      <c r="J170" s="120"/>
      <c r="K170" s="120"/>
      <c r="L170" s="120"/>
      <c r="M170" s="120"/>
      <c r="N170" s="120"/>
      <c r="O170" s="141"/>
      <c r="P170" s="151"/>
      <c r="Q170" s="90"/>
      <c r="R170" s="87"/>
      <c r="U170" s="87"/>
      <c r="Y170" s="120"/>
      <c r="Z170" s="120"/>
      <c r="AC170" s="111"/>
      <c r="AD170" s="111"/>
    </row>
    <row r="171" spans="1:33">
      <c r="A171" s="27"/>
      <c r="B171" s="142" t="s">
        <v>22</v>
      </c>
      <c r="C171" s="130" t="s">
        <v>23</v>
      </c>
      <c r="D171" s="131" t="s">
        <v>8</v>
      </c>
      <c r="E171" s="34" t="s">
        <v>227</v>
      </c>
      <c r="F171" s="6" t="s">
        <v>21</v>
      </c>
      <c r="G171" s="13">
        <v>25.534389000000026</v>
      </c>
      <c r="H171" s="2" t="s">
        <v>320</v>
      </c>
      <c r="I171" s="114" t="s">
        <v>428</v>
      </c>
      <c r="J171" s="112">
        <v>3.5</v>
      </c>
      <c r="K171" s="112">
        <v>0.10000000000000142</v>
      </c>
      <c r="L171" s="112"/>
      <c r="M171" s="112">
        <v>1.75</v>
      </c>
      <c r="N171" s="112">
        <v>2</v>
      </c>
      <c r="O171" s="114" t="s">
        <v>312</v>
      </c>
      <c r="P171" s="149" t="s">
        <v>312</v>
      </c>
      <c r="Q171" s="90"/>
      <c r="U171" s="87"/>
      <c r="Y171" s="112" t="str">
        <f>IF(V171&gt;=$S$28,IF(V171/2&gt;=$S$28,$S$28,IF(AND(V171/2&lt;$S$28,V171/2&gt;=$S$27),$S$27,IF(AND(V171/2&lt;$S$27,V171/2&gt;=$S$26),$S$26,IF(AND(V171/2&lt;$S$26,V171/2&gt;=$S$25),$S$25,IF(AND(V171/2&lt;$S$25,V171/2&gt;=$S$24),$S$24,IF(AND(V171/2&lt;$S$24,V171/2&gt;=$S$23),$S$23,IF(AND(V171/2&lt;$S$23,V171/2&gt;=$S$22),$S$22,""))))))),
IF(V171="","",
IF(AND(V171&gt;=$S$22,V171&lt;$S$23),$S$22,IF(AND(V171&gt;=$S$23,V171&lt;$S$24),$S$23,IF(AND(V171&gt;=$S$24,V171&lt;$S$25),$S$24,IF(AND(V171&gt;=$S$25,V171&lt;$S$26),$S$25,IF(AND(V171&gt;=$S$26,V171&lt;$S$27),$S$26,IF(AND(V171&gt;=$S$27,V171&lt;$S$28),$S$27,""))))))))</f>
        <v/>
      </c>
      <c r="Z171" s="112">
        <f>IF(V171&gt;$S$28,2,1)</f>
        <v>1</v>
      </c>
      <c r="AC171" s="111">
        <f>IF(J171="","",VLOOKUP(F172,[1]dim!$A:$F,6,FALSE))</f>
        <v>3.5</v>
      </c>
      <c r="AD171" s="111">
        <f>IF(J171="","",VLOOKUP(F172,[1]dim!$A:$G,7,FALSE))</f>
        <v>1.398857477590032</v>
      </c>
      <c r="AF171">
        <v>3.5</v>
      </c>
      <c r="AG171">
        <v>1.398857477590032</v>
      </c>
    </row>
    <row r="172" spans="1:33">
      <c r="A172" s="27"/>
      <c r="B172" s="142"/>
      <c r="C172" s="130"/>
      <c r="D172" s="131"/>
      <c r="E172" s="34" t="s">
        <v>228</v>
      </c>
      <c r="F172" s="6" t="s">
        <v>163</v>
      </c>
      <c r="G172" s="13">
        <v>25.434389000000024</v>
      </c>
      <c r="H172" s="2" t="s">
        <v>429</v>
      </c>
      <c r="I172" s="115"/>
      <c r="J172" s="113"/>
      <c r="K172" s="113"/>
      <c r="L172" s="113"/>
      <c r="M172" s="113"/>
      <c r="N172" s="113"/>
      <c r="O172" s="115"/>
      <c r="P172" s="117"/>
      <c r="Q172" s="90"/>
      <c r="U172" s="87"/>
      <c r="Y172" s="113"/>
      <c r="Z172" s="113"/>
      <c r="AC172" s="111"/>
      <c r="AD172" s="111"/>
    </row>
    <row r="173" spans="1:33">
      <c r="A173" s="27"/>
      <c r="B173" s="129" t="s">
        <v>164</v>
      </c>
      <c r="C173" s="131" t="s">
        <v>165</v>
      </c>
      <c r="D173" s="131" t="s">
        <v>8</v>
      </c>
      <c r="E173" s="34" t="s">
        <v>227</v>
      </c>
      <c r="F173" s="6" t="s">
        <v>163</v>
      </c>
      <c r="G173" s="13">
        <v>25.049774600000024</v>
      </c>
      <c r="H173" s="2" t="s">
        <v>429</v>
      </c>
      <c r="I173" s="114" t="s">
        <v>430</v>
      </c>
      <c r="J173" s="112">
        <v>3.5</v>
      </c>
      <c r="K173" s="112">
        <v>0.10000000000000142</v>
      </c>
      <c r="L173" s="112"/>
      <c r="M173" s="112">
        <v>1.75</v>
      </c>
      <c r="N173" s="112">
        <v>2</v>
      </c>
      <c r="O173" s="114" t="s">
        <v>312</v>
      </c>
      <c r="P173" s="149" t="s">
        <v>312</v>
      </c>
      <c r="Q173" s="90"/>
      <c r="U173" s="87"/>
      <c r="Y173" s="112" t="str">
        <f>IF(V173&gt;=$S$28,IF(V173/2&gt;=$S$28,$S$28,IF(AND(V173/2&lt;$S$28,V173/2&gt;=$S$27),$S$27,IF(AND(V173/2&lt;$S$27,V173/2&gt;=$S$26),$S$26,IF(AND(V173/2&lt;$S$26,V173/2&gt;=$S$25),$S$25,IF(AND(V173/2&lt;$S$25,V173/2&gt;=$S$24),$S$24,IF(AND(V173/2&lt;$S$24,V173/2&gt;=$S$23),$S$23,IF(AND(V173/2&lt;$S$23,V173/2&gt;=$S$22),$S$22,""))))))),
IF(V173="","",
IF(AND(V173&gt;=$S$22,V173&lt;$S$23),$S$22,IF(AND(V173&gt;=$S$23,V173&lt;$S$24),$S$23,IF(AND(V173&gt;=$S$24,V173&lt;$S$25),$S$24,IF(AND(V173&gt;=$S$25,V173&lt;$S$26),$S$25,IF(AND(V173&gt;=$S$26,V173&lt;$S$27),$S$26,IF(AND(V173&gt;=$S$27,V173&lt;$S$28),$S$27,""))))))))</f>
        <v/>
      </c>
      <c r="Z173" s="112">
        <f>IF(V173&gt;$S$28,2,1)</f>
        <v>1</v>
      </c>
      <c r="AC173" s="111">
        <f>IF(J173="","",VLOOKUP(F174,[1]dim!$A:$F,6,FALSE))</f>
        <v>3.5</v>
      </c>
      <c r="AD173" s="111">
        <f>IF(J173="","",VLOOKUP(F174,[1]dim!$A:$G,7,FALSE))</f>
        <v>1.3654848503113333</v>
      </c>
      <c r="AF173">
        <v>3.5</v>
      </c>
      <c r="AG173">
        <v>1.3654848503113333</v>
      </c>
    </row>
    <row r="174" spans="1:33">
      <c r="A174" s="27"/>
      <c r="B174" s="129"/>
      <c r="C174" s="131"/>
      <c r="D174" s="131"/>
      <c r="E174" s="34" t="s">
        <v>228</v>
      </c>
      <c r="F174" s="6" t="s">
        <v>166</v>
      </c>
      <c r="G174" s="13">
        <v>24.949774600000023</v>
      </c>
      <c r="H174" s="2" t="s">
        <v>431</v>
      </c>
      <c r="I174" s="115"/>
      <c r="J174" s="113"/>
      <c r="K174" s="113"/>
      <c r="L174" s="113"/>
      <c r="M174" s="113"/>
      <c r="N174" s="113"/>
      <c r="O174" s="115"/>
      <c r="P174" s="117"/>
      <c r="Q174" s="90"/>
      <c r="U174" s="87"/>
      <c r="Y174" s="113"/>
      <c r="Z174" s="113"/>
      <c r="AC174" s="111"/>
      <c r="AD174" s="111"/>
    </row>
    <row r="175" spans="1:33">
      <c r="A175" s="27"/>
      <c r="B175" s="129" t="s">
        <v>167</v>
      </c>
      <c r="C175" s="131" t="s">
        <v>168</v>
      </c>
      <c r="D175" s="136" t="s">
        <v>230</v>
      </c>
      <c r="E175" s="34" t="s">
        <v>227</v>
      </c>
      <c r="F175" s="6" t="s">
        <v>166</v>
      </c>
      <c r="G175" s="13">
        <v>24.717745000000022</v>
      </c>
      <c r="H175" s="2" t="s">
        <v>431</v>
      </c>
      <c r="I175" s="114" t="s">
        <v>309</v>
      </c>
      <c r="J175" s="112">
        <v>3.5</v>
      </c>
      <c r="K175" s="112"/>
      <c r="L175" s="112"/>
      <c r="M175" s="112"/>
      <c r="N175" s="112"/>
      <c r="O175" s="114"/>
      <c r="P175" s="116"/>
      <c r="Q175" s="90"/>
      <c r="U175" s="87"/>
      <c r="Y175" s="112"/>
      <c r="Z175" s="112"/>
      <c r="AC175" s="111">
        <f>IF(J175="","",VLOOKUP(F176,[1]dim!$A:$F,6,FALSE))</f>
        <v>3.5</v>
      </c>
      <c r="AD175" s="111">
        <f>IF(J175="","",VLOOKUP(F176,[1]dim!$A:$G,7,FALSE))</f>
        <v>1.3583632789456281</v>
      </c>
      <c r="AF175">
        <v>3.5</v>
      </c>
      <c r="AG175">
        <v>1.3583632789456281</v>
      </c>
    </row>
    <row r="176" spans="1:33">
      <c r="A176" s="27"/>
      <c r="B176" s="129"/>
      <c r="C176" s="131"/>
      <c r="D176" s="137"/>
      <c r="E176" s="34" t="s">
        <v>228</v>
      </c>
      <c r="F176" s="6" t="s">
        <v>169</v>
      </c>
      <c r="G176" s="13">
        <v>24.717745000000022</v>
      </c>
      <c r="H176" s="2" t="s">
        <v>396</v>
      </c>
      <c r="I176" s="115"/>
      <c r="J176" s="113"/>
      <c r="K176" s="113"/>
      <c r="L176" s="113"/>
      <c r="M176" s="113"/>
      <c r="N176" s="113"/>
      <c r="O176" s="115"/>
      <c r="P176" s="117"/>
      <c r="Q176" s="90"/>
      <c r="U176" s="87"/>
      <c r="Y176" s="113"/>
      <c r="Z176" s="113"/>
      <c r="AC176" s="111"/>
      <c r="AD176" s="111"/>
    </row>
    <row r="177" spans="1:33">
      <c r="A177" s="27"/>
      <c r="B177" s="129" t="s">
        <v>121</v>
      </c>
      <c r="C177" s="131" t="s">
        <v>122</v>
      </c>
      <c r="D177" s="131" t="s">
        <v>8</v>
      </c>
      <c r="E177" s="34" t="s">
        <v>227</v>
      </c>
      <c r="F177" s="6" t="s">
        <v>169</v>
      </c>
      <c r="G177" s="13">
        <v>24.636457000000021</v>
      </c>
      <c r="H177" s="2" t="s">
        <v>396</v>
      </c>
      <c r="I177" s="114" t="s">
        <v>432</v>
      </c>
      <c r="J177" s="112">
        <v>1.9</v>
      </c>
      <c r="K177" s="112">
        <v>0.10000000000000142</v>
      </c>
      <c r="L177" s="112"/>
      <c r="M177" s="112">
        <v>2</v>
      </c>
      <c r="N177" s="112">
        <v>1</v>
      </c>
      <c r="O177" s="114" t="s">
        <v>312</v>
      </c>
      <c r="P177" s="149" t="s">
        <v>312</v>
      </c>
      <c r="Q177" s="90"/>
      <c r="U177" s="87"/>
      <c r="Y177" s="112" t="str">
        <f>IF(V177&gt;=$S$28,IF(V177/2&gt;=$S$28,$S$28,IF(AND(V177/2&lt;$S$28,V177/2&gt;=$S$27),$S$27,IF(AND(V177/2&lt;$S$27,V177/2&gt;=$S$26),$S$26,IF(AND(V177/2&lt;$S$26,V177/2&gt;=$S$25),$S$25,IF(AND(V177/2&lt;$S$25,V177/2&gt;=$S$24),$S$24,IF(AND(V177/2&lt;$S$24,V177/2&gt;=$S$23),$S$23,IF(AND(V177/2&lt;$S$23,V177/2&gt;=$S$22),$S$22,""))))))),
IF(V177="","",
IF(AND(V177&gt;=$S$22,V177&lt;$S$23),$S$22,IF(AND(V177&gt;=$S$23,V177&lt;$S$24),$S$23,IF(AND(V177&gt;=$S$24,V177&lt;$S$25),$S$24,IF(AND(V177&gt;=$S$25,V177&lt;$S$26),$S$25,IF(AND(V177&gt;=$S$26,V177&lt;$S$27),$S$26,IF(AND(V177&gt;=$S$27,V177&lt;$S$28),$S$27,""))))))))</f>
        <v/>
      </c>
      <c r="Z177" s="112">
        <f>IF(V177&gt;$S$28,2,1)</f>
        <v>1</v>
      </c>
      <c r="AC177" s="111">
        <f>IF(J177="","",VLOOKUP(F178,[1]dim!$A:$F,6,FALSE))</f>
        <v>1.9</v>
      </c>
      <c r="AD177" s="111">
        <f>IF(J177="","",VLOOKUP(F178,[1]dim!$A:$G,7,FALSE))</f>
        <v>0.89196424991589118</v>
      </c>
      <c r="AF177">
        <v>1.9</v>
      </c>
      <c r="AG177">
        <v>0.89196424991589118</v>
      </c>
    </row>
    <row r="178" spans="1:33">
      <c r="A178" s="27"/>
      <c r="B178" s="129"/>
      <c r="C178" s="131"/>
      <c r="D178" s="131"/>
      <c r="E178" s="34" t="s">
        <v>228</v>
      </c>
      <c r="F178" s="6" t="s">
        <v>170</v>
      </c>
      <c r="G178" s="13">
        <v>24.53645700000002</v>
      </c>
      <c r="H178" s="2" t="s">
        <v>433</v>
      </c>
      <c r="I178" s="115"/>
      <c r="J178" s="113"/>
      <c r="K178" s="113"/>
      <c r="L178" s="113"/>
      <c r="M178" s="113"/>
      <c r="N178" s="113"/>
      <c r="O178" s="115"/>
      <c r="P178" s="117"/>
      <c r="Q178" s="90"/>
      <c r="U178" s="87"/>
      <c r="Y178" s="113"/>
      <c r="Z178" s="113"/>
      <c r="AC178" s="111"/>
      <c r="AD178" s="111"/>
    </row>
    <row r="179" spans="1:33">
      <c r="A179" s="27"/>
      <c r="B179" s="142" t="s">
        <v>171</v>
      </c>
      <c r="C179" s="131" t="s">
        <v>172</v>
      </c>
      <c r="D179" s="131" t="s">
        <v>8</v>
      </c>
      <c r="E179" s="34" t="s">
        <v>227</v>
      </c>
      <c r="F179" s="6" t="s">
        <v>170</v>
      </c>
      <c r="G179" s="13">
        <v>24.209207000000017</v>
      </c>
      <c r="H179" s="2" t="s">
        <v>433</v>
      </c>
      <c r="I179" s="114" t="s">
        <v>434</v>
      </c>
      <c r="J179" s="112">
        <v>1.9</v>
      </c>
      <c r="K179" s="112">
        <v>0.10000000000000142</v>
      </c>
      <c r="L179" s="112"/>
      <c r="M179" s="112">
        <v>2</v>
      </c>
      <c r="N179" s="112">
        <v>1</v>
      </c>
      <c r="O179" s="114" t="s">
        <v>312</v>
      </c>
      <c r="P179" s="149" t="s">
        <v>312</v>
      </c>
      <c r="Q179" s="90"/>
      <c r="U179" s="87"/>
      <c r="Y179" s="112" t="str">
        <f>IF(V179&gt;=$S$28,IF(V179/2&gt;=$S$28,$S$28,IF(AND(V179/2&lt;$S$28,V179/2&gt;=$S$27),$S$27,IF(AND(V179/2&lt;$S$27,V179/2&gt;=$S$26),$S$26,IF(AND(V179/2&lt;$S$26,V179/2&gt;=$S$25),$S$25,IF(AND(V179/2&lt;$S$25,V179/2&gt;=$S$24),$S$24,IF(AND(V179/2&lt;$S$24,V179/2&gt;=$S$23),$S$23,IF(AND(V179/2&lt;$S$23,V179/2&gt;=$S$22),$S$22,""))))))),
IF(V179="","",
IF(AND(V179&gt;=$S$22,V179&lt;$S$23),$S$22,IF(AND(V179&gt;=$S$23,V179&lt;$S$24),$S$23,IF(AND(V179&gt;=$S$24,V179&lt;$S$25),$S$24,IF(AND(V179&gt;=$S$25,V179&lt;$S$26),$S$25,IF(AND(V179&gt;=$S$26,V179&lt;$S$27),$S$26,IF(AND(V179&gt;=$S$27,V179&lt;$S$28),$S$27,""))))))))</f>
        <v/>
      </c>
      <c r="Z179" s="112">
        <f>IF(V179&gt;$S$28,2,1)</f>
        <v>1</v>
      </c>
      <c r="AC179" s="111">
        <f>IF(J179="","",VLOOKUP(F180,[1]dim!$A:$F,6,FALSE))</f>
        <v>1.9</v>
      </c>
      <c r="AD179" s="111">
        <f>IF(J179="","",VLOOKUP(F180,[1]dim!$A:$G,7,FALSE))</f>
        <v>0.86519056968379071</v>
      </c>
      <c r="AF179">
        <v>1.9</v>
      </c>
      <c r="AG179">
        <v>0.86519056968379071</v>
      </c>
    </row>
    <row r="180" spans="1:33">
      <c r="A180" s="27"/>
      <c r="B180" s="142"/>
      <c r="C180" s="131"/>
      <c r="D180" s="131"/>
      <c r="E180" s="34" t="s">
        <v>228</v>
      </c>
      <c r="F180" s="6" t="s">
        <v>173</v>
      </c>
      <c r="G180" s="13">
        <v>24.109207000000016</v>
      </c>
      <c r="H180" s="2" t="s">
        <v>435</v>
      </c>
      <c r="I180" s="115"/>
      <c r="J180" s="113"/>
      <c r="K180" s="113"/>
      <c r="L180" s="113"/>
      <c r="M180" s="113"/>
      <c r="N180" s="113"/>
      <c r="O180" s="115"/>
      <c r="P180" s="117"/>
      <c r="Q180" s="90"/>
      <c r="U180" s="87"/>
      <c r="Y180" s="113"/>
      <c r="Z180" s="113"/>
      <c r="AC180" s="111"/>
      <c r="AD180" s="111"/>
    </row>
    <row r="181" spans="1:33">
      <c r="A181" s="27"/>
      <c r="B181" s="129" t="s">
        <v>174</v>
      </c>
      <c r="C181" s="131" t="s">
        <v>175</v>
      </c>
      <c r="D181" s="131" t="s">
        <v>8</v>
      </c>
      <c r="E181" s="34" t="s">
        <v>227</v>
      </c>
      <c r="F181" s="6" t="s">
        <v>173</v>
      </c>
      <c r="G181" s="13">
        <v>23.823071000000017</v>
      </c>
      <c r="H181" s="2" t="s">
        <v>435</v>
      </c>
      <c r="I181" s="114" t="s">
        <v>436</v>
      </c>
      <c r="J181" s="112">
        <v>1.8</v>
      </c>
      <c r="K181" s="112">
        <v>0.20000000000000284</v>
      </c>
      <c r="L181" s="112"/>
      <c r="M181" s="112">
        <v>1.75</v>
      </c>
      <c r="N181" s="112">
        <v>1</v>
      </c>
      <c r="O181" s="114" t="s">
        <v>312</v>
      </c>
      <c r="P181" s="149" t="s">
        <v>312</v>
      </c>
      <c r="Q181" s="90"/>
      <c r="U181" s="87"/>
      <c r="Y181" s="112" t="str">
        <f>IF(V181&gt;=$S$28,IF(V181/2&gt;=$S$28,$S$28,IF(AND(V181/2&lt;$S$28,V181/2&gt;=$S$27),$S$27,IF(AND(V181/2&lt;$S$27,V181/2&gt;=$S$26),$S$26,IF(AND(V181/2&lt;$S$26,V181/2&gt;=$S$25),$S$25,IF(AND(V181/2&lt;$S$25,V181/2&gt;=$S$24),$S$24,IF(AND(V181/2&lt;$S$24,V181/2&gt;=$S$23),$S$23,IF(AND(V181/2&lt;$S$23,V181/2&gt;=$S$22),$S$22,""))))))),
IF(V181="","",
IF(AND(V181&gt;=$S$22,V181&lt;$S$23),$S$22,IF(AND(V181&gt;=$S$23,V181&lt;$S$24),$S$23,IF(AND(V181&gt;=$S$24,V181&lt;$S$25),$S$24,IF(AND(V181&gt;=$S$25,V181&lt;$S$26),$S$25,IF(AND(V181&gt;=$S$26,V181&lt;$S$27),$S$26,IF(AND(V181&gt;=$S$27,V181&lt;$S$28),$S$27,""))))))))</f>
        <v/>
      </c>
      <c r="Z181" s="112">
        <f>IF(V181&gt;$S$28,2,1)</f>
        <v>1</v>
      </c>
      <c r="AC181" s="111">
        <f>IF(J181="","",VLOOKUP(F182,[1]dim!$A:$F,6,FALSE))</f>
        <v>1.8</v>
      </c>
      <c r="AD181" s="111">
        <f>IF(J181="","",VLOOKUP(F182,[1]dim!$A:$G,7,FALSE))</f>
        <v>0.84532771985191979</v>
      </c>
      <c r="AF181">
        <v>1.8</v>
      </c>
      <c r="AG181">
        <v>0.84532771985191979</v>
      </c>
    </row>
    <row r="182" spans="1:33">
      <c r="A182" s="27"/>
      <c r="B182" s="129"/>
      <c r="C182" s="131"/>
      <c r="D182" s="131"/>
      <c r="E182" s="34" t="s">
        <v>228</v>
      </c>
      <c r="F182" s="6" t="s">
        <v>176</v>
      </c>
      <c r="G182" s="13">
        <v>23.623071000000014</v>
      </c>
      <c r="H182" s="2" t="s">
        <v>437</v>
      </c>
      <c r="I182" s="115"/>
      <c r="J182" s="113"/>
      <c r="K182" s="113"/>
      <c r="L182" s="113"/>
      <c r="M182" s="113"/>
      <c r="N182" s="113"/>
      <c r="O182" s="115"/>
      <c r="P182" s="117"/>
      <c r="Q182" s="90"/>
      <c r="U182" s="87"/>
      <c r="Y182" s="113"/>
      <c r="Z182" s="113"/>
      <c r="AC182" s="111"/>
      <c r="AD182" s="111"/>
    </row>
    <row r="183" spans="1:33">
      <c r="A183" s="27"/>
      <c r="B183" s="129" t="s">
        <v>177</v>
      </c>
      <c r="C183" s="131" t="s">
        <v>178</v>
      </c>
      <c r="D183" s="131" t="s">
        <v>8</v>
      </c>
      <c r="E183" s="34" t="s">
        <v>227</v>
      </c>
      <c r="F183" s="6" t="s">
        <v>176</v>
      </c>
      <c r="G183" s="13">
        <v>23.407380000000014</v>
      </c>
      <c r="H183" s="2" t="s">
        <v>437</v>
      </c>
      <c r="I183" s="114" t="s">
        <v>438</v>
      </c>
      <c r="J183" s="112">
        <v>1.8</v>
      </c>
      <c r="K183" s="112">
        <v>0.10000000000000142</v>
      </c>
      <c r="L183" s="112"/>
      <c r="M183" s="112">
        <v>1.75</v>
      </c>
      <c r="N183" s="112">
        <v>1</v>
      </c>
      <c r="O183" s="114" t="s">
        <v>312</v>
      </c>
      <c r="P183" s="149" t="s">
        <v>312</v>
      </c>
      <c r="Q183" s="90"/>
      <c r="U183" s="87"/>
      <c r="Y183" s="112" t="str">
        <f>IF(V183&gt;=$S$28,IF(V183/2&gt;=$S$28,$S$28,IF(AND(V183/2&lt;$S$28,V183/2&gt;=$S$27),$S$27,IF(AND(V183/2&lt;$S$27,V183/2&gt;=$S$26),$S$26,IF(AND(V183/2&lt;$S$26,V183/2&gt;=$S$25),$S$25,IF(AND(V183/2&lt;$S$25,V183/2&gt;=$S$24),$S$24,IF(AND(V183/2&lt;$S$24,V183/2&gt;=$S$23),$S$23,IF(AND(V183/2&lt;$S$23,V183/2&gt;=$S$22),$S$22,""))))))),
IF(V183="","",
IF(AND(V183&gt;=$S$22,V183&lt;$S$23),$S$22,IF(AND(V183&gt;=$S$23,V183&lt;$S$24),$S$23,IF(AND(V183&gt;=$S$24,V183&lt;$S$25),$S$24,IF(AND(V183&gt;=$S$25,V183&lt;$S$26),$S$25,IF(AND(V183&gt;=$S$26,V183&lt;$S$27),$S$26,IF(AND(V183&gt;=$S$27,V183&lt;$S$28),$S$27,""))))))))</f>
        <v/>
      </c>
      <c r="Z183" s="112">
        <f>IF(V183&gt;$S$28,2,1)</f>
        <v>1</v>
      </c>
      <c r="AC183" s="111">
        <f>IF(J183="","",VLOOKUP(F184,[1]dim!$A:$F,6,FALSE))</f>
        <v>1.8</v>
      </c>
      <c r="AD183" s="111">
        <f>IF(J183="","",VLOOKUP(F184,[1]dim!$A:$G,7,FALSE))</f>
        <v>0.83032080481451143</v>
      </c>
      <c r="AF183">
        <v>1.8</v>
      </c>
      <c r="AG183">
        <v>0.83032080481451143</v>
      </c>
    </row>
    <row r="184" spans="1:33">
      <c r="A184" s="27"/>
      <c r="B184" s="129"/>
      <c r="C184" s="131"/>
      <c r="D184" s="131"/>
      <c r="E184" s="34" t="s">
        <v>228</v>
      </c>
      <c r="F184" s="6" t="s">
        <v>179</v>
      </c>
      <c r="G184" s="13">
        <v>23.307380000000013</v>
      </c>
      <c r="H184" s="2" t="s">
        <v>439</v>
      </c>
      <c r="I184" s="115"/>
      <c r="J184" s="113"/>
      <c r="K184" s="113"/>
      <c r="L184" s="113"/>
      <c r="M184" s="113"/>
      <c r="N184" s="113"/>
      <c r="O184" s="115"/>
      <c r="P184" s="117"/>
      <c r="Q184" s="90"/>
      <c r="U184" s="87"/>
      <c r="Y184" s="113"/>
      <c r="Z184" s="113"/>
      <c r="AC184" s="111"/>
      <c r="AD184" s="111"/>
    </row>
    <row r="185" spans="1:33">
      <c r="A185" s="27"/>
      <c r="B185" s="142" t="s">
        <v>180</v>
      </c>
      <c r="C185" s="131" t="s">
        <v>181</v>
      </c>
      <c r="D185" s="131" t="s">
        <v>8</v>
      </c>
      <c r="E185" s="34" t="s">
        <v>227</v>
      </c>
      <c r="F185" s="6" t="s">
        <v>179</v>
      </c>
      <c r="G185" s="13">
        <v>23.261933000000013</v>
      </c>
      <c r="H185" s="2" t="s">
        <v>439</v>
      </c>
      <c r="I185" s="114" t="s">
        <v>440</v>
      </c>
      <c r="J185" s="112">
        <v>1.7</v>
      </c>
      <c r="K185" s="112">
        <v>0.10000000000000142</v>
      </c>
      <c r="L185" s="112"/>
      <c r="M185" s="112">
        <v>1.75</v>
      </c>
      <c r="N185" s="112">
        <v>1</v>
      </c>
      <c r="O185" s="114" t="s">
        <v>312</v>
      </c>
      <c r="P185" s="149" t="s">
        <v>312</v>
      </c>
      <c r="Q185" s="90"/>
      <c r="U185" s="87"/>
      <c r="Y185" s="112" t="str">
        <f>IF(V185&gt;=$S$28,IF(V185/2&gt;=$S$28,$S$28,IF(AND(V185/2&lt;$S$28,V185/2&gt;=$S$27),$S$27,IF(AND(V185/2&lt;$S$27,V185/2&gt;=$S$26),$S$26,IF(AND(V185/2&lt;$S$26,V185/2&gt;=$S$25),$S$25,IF(AND(V185/2&lt;$S$25,V185/2&gt;=$S$24),$S$24,IF(AND(V185/2&lt;$S$24,V185/2&gt;=$S$23),$S$23,IF(AND(V185/2&lt;$S$23,V185/2&gt;=$S$22),$S$22,""))))))),
IF(V185="","",
IF(AND(V185&gt;=$S$22,V185&lt;$S$23),$S$22,IF(AND(V185&gt;=$S$23,V185&lt;$S$24),$S$23,IF(AND(V185&gt;=$S$24,V185&lt;$S$25),$S$24,IF(AND(V185&gt;=$S$25,V185&lt;$S$26),$S$25,IF(AND(V185&gt;=$S$26,V185&lt;$S$27),$S$26,IF(AND(V185&gt;=$S$27,V185&lt;$S$28),$S$27,""))))))))</f>
        <v/>
      </c>
      <c r="Z185" s="112">
        <f>IF(V185&gt;$S$28,2,1)</f>
        <v>1</v>
      </c>
      <c r="AC185" s="111">
        <f>IF(J185="","",VLOOKUP(F186,[1]dim!$A:$F,6,FALSE))</f>
        <v>1.7</v>
      </c>
      <c r="AD185" s="111">
        <f>IF(J185="","",VLOOKUP(F186,[1]dim!$A:$G,7,FALSE))</f>
        <v>0.76087223021445782</v>
      </c>
      <c r="AF185">
        <v>1.7</v>
      </c>
      <c r="AG185">
        <v>0.76087223021445782</v>
      </c>
    </row>
    <row r="186" spans="1:33">
      <c r="A186" s="27"/>
      <c r="B186" s="142"/>
      <c r="C186" s="131"/>
      <c r="D186" s="131"/>
      <c r="E186" s="34" t="s">
        <v>228</v>
      </c>
      <c r="F186" s="6" t="s">
        <v>182</v>
      </c>
      <c r="G186" s="13">
        <v>23.161933000000012</v>
      </c>
      <c r="H186" s="2" t="s">
        <v>441</v>
      </c>
      <c r="I186" s="115"/>
      <c r="J186" s="113"/>
      <c r="K186" s="113"/>
      <c r="L186" s="113"/>
      <c r="M186" s="113"/>
      <c r="N186" s="113"/>
      <c r="O186" s="115"/>
      <c r="P186" s="117"/>
      <c r="Q186" s="90"/>
      <c r="U186" s="87"/>
      <c r="Y186" s="113"/>
      <c r="Z186" s="113"/>
      <c r="AC186" s="111"/>
      <c r="AD186" s="111"/>
    </row>
    <row r="187" spans="1:33">
      <c r="A187" s="27"/>
      <c r="B187" s="142" t="s">
        <v>183</v>
      </c>
      <c r="C187" s="131" t="s">
        <v>184</v>
      </c>
      <c r="D187" s="131" t="s">
        <v>8</v>
      </c>
      <c r="E187" s="34" t="s">
        <v>227</v>
      </c>
      <c r="F187" s="6" t="s">
        <v>182</v>
      </c>
      <c r="G187" s="13">
        <v>22.881380000000011</v>
      </c>
      <c r="H187" s="2" t="s">
        <v>441</v>
      </c>
      <c r="I187" s="114" t="s">
        <v>442</v>
      </c>
      <c r="J187" s="112">
        <v>1.3</v>
      </c>
      <c r="K187" s="112">
        <v>0.10000000000000142</v>
      </c>
      <c r="L187" s="112"/>
      <c r="M187" s="112">
        <v>1.25</v>
      </c>
      <c r="N187" s="112">
        <v>1</v>
      </c>
      <c r="O187" s="114" t="s">
        <v>312</v>
      </c>
      <c r="P187" s="149" t="s">
        <v>312</v>
      </c>
      <c r="Q187" s="90"/>
      <c r="U187" s="87"/>
      <c r="Y187" s="112" t="str">
        <f>IF(V187&gt;=$S$28,IF(V187/2&gt;=$S$28,$S$28,IF(AND(V187/2&lt;$S$28,V187/2&gt;=$S$27),$S$27,IF(AND(V187/2&lt;$S$27,V187/2&gt;=$S$26),$S$26,IF(AND(V187/2&lt;$S$26,V187/2&gt;=$S$25),$S$25,IF(AND(V187/2&lt;$S$25,V187/2&gt;=$S$24),$S$24,IF(AND(V187/2&lt;$S$24,V187/2&gt;=$S$23),$S$23,IF(AND(V187/2&lt;$S$23,V187/2&gt;=$S$22),$S$22,""))))))),
IF(V187="","",
IF(AND(V187&gt;=$S$22,V187&lt;$S$23),$S$22,IF(AND(V187&gt;=$S$23,V187&lt;$S$24),$S$23,IF(AND(V187&gt;=$S$24,V187&lt;$S$25),$S$24,IF(AND(V187&gt;=$S$25,V187&lt;$S$26),$S$25,IF(AND(V187&gt;=$S$26,V187&lt;$S$27),$S$26,IF(AND(V187&gt;=$S$27,V187&lt;$S$28),$S$27,""))))))))</f>
        <v/>
      </c>
      <c r="Z187" s="112">
        <f>IF(V187&gt;$S$28,2,1)</f>
        <v>1</v>
      </c>
      <c r="AC187" s="111">
        <f>IF(J187="","",VLOOKUP(F188,[1]dim!$A:$F,6,FALSE))</f>
        <v>1.3</v>
      </c>
      <c r="AD187" s="111">
        <f>IF(J187="","",VLOOKUP(F188,[1]dim!$A:$G,7,FALSE))</f>
        <v>0.74588382353373872</v>
      </c>
      <c r="AF187">
        <v>1.3</v>
      </c>
      <c r="AG187">
        <v>0.74588382353373872</v>
      </c>
    </row>
    <row r="188" spans="1:33">
      <c r="A188" s="27"/>
      <c r="B188" s="142"/>
      <c r="C188" s="131"/>
      <c r="D188" s="131"/>
      <c r="E188" s="34" t="s">
        <v>228</v>
      </c>
      <c r="F188" s="6" t="s">
        <v>185</v>
      </c>
      <c r="G188" s="13">
        <v>22.781380000000009</v>
      </c>
      <c r="H188" s="2" t="s">
        <v>443</v>
      </c>
      <c r="I188" s="115"/>
      <c r="J188" s="113"/>
      <c r="K188" s="113"/>
      <c r="L188" s="113"/>
      <c r="M188" s="113"/>
      <c r="N188" s="113"/>
      <c r="O188" s="115"/>
      <c r="P188" s="117"/>
      <c r="Q188" s="90"/>
      <c r="U188" s="87"/>
      <c r="Y188" s="113"/>
      <c r="Z188" s="113"/>
      <c r="AC188" s="111"/>
      <c r="AD188" s="111"/>
    </row>
    <row r="189" spans="1:33">
      <c r="A189" s="27"/>
      <c r="B189" s="142" t="s">
        <v>186</v>
      </c>
      <c r="C189" s="131" t="s">
        <v>187</v>
      </c>
      <c r="D189" s="131" t="s">
        <v>8</v>
      </c>
      <c r="E189" s="34" t="s">
        <v>227</v>
      </c>
      <c r="F189" s="6" t="s">
        <v>185</v>
      </c>
      <c r="G189" s="13">
        <v>22.239976000000009</v>
      </c>
      <c r="H189" s="2" t="s">
        <v>443</v>
      </c>
      <c r="I189" s="114" t="s">
        <v>444</v>
      </c>
      <c r="J189" s="112">
        <v>0.9</v>
      </c>
      <c r="K189" s="112">
        <v>0.35000000000000142</v>
      </c>
      <c r="L189" s="112"/>
      <c r="M189" s="112">
        <v>1</v>
      </c>
      <c r="N189" s="112">
        <v>1</v>
      </c>
      <c r="O189" s="114" t="s">
        <v>312</v>
      </c>
      <c r="P189" s="149" t="s">
        <v>312</v>
      </c>
      <c r="Q189" s="90"/>
      <c r="S189" s="88"/>
      <c r="U189" s="87"/>
      <c r="Y189" s="112" t="str">
        <f>IF(V189&gt;=$S$28,IF(V189/2&gt;=$S$28,$S$28,IF(AND(V189/2&lt;$S$28,V189/2&gt;=$S$27),$S$27,IF(AND(V189/2&lt;$S$27,V189/2&gt;=$S$26),$S$26,IF(AND(V189/2&lt;$S$26,V189/2&gt;=$S$25),$S$25,IF(AND(V189/2&lt;$S$25,V189/2&gt;=$S$24),$S$24,IF(AND(V189/2&lt;$S$24,V189/2&gt;=$S$23),$S$23,IF(AND(V189/2&lt;$S$23,V189/2&gt;=$S$22),$S$22,""))))))),
IF(V189="","",
IF(AND(V189&gt;=$S$22,V189&lt;$S$23),$S$22,IF(AND(V189&gt;=$S$23,V189&lt;$S$24),$S$23,IF(AND(V189&gt;=$S$24,V189&lt;$S$25),$S$24,IF(AND(V189&gt;=$S$25,V189&lt;$S$26),$S$25,IF(AND(V189&gt;=$S$26,V189&lt;$S$27),$S$26,IF(AND(V189&gt;=$S$27,V189&lt;$S$28),$S$27,""))))))))</f>
        <v/>
      </c>
      <c r="Z189" s="112">
        <f>IF(V189&gt;$S$28,2,1)</f>
        <v>1</v>
      </c>
      <c r="AC189" s="111">
        <f>IF(J189="","",VLOOKUP(F190,[1]dim!$A:$F,6,FALSE))</f>
        <v>0.9</v>
      </c>
      <c r="AD189" s="111">
        <f>IF(J189="","",VLOOKUP(F190,[1]dim!$A:$G,7,FALSE))</f>
        <v>0.7011286943624887</v>
      </c>
      <c r="AF189">
        <v>0.9</v>
      </c>
      <c r="AG189">
        <v>0.7011286943624887</v>
      </c>
    </row>
    <row r="190" spans="1:33">
      <c r="A190" s="27"/>
      <c r="B190" s="142"/>
      <c r="C190" s="131"/>
      <c r="D190" s="131"/>
      <c r="E190" s="34" t="s">
        <v>228</v>
      </c>
      <c r="F190" s="6" t="s">
        <v>188</v>
      </c>
      <c r="G190" s="13">
        <v>21.889976000000008</v>
      </c>
      <c r="H190" s="2" t="s">
        <v>445</v>
      </c>
      <c r="I190" s="115"/>
      <c r="J190" s="113"/>
      <c r="K190" s="113"/>
      <c r="L190" s="113"/>
      <c r="M190" s="113"/>
      <c r="N190" s="113"/>
      <c r="O190" s="115"/>
      <c r="P190" s="117"/>
      <c r="Q190" s="90"/>
      <c r="S190" s="88"/>
      <c r="U190" s="87"/>
      <c r="Y190" s="113"/>
      <c r="Z190" s="113"/>
      <c r="AC190" s="111"/>
      <c r="AD190" s="111"/>
    </row>
    <row r="191" spans="1:33">
      <c r="A191" s="27"/>
      <c r="B191" s="142" t="s">
        <v>189</v>
      </c>
      <c r="C191" s="131" t="s">
        <v>190</v>
      </c>
      <c r="D191" s="136" t="s">
        <v>230</v>
      </c>
      <c r="E191" s="34" t="s">
        <v>227</v>
      </c>
      <c r="F191" s="6" t="s">
        <v>188</v>
      </c>
      <c r="G191" s="13">
        <v>21.423113000000008</v>
      </c>
      <c r="H191" s="2" t="s">
        <v>445</v>
      </c>
      <c r="I191" s="114" t="s">
        <v>309</v>
      </c>
      <c r="J191" s="112">
        <v>0.9</v>
      </c>
      <c r="K191" s="112"/>
      <c r="L191" s="112"/>
      <c r="M191" s="112"/>
      <c r="N191" s="112"/>
      <c r="O191" s="114"/>
      <c r="P191" s="116"/>
      <c r="Q191" s="90"/>
      <c r="S191" s="88"/>
      <c r="U191" s="87"/>
      <c r="Y191" s="112"/>
      <c r="Z191" s="112"/>
      <c r="AC191" s="111">
        <f>IF(J191="","",VLOOKUP(F192,[1]dim!$A:$F,6,FALSE))</f>
        <v>0.9</v>
      </c>
      <c r="AD191" s="111">
        <f>IF(J191="","",VLOOKUP(F192,[1]dim!$A:$G,7,FALSE))</f>
        <v>0.64957719823136928</v>
      </c>
      <c r="AF191">
        <v>0.9</v>
      </c>
      <c r="AG191">
        <v>0.64957719823136928</v>
      </c>
    </row>
    <row r="192" spans="1:33">
      <c r="A192" s="27"/>
      <c r="B192" s="142"/>
      <c r="C192" s="131"/>
      <c r="D192" s="137"/>
      <c r="E192" s="34" t="s">
        <v>228</v>
      </c>
      <c r="F192" s="6" t="s">
        <v>191</v>
      </c>
      <c r="G192" s="13">
        <v>21.423113000000008</v>
      </c>
      <c r="H192" s="2" t="s">
        <v>446</v>
      </c>
      <c r="I192" s="115"/>
      <c r="J192" s="113"/>
      <c r="K192" s="113"/>
      <c r="L192" s="113"/>
      <c r="M192" s="113"/>
      <c r="N192" s="113"/>
      <c r="O192" s="115"/>
      <c r="P192" s="117"/>
      <c r="Q192" s="90"/>
      <c r="S192" s="88"/>
      <c r="U192" s="87"/>
      <c r="Y192" s="113"/>
      <c r="Z192" s="113"/>
      <c r="AC192" s="111"/>
      <c r="AD192" s="111"/>
    </row>
    <row r="193" spans="1:33">
      <c r="A193" s="27"/>
      <c r="B193" s="142" t="s">
        <v>192</v>
      </c>
      <c r="C193" s="131" t="s">
        <v>193</v>
      </c>
      <c r="D193" s="131" t="s">
        <v>8</v>
      </c>
      <c r="E193" s="34" t="s">
        <v>227</v>
      </c>
      <c r="F193" s="6" t="s">
        <v>191</v>
      </c>
      <c r="G193" s="13">
        <v>21.095238000000005</v>
      </c>
      <c r="H193" s="2" t="s">
        <v>446</v>
      </c>
      <c r="I193" s="114" t="s">
        <v>447</v>
      </c>
      <c r="J193" s="112">
        <v>0.7</v>
      </c>
      <c r="K193" s="112">
        <v>0.10000000000000142</v>
      </c>
      <c r="L193" s="112"/>
      <c r="M193" s="112">
        <v>0.75</v>
      </c>
      <c r="N193" s="112">
        <v>1</v>
      </c>
      <c r="O193" s="114" t="s">
        <v>312</v>
      </c>
      <c r="P193" s="149" t="s">
        <v>312</v>
      </c>
      <c r="Q193" s="90"/>
      <c r="S193" s="88"/>
      <c r="U193" s="87"/>
      <c r="Y193" s="112" t="str">
        <f>IF(V193&gt;=$S$28,IF(V193/2&gt;=$S$28,$S$28,IF(AND(V193/2&lt;$S$28,V193/2&gt;=$S$27),$S$27,IF(AND(V193/2&lt;$S$27,V193/2&gt;=$S$26),$S$26,IF(AND(V193/2&lt;$S$26,V193/2&gt;=$S$25),$S$25,IF(AND(V193/2&lt;$S$25,V193/2&gt;=$S$24),$S$24,IF(AND(V193/2&lt;$S$24,V193/2&gt;=$S$23),$S$23,IF(AND(V193/2&lt;$S$23,V193/2&gt;=$S$22),$S$22,""))))))),
IF(V193="","",
IF(AND(V193&gt;=$S$22,V193&lt;$S$23),$S$22,IF(AND(V193&gt;=$S$23,V193&lt;$S$24),$S$23,IF(AND(V193&gt;=$S$24,V193&lt;$S$25),$S$24,IF(AND(V193&gt;=$S$25,V193&lt;$S$26),$S$25,IF(AND(V193&gt;=$S$26,V193&lt;$S$27),$S$26,IF(AND(V193&gt;=$S$27,V193&lt;$S$28),$S$27,""))))))))</f>
        <v/>
      </c>
      <c r="Z193" s="112">
        <f>IF(V193&gt;$S$28,2,1)</f>
        <v>1</v>
      </c>
      <c r="AC193" s="111">
        <f>IF(J193="","",VLOOKUP(F194,[1]dim!$A:$F,6,FALSE))</f>
        <v>0.7</v>
      </c>
      <c r="AD193" s="111">
        <f>IF(J193="","",VLOOKUP(F194,[1]dim!$A:$G,7,FALSE))</f>
        <v>0.56789053547753354</v>
      </c>
      <c r="AF193">
        <v>0.7</v>
      </c>
      <c r="AG193">
        <v>0.56789053547753354</v>
      </c>
    </row>
    <row r="194" spans="1:33">
      <c r="A194" s="27"/>
      <c r="B194" s="142"/>
      <c r="C194" s="131"/>
      <c r="D194" s="131"/>
      <c r="E194" s="34" t="s">
        <v>228</v>
      </c>
      <c r="F194" s="6" t="s">
        <v>194</v>
      </c>
      <c r="G194" s="13">
        <v>20.995238000000004</v>
      </c>
      <c r="H194" s="2" t="s">
        <v>448</v>
      </c>
      <c r="I194" s="115"/>
      <c r="J194" s="113"/>
      <c r="K194" s="113"/>
      <c r="L194" s="113"/>
      <c r="M194" s="113"/>
      <c r="N194" s="113"/>
      <c r="O194" s="115"/>
      <c r="P194" s="117"/>
      <c r="Q194" s="90"/>
      <c r="S194" s="88"/>
      <c r="U194" s="87"/>
      <c r="Y194" s="113"/>
      <c r="Z194" s="113"/>
      <c r="AC194" s="111"/>
      <c r="AD194" s="111"/>
    </row>
    <row r="195" spans="1:33">
      <c r="A195" s="27"/>
      <c r="B195" s="142" t="s">
        <v>195</v>
      </c>
      <c r="C195" s="131" t="s">
        <v>196</v>
      </c>
      <c r="D195" s="131" t="s">
        <v>8</v>
      </c>
      <c r="E195" s="34" t="s">
        <v>227</v>
      </c>
      <c r="F195" s="6" t="s">
        <v>194</v>
      </c>
      <c r="G195" s="13">
        <v>20.887100000000004</v>
      </c>
      <c r="H195" s="2" t="s">
        <v>448</v>
      </c>
      <c r="I195" s="114" t="s">
        <v>449</v>
      </c>
      <c r="J195" s="112">
        <v>0.45</v>
      </c>
      <c r="K195" s="112">
        <v>1</v>
      </c>
      <c r="L195" s="112"/>
      <c r="M195" s="112">
        <v>0.5</v>
      </c>
      <c r="N195" s="112">
        <v>1</v>
      </c>
      <c r="O195" s="114" t="s">
        <v>312</v>
      </c>
      <c r="P195" s="149" t="s">
        <v>312</v>
      </c>
      <c r="Q195" s="90"/>
      <c r="S195" s="88"/>
      <c r="U195" s="87"/>
      <c r="Y195" s="112">
        <v>0.4</v>
      </c>
      <c r="Z195" s="112">
        <f>IF(V195&gt;$S$28,2,1)</f>
        <v>1</v>
      </c>
      <c r="AC195" s="111">
        <f>IF(J195="","",VLOOKUP(F196,[1]dim!$A:$F,6,FALSE))</f>
        <v>0.45</v>
      </c>
      <c r="AD195" s="111">
        <f>IF(J195="","",VLOOKUP(F196,[1]dim!$A:$G,7,FALSE))</f>
        <v>0.38496446223959063</v>
      </c>
      <c r="AF195">
        <v>0.45</v>
      </c>
      <c r="AG195">
        <v>0.38496446223959063</v>
      </c>
    </row>
    <row r="196" spans="1:33">
      <c r="A196" s="27"/>
      <c r="B196" s="142"/>
      <c r="C196" s="131"/>
      <c r="D196" s="131"/>
      <c r="E196" s="34" t="s">
        <v>228</v>
      </c>
      <c r="F196" s="6" t="s">
        <v>197</v>
      </c>
      <c r="G196" s="13">
        <v>19.887100000000004</v>
      </c>
      <c r="H196" s="2" t="s">
        <v>450</v>
      </c>
      <c r="I196" s="115"/>
      <c r="J196" s="113"/>
      <c r="K196" s="113"/>
      <c r="L196" s="113"/>
      <c r="M196" s="113"/>
      <c r="N196" s="113"/>
      <c r="O196" s="115"/>
      <c r="P196" s="117"/>
      <c r="Q196" s="90"/>
      <c r="S196" s="88"/>
      <c r="U196" s="87"/>
      <c r="Y196" s="113"/>
      <c r="Z196" s="113"/>
      <c r="AC196" s="111"/>
      <c r="AD196" s="111"/>
    </row>
    <row r="197" spans="1:33">
      <c r="A197" s="27"/>
      <c r="B197" s="138" t="s">
        <v>249</v>
      </c>
      <c r="C197" s="140"/>
      <c r="D197" s="140"/>
      <c r="E197" s="32"/>
      <c r="F197" s="19"/>
      <c r="G197" s="20"/>
      <c r="H197" s="20"/>
      <c r="I197" s="140" t="s">
        <v>302</v>
      </c>
      <c r="J197" s="119"/>
      <c r="K197" s="119"/>
      <c r="L197" s="119"/>
      <c r="M197" s="119"/>
      <c r="N197" s="119"/>
      <c r="O197" s="140"/>
      <c r="P197" s="150"/>
      <c r="Q197" s="90"/>
      <c r="R197" s="87"/>
      <c r="U197" s="87"/>
      <c r="Y197" s="119"/>
      <c r="Z197" s="119"/>
      <c r="AC197" s="111" t="str">
        <f>IF(J197="","",VLOOKUP(F198,[1]dim!$A:$F,6,FALSE))</f>
        <v/>
      </c>
      <c r="AD197" s="111" t="str">
        <f>IF(J197="","",VLOOKUP(F198,[1]dim!$A:$G,7,FALSE))</f>
        <v/>
      </c>
      <c r="AF197" t="s">
        <v>302</v>
      </c>
      <c r="AG197" t="s">
        <v>302</v>
      </c>
    </row>
    <row r="198" spans="1:33">
      <c r="A198" s="27"/>
      <c r="B198" s="139"/>
      <c r="C198" s="141"/>
      <c r="D198" s="141"/>
      <c r="E198" s="33"/>
      <c r="F198" s="21"/>
      <c r="G198" s="22"/>
      <c r="H198" s="22"/>
      <c r="I198" s="141"/>
      <c r="J198" s="120"/>
      <c r="K198" s="120"/>
      <c r="L198" s="120"/>
      <c r="M198" s="120"/>
      <c r="N198" s="120"/>
      <c r="O198" s="141"/>
      <c r="P198" s="151"/>
      <c r="Q198" s="90"/>
      <c r="R198" s="87"/>
      <c r="U198" s="87"/>
      <c r="Y198" s="120"/>
      <c r="Z198" s="120"/>
      <c r="AC198" s="111"/>
      <c r="AD198" s="111"/>
    </row>
    <row r="199" spans="1:33">
      <c r="A199" s="27"/>
      <c r="B199" s="142" t="s">
        <v>164</v>
      </c>
      <c r="C199" s="130" t="s">
        <v>165</v>
      </c>
      <c r="D199" s="131" t="s">
        <v>40</v>
      </c>
      <c r="E199" s="34" t="s">
        <v>227</v>
      </c>
      <c r="F199" s="6" t="s">
        <v>163</v>
      </c>
      <c r="G199" s="13">
        <v>25.049774600000024</v>
      </c>
      <c r="H199" s="2" t="s">
        <v>429</v>
      </c>
      <c r="I199" s="114" t="s">
        <v>451</v>
      </c>
      <c r="J199" s="112">
        <v>0.4</v>
      </c>
      <c r="K199" s="112">
        <v>1.1061428021616955</v>
      </c>
      <c r="L199" s="112">
        <v>0.95817156239091705</v>
      </c>
      <c r="M199" s="112">
        <v>0.4</v>
      </c>
      <c r="N199" s="112">
        <v>1</v>
      </c>
      <c r="O199" s="114" t="s">
        <v>312</v>
      </c>
      <c r="P199" s="116" t="s">
        <v>312</v>
      </c>
      <c r="Q199" s="90"/>
      <c r="U199" s="87"/>
      <c r="Y199" s="112" t="str">
        <f>IF(V199="","",
IF(AND(V199&gt;=$V$12,V199&lt;$V$13),$V$12,
IF(AND(V199&gt;=$V$13,V199&lt;$V$14),$V$13,
IF(AND(V199&gt;=$V$14,V199&lt;$V$15),$V$14,
IF(AND(V199&gt;=$V$15,V199&lt;$V$16),$V$15,
IF(AND(V199&gt;=$V$16,V199&lt;$V$17),$V$16,""))))))</f>
        <v/>
      </c>
      <c r="Z199" s="112">
        <v>1</v>
      </c>
      <c r="AC199" s="111">
        <f>IF(J199="","",VLOOKUP(F200,[1]dim!$A:$F,6,FALSE))</f>
        <v>0.4</v>
      </c>
      <c r="AD199" s="111">
        <f>IF(J199="","",VLOOKUP(F200,[1]dim!$A:$G,7,FALSE))</f>
        <v>0.34569100578717193</v>
      </c>
      <c r="AF199">
        <v>0.4</v>
      </c>
      <c r="AG199">
        <v>0.34569100578717193</v>
      </c>
    </row>
    <row r="200" spans="1:33">
      <c r="A200" s="27"/>
      <c r="B200" s="142"/>
      <c r="C200" s="130"/>
      <c r="D200" s="131"/>
      <c r="E200" s="34" t="s">
        <v>228</v>
      </c>
      <c r="F200" s="6" t="s">
        <v>198</v>
      </c>
      <c r="G200" s="13">
        <v>23.943631797838329</v>
      </c>
      <c r="H200" s="2" t="s">
        <v>452</v>
      </c>
      <c r="I200" s="115"/>
      <c r="J200" s="113"/>
      <c r="K200" s="113"/>
      <c r="L200" s="113"/>
      <c r="M200" s="113"/>
      <c r="N200" s="113"/>
      <c r="O200" s="115"/>
      <c r="P200" s="117"/>
      <c r="Q200" s="90"/>
      <c r="U200" s="87"/>
      <c r="Y200" s="113"/>
      <c r="Z200" s="113"/>
      <c r="AC200" s="111"/>
      <c r="AD200" s="111"/>
    </row>
    <row r="201" spans="1:33">
      <c r="A201" s="27"/>
      <c r="B201" s="138" t="s">
        <v>250</v>
      </c>
      <c r="C201" s="140"/>
      <c r="D201" s="140"/>
      <c r="E201" s="32"/>
      <c r="F201" s="19"/>
      <c r="G201" s="20"/>
      <c r="H201" s="20"/>
      <c r="I201" s="140" t="s">
        <v>302</v>
      </c>
      <c r="J201" s="119"/>
      <c r="K201" s="119"/>
      <c r="L201" s="119"/>
      <c r="M201" s="119"/>
      <c r="N201" s="119"/>
      <c r="O201" s="140"/>
      <c r="P201" s="150"/>
      <c r="Q201" s="90"/>
      <c r="R201" s="87"/>
      <c r="U201" s="87"/>
      <c r="Y201" s="119"/>
      <c r="Z201" s="119"/>
      <c r="AC201" s="111" t="str">
        <f>IF(J201="","",VLOOKUP(F202,[1]dim!$A:$F,6,FALSE))</f>
        <v/>
      </c>
      <c r="AD201" s="111" t="str">
        <f>IF(J201="","",VLOOKUP(F202,[1]dim!$A:$G,7,FALSE))</f>
        <v/>
      </c>
      <c r="AF201" t="s">
        <v>302</v>
      </c>
      <c r="AG201" t="s">
        <v>302</v>
      </c>
    </row>
    <row r="202" spans="1:33">
      <c r="A202" s="27"/>
      <c r="B202" s="139"/>
      <c r="C202" s="141"/>
      <c r="D202" s="141"/>
      <c r="E202" s="33"/>
      <c r="F202" s="21"/>
      <c r="G202" s="22"/>
      <c r="H202" s="22"/>
      <c r="I202" s="141"/>
      <c r="J202" s="120"/>
      <c r="K202" s="120"/>
      <c r="L202" s="120"/>
      <c r="M202" s="120"/>
      <c r="N202" s="120"/>
      <c r="O202" s="141"/>
      <c r="P202" s="151"/>
      <c r="Q202" s="90"/>
      <c r="R202" s="87"/>
      <c r="U202" s="87"/>
      <c r="Y202" s="120"/>
      <c r="Z202" s="120"/>
      <c r="AC202" s="111"/>
      <c r="AD202" s="111"/>
    </row>
    <row r="203" spans="1:33">
      <c r="A203" s="27"/>
      <c r="B203" s="142" t="s">
        <v>180</v>
      </c>
      <c r="C203" s="131" t="s">
        <v>181</v>
      </c>
      <c r="D203" s="131" t="s">
        <v>40</v>
      </c>
      <c r="E203" s="34" t="s">
        <v>227</v>
      </c>
      <c r="F203" s="6" t="s">
        <v>179</v>
      </c>
      <c r="G203" s="13">
        <v>23.261933000000013</v>
      </c>
      <c r="H203" s="2" t="s">
        <v>439</v>
      </c>
      <c r="I203" s="114" t="s">
        <v>453</v>
      </c>
      <c r="J203" s="112">
        <v>0.55000000000000004</v>
      </c>
      <c r="K203" s="112">
        <v>0.40221600000000279</v>
      </c>
      <c r="L203" s="112">
        <v>0.20018636186392855</v>
      </c>
      <c r="M203" s="112">
        <v>0.4</v>
      </c>
      <c r="N203" s="112">
        <v>1</v>
      </c>
      <c r="O203" s="114" t="s">
        <v>312</v>
      </c>
      <c r="P203" s="116" t="s">
        <v>312</v>
      </c>
      <c r="Q203" s="90"/>
      <c r="U203" s="87"/>
      <c r="Y203" s="112" t="str">
        <f>IF(V203="","",
IF(AND(V203&gt;=$V$12,V203&lt;$V$13),$V$12,
IF(AND(V203&gt;=$V$13,V203&lt;$V$14),$V$13,
IF(AND(V203&gt;=$V$14,V203&lt;$V$15),$V$14,
IF(AND(V203&gt;=$V$15,V203&lt;$V$16),$V$15,
IF(AND(V203&gt;=$V$16,V203&lt;$V$17),$V$16,""))))))</f>
        <v/>
      </c>
      <c r="Z203" s="112">
        <v>1</v>
      </c>
      <c r="AC203" s="111">
        <f>IF(J203="","",VLOOKUP(F204,[1]dim!$A:$F,6,FALSE))</f>
        <v>0.55000000000000004</v>
      </c>
      <c r="AD203" s="111">
        <f>IF(J203="","",VLOOKUP(F204,[1]dim!$A:$G,7,FALSE))</f>
        <v>0.53135343116523637</v>
      </c>
      <c r="AF203">
        <v>0.55000000000000004</v>
      </c>
      <c r="AG203">
        <v>0.53135343116523637</v>
      </c>
    </row>
    <row r="204" spans="1:33">
      <c r="A204" s="27"/>
      <c r="B204" s="142"/>
      <c r="C204" s="131"/>
      <c r="D204" s="131"/>
      <c r="E204" s="34" t="s">
        <v>228</v>
      </c>
      <c r="F204" s="6" t="s">
        <v>199</v>
      </c>
      <c r="G204" s="13">
        <v>22.859717000000011</v>
      </c>
      <c r="H204" s="2" t="s">
        <v>454</v>
      </c>
      <c r="I204" s="115"/>
      <c r="J204" s="113"/>
      <c r="K204" s="113"/>
      <c r="L204" s="113"/>
      <c r="M204" s="113"/>
      <c r="N204" s="113"/>
      <c r="O204" s="115"/>
      <c r="P204" s="117"/>
      <c r="Q204" s="90"/>
      <c r="U204" s="87"/>
      <c r="Y204" s="113"/>
      <c r="Z204" s="113"/>
      <c r="AC204" s="111"/>
      <c r="AD204" s="111"/>
    </row>
    <row r="205" spans="1:33">
      <c r="A205" s="27"/>
      <c r="B205" s="129" t="s">
        <v>200</v>
      </c>
      <c r="C205" s="131" t="s">
        <v>201</v>
      </c>
      <c r="D205" s="131" t="s">
        <v>8</v>
      </c>
      <c r="E205" s="34" t="s">
        <v>227</v>
      </c>
      <c r="F205" s="6" t="s">
        <v>199</v>
      </c>
      <c r="G205" s="13">
        <v>22.240612000000009</v>
      </c>
      <c r="H205" s="2" t="s">
        <v>454</v>
      </c>
      <c r="I205" s="114" t="s">
        <v>455</v>
      </c>
      <c r="J205" s="112">
        <v>0.45</v>
      </c>
      <c r="K205" s="112">
        <v>0.15000000000000213</v>
      </c>
      <c r="L205" s="112"/>
      <c r="M205" s="112">
        <v>0.5</v>
      </c>
      <c r="N205" s="112">
        <v>1</v>
      </c>
      <c r="O205" s="114" t="s">
        <v>312</v>
      </c>
      <c r="P205" s="149" t="s">
        <v>312</v>
      </c>
      <c r="Q205" s="90"/>
      <c r="U205" s="87"/>
      <c r="Y205" s="112">
        <v>0.4</v>
      </c>
      <c r="Z205" s="112">
        <f>IF(V205&gt;$S$28,2,1)</f>
        <v>1</v>
      </c>
      <c r="AC205" s="111">
        <f>IF(J205="","",VLOOKUP(F206,[1]dim!$A:$F,6,FALSE))</f>
        <v>0.45</v>
      </c>
      <c r="AD205" s="111">
        <f>IF(J205="","",VLOOKUP(F206,[1]dim!$A:$G,7,FALSE))</f>
        <v>0.39853881277248487</v>
      </c>
      <c r="AF205">
        <v>0.45</v>
      </c>
      <c r="AG205">
        <v>0.39853881277248487</v>
      </c>
    </row>
    <row r="206" spans="1:33">
      <c r="A206" s="27"/>
      <c r="B206" s="129"/>
      <c r="C206" s="131"/>
      <c r="D206" s="131"/>
      <c r="E206" s="34" t="s">
        <v>228</v>
      </c>
      <c r="F206" s="6" t="s">
        <v>202</v>
      </c>
      <c r="G206" s="13">
        <v>22.090612000000007</v>
      </c>
      <c r="H206" s="2" t="s">
        <v>456</v>
      </c>
      <c r="I206" s="115"/>
      <c r="J206" s="113"/>
      <c r="K206" s="113"/>
      <c r="L206" s="113"/>
      <c r="M206" s="113"/>
      <c r="N206" s="113"/>
      <c r="O206" s="115"/>
      <c r="P206" s="117"/>
      <c r="Q206" s="90"/>
      <c r="U206" s="87"/>
      <c r="Y206" s="113"/>
      <c r="Z206" s="113"/>
      <c r="AC206" s="111"/>
      <c r="AD206" s="111"/>
    </row>
    <row r="207" spans="1:33">
      <c r="A207" s="27"/>
      <c r="B207" s="138" t="s">
        <v>251</v>
      </c>
      <c r="C207" s="140"/>
      <c r="D207" s="140"/>
      <c r="E207" s="32"/>
      <c r="F207" s="19"/>
      <c r="G207" s="20"/>
      <c r="H207" s="20"/>
      <c r="I207" s="140" t="s">
        <v>302</v>
      </c>
      <c r="J207" s="119"/>
      <c r="K207" s="119"/>
      <c r="L207" s="119"/>
      <c r="M207" s="119"/>
      <c r="N207" s="119"/>
      <c r="O207" s="140"/>
      <c r="P207" s="150"/>
      <c r="Q207" s="90"/>
      <c r="R207" s="87"/>
      <c r="U207" s="87"/>
      <c r="Y207" s="119"/>
      <c r="Z207" s="119"/>
      <c r="AC207" s="111" t="str">
        <f>IF(J207="","",VLOOKUP(F208,[1]dim!$A:$F,6,FALSE))</f>
        <v/>
      </c>
      <c r="AD207" s="111" t="str">
        <f>IF(J207="","",VLOOKUP(F208,[1]dim!$A:$G,7,FALSE))</f>
        <v/>
      </c>
      <c r="AF207" t="s">
        <v>302</v>
      </c>
      <c r="AG207" t="s">
        <v>302</v>
      </c>
    </row>
    <row r="208" spans="1:33">
      <c r="A208" s="27"/>
      <c r="B208" s="139"/>
      <c r="C208" s="141"/>
      <c r="D208" s="141"/>
      <c r="E208" s="33"/>
      <c r="F208" s="21"/>
      <c r="G208" s="22"/>
      <c r="H208" s="22"/>
      <c r="I208" s="141"/>
      <c r="J208" s="120"/>
      <c r="K208" s="120"/>
      <c r="L208" s="120"/>
      <c r="M208" s="120"/>
      <c r="N208" s="120"/>
      <c r="O208" s="141"/>
      <c r="P208" s="151"/>
      <c r="Q208" s="90"/>
      <c r="R208" s="87"/>
      <c r="U208" s="87"/>
      <c r="Y208" s="120"/>
      <c r="Z208" s="120"/>
      <c r="AC208" s="111"/>
      <c r="AD208" s="111"/>
    </row>
    <row r="209" spans="1:33">
      <c r="A209" s="27"/>
      <c r="B209" s="129" t="s">
        <v>183</v>
      </c>
      <c r="C209" s="131" t="s">
        <v>184</v>
      </c>
      <c r="D209" s="131" t="s">
        <v>40</v>
      </c>
      <c r="E209" s="34" t="s">
        <v>227</v>
      </c>
      <c r="F209" s="6" t="s">
        <v>182</v>
      </c>
      <c r="G209" s="13">
        <v>22.881380000000011</v>
      </c>
      <c r="H209" s="2" t="s">
        <v>441</v>
      </c>
      <c r="I209" s="114" t="s">
        <v>457</v>
      </c>
      <c r="J209" s="112">
        <v>0.4</v>
      </c>
      <c r="K209" s="112">
        <v>2.5331350000000015</v>
      </c>
      <c r="L209" s="112">
        <v>0.28199829430726298</v>
      </c>
      <c r="M209" s="112">
        <v>0.4</v>
      </c>
      <c r="N209" s="112">
        <v>1</v>
      </c>
      <c r="O209" s="114" t="s">
        <v>312</v>
      </c>
      <c r="P209" s="116" t="s">
        <v>312</v>
      </c>
      <c r="Q209" s="90"/>
      <c r="U209" s="87"/>
      <c r="Y209" s="112" t="str">
        <f>IF(V209="","",
IF(AND(V209&gt;=$V$12,V209&lt;$V$13),$V$12,
IF(AND(V209&gt;=$V$13,V209&lt;$V$14),$V$13,
IF(AND(V209&gt;=$V$14,V209&lt;$V$15),$V$14,
IF(AND(V209&gt;=$V$15,V209&lt;$V$16),$V$15,
IF(AND(V209&gt;=$V$16,V209&lt;$V$17),$V$16,""))))))</f>
        <v/>
      </c>
      <c r="Z209" s="112">
        <v>1</v>
      </c>
      <c r="AC209" s="111">
        <f>IF(J209="","",VLOOKUP(F210,[1]dim!$A:$F,6,FALSE))</f>
        <v>0.4</v>
      </c>
      <c r="AD209" s="111">
        <f>IF(J209="","",VLOOKUP(F210,[1]dim!$A:$G,7,FALSE))</f>
        <v>0.39428348509496319</v>
      </c>
      <c r="AF209">
        <v>0.4</v>
      </c>
      <c r="AG209">
        <v>0.39428348509496319</v>
      </c>
    </row>
    <row r="210" spans="1:33">
      <c r="A210" s="27"/>
      <c r="B210" s="129"/>
      <c r="C210" s="131"/>
      <c r="D210" s="131"/>
      <c r="E210" s="34" t="s">
        <v>228</v>
      </c>
      <c r="F210" s="6" t="s">
        <v>203</v>
      </c>
      <c r="G210" s="13">
        <v>20.348245000000009</v>
      </c>
      <c r="H210" s="2" t="s">
        <v>458</v>
      </c>
      <c r="I210" s="115"/>
      <c r="J210" s="113"/>
      <c r="K210" s="113"/>
      <c r="L210" s="113"/>
      <c r="M210" s="113"/>
      <c r="N210" s="113"/>
      <c r="O210" s="115"/>
      <c r="P210" s="117"/>
      <c r="Q210" s="90"/>
      <c r="U210" s="87"/>
      <c r="Y210" s="113"/>
      <c r="Z210" s="113"/>
      <c r="AC210" s="111"/>
      <c r="AD210" s="111"/>
    </row>
    <row r="211" spans="1:33">
      <c r="A211" s="27"/>
      <c r="B211" s="138" t="s">
        <v>252</v>
      </c>
      <c r="C211" s="140"/>
      <c r="D211" s="140"/>
      <c r="E211" s="32"/>
      <c r="F211" s="19"/>
      <c r="G211" s="20"/>
      <c r="H211" s="20"/>
      <c r="I211" s="140" t="s">
        <v>302</v>
      </c>
      <c r="J211" s="119"/>
      <c r="K211" s="119"/>
      <c r="L211" s="119"/>
      <c r="M211" s="119"/>
      <c r="N211" s="119"/>
      <c r="O211" s="140"/>
      <c r="P211" s="150"/>
      <c r="Q211" s="90"/>
      <c r="R211" s="87"/>
      <c r="U211" s="87"/>
      <c r="Y211" s="119"/>
      <c r="Z211" s="119"/>
      <c r="AC211" s="111" t="str">
        <f>IF(J211="","",VLOOKUP(F212,[1]dim!$A:$F,6,FALSE))</f>
        <v/>
      </c>
      <c r="AD211" s="111" t="str">
        <f>IF(J211="","",VLOOKUP(F212,[1]dim!$A:$G,7,FALSE))</f>
        <v/>
      </c>
      <c r="AF211" t="s">
        <v>302</v>
      </c>
      <c r="AG211" t="s">
        <v>302</v>
      </c>
    </row>
    <row r="212" spans="1:33">
      <c r="A212" s="27"/>
      <c r="B212" s="139"/>
      <c r="C212" s="141"/>
      <c r="D212" s="141"/>
      <c r="E212" s="33"/>
      <c r="F212" s="21"/>
      <c r="G212" s="22"/>
      <c r="H212" s="22"/>
      <c r="I212" s="141"/>
      <c r="J212" s="120"/>
      <c r="K212" s="120"/>
      <c r="L212" s="120"/>
      <c r="M212" s="120"/>
      <c r="N212" s="120"/>
      <c r="O212" s="141"/>
      <c r="P212" s="151"/>
      <c r="Q212" s="90"/>
      <c r="R212" s="87"/>
      <c r="U212" s="87"/>
      <c r="Y212" s="120"/>
      <c r="Z212" s="120"/>
      <c r="AC212" s="111"/>
      <c r="AD212" s="111"/>
    </row>
    <row r="213" spans="1:33">
      <c r="A213" s="27"/>
      <c r="B213" s="142" t="s">
        <v>186</v>
      </c>
      <c r="C213" s="131" t="s">
        <v>187</v>
      </c>
      <c r="D213" s="131" t="s">
        <v>40</v>
      </c>
      <c r="E213" s="34" t="s">
        <v>227</v>
      </c>
      <c r="F213" s="6" t="s">
        <v>185</v>
      </c>
      <c r="G213" s="13">
        <v>22.239976000000009</v>
      </c>
      <c r="H213" s="2" t="s">
        <v>443</v>
      </c>
      <c r="I213" s="114" t="s">
        <v>459</v>
      </c>
      <c r="J213" s="112">
        <v>0.6</v>
      </c>
      <c r="K213" s="112">
        <v>0.30159999999999698</v>
      </c>
      <c r="L213" s="112">
        <v>0.24486017914765867</v>
      </c>
      <c r="M213" s="112">
        <v>0.6</v>
      </c>
      <c r="N213" s="112">
        <v>1</v>
      </c>
      <c r="O213" s="114" t="s">
        <v>312</v>
      </c>
      <c r="P213" s="116" t="s">
        <v>312</v>
      </c>
      <c r="Q213" s="90"/>
      <c r="U213" s="87"/>
      <c r="Y213" s="112" t="str">
        <f>IF(V213="","",
IF(AND(V213&gt;=$V$12,V213&lt;$V$13),$V$12,
IF(AND(V213&gt;=$V$13,V213&lt;$V$14),$V$13,
IF(AND(V213&gt;=$V$14,V213&lt;$V$15),$V$14,
IF(AND(V213&gt;=$V$15,V213&lt;$V$16),$V$15,
IF(AND(V213&gt;=$V$16,V213&lt;$V$17),$V$16,""))))))</f>
        <v/>
      </c>
      <c r="Z213" s="112">
        <v>1</v>
      </c>
      <c r="AC213" s="111">
        <f>IF(J213="","",VLOOKUP(F214,[1]dim!$A:$F,6,FALSE))</f>
        <v>0.6</v>
      </c>
      <c r="AD213" s="111">
        <f>IF(J213="","",VLOOKUP(F214,[1]dim!$A:$G,7,FALSE))</f>
        <v>0.50791991205931564</v>
      </c>
      <c r="AF213">
        <v>0.6</v>
      </c>
      <c r="AG213">
        <v>0.50791991205931564</v>
      </c>
    </row>
    <row r="214" spans="1:33">
      <c r="A214" s="27"/>
      <c r="B214" s="142"/>
      <c r="C214" s="131"/>
      <c r="D214" s="131"/>
      <c r="E214" s="34" t="s">
        <v>228</v>
      </c>
      <c r="F214" s="6" t="s">
        <v>204</v>
      </c>
      <c r="G214" s="13">
        <v>21.938376000000012</v>
      </c>
      <c r="H214" s="2" t="s">
        <v>460</v>
      </c>
      <c r="I214" s="115"/>
      <c r="J214" s="113"/>
      <c r="K214" s="113"/>
      <c r="L214" s="113"/>
      <c r="M214" s="113"/>
      <c r="N214" s="113"/>
      <c r="O214" s="115"/>
      <c r="P214" s="117"/>
      <c r="Q214" s="90"/>
      <c r="U214" s="87"/>
      <c r="Y214" s="113"/>
      <c r="Z214" s="113"/>
      <c r="AC214" s="111"/>
      <c r="AD214" s="111"/>
    </row>
    <row r="215" spans="1:33">
      <c r="A215" s="27"/>
      <c r="B215" s="129" t="s">
        <v>205</v>
      </c>
      <c r="C215" s="131" t="s">
        <v>206</v>
      </c>
      <c r="D215" s="136" t="s">
        <v>230</v>
      </c>
      <c r="E215" s="34" t="s">
        <v>227</v>
      </c>
      <c r="F215" s="6" t="s">
        <v>204</v>
      </c>
      <c r="G215" s="13">
        <v>21.844000000000012</v>
      </c>
      <c r="H215" s="2" t="s">
        <v>460</v>
      </c>
      <c r="I215" s="114" t="s">
        <v>309</v>
      </c>
      <c r="J215" s="112">
        <v>0.5</v>
      </c>
      <c r="K215" s="112"/>
      <c r="L215" s="112"/>
      <c r="M215" s="112"/>
      <c r="N215" s="112"/>
      <c r="O215" s="114"/>
      <c r="P215" s="116"/>
      <c r="Q215" s="90"/>
      <c r="U215" s="87"/>
      <c r="Y215" s="112"/>
      <c r="Z215" s="112"/>
      <c r="AC215" s="111">
        <f>IF(J215="","",VLOOKUP(F216,[1]dim!$A:$F,6,FALSE))</f>
        <v>0.5</v>
      </c>
      <c r="AD215" s="111">
        <f>IF(J215="","",VLOOKUP(F216,[1]dim!$A:$G,7,FALSE))</f>
        <v>0.46998062610271824</v>
      </c>
      <c r="AF215">
        <v>0.5</v>
      </c>
      <c r="AG215">
        <v>0.46998062610271824</v>
      </c>
    </row>
    <row r="216" spans="1:33">
      <c r="A216" s="27"/>
      <c r="B216" s="129"/>
      <c r="C216" s="131"/>
      <c r="D216" s="137"/>
      <c r="E216" s="34" t="s">
        <v>228</v>
      </c>
      <c r="F216" s="6" t="s">
        <v>207</v>
      </c>
      <c r="G216" s="13">
        <v>21.844000000000012</v>
      </c>
      <c r="H216" s="2" t="s">
        <v>461</v>
      </c>
      <c r="I216" s="115"/>
      <c r="J216" s="113"/>
      <c r="K216" s="113"/>
      <c r="L216" s="113"/>
      <c r="M216" s="113"/>
      <c r="N216" s="113"/>
      <c r="O216" s="115"/>
      <c r="P216" s="117"/>
      <c r="Q216" s="90"/>
      <c r="U216" s="87"/>
      <c r="Y216" s="113"/>
      <c r="Z216" s="113"/>
      <c r="AC216" s="111"/>
      <c r="AD216" s="111"/>
    </row>
    <row r="217" spans="1:33">
      <c r="A217" s="27"/>
      <c r="B217" s="129" t="s">
        <v>208</v>
      </c>
      <c r="C217" s="131" t="s">
        <v>209</v>
      </c>
      <c r="D217" s="131" t="s">
        <v>8</v>
      </c>
      <c r="E217" s="34" t="s">
        <v>227</v>
      </c>
      <c r="F217" s="6" t="s">
        <v>207</v>
      </c>
      <c r="G217" s="13">
        <v>21.41565000000001</v>
      </c>
      <c r="H217" s="2" t="s">
        <v>461</v>
      </c>
      <c r="I217" s="114" t="s">
        <v>462</v>
      </c>
      <c r="J217" s="112">
        <v>0.45</v>
      </c>
      <c r="K217" s="112">
        <v>0.10000000000000142</v>
      </c>
      <c r="L217" s="112"/>
      <c r="M217" s="112">
        <v>0.5</v>
      </c>
      <c r="N217" s="112">
        <v>1</v>
      </c>
      <c r="O217" s="114" t="s">
        <v>312</v>
      </c>
      <c r="P217" s="149" t="s">
        <v>312</v>
      </c>
      <c r="Q217" s="90"/>
      <c r="U217" s="87"/>
      <c r="Y217" s="112">
        <v>0.4</v>
      </c>
      <c r="Z217" s="112">
        <f>IF(V217&gt;$S$28,2,1)</f>
        <v>1</v>
      </c>
      <c r="AC217" s="111">
        <f>IF(J217="","",VLOOKUP(F218,[1]dim!$A:$F,6,FALSE))</f>
        <v>0.45</v>
      </c>
      <c r="AD217" s="111">
        <f>IF(J217="","",VLOOKUP(F218,[1]dim!$A:$G,7,FALSE))</f>
        <v>0.41404311773978514</v>
      </c>
      <c r="AF217">
        <v>0.45</v>
      </c>
      <c r="AG217">
        <v>0.41404311773978514</v>
      </c>
    </row>
    <row r="218" spans="1:33">
      <c r="A218" s="27"/>
      <c r="B218" s="129"/>
      <c r="C218" s="131"/>
      <c r="D218" s="131"/>
      <c r="E218" s="34" t="s">
        <v>228</v>
      </c>
      <c r="F218" s="6" t="s">
        <v>210</v>
      </c>
      <c r="G218" s="13">
        <v>21.315650000000009</v>
      </c>
      <c r="H218" s="2" t="s">
        <v>463</v>
      </c>
      <c r="I218" s="115"/>
      <c r="J218" s="113"/>
      <c r="K218" s="113"/>
      <c r="L218" s="113"/>
      <c r="M218" s="113"/>
      <c r="N218" s="113"/>
      <c r="O218" s="115"/>
      <c r="P218" s="117"/>
      <c r="Q218" s="90"/>
      <c r="U218" s="87"/>
      <c r="Y218" s="113"/>
      <c r="Z218" s="113"/>
      <c r="AC218" s="111"/>
      <c r="AD218" s="111"/>
    </row>
    <row r="219" spans="1:33">
      <c r="A219" s="27"/>
      <c r="B219" s="138" t="s">
        <v>253</v>
      </c>
      <c r="C219" s="140"/>
      <c r="D219" s="140"/>
      <c r="E219" s="32"/>
      <c r="F219" s="19"/>
      <c r="G219" s="20"/>
      <c r="H219" s="20"/>
      <c r="I219" s="140" t="s">
        <v>302</v>
      </c>
      <c r="J219" s="119"/>
      <c r="K219" s="119"/>
      <c r="L219" s="119"/>
      <c r="M219" s="119"/>
      <c r="N219" s="119"/>
      <c r="O219" s="140"/>
      <c r="P219" s="150"/>
      <c r="Q219" s="90"/>
      <c r="R219" s="87"/>
      <c r="U219" s="87"/>
      <c r="Y219" s="119"/>
      <c r="Z219" s="119"/>
      <c r="AC219" s="111" t="str">
        <f>IF(J219="","",VLOOKUP(F220,[1]dim!$A:$F,6,FALSE))</f>
        <v/>
      </c>
      <c r="AD219" s="111" t="str">
        <f>IF(J219="","",VLOOKUP(F220,[1]dim!$A:$G,7,FALSE))</f>
        <v/>
      </c>
      <c r="AF219" t="s">
        <v>302</v>
      </c>
      <c r="AG219" t="s">
        <v>302</v>
      </c>
    </row>
    <row r="220" spans="1:33">
      <c r="A220" s="27"/>
      <c r="B220" s="139"/>
      <c r="C220" s="141"/>
      <c r="D220" s="141"/>
      <c r="E220" s="33"/>
      <c r="F220" s="21"/>
      <c r="G220" s="22"/>
      <c r="H220" s="22"/>
      <c r="I220" s="141"/>
      <c r="J220" s="120"/>
      <c r="K220" s="120"/>
      <c r="L220" s="120"/>
      <c r="M220" s="120"/>
      <c r="N220" s="120"/>
      <c r="O220" s="141"/>
      <c r="P220" s="151"/>
      <c r="Q220" s="90"/>
      <c r="R220" s="87"/>
      <c r="U220" s="87"/>
      <c r="Y220" s="120"/>
      <c r="Z220" s="120"/>
      <c r="AC220" s="111"/>
      <c r="AD220" s="111"/>
    </row>
    <row r="221" spans="1:33">
      <c r="A221" s="27"/>
      <c r="B221" s="129" t="s">
        <v>186</v>
      </c>
      <c r="C221" s="131" t="s">
        <v>187</v>
      </c>
      <c r="D221" s="131" t="s">
        <v>40</v>
      </c>
      <c r="E221" s="34" t="s">
        <v>227</v>
      </c>
      <c r="F221" s="6" t="s">
        <v>185</v>
      </c>
      <c r="G221" s="13">
        <v>22.239976000000009</v>
      </c>
      <c r="H221" s="2" t="s">
        <v>443</v>
      </c>
      <c r="I221" s="114" t="s">
        <v>464</v>
      </c>
      <c r="J221" s="112">
        <v>0.45</v>
      </c>
      <c r="K221" s="112">
        <v>2.1518160000000002</v>
      </c>
      <c r="L221" s="112">
        <v>0.25993198800358774</v>
      </c>
      <c r="M221" s="112">
        <v>0.4</v>
      </c>
      <c r="N221" s="112">
        <v>1</v>
      </c>
      <c r="O221" s="114" t="s">
        <v>312</v>
      </c>
      <c r="P221" s="116" t="s">
        <v>312</v>
      </c>
      <c r="Q221" s="90"/>
      <c r="U221" s="87"/>
      <c r="Y221" s="112" t="str">
        <f>IF(V221="","",
IF(AND(V221&gt;=$V$12,V221&lt;$V$13),$V$12,
IF(AND(V221&gt;=$V$13,V221&lt;$V$14),$V$13,
IF(AND(V221&gt;=$V$14,V221&lt;$V$15),$V$14,
IF(AND(V221&gt;=$V$15,V221&lt;$V$16),$V$15,
IF(AND(V221&gt;=$V$16,V221&lt;$V$17),$V$16,""))))))</f>
        <v/>
      </c>
      <c r="Z221" s="112">
        <v>1</v>
      </c>
      <c r="AC221" s="111">
        <f>IF(J221="","",VLOOKUP(F222,[1]dim!$A:$F,6,FALSE))</f>
        <v>0.45</v>
      </c>
      <c r="AD221" s="111">
        <f>IF(J221="","",VLOOKUP(F222,[1]dim!$A:$G,7,FALSE))</f>
        <v>0.38813815029697507</v>
      </c>
      <c r="AF221">
        <v>0.45</v>
      </c>
      <c r="AG221">
        <v>0.38813815029697507</v>
      </c>
    </row>
    <row r="222" spans="1:33">
      <c r="A222" s="27"/>
      <c r="B222" s="129"/>
      <c r="C222" s="131"/>
      <c r="D222" s="131"/>
      <c r="E222" s="34" t="s">
        <v>228</v>
      </c>
      <c r="F222" s="6" t="s">
        <v>211</v>
      </c>
      <c r="G222" s="13">
        <v>20.088160000000009</v>
      </c>
      <c r="H222" s="2" t="s">
        <v>465</v>
      </c>
      <c r="I222" s="115"/>
      <c r="J222" s="113"/>
      <c r="K222" s="113"/>
      <c r="L222" s="113"/>
      <c r="M222" s="113"/>
      <c r="N222" s="113"/>
      <c r="O222" s="115"/>
      <c r="P222" s="117"/>
      <c r="Q222" s="90"/>
      <c r="U222" s="87"/>
      <c r="Y222" s="113"/>
      <c r="Z222" s="113"/>
      <c r="AC222" s="111"/>
      <c r="AD222" s="111"/>
    </row>
    <row r="223" spans="1:33">
      <c r="A223" s="27"/>
      <c r="B223" s="138" t="s">
        <v>254</v>
      </c>
      <c r="C223" s="140"/>
      <c r="D223" s="140"/>
      <c r="E223" s="32"/>
      <c r="F223" s="19"/>
      <c r="G223" s="20"/>
      <c r="H223" s="20"/>
      <c r="I223" s="140" t="s">
        <v>302</v>
      </c>
      <c r="J223" s="119"/>
      <c r="K223" s="119"/>
      <c r="L223" s="119"/>
      <c r="M223" s="119"/>
      <c r="N223" s="119"/>
      <c r="O223" s="140"/>
      <c r="P223" s="150"/>
      <c r="Q223" s="90"/>
      <c r="R223" s="87"/>
      <c r="U223" s="87"/>
      <c r="Y223" s="119"/>
      <c r="Z223" s="119"/>
      <c r="AC223" s="111" t="str">
        <f>IF(J223="","",VLOOKUP(F224,[1]dim!$A:$F,6,FALSE))</f>
        <v/>
      </c>
      <c r="AD223" s="111" t="str">
        <f>IF(J223="","",VLOOKUP(F224,[1]dim!$A:$G,7,FALSE))</f>
        <v/>
      </c>
      <c r="AF223" t="s">
        <v>302</v>
      </c>
      <c r="AG223" t="s">
        <v>302</v>
      </c>
    </row>
    <row r="224" spans="1:33">
      <c r="A224" s="27"/>
      <c r="B224" s="139"/>
      <c r="C224" s="141"/>
      <c r="D224" s="141"/>
      <c r="E224" s="33"/>
      <c r="F224" s="21"/>
      <c r="G224" s="22"/>
      <c r="H224" s="22"/>
      <c r="I224" s="141"/>
      <c r="J224" s="120"/>
      <c r="K224" s="120"/>
      <c r="L224" s="120"/>
      <c r="M224" s="120"/>
      <c r="N224" s="120"/>
      <c r="O224" s="141"/>
      <c r="P224" s="151"/>
      <c r="Q224" s="90"/>
      <c r="R224" s="87"/>
      <c r="U224" s="87"/>
      <c r="Y224" s="120"/>
      <c r="Z224" s="120"/>
      <c r="AC224" s="111"/>
      <c r="AD224" s="111"/>
    </row>
    <row r="225" spans="1:33">
      <c r="A225" s="27"/>
      <c r="B225" s="129" t="s">
        <v>192</v>
      </c>
      <c r="C225" s="131" t="s">
        <v>193</v>
      </c>
      <c r="D225" s="131" t="s">
        <v>40</v>
      </c>
      <c r="E225" s="34" t="s">
        <v>227</v>
      </c>
      <c r="F225" s="6" t="s">
        <v>191</v>
      </c>
      <c r="G225" s="13">
        <v>21.095238000000005</v>
      </c>
      <c r="H225" s="2" t="s">
        <v>446</v>
      </c>
      <c r="I225" s="114" t="s">
        <v>466</v>
      </c>
      <c r="J225" s="112">
        <v>0.4</v>
      </c>
      <c r="K225" s="112">
        <v>0.39842799999999556</v>
      </c>
      <c r="L225" s="112">
        <v>0.20066034550987863</v>
      </c>
      <c r="M225" s="112">
        <v>0.4</v>
      </c>
      <c r="N225" s="112">
        <v>1</v>
      </c>
      <c r="O225" s="114" t="s">
        <v>312</v>
      </c>
      <c r="P225" s="116" t="s">
        <v>312</v>
      </c>
      <c r="Q225" s="90"/>
      <c r="U225" s="87"/>
      <c r="Y225" s="112" t="str">
        <f>IF(V225="","",
IF(AND(V225&gt;=$V$12,V225&lt;$V$13),$V$12,
IF(AND(V225&gt;=$V$13,V225&lt;$V$14),$V$13,
IF(AND(V225&gt;=$V$14,V225&lt;$V$15),$V$14,
IF(AND(V225&gt;=$V$15,V225&lt;$V$16),$V$15,
IF(AND(V225&gt;=$V$16,V225&lt;$V$17),$V$16,""))))))</f>
        <v/>
      </c>
      <c r="Z225" s="112">
        <v>1</v>
      </c>
      <c r="AC225" s="111">
        <f>IF(J225="","",VLOOKUP(F226,[1]dim!$A:$F,6,FALSE))</f>
        <v>0.4</v>
      </c>
      <c r="AD225" s="111">
        <f>IF(J225="","",VLOOKUP(F226,[1]dim!$A:$G,7,FALSE))</f>
        <v>0.38928650431818201</v>
      </c>
      <c r="AF225">
        <v>0.4</v>
      </c>
      <c r="AG225">
        <v>0.38928650431818201</v>
      </c>
    </row>
    <row r="226" spans="1:33" ht="15" thickBot="1">
      <c r="A226" s="27"/>
      <c r="B226" s="145"/>
      <c r="C226" s="146"/>
      <c r="D226" s="146"/>
      <c r="E226" s="44" t="s">
        <v>228</v>
      </c>
      <c r="F226" s="40" t="s">
        <v>212</v>
      </c>
      <c r="G226" s="45">
        <v>20.69681000000001</v>
      </c>
      <c r="H226" s="46" t="s">
        <v>467</v>
      </c>
      <c r="I226" s="115"/>
      <c r="J226" s="118"/>
      <c r="K226" s="118"/>
      <c r="L226" s="118"/>
      <c r="M226" s="113"/>
      <c r="N226" s="113"/>
      <c r="O226" s="158"/>
      <c r="P226" s="159"/>
      <c r="Q226" s="90"/>
      <c r="U226" s="87"/>
      <c r="Y226" s="113"/>
      <c r="Z226" s="113"/>
      <c r="AC226" s="111"/>
      <c r="AD226" s="111"/>
    </row>
    <row r="227" spans="1:33">
      <c r="A227" s="27"/>
      <c r="B227" s="178"/>
      <c r="C227" s="147"/>
      <c r="D227" s="147"/>
      <c r="E227" s="58"/>
      <c r="F227" s="57"/>
      <c r="G227" s="59"/>
      <c r="H227" s="59"/>
      <c r="I227" s="172" t="s">
        <v>263</v>
      </c>
      <c r="J227" s="121"/>
      <c r="K227" s="121"/>
      <c r="L227" s="121"/>
      <c r="M227" s="121"/>
      <c r="N227" s="121"/>
      <c r="O227" s="147"/>
      <c r="P227" s="176"/>
      <c r="Q227" s="90"/>
      <c r="U227" s="87"/>
      <c r="Y227" s="121"/>
      <c r="Z227" s="121"/>
      <c r="AC227" s="111" t="str">
        <f>IF(J227="","",VLOOKUP(F228,[1]dim!$A:$F,6,FALSE))</f>
        <v/>
      </c>
      <c r="AD227" s="111" t="str">
        <f>IF(J227="","",VLOOKUP(F228,[1]dim!$A:$G,7,FALSE))</f>
        <v/>
      </c>
      <c r="AF227" t="s">
        <v>302</v>
      </c>
      <c r="AG227" t="s">
        <v>302</v>
      </c>
    </row>
    <row r="228" spans="1:33">
      <c r="A228" s="27"/>
      <c r="B228" s="179"/>
      <c r="C228" s="148"/>
      <c r="D228" s="148"/>
      <c r="E228" s="55"/>
      <c r="F228" s="54"/>
      <c r="G228" s="56"/>
      <c r="H228" s="56"/>
      <c r="I228" s="173"/>
      <c r="J228" s="122"/>
      <c r="K228" s="122"/>
      <c r="L228" s="122"/>
      <c r="M228" s="122"/>
      <c r="N228" s="122"/>
      <c r="O228" s="148"/>
      <c r="P228" s="177"/>
      <c r="Q228" s="90"/>
      <c r="U228" s="87"/>
      <c r="Y228" s="122"/>
      <c r="Z228" s="122"/>
      <c r="AC228" s="111"/>
      <c r="AD228" s="111"/>
    </row>
    <row r="229" spans="1:33">
      <c r="A229" s="27"/>
      <c r="B229" s="138" t="s">
        <v>262</v>
      </c>
      <c r="C229" s="140"/>
      <c r="D229" s="140"/>
      <c r="E229" s="32"/>
      <c r="F229" s="19"/>
      <c r="G229" s="20"/>
      <c r="H229" s="20"/>
      <c r="I229" s="140" t="s">
        <v>302</v>
      </c>
      <c r="J229" s="119"/>
      <c r="K229" s="119"/>
      <c r="L229" s="119"/>
      <c r="M229" s="119"/>
      <c r="N229" s="119"/>
      <c r="O229" s="140"/>
      <c r="P229" s="150"/>
      <c r="Q229" s="90"/>
      <c r="U229" s="87"/>
      <c r="Y229" s="119"/>
      <c r="Z229" s="119"/>
      <c r="AC229" s="111" t="str">
        <f>IF(J229="","",VLOOKUP(F230,[1]dim!$A:$F,6,FALSE))</f>
        <v/>
      </c>
      <c r="AD229" s="111" t="str">
        <f>IF(J229="","",VLOOKUP(F230,[1]dim!$A:$G,7,FALSE))</f>
        <v/>
      </c>
      <c r="AF229" t="s">
        <v>302</v>
      </c>
      <c r="AG229" t="s">
        <v>302</v>
      </c>
    </row>
    <row r="230" spans="1:33">
      <c r="A230" s="27"/>
      <c r="B230" s="139"/>
      <c r="C230" s="141"/>
      <c r="D230" s="141"/>
      <c r="E230" s="33"/>
      <c r="F230" s="21"/>
      <c r="G230" s="22"/>
      <c r="H230" s="22"/>
      <c r="I230" s="141"/>
      <c r="J230" s="120"/>
      <c r="K230" s="120"/>
      <c r="L230" s="120"/>
      <c r="M230" s="120"/>
      <c r="N230" s="120"/>
      <c r="O230" s="141"/>
      <c r="P230" s="151"/>
      <c r="Q230" s="90"/>
      <c r="U230" s="87"/>
      <c r="Y230" s="120"/>
      <c r="Z230" s="120"/>
      <c r="AC230" s="111"/>
      <c r="AD230" s="111"/>
    </row>
    <row r="231" spans="1:33">
      <c r="A231" s="27" t="s">
        <v>890</v>
      </c>
      <c r="B231" s="129" t="s">
        <v>468</v>
      </c>
      <c r="C231" s="131" t="s">
        <v>4</v>
      </c>
      <c r="D231" s="131" t="s">
        <v>40</v>
      </c>
      <c r="E231" s="34" t="s">
        <v>227</v>
      </c>
      <c r="F231" s="6" t="s">
        <v>2</v>
      </c>
      <c r="G231" s="13">
        <v>28.149578900000026</v>
      </c>
      <c r="H231" s="13" t="s">
        <v>308</v>
      </c>
      <c r="I231" s="114" t="s">
        <v>469</v>
      </c>
      <c r="J231" s="112">
        <v>0.35</v>
      </c>
      <c r="K231" s="112">
        <v>1.1987778169468264</v>
      </c>
      <c r="L231" s="112">
        <v>0.31649604202590897</v>
      </c>
      <c r="M231" s="112">
        <v>0.3</v>
      </c>
      <c r="N231" s="112">
        <v>1</v>
      </c>
      <c r="O231" s="114" t="s">
        <v>312</v>
      </c>
      <c r="P231" s="116" t="s">
        <v>312</v>
      </c>
      <c r="Q231" s="91">
        <v>0.7</v>
      </c>
      <c r="U231" s="87"/>
      <c r="Y231" s="112" t="str">
        <f>IF(V231="","",
IF(AND(V231&gt;=$V$12,V231&lt;$V$13),$V$12,
IF(AND(V231&gt;=$V$13,V231&lt;$V$14),$V$13,
IF(AND(V231&gt;=$V$14,V231&lt;$V$15),$V$14,
IF(AND(V231&gt;=$V$15,V231&lt;$V$16),$V$15,
IF(AND(V231&gt;=$V$16,V231&lt;$V$17),$V$16,""))))))</f>
        <v/>
      </c>
      <c r="Z231" s="112">
        <v>1</v>
      </c>
      <c r="AC231" s="111">
        <f>IF(J231="","",VLOOKUP(F232,[1]dim!$A:$F,6,FALSE))</f>
        <v>0.35</v>
      </c>
      <c r="AD231" s="111">
        <f>IF(J231="","",VLOOKUP(F232,[1]dim!$A:$G,7,FALSE))</f>
        <v>0.31</v>
      </c>
      <c r="AF231">
        <v>0.35</v>
      </c>
      <c r="AG231">
        <v>0.31</v>
      </c>
    </row>
    <row r="232" spans="1:33">
      <c r="A232" s="27"/>
      <c r="B232" s="129"/>
      <c r="C232" s="131"/>
      <c r="D232" s="131"/>
      <c r="E232" s="34" t="s">
        <v>228</v>
      </c>
      <c r="F232" s="6" t="s">
        <v>470</v>
      </c>
      <c r="G232" s="13">
        <v>26.9508010830532</v>
      </c>
      <c r="H232" s="13" t="s">
        <v>471</v>
      </c>
      <c r="I232" s="115"/>
      <c r="J232" s="113"/>
      <c r="K232" s="113"/>
      <c r="L232" s="113"/>
      <c r="M232" s="113"/>
      <c r="N232" s="113"/>
      <c r="O232" s="115"/>
      <c r="P232" s="117"/>
      <c r="Q232" s="90" t="s">
        <v>300</v>
      </c>
      <c r="U232" s="87"/>
      <c r="Y232" s="113"/>
      <c r="Z232" s="113"/>
      <c r="AC232" s="111"/>
      <c r="AD232" s="111"/>
    </row>
    <row r="233" spans="1:33">
      <c r="A233" s="27" t="s">
        <v>891</v>
      </c>
      <c r="B233" s="129" t="s">
        <v>472</v>
      </c>
      <c r="C233" s="131" t="s">
        <v>7</v>
      </c>
      <c r="D233" s="131" t="s">
        <v>40</v>
      </c>
      <c r="E233" s="34" t="s">
        <v>227</v>
      </c>
      <c r="F233" s="6" t="s">
        <v>5</v>
      </c>
      <c r="G233" s="13">
        <v>27.762420700000028</v>
      </c>
      <c r="H233" s="13" t="s">
        <v>310</v>
      </c>
      <c r="I233" s="114" t="s">
        <v>473</v>
      </c>
      <c r="J233" s="112">
        <v>0.3</v>
      </c>
      <c r="K233" s="112">
        <v>3.638617668921249</v>
      </c>
      <c r="L233" s="112">
        <v>0.40063228067487677</v>
      </c>
      <c r="M233" s="112">
        <v>0.3</v>
      </c>
      <c r="N233" s="112">
        <v>1</v>
      </c>
      <c r="O233" s="114" t="s">
        <v>312</v>
      </c>
      <c r="P233" s="116" t="s">
        <v>312</v>
      </c>
      <c r="Q233" s="90"/>
      <c r="U233" s="87"/>
      <c r="Y233" s="112" t="str">
        <f>IF(V233="","",
IF(AND(V233&gt;=$V$12,V233&lt;$V$13),$V$12,
IF(AND(V233&gt;=$V$13,V233&lt;$V$14),$V$13,
IF(AND(V233&gt;=$V$14,V233&lt;$V$15),$V$14,
IF(AND(V233&gt;=$V$15,V233&lt;$V$16),$V$15,
IF(AND(V233&gt;=$V$16,V233&lt;$V$17),$V$16,""))))))</f>
        <v/>
      </c>
      <c r="Z233" s="112">
        <v>1</v>
      </c>
      <c r="AC233" s="111">
        <f>IF(J233="","",VLOOKUP(F234,[1]dim!$A:$F,6,FALSE))</f>
        <v>0.3</v>
      </c>
      <c r="AD233" s="111">
        <f>IF(J233="","",VLOOKUP(F234,[1]dim!$A:$G,7,FALSE))</f>
        <v>0.16351191834116924</v>
      </c>
      <c r="AF233">
        <v>0.3</v>
      </c>
      <c r="AG233">
        <v>0.16351191834116924</v>
      </c>
    </row>
    <row r="234" spans="1:33">
      <c r="A234" s="27"/>
      <c r="B234" s="129"/>
      <c r="C234" s="131"/>
      <c r="D234" s="131"/>
      <c r="E234" s="34" t="s">
        <v>228</v>
      </c>
      <c r="F234" s="6" t="s">
        <v>474</v>
      </c>
      <c r="G234" s="13">
        <v>24.123803031078779</v>
      </c>
      <c r="H234" s="13" t="s">
        <v>475</v>
      </c>
      <c r="I234" s="115"/>
      <c r="J234" s="113"/>
      <c r="K234" s="113"/>
      <c r="L234" s="113"/>
      <c r="M234" s="113"/>
      <c r="N234" s="113"/>
      <c r="O234" s="115"/>
      <c r="P234" s="117"/>
      <c r="Q234" s="90"/>
      <c r="U234" s="87"/>
      <c r="Y234" s="113"/>
      <c r="Z234" s="113"/>
      <c r="AC234" s="111"/>
      <c r="AD234" s="111"/>
    </row>
    <row r="235" spans="1:33">
      <c r="A235" s="27" t="s">
        <v>892</v>
      </c>
      <c r="B235" s="129" t="s">
        <v>472</v>
      </c>
      <c r="C235" s="131" t="s">
        <v>7</v>
      </c>
      <c r="D235" s="131" t="s">
        <v>40</v>
      </c>
      <c r="E235" s="34" t="s">
        <v>227</v>
      </c>
      <c r="F235" s="6" t="s">
        <v>5</v>
      </c>
      <c r="G235" s="13">
        <v>27.762420700000028</v>
      </c>
      <c r="H235" s="13" t="s">
        <v>310</v>
      </c>
      <c r="I235" s="114" t="s">
        <v>476</v>
      </c>
      <c r="J235" s="112">
        <v>0.4</v>
      </c>
      <c r="K235" s="112">
        <v>2.555420700000024</v>
      </c>
      <c r="L235" s="112">
        <v>1.1738054404287885</v>
      </c>
      <c r="M235" s="112">
        <v>0.4</v>
      </c>
      <c r="N235" s="112">
        <v>1</v>
      </c>
      <c r="O235" s="114" t="s">
        <v>312</v>
      </c>
      <c r="P235" s="116" t="s">
        <v>312</v>
      </c>
      <c r="Q235" s="90"/>
      <c r="U235" s="87"/>
      <c r="Y235" s="112" t="str">
        <f>IF(V235="","",
IF(AND(V235&gt;=$V$12,V235&lt;$V$13),$V$12,
IF(AND(V235&gt;=$V$13,V235&lt;$V$14),$V$13,
IF(AND(V235&gt;=$V$14,V235&lt;$V$15),$V$14,
IF(AND(V235&gt;=$V$15,V235&lt;$V$16),$V$15,
IF(AND(V235&gt;=$V$16,V235&lt;$V$17),$V$16,""))))))</f>
        <v/>
      </c>
      <c r="Z235" s="112">
        <v>1</v>
      </c>
      <c r="AC235" s="111">
        <f>IF(J235="","",VLOOKUP(F236,[1]dim!$A:$F,6,FALSE))</f>
        <v>0.4</v>
      </c>
      <c r="AD235" s="111">
        <f>IF(J235="","",VLOOKUP(F236,[1]dim!$A:$G,7,FALSE))</f>
        <v>0.32878717831371629</v>
      </c>
      <c r="AF235">
        <v>0.4</v>
      </c>
      <c r="AG235">
        <v>0.32878717831371629</v>
      </c>
    </row>
    <row r="236" spans="1:33">
      <c r="A236" s="27"/>
      <c r="B236" s="129"/>
      <c r="C236" s="131"/>
      <c r="D236" s="131"/>
      <c r="E236" s="34" t="s">
        <v>228</v>
      </c>
      <c r="F236" s="6" t="s">
        <v>477</v>
      </c>
      <c r="G236" s="13">
        <v>25.207000000000004</v>
      </c>
      <c r="H236" s="13" t="s">
        <v>478</v>
      </c>
      <c r="I236" s="115"/>
      <c r="J236" s="113"/>
      <c r="K236" s="113"/>
      <c r="L236" s="113"/>
      <c r="M236" s="113"/>
      <c r="N236" s="113"/>
      <c r="O236" s="115"/>
      <c r="P236" s="117"/>
      <c r="Q236" s="90"/>
      <c r="U236" s="87"/>
      <c r="Y236" s="113"/>
      <c r="Z236" s="113"/>
      <c r="AC236" s="111"/>
      <c r="AD236" s="111"/>
    </row>
    <row r="237" spans="1:33">
      <c r="A237" s="27" t="s">
        <v>893</v>
      </c>
      <c r="B237" s="129" t="s">
        <v>479</v>
      </c>
      <c r="C237" s="131" t="s">
        <v>11</v>
      </c>
      <c r="D237" s="131" t="s">
        <v>40</v>
      </c>
      <c r="E237" s="34" t="s">
        <v>227</v>
      </c>
      <c r="F237" s="6" t="s">
        <v>9</v>
      </c>
      <c r="G237" s="13">
        <v>27.291681500000028</v>
      </c>
      <c r="H237" s="13" t="s">
        <v>313</v>
      </c>
      <c r="I237" s="114" t="s">
        <v>480</v>
      </c>
      <c r="J237" s="112">
        <v>0.44999999999999996</v>
      </c>
      <c r="K237" s="112">
        <v>2.3277105000000233</v>
      </c>
      <c r="L237" s="112">
        <v>1.0096827952507335</v>
      </c>
      <c r="M237" s="112">
        <v>0.4</v>
      </c>
      <c r="N237" s="112">
        <v>1</v>
      </c>
      <c r="O237" s="114" t="s">
        <v>312</v>
      </c>
      <c r="P237" s="116" t="s">
        <v>312</v>
      </c>
      <c r="Q237" s="90"/>
      <c r="U237" s="87"/>
      <c r="Y237" s="112" t="str">
        <f>IF(V237="","",
IF(AND(V237&gt;=$V$12,V237&lt;$V$13),$V$12,
IF(AND(V237&gt;=$V$13,V237&lt;$V$14),$V$13,
IF(AND(V237&gt;=$V$14,V237&lt;$V$15),$V$14,
IF(AND(V237&gt;=$V$15,V237&lt;$V$16),$V$15,
IF(AND(V237&gt;=$V$16,V237&lt;$V$17),$V$16,""))))))</f>
        <v/>
      </c>
      <c r="Z237" s="112">
        <v>1</v>
      </c>
      <c r="AC237" s="111">
        <f>IF(J237="","",VLOOKUP(F238,[1]dim!$A:$F,6,FALSE))</f>
        <v>0.44999999999999996</v>
      </c>
      <c r="AD237" s="111">
        <f>IF(J237="","",VLOOKUP(F238,[1]dim!$A:$G,7,FALSE))</f>
        <v>0.43999999999999995</v>
      </c>
      <c r="AF237">
        <v>0.44999999999999996</v>
      </c>
      <c r="AG237">
        <v>0.43999999999999995</v>
      </c>
    </row>
    <row r="238" spans="1:33">
      <c r="A238" s="27"/>
      <c r="B238" s="129"/>
      <c r="C238" s="131"/>
      <c r="D238" s="131"/>
      <c r="E238" s="34" t="s">
        <v>228</v>
      </c>
      <c r="F238" s="6" t="s">
        <v>481</v>
      </c>
      <c r="G238" s="13">
        <v>24.963971000000004</v>
      </c>
      <c r="H238" s="13" t="s">
        <v>482</v>
      </c>
      <c r="I238" s="115"/>
      <c r="J238" s="113"/>
      <c r="K238" s="113"/>
      <c r="L238" s="113"/>
      <c r="M238" s="113"/>
      <c r="N238" s="113"/>
      <c r="O238" s="115"/>
      <c r="P238" s="117"/>
      <c r="Q238" s="90"/>
      <c r="U238" s="87"/>
      <c r="Y238" s="113"/>
      <c r="Z238" s="113"/>
      <c r="AC238" s="111"/>
      <c r="AD238" s="111"/>
    </row>
    <row r="239" spans="1:33">
      <c r="A239" s="27" t="s">
        <v>894</v>
      </c>
      <c r="B239" s="129" t="s">
        <v>479</v>
      </c>
      <c r="C239" s="131" t="s">
        <v>11</v>
      </c>
      <c r="D239" s="131" t="s">
        <v>40</v>
      </c>
      <c r="E239" s="34" t="s">
        <v>227</v>
      </c>
      <c r="F239" s="6" t="s">
        <v>9</v>
      </c>
      <c r="G239" s="13">
        <v>27.291681500000028</v>
      </c>
      <c r="H239" s="13" t="s">
        <v>313</v>
      </c>
      <c r="I239" s="114" t="s">
        <v>483</v>
      </c>
      <c r="J239" s="112">
        <v>0.4</v>
      </c>
      <c r="K239" s="112">
        <v>1.5727904094402341</v>
      </c>
      <c r="L239" s="112">
        <v>1.2101813539949959</v>
      </c>
      <c r="M239" s="112">
        <v>0.4</v>
      </c>
      <c r="N239" s="112">
        <v>1</v>
      </c>
      <c r="O239" s="114" t="s">
        <v>312</v>
      </c>
      <c r="P239" s="116" t="s">
        <v>312</v>
      </c>
      <c r="Q239" s="90"/>
      <c r="U239" s="87"/>
      <c r="Y239" s="112" t="str">
        <f>IF(V239="","",
IF(AND(V239&gt;=$V$12,V239&lt;$V$13),$V$12,
IF(AND(V239&gt;=$V$13,V239&lt;$V$14),$V$13,
IF(AND(V239&gt;=$V$14,V239&lt;$V$15),$V$14,
IF(AND(V239&gt;=$V$15,V239&lt;$V$16),$V$15,
IF(AND(V239&gt;=$V$16,V239&lt;$V$17),$V$16,""))))))</f>
        <v/>
      </c>
      <c r="Z239" s="112">
        <v>1</v>
      </c>
      <c r="AC239" s="111">
        <f>IF(J239="","",VLOOKUP(F240,[1]dim!$A:$F,6,FALSE))</f>
        <v>0.4</v>
      </c>
      <c r="AD239" s="111">
        <f>IF(J239="","",VLOOKUP(F240,[1]dim!$A:$G,7,FALSE))</f>
        <v>0.29863008205086433</v>
      </c>
      <c r="AF239">
        <v>0.4</v>
      </c>
      <c r="AG239">
        <v>0.29863008205086433</v>
      </c>
    </row>
    <row r="240" spans="1:33">
      <c r="A240" s="27"/>
      <c r="B240" s="129"/>
      <c r="C240" s="131"/>
      <c r="D240" s="131"/>
      <c r="E240" s="34" t="s">
        <v>228</v>
      </c>
      <c r="F240" s="6" t="s">
        <v>484</v>
      </c>
      <c r="G240" s="13">
        <v>25.718891090559794</v>
      </c>
      <c r="H240" s="13" t="s">
        <v>485</v>
      </c>
      <c r="I240" s="115"/>
      <c r="J240" s="113"/>
      <c r="K240" s="113"/>
      <c r="L240" s="113"/>
      <c r="M240" s="113"/>
      <c r="N240" s="113"/>
      <c r="O240" s="115"/>
      <c r="P240" s="117"/>
      <c r="Q240" s="90"/>
      <c r="U240" s="87"/>
      <c r="Y240" s="113"/>
      <c r="Z240" s="113"/>
      <c r="AC240" s="111"/>
      <c r="AD240" s="111"/>
    </row>
    <row r="241" spans="1:33">
      <c r="A241" s="27" t="s">
        <v>895</v>
      </c>
      <c r="B241" s="129" t="s">
        <v>486</v>
      </c>
      <c r="C241" s="131" t="s">
        <v>14</v>
      </c>
      <c r="D241" s="131" t="s">
        <v>40</v>
      </c>
      <c r="E241" s="34" t="s">
        <v>227</v>
      </c>
      <c r="F241" s="6" t="s">
        <v>12</v>
      </c>
      <c r="G241" s="13">
        <v>26.978152000000026</v>
      </c>
      <c r="H241" s="13" t="s">
        <v>315</v>
      </c>
      <c r="I241" s="114" t="s">
        <v>487</v>
      </c>
      <c r="J241" s="112">
        <v>0.4</v>
      </c>
      <c r="K241" s="112">
        <v>2.1338011406657138</v>
      </c>
      <c r="L241" s="112">
        <v>1.0952317785398846</v>
      </c>
      <c r="M241" s="112">
        <v>0.4</v>
      </c>
      <c r="N241" s="112">
        <v>1</v>
      </c>
      <c r="O241" s="114" t="s">
        <v>312</v>
      </c>
      <c r="P241" s="116" t="s">
        <v>312</v>
      </c>
      <c r="Q241" s="90"/>
      <c r="U241" s="87"/>
      <c r="Y241" s="112" t="str">
        <f>IF(V241="","",
IF(AND(V241&gt;=$V$12,V241&lt;$V$13),$V$12,
IF(AND(V241&gt;=$V$13,V241&lt;$V$14),$V$13,
IF(AND(V241&gt;=$V$14,V241&lt;$V$15),$V$14,
IF(AND(V241&gt;=$V$15,V241&lt;$V$16),$V$15,
IF(AND(V241&gt;=$V$16,V241&lt;$V$17),$V$16,""))))))</f>
        <v/>
      </c>
      <c r="Z241" s="112">
        <v>1</v>
      </c>
      <c r="AC241" s="111">
        <f>IF(J241="","",VLOOKUP(F242,[1]dim!$A:$F,6,FALSE))</f>
        <v>0.4</v>
      </c>
      <c r="AD241" s="111">
        <f>IF(J241="","",VLOOKUP(F242,[1]dim!$A:$G,7,FALSE))</f>
        <v>0.36588317560606354</v>
      </c>
      <c r="AF241">
        <v>0.4</v>
      </c>
      <c r="AG241">
        <v>0.36588317560606354</v>
      </c>
    </row>
    <row r="242" spans="1:33">
      <c r="A242" s="27"/>
      <c r="B242" s="129"/>
      <c r="C242" s="131"/>
      <c r="D242" s="131"/>
      <c r="E242" s="34" t="s">
        <v>228</v>
      </c>
      <c r="F242" s="6" t="s">
        <v>488</v>
      </c>
      <c r="G242" s="13">
        <v>24.844350859334313</v>
      </c>
      <c r="H242" s="13" t="s">
        <v>489</v>
      </c>
      <c r="I242" s="115"/>
      <c r="J242" s="113"/>
      <c r="K242" s="113"/>
      <c r="L242" s="113"/>
      <c r="M242" s="113"/>
      <c r="N242" s="113"/>
      <c r="O242" s="115"/>
      <c r="P242" s="117"/>
      <c r="Q242" s="90"/>
      <c r="U242" s="87"/>
      <c r="Y242" s="113"/>
      <c r="Z242" s="113"/>
      <c r="AC242" s="111"/>
      <c r="AD242" s="111"/>
    </row>
    <row r="243" spans="1:33">
      <c r="A243" s="27" t="s">
        <v>896</v>
      </c>
      <c r="B243" s="129" t="s">
        <v>486</v>
      </c>
      <c r="C243" s="131" t="s">
        <v>14</v>
      </c>
      <c r="D243" s="131" t="s">
        <v>40</v>
      </c>
      <c r="E243" s="34" t="s">
        <v>227</v>
      </c>
      <c r="F243" s="6" t="s">
        <v>12</v>
      </c>
      <c r="G243" s="13">
        <v>26.978152000000026</v>
      </c>
      <c r="H243" s="13" t="s">
        <v>315</v>
      </c>
      <c r="I243" s="114" t="s">
        <v>490</v>
      </c>
      <c r="J243" s="112">
        <v>0.3</v>
      </c>
      <c r="K243" s="112">
        <v>1.4652549265728396</v>
      </c>
      <c r="L243" s="112">
        <v>1.2495068174874526</v>
      </c>
      <c r="M243" s="112">
        <v>0.3</v>
      </c>
      <c r="N243" s="112">
        <v>1</v>
      </c>
      <c r="O243" s="114" t="s">
        <v>312</v>
      </c>
      <c r="P243" s="116" t="s">
        <v>312</v>
      </c>
      <c r="Q243" s="90"/>
      <c r="U243" s="87"/>
      <c r="Y243" s="112" t="str">
        <f>IF(V243="","",
IF(AND(V243&gt;=$V$12,V243&lt;$V$13),$V$12,
IF(AND(V243&gt;=$V$13,V243&lt;$V$14),$V$13,
IF(AND(V243&gt;=$V$14,V243&lt;$V$15),$V$14,
IF(AND(V243&gt;=$V$15,V243&lt;$V$16),$V$15,
IF(AND(V243&gt;=$V$16,V243&lt;$V$17),$V$16,""))))))</f>
        <v/>
      </c>
      <c r="Z243" s="112">
        <v>1</v>
      </c>
      <c r="AC243" s="111">
        <f>IF(J243="","",VLOOKUP(F244,[1]dim!$A:$F,6,FALSE))</f>
        <v>0.3</v>
      </c>
      <c r="AD243" s="111">
        <f>IF(J243="","",VLOOKUP(F244,[1]dim!$A:$G,7,FALSE))</f>
        <v>0.22961638188784486</v>
      </c>
      <c r="AF243">
        <v>0.3</v>
      </c>
      <c r="AG243">
        <v>0.22961638188784486</v>
      </c>
    </row>
    <row r="244" spans="1:33">
      <c r="A244" s="27"/>
      <c r="B244" s="129"/>
      <c r="C244" s="131"/>
      <c r="D244" s="131"/>
      <c r="E244" s="34" t="s">
        <v>228</v>
      </c>
      <c r="F244" s="6" t="s">
        <v>491</v>
      </c>
      <c r="G244" s="13">
        <v>25.512897073427187</v>
      </c>
      <c r="H244" s="13" t="s">
        <v>492</v>
      </c>
      <c r="I244" s="115"/>
      <c r="J244" s="113"/>
      <c r="K244" s="113"/>
      <c r="L244" s="113"/>
      <c r="M244" s="113"/>
      <c r="N244" s="113"/>
      <c r="O244" s="115"/>
      <c r="P244" s="117"/>
      <c r="Q244" s="90"/>
      <c r="U244" s="87"/>
      <c r="Y244" s="113"/>
      <c r="Z244" s="113"/>
      <c r="AC244" s="111"/>
      <c r="AD244" s="111"/>
    </row>
    <row r="245" spans="1:33">
      <c r="A245" s="27" t="s">
        <v>897</v>
      </c>
      <c r="B245" s="129" t="s">
        <v>493</v>
      </c>
      <c r="C245" s="131" t="s">
        <v>17</v>
      </c>
      <c r="D245" s="131" t="s">
        <v>40</v>
      </c>
      <c r="E245" s="34" t="s">
        <v>227</v>
      </c>
      <c r="F245" s="6" t="s">
        <v>15</v>
      </c>
      <c r="G245" s="13">
        <v>26.247389600000027</v>
      </c>
      <c r="H245" s="13" t="s">
        <v>317</v>
      </c>
      <c r="I245" s="114" t="s">
        <v>494</v>
      </c>
      <c r="J245" s="112">
        <v>0.45</v>
      </c>
      <c r="K245" s="112">
        <v>1.2148225540028861</v>
      </c>
      <c r="L245" s="112">
        <v>0.98158993301805697</v>
      </c>
      <c r="M245" s="112">
        <v>0.4</v>
      </c>
      <c r="N245" s="112">
        <v>1</v>
      </c>
      <c r="O245" s="114" t="s">
        <v>312</v>
      </c>
      <c r="P245" s="116" t="s">
        <v>312</v>
      </c>
      <c r="Q245" s="91">
        <v>0.7</v>
      </c>
      <c r="U245" s="87"/>
      <c r="Y245" s="112" t="str">
        <f>IF(V245="","",
IF(AND(V245&gt;=$V$12,V245&lt;$V$13),$V$12,
IF(AND(V245&gt;=$V$13,V245&lt;$V$14),$V$13,
IF(AND(V245&gt;=$V$14,V245&lt;$V$15),$V$14,
IF(AND(V245&gt;=$V$15,V245&lt;$V$16),$V$15,
IF(AND(V245&gt;=$V$16,V245&lt;$V$17),$V$16,""))))))</f>
        <v/>
      </c>
      <c r="Z245" s="112">
        <v>1</v>
      </c>
      <c r="AC245" s="111">
        <f>IF(J245="","",VLOOKUP(F246,[1]dim!$A:$F,6,FALSE))</f>
        <v>0.45</v>
      </c>
      <c r="AD245" s="111">
        <f>IF(J245="","",VLOOKUP(F246,[1]dim!$A:$G,7,FALSE))</f>
        <v>0.39991758724400367</v>
      </c>
      <c r="AF245">
        <v>0.45</v>
      </c>
      <c r="AG245">
        <v>0.39991758724400367</v>
      </c>
    </row>
    <row r="246" spans="1:33">
      <c r="A246" s="27"/>
      <c r="B246" s="129"/>
      <c r="C246" s="131"/>
      <c r="D246" s="131"/>
      <c r="E246" s="34" t="s">
        <v>228</v>
      </c>
      <c r="F246" s="6" t="s">
        <v>495</v>
      </c>
      <c r="G246" s="13">
        <v>25.032567045997141</v>
      </c>
      <c r="H246" s="13" t="s">
        <v>496</v>
      </c>
      <c r="I246" s="115"/>
      <c r="J246" s="113"/>
      <c r="K246" s="113"/>
      <c r="L246" s="113"/>
      <c r="M246" s="113"/>
      <c r="N246" s="113"/>
      <c r="O246" s="115"/>
      <c r="P246" s="117"/>
      <c r="Q246" s="90" t="s">
        <v>300</v>
      </c>
      <c r="U246" s="87"/>
      <c r="Y246" s="113"/>
      <c r="Z246" s="113"/>
      <c r="AC246" s="111"/>
      <c r="AD246" s="111"/>
    </row>
    <row r="247" spans="1:33">
      <c r="A247" s="27" t="s">
        <v>898</v>
      </c>
      <c r="B247" s="129" t="s">
        <v>497</v>
      </c>
      <c r="C247" s="131" t="s">
        <v>20</v>
      </c>
      <c r="D247" s="131" t="s">
        <v>40</v>
      </c>
      <c r="E247" s="34" t="s">
        <v>227</v>
      </c>
      <c r="F247" s="6" t="s">
        <v>18</v>
      </c>
      <c r="G247" s="13">
        <v>26.145269000000027</v>
      </c>
      <c r="H247" s="13" t="s">
        <v>318</v>
      </c>
      <c r="I247" s="114" t="s">
        <v>498</v>
      </c>
      <c r="J247" s="112">
        <v>0.3</v>
      </c>
      <c r="K247" s="112">
        <v>1.3040451870887644</v>
      </c>
      <c r="L247" s="112">
        <v>1.1304420483253952</v>
      </c>
      <c r="M247" s="112">
        <v>0.3</v>
      </c>
      <c r="N247" s="112">
        <v>1</v>
      </c>
      <c r="O247" s="114" t="s">
        <v>312</v>
      </c>
      <c r="P247" s="116" t="s">
        <v>312</v>
      </c>
      <c r="Q247" s="90"/>
      <c r="U247" s="87"/>
      <c r="Y247" s="112" t="str">
        <f>IF(V247="","",
IF(AND(V247&gt;=$V$12,V247&lt;$V$13),$V$12,
IF(AND(V247&gt;=$V$13,V247&lt;$V$14),$V$13,
IF(AND(V247&gt;=$V$14,V247&lt;$V$15),$V$14,
IF(AND(V247&gt;=$V$15,V247&lt;$V$16),$V$15,
IF(AND(V247&gt;=$V$16,V247&lt;$V$17),$V$16,""))))))</f>
        <v/>
      </c>
      <c r="Z247" s="112">
        <v>1</v>
      </c>
      <c r="AC247" s="111">
        <f>IF(J247="","",VLOOKUP(F248,[1]dim!$A:$F,6,FALSE))</f>
        <v>0.3</v>
      </c>
      <c r="AD247" s="111">
        <f>IF(J247="","",VLOOKUP(F248,[1]dim!$A:$G,7,FALSE))</f>
        <v>0.27476507048202303</v>
      </c>
      <c r="AF247">
        <v>0.3</v>
      </c>
      <c r="AG247">
        <v>0.27476507048202303</v>
      </c>
    </row>
    <row r="248" spans="1:33">
      <c r="A248" s="27"/>
      <c r="B248" s="129"/>
      <c r="C248" s="131"/>
      <c r="D248" s="131"/>
      <c r="E248" s="34" t="s">
        <v>228</v>
      </c>
      <c r="F248" s="6" t="s">
        <v>499</v>
      </c>
      <c r="G248" s="13">
        <v>24.841223812911263</v>
      </c>
      <c r="H248" s="13" t="s">
        <v>500</v>
      </c>
      <c r="I248" s="115"/>
      <c r="J248" s="113"/>
      <c r="K248" s="113"/>
      <c r="L248" s="113"/>
      <c r="M248" s="113"/>
      <c r="N248" s="113"/>
      <c r="O248" s="115"/>
      <c r="P248" s="117"/>
      <c r="Q248" s="90"/>
      <c r="U248" s="87"/>
      <c r="Y248" s="113"/>
      <c r="Z248" s="113"/>
      <c r="AC248" s="111"/>
      <c r="AD248" s="111"/>
    </row>
    <row r="249" spans="1:33">
      <c r="A249" s="27" t="s">
        <v>899</v>
      </c>
      <c r="B249" s="129" t="s">
        <v>501</v>
      </c>
      <c r="C249" s="131" t="s">
        <v>23</v>
      </c>
      <c r="D249" s="131" t="s">
        <v>40</v>
      </c>
      <c r="E249" s="34" t="s">
        <v>227</v>
      </c>
      <c r="F249" s="6" t="s">
        <v>21</v>
      </c>
      <c r="G249" s="13">
        <v>25.534389000000026</v>
      </c>
      <c r="H249" s="13" t="s">
        <v>320</v>
      </c>
      <c r="I249" s="114" t="s">
        <v>502</v>
      </c>
      <c r="J249" s="112">
        <v>0.5</v>
      </c>
      <c r="K249" s="112">
        <v>2.0708068463409433</v>
      </c>
      <c r="L249" s="112">
        <v>0.7921991663609419</v>
      </c>
      <c r="M249" s="112">
        <v>0.4</v>
      </c>
      <c r="N249" s="112">
        <v>1</v>
      </c>
      <c r="O249" s="114" t="s">
        <v>312</v>
      </c>
      <c r="P249" s="116" t="s">
        <v>312</v>
      </c>
      <c r="Q249" s="90"/>
      <c r="U249" s="87"/>
      <c r="Y249" s="112" t="str">
        <f>IF(V249="","",
IF(AND(V249&gt;=$V$12,V249&lt;$V$13),$V$12,
IF(AND(V249&gt;=$V$13,V249&lt;$V$14),$V$13,
IF(AND(V249&gt;=$V$14,V249&lt;$V$15),$V$14,
IF(AND(V249&gt;=$V$15,V249&lt;$V$16),$V$15,
IF(AND(V249&gt;=$V$16,V249&lt;$V$17),$V$16,""))))))</f>
        <v/>
      </c>
      <c r="Z249" s="112">
        <v>1</v>
      </c>
      <c r="AC249" s="111">
        <f>IF(J249="","",VLOOKUP(F250,[1]dim!$A:$F,6,FALSE))</f>
        <v>0.5</v>
      </c>
      <c r="AD249" s="111">
        <f>IF(J249="","",VLOOKUP(F250,[1]dim!$A:$G,7,FALSE))</f>
        <v>0.44360389214608648</v>
      </c>
      <c r="AF249">
        <v>0.5</v>
      </c>
      <c r="AG249">
        <v>0.44360389214608648</v>
      </c>
    </row>
    <row r="250" spans="1:33">
      <c r="A250" s="27"/>
      <c r="B250" s="129"/>
      <c r="C250" s="131"/>
      <c r="D250" s="131"/>
      <c r="E250" s="34" t="s">
        <v>228</v>
      </c>
      <c r="F250" s="6" t="s">
        <v>503</v>
      </c>
      <c r="G250" s="13">
        <v>23.463582153659083</v>
      </c>
      <c r="H250" s="13" t="s">
        <v>504</v>
      </c>
      <c r="I250" s="115"/>
      <c r="J250" s="113"/>
      <c r="K250" s="113"/>
      <c r="L250" s="113"/>
      <c r="M250" s="113"/>
      <c r="N250" s="113"/>
      <c r="O250" s="115"/>
      <c r="P250" s="117"/>
      <c r="Q250" s="90"/>
      <c r="U250" s="87"/>
      <c r="Y250" s="113"/>
      <c r="Z250" s="113"/>
      <c r="AC250" s="111"/>
      <c r="AD250" s="111"/>
    </row>
    <row r="251" spans="1:33">
      <c r="A251" s="27" t="s">
        <v>900</v>
      </c>
      <c r="B251" s="129" t="s">
        <v>501</v>
      </c>
      <c r="C251" s="131" t="s">
        <v>23</v>
      </c>
      <c r="D251" s="131" t="s">
        <v>40</v>
      </c>
      <c r="E251" s="34" t="s">
        <v>227</v>
      </c>
      <c r="F251" s="6" t="s">
        <v>21</v>
      </c>
      <c r="G251" s="13">
        <v>25.534389000000026</v>
      </c>
      <c r="H251" s="13" t="s">
        <v>320</v>
      </c>
      <c r="I251" s="114" t="s">
        <v>505</v>
      </c>
      <c r="J251" s="112">
        <v>0.3</v>
      </c>
      <c r="K251" s="112">
        <v>2.559639000000022</v>
      </c>
      <c r="L251" s="112">
        <v>0.59987154470506321</v>
      </c>
      <c r="M251" s="112">
        <v>0.3</v>
      </c>
      <c r="N251" s="112">
        <v>1</v>
      </c>
      <c r="O251" s="114" t="s">
        <v>312</v>
      </c>
      <c r="P251" s="116" t="s">
        <v>312</v>
      </c>
      <c r="Q251" s="90"/>
      <c r="U251" s="87"/>
      <c r="Y251" s="112" t="str">
        <f>IF(V251="","",
IF(AND(V251&gt;=$V$12,V251&lt;$V$13),$V$12,
IF(AND(V251&gt;=$V$13,V251&lt;$V$14),$V$13,
IF(AND(V251&gt;=$V$14,V251&lt;$V$15),$V$14,
IF(AND(V251&gt;=$V$15,V251&lt;$V$16),$V$15,
IF(AND(V251&gt;=$V$16,V251&lt;$V$17),$V$16,""))))))</f>
        <v/>
      </c>
      <c r="Z251" s="112">
        <v>1</v>
      </c>
      <c r="AC251" s="111">
        <f>IF(J251="","",VLOOKUP(F252,[1]dim!$A:$F,6,FALSE))</f>
        <v>0.3</v>
      </c>
      <c r="AD251" s="111">
        <f>IF(J251="","",VLOOKUP(F252,[1]dim!$A:$G,7,FALSE))</f>
        <v>0.26957675539406051</v>
      </c>
      <c r="AF251">
        <v>0.3</v>
      </c>
      <c r="AG251">
        <v>0.26957675539406051</v>
      </c>
    </row>
    <row r="252" spans="1:33">
      <c r="A252" s="27"/>
      <c r="B252" s="129"/>
      <c r="C252" s="131"/>
      <c r="D252" s="131"/>
      <c r="E252" s="34" t="s">
        <v>228</v>
      </c>
      <c r="F252" s="6" t="s">
        <v>506</v>
      </c>
      <c r="G252" s="13">
        <v>22.974750000000004</v>
      </c>
      <c r="H252" s="13" t="s">
        <v>507</v>
      </c>
      <c r="I252" s="115"/>
      <c r="J252" s="113"/>
      <c r="K252" s="113"/>
      <c r="L252" s="113"/>
      <c r="M252" s="113"/>
      <c r="N252" s="113"/>
      <c r="O252" s="115"/>
      <c r="P252" s="117"/>
      <c r="Q252" s="90"/>
      <c r="U252" s="87"/>
      <c r="Y252" s="113"/>
      <c r="Z252" s="113"/>
      <c r="AC252" s="111"/>
      <c r="AD252" s="111"/>
    </row>
    <row r="253" spans="1:33">
      <c r="A253" s="27" t="s">
        <v>901</v>
      </c>
      <c r="B253" s="129" t="s">
        <v>501</v>
      </c>
      <c r="C253" s="131" t="s">
        <v>23</v>
      </c>
      <c r="D253" s="131" t="s">
        <v>40</v>
      </c>
      <c r="E253" s="34" t="s">
        <v>227</v>
      </c>
      <c r="F253" s="6" t="s">
        <v>21</v>
      </c>
      <c r="G253" s="13">
        <v>25.534389000000026</v>
      </c>
      <c r="H253" s="13" t="s">
        <v>320</v>
      </c>
      <c r="I253" s="114" t="s">
        <v>508</v>
      </c>
      <c r="J253" s="112">
        <v>0.45</v>
      </c>
      <c r="K253" s="112">
        <v>3.3321390000000157</v>
      </c>
      <c r="L253" s="112">
        <v>0.85980403542811545</v>
      </c>
      <c r="M253" s="112">
        <v>0.4</v>
      </c>
      <c r="N253" s="112">
        <v>1</v>
      </c>
      <c r="O253" s="114" t="s">
        <v>312</v>
      </c>
      <c r="P253" s="116" t="s">
        <v>312</v>
      </c>
      <c r="Q253" s="90"/>
      <c r="U253" s="87"/>
      <c r="Y253" s="112" t="str">
        <f>IF(V253="","",
IF(AND(V253&gt;=$V$12,V253&lt;$V$13),$V$12,
IF(AND(V253&gt;=$V$13,V253&lt;$V$14),$V$13,
IF(AND(V253&gt;=$V$14,V253&lt;$V$15),$V$14,
IF(AND(V253&gt;=$V$15,V253&lt;$V$16),$V$15,
IF(AND(V253&gt;=$V$16,V253&lt;$V$17),$V$16,""))))))</f>
        <v/>
      </c>
      <c r="Z253" s="112">
        <v>1</v>
      </c>
      <c r="AC253" s="111">
        <f>IF(J253="","",VLOOKUP(F254,[1]dim!$A:$F,6,FALSE))</f>
        <v>0.45</v>
      </c>
      <c r="AD253" s="111">
        <f>IF(J253="","",VLOOKUP(F254,[1]dim!$A:$G,7,FALSE))</f>
        <v>0.40793162295720686</v>
      </c>
      <c r="AF253">
        <v>0.45</v>
      </c>
      <c r="AG253">
        <v>0.40793162295720686</v>
      </c>
    </row>
    <row r="254" spans="1:33">
      <c r="A254" s="27"/>
      <c r="B254" s="129"/>
      <c r="C254" s="131"/>
      <c r="D254" s="131"/>
      <c r="E254" s="34" t="s">
        <v>228</v>
      </c>
      <c r="F254" s="6" t="s">
        <v>509</v>
      </c>
      <c r="G254" s="13">
        <v>22.20225000000001</v>
      </c>
      <c r="H254" s="13" t="s">
        <v>510</v>
      </c>
      <c r="I254" s="115"/>
      <c r="J254" s="113"/>
      <c r="K254" s="113"/>
      <c r="L254" s="113"/>
      <c r="M254" s="113"/>
      <c r="N254" s="113"/>
      <c r="O254" s="115"/>
      <c r="P254" s="117"/>
      <c r="Q254" s="90"/>
      <c r="U254" s="87"/>
      <c r="Y254" s="113"/>
      <c r="Z254" s="113"/>
      <c r="AC254" s="111"/>
      <c r="AD254" s="111"/>
    </row>
    <row r="255" spans="1:33">
      <c r="A255" s="27"/>
      <c r="B255" s="138" t="s">
        <v>265</v>
      </c>
      <c r="C255" s="140"/>
      <c r="D255" s="140"/>
      <c r="E255" s="32"/>
      <c r="F255" s="19"/>
      <c r="G255" s="20"/>
      <c r="H255" s="20"/>
      <c r="I255" s="140" t="s">
        <v>302</v>
      </c>
      <c r="J255" s="119"/>
      <c r="K255" s="119"/>
      <c r="L255" s="119"/>
      <c r="M255" s="119" t="s">
        <v>302</v>
      </c>
      <c r="N255" s="119"/>
      <c r="O255" s="140"/>
      <c r="P255" s="150"/>
      <c r="Q255" s="90"/>
      <c r="U255" s="87"/>
      <c r="Y255" s="119" t="str">
        <f>IF(V255="","",
IF(AND(V255&gt;=$V$12,V255&lt;$V$13),$V$12,
IF(AND(V255&gt;=$V$13,V255&lt;$V$14),$V$13,
IF(AND(V255&gt;=$V$14,V255&lt;$V$15),$V$14,
IF(AND(V255&gt;=$V$15,V255&lt;$V$16),$V$15,
IF(AND(V255&gt;=$V$16,V255&lt;$V$17),$V$16,""))))))</f>
        <v/>
      </c>
      <c r="Z255" s="119"/>
      <c r="AC255" s="111" t="str">
        <f>IF(J255="","",VLOOKUP(F256,[1]dim!$A:$F,6,FALSE))</f>
        <v/>
      </c>
      <c r="AD255" s="111" t="str">
        <f>IF(J255="","",VLOOKUP(F256,[1]dim!$A:$G,7,FALSE))</f>
        <v/>
      </c>
      <c r="AF255" t="s">
        <v>302</v>
      </c>
      <c r="AG255" t="s">
        <v>302</v>
      </c>
    </row>
    <row r="256" spans="1:33">
      <c r="A256" s="27"/>
      <c r="B256" s="139"/>
      <c r="C256" s="141"/>
      <c r="D256" s="141"/>
      <c r="E256" s="33"/>
      <c r="F256" s="21"/>
      <c r="G256" s="22"/>
      <c r="H256" s="22"/>
      <c r="I256" s="141"/>
      <c r="J256" s="120"/>
      <c r="K256" s="120"/>
      <c r="L256" s="120"/>
      <c r="M256" s="120"/>
      <c r="N256" s="120"/>
      <c r="O256" s="141"/>
      <c r="P256" s="151"/>
      <c r="Q256" s="90"/>
      <c r="U256" s="87"/>
      <c r="Y256" s="120"/>
      <c r="Z256" s="120"/>
      <c r="AC256" s="111"/>
      <c r="AD256" s="111"/>
    </row>
    <row r="257" spans="1:33">
      <c r="A257" s="27" t="s">
        <v>902</v>
      </c>
      <c r="B257" s="129" t="s">
        <v>511</v>
      </c>
      <c r="C257" s="131" t="s">
        <v>85</v>
      </c>
      <c r="D257" s="131" t="s">
        <v>40</v>
      </c>
      <c r="E257" s="34" t="s">
        <v>227</v>
      </c>
      <c r="F257" s="6" t="s">
        <v>83</v>
      </c>
      <c r="G257" s="13">
        <v>24.105763000000017</v>
      </c>
      <c r="H257" s="13" t="s">
        <v>367</v>
      </c>
      <c r="I257" s="114" t="s">
        <v>512</v>
      </c>
      <c r="J257" s="112">
        <v>0.5</v>
      </c>
      <c r="K257" s="112">
        <v>2.593263000000011</v>
      </c>
      <c r="L257" s="112">
        <v>0.52978517271848047</v>
      </c>
      <c r="M257" s="112">
        <v>0.4</v>
      </c>
      <c r="N257" s="112">
        <v>1</v>
      </c>
      <c r="O257" s="114" t="s">
        <v>312</v>
      </c>
      <c r="P257" s="116" t="s">
        <v>312</v>
      </c>
      <c r="Q257" s="90"/>
      <c r="U257" s="87"/>
      <c r="Y257" s="112" t="str">
        <f>IF(V257="","",
IF(AND(V257&gt;=$V$12,V257&lt;$V$13),$V$12,
IF(AND(V257&gt;=$V$13,V257&lt;$V$14),$V$13,
IF(AND(V257&gt;=$V$14,V257&lt;$V$15),$V$14,
IF(AND(V257&gt;=$V$15,V257&lt;$V$16),$V$15,
IF(AND(V257&gt;=$V$16,V257&lt;$V$17),$V$16,""))))))</f>
        <v/>
      </c>
      <c r="Z257" s="112">
        <v>1</v>
      </c>
      <c r="AC257" s="111">
        <f>IF(J257="","",VLOOKUP(F258,[1]dim!$A:$F,6,FALSE))</f>
        <v>0.5</v>
      </c>
      <c r="AD257" s="111">
        <f>IF(J257="","",VLOOKUP(F258,[1]dim!$A:$G,7,FALSE))</f>
        <v>0.39271661036722333</v>
      </c>
      <c r="AF257">
        <v>0.5</v>
      </c>
      <c r="AG257">
        <v>0.39271661036722333</v>
      </c>
    </row>
    <row r="258" spans="1:33">
      <c r="A258" s="27"/>
      <c r="B258" s="129"/>
      <c r="C258" s="131"/>
      <c r="D258" s="131"/>
      <c r="E258" s="34" t="s">
        <v>228</v>
      </c>
      <c r="F258" s="6" t="s">
        <v>513</v>
      </c>
      <c r="G258" s="13">
        <v>21.512500000000006</v>
      </c>
      <c r="H258" s="13" t="s">
        <v>514</v>
      </c>
      <c r="I258" s="115"/>
      <c r="J258" s="113"/>
      <c r="K258" s="113"/>
      <c r="L258" s="113"/>
      <c r="M258" s="113"/>
      <c r="N258" s="113"/>
      <c r="O258" s="115"/>
      <c r="P258" s="117"/>
      <c r="Q258" s="90"/>
      <c r="U258" s="87"/>
      <c r="Y258" s="113"/>
      <c r="Z258" s="113"/>
      <c r="AC258" s="111"/>
      <c r="AD258" s="111"/>
    </row>
    <row r="259" spans="1:33">
      <c r="A259" s="27" t="s">
        <v>903</v>
      </c>
      <c r="B259" s="129" t="s">
        <v>515</v>
      </c>
      <c r="C259" s="131" t="s">
        <v>88</v>
      </c>
      <c r="D259" s="131" t="s">
        <v>40</v>
      </c>
      <c r="E259" s="34" t="s">
        <v>227</v>
      </c>
      <c r="F259" s="6" t="s">
        <v>86</v>
      </c>
      <c r="G259" s="13">
        <v>23.823264000000016</v>
      </c>
      <c r="H259" s="13" t="s">
        <v>369</v>
      </c>
      <c r="I259" s="114" t="s">
        <v>516</v>
      </c>
      <c r="J259" s="112">
        <v>0.45</v>
      </c>
      <c r="K259" s="112">
        <v>2.4240140000000068</v>
      </c>
      <c r="L259" s="112">
        <v>0.48134723432246235</v>
      </c>
      <c r="M259" s="112">
        <v>0.4</v>
      </c>
      <c r="N259" s="112">
        <v>1</v>
      </c>
      <c r="O259" s="114" t="s">
        <v>312</v>
      </c>
      <c r="P259" s="116" t="s">
        <v>312</v>
      </c>
      <c r="Q259" s="90"/>
      <c r="U259" s="87"/>
      <c r="Y259" s="112" t="str">
        <f>IF(V259="","",
IF(AND(V259&gt;=$V$12,V259&lt;$V$13),$V$12,
IF(AND(V259&gt;=$V$13,V259&lt;$V$14),$V$13,
IF(AND(V259&gt;=$V$14,V259&lt;$V$15),$V$14,
IF(AND(V259&gt;=$V$15,V259&lt;$V$16),$V$15,
IF(AND(V259&gt;=$V$16,V259&lt;$V$17),$V$16,""))))))</f>
        <v/>
      </c>
      <c r="Z259" s="112">
        <v>1</v>
      </c>
      <c r="AC259" s="111">
        <f>IF(J259="","",VLOOKUP(F260,[1]dim!$A:$F,6,FALSE))</f>
        <v>0.45</v>
      </c>
      <c r="AD259" s="111">
        <f>IF(J259="","",VLOOKUP(F260,[1]dim!$A:$G,7,FALSE))</f>
        <v>0.43344917537290184</v>
      </c>
      <c r="AF259">
        <v>0.45</v>
      </c>
      <c r="AG259">
        <v>0.43344917537290184</v>
      </c>
    </row>
    <row r="260" spans="1:33">
      <c r="A260" s="27"/>
      <c r="B260" s="129"/>
      <c r="C260" s="131"/>
      <c r="D260" s="131"/>
      <c r="E260" s="34" t="s">
        <v>228</v>
      </c>
      <c r="F260" s="6" t="s">
        <v>517</v>
      </c>
      <c r="G260" s="13">
        <v>21.399250000000009</v>
      </c>
      <c r="H260" s="13" t="s">
        <v>518</v>
      </c>
      <c r="I260" s="115"/>
      <c r="J260" s="113"/>
      <c r="K260" s="113"/>
      <c r="L260" s="113"/>
      <c r="M260" s="113"/>
      <c r="N260" s="113"/>
      <c r="O260" s="115"/>
      <c r="P260" s="117"/>
      <c r="Q260" s="90"/>
      <c r="U260" s="87"/>
      <c r="Y260" s="113"/>
      <c r="Z260" s="113"/>
      <c r="AC260" s="111"/>
      <c r="AD260" s="111"/>
    </row>
    <row r="261" spans="1:33">
      <c r="A261" s="27" t="s">
        <v>904</v>
      </c>
      <c r="B261" s="129" t="s">
        <v>519</v>
      </c>
      <c r="C261" s="131" t="s">
        <v>91</v>
      </c>
      <c r="D261" s="131" t="s">
        <v>40</v>
      </c>
      <c r="E261" s="34" t="s">
        <v>227</v>
      </c>
      <c r="F261" s="6" t="s">
        <v>89</v>
      </c>
      <c r="G261" s="13">
        <v>23.054712000000016</v>
      </c>
      <c r="H261" s="13" t="s">
        <v>371</v>
      </c>
      <c r="I261" s="114" t="s">
        <v>520</v>
      </c>
      <c r="J261" s="112">
        <v>0.5</v>
      </c>
      <c r="K261" s="112">
        <v>1.2868786209062364</v>
      </c>
      <c r="L261" s="112">
        <v>0.29450427202128426</v>
      </c>
      <c r="M261" s="112">
        <v>0.4</v>
      </c>
      <c r="N261" s="112">
        <v>1</v>
      </c>
      <c r="O261" s="114" t="s">
        <v>312</v>
      </c>
      <c r="P261" s="116" t="s">
        <v>312</v>
      </c>
      <c r="Q261" s="90"/>
      <c r="U261" s="87"/>
      <c r="Y261" s="112" t="str">
        <f>IF(V261="","",
IF(AND(V261&gt;=$V$12,V261&lt;$V$13),$V$12,
IF(AND(V261&gt;=$V$13,V261&lt;$V$14),$V$13,
IF(AND(V261&gt;=$V$14,V261&lt;$V$15),$V$14,
IF(AND(V261&gt;=$V$15,V261&lt;$V$16),$V$15,
IF(AND(V261&gt;=$V$16,V261&lt;$V$17),$V$16,""))))))</f>
        <v/>
      </c>
      <c r="Z261" s="112">
        <v>1</v>
      </c>
      <c r="AC261" s="111">
        <f>IF(J261="","",VLOOKUP(F262,[1]dim!$A:$F,6,FALSE))</f>
        <v>0.5</v>
      </c>
      <c r="AD261" s="111">
        <f>IF(J261="","",VLOOKUP(F262,[1]dim!$A:$G,7,FALSE))</f>
        <v>0.36577749346433036</v>
      </c>
      <c r="AF261">
        <v>0.5</v>
      </c>
      <c r="AG261">
        <v>0.36577749346433036</v>
      </c>
    </row>
    <row r="262" spans="1:33">
      <c r="A262" s="27"/>
      <c r="B262" s="129"/>
      <c r="C262" s="131"/>
      <c r="D262" s="131"/>
      <c r="E262" s="34" t="s">
        <v>228</v>
      </c>
      <c r="F262" s="6" t="s">
        <v>521</v>
      </c>
      <c r="G262" s="13">
        <v>21.76783337909378</v>
      </c>
      <c r="H262" s="13" t="s">
        <v>522</v>
      </c>
      <c r="I262" s="115"/>
      <c r="J262" s="113"/>
      <c r="K262" s="113"/>
      <c r="L262" s="113"/>
      <c r="M262" s="113"/>
      <c r="N262" s="113"/>
      <c r="O262" s="115"/>
      <c r="P262" s="117"/>
      <c r="Q262" s="90"/>
      <c r="U262" s="87"/>
      <c r="Y262" s="113"/>
      <c r="Z262" s="113"/>
      <c r="AC262" s="111"/>
      <c r="AD262" s="111"/>
    </row>
    <row r="263" spans="1:33">
      <c r="A263" s="27" t="s">
        <v>905</v>
      </c>
      <c r="B263" s="129" t="s">
        <v>519</v>
      </c>
      <c r="C263" s="131" t="s">
        <v>91</v>
      </c>
      <c r="D263" s="131" t="s">
        <v>40</v>
      </c>
      <c r="E263" s="34" t="s">
        <v>227</v>
      </c>
      <c r="F263" s="6" t="s">
        <v>89</v>
      </c>
      <c r="G263" s="13">
        <v>23.054712000000016</v>
      </c>
      <c r="H263" s="13" t="s">
        <v>371</v>
      </c>
      <c r="I263" s="114" t="s">
        <v>523</v>
      </c>
      <c r="J263" s="112">
        <v>0.45</v>
      </c>
      <c r="K263" s="112">
        <v>1.175212000000009</v>
      </c>
      <c r="L263" s="112">
        <v>0.3515172153572359</v>
      </c>
      <c r="M263" s="112">
        <v>0.4</v>
      </c>
      <c r="N263" s="112">
        <v>1</v>
      </c>
      <c r="O263" s="114" t="s">
        <v>312</v>
      </c>
      <c r="P263" s="116" t="s">
        <v>312</v>
      </c>
      <c r="Q263" s="90"/>
      <c r="U263" s="87"/>
      <c r="Y263" s="112" t="str">
        <f>IF(V263="","",
IF(AND(V263&gt;=$V$12,V263&lt;$V$13),$V$12,
IF(AND(V263&gt;=$V$13,V263&lt;$V$14),$V$13,
IF(AND(V263&gt;=$V$14,V263&lt;$V$15),$V$14,
IF(AND(V263&gt;=$V$15,V263&lt;$V$16),$V$15,
IF(AND(V263&gt;=$V$16,V263&lt;$V$17),$V$16,""))))))</f>
        <v/>
      </c>
      <c r="Z263" s="112">
        <v>1</v>
      </c>
      <c r="AC263" s="111">
        <f>IF(J263="","",VLOOKUP(F264,[1]dim!$A:$F,6,FALSE))</f>
        <v>0.45</v>
      </c>
      <c r="AD263" s="111">
        <f>IF(J263="","",VLOOKUP(F264,[1]dim!$A:$G,7,FALSE))</f>
        <v>0.31783443726088045</v>
      </c>
      <c r="AF263">
        <v>0.45</v>
      </c>
      <c r="AG263">
        <v>0.31783443726088045</v>
      </c>
    </row>
    <row r="264" spans="1:33">
      <c r="A264" s="27"/>
      <c r="B264" s="129"/>
      <c r="C264" s="131"/>
      <c r="D264" s="131"/>
      <c r="E264" s="34" t="s">
        <v>228</v>
      </c>
      <c r="F264" s="6" t="s">
        <v>524</v>
      </c>
      <c r="G264" s="13">
        <v>21.879500000000007</v>
      </c>
      <c r="H264" s="13" t="s">
        <v>525</v>
      </c>
      <c r="I264" s="115"/>
      <c r="J264" s="113"/>
      <c r="K264" s="113"/>
      <c r="L264" s="113"/>
      <c r="M264" s="113"/>
      <c r="N264" s="113"/>
      <c r="O264" s="115"/>
      <c r="P264" s="117"/>
      <c r="Q264" s="90"/>
      <c r="U264" s="87"/>
      <c r="Y264" s="113"/>
      <c r="Z264" s="113"/>
      <c r="AC264" s="111"/>
      <c r="AD264" s="111"/>
    </row>
    <row r="265" spans="1:33">
      <c r="A265" s="27" t="s">
        <v>906</v>
      </c>
      <c r="B265" s="129" t="s">
        <v>526</v>
      </c>
      <c r="C265" s="131" t="s">
        <v>94</v>
      </c>
      <c r="D265" s="131" t="s">
        <v>40</v>
      </c>
      <c r="E265" s="34" t="s">
        <v>227</v>
      </c>
      <c r="F265" s="6" t="s">
        <v>92</v>
      </c>
      <c r="G265" s="13">
        <v>22.678905000000015</v>
      </c>
      <c r="H265" s="13" t="s">
        <v>373</v>
      </c>
      <c r="I265" s="114" t="s">
        <v>527</v>
      </c>
      <c r="J265" s="112">
        <v>0.35</v>
      </c>
      <c r="K265" s="112">
        <v>1.0641550000000102</v>
      </c>
      <c r="L265" s="112">
        <v>0.32673155958674893</v>
      </c>
      <c r="M265" s="112">
        <v>0.3</v>
      </c>
      <c r="N265" s="112">
        <v>1</v>
      </c>
      <c r="O265" s="114" t="s">
        <v>312</v>
      </c>
      <c r="P265" s="116" t="s">
        <v>312</v>
      </c>
      <c r="Q265" s="91">
        <v>0.7</v>
      </c>
      <c r="U265" s="87"/>
      <c r="Y265" s="112" t="str">
        <f>IF(V265="","",
IF(AND(V265&gt;=$V$12,V265&lt;$V$13),$V$12,
IF(AND(V265&gt;=$V$13,V265&lt;$V$14),$V$13,
IF(AND(V265&gt;=$V$14,V265&lt;$V$15),$V$14,
IF(AND(V265&gt;=$V$15,V265&lt;$V$16),$V$15,
IF(AND(V265&gt;=$V$16,V265&lt;$V$17),$V$16,""))))))</f>
        <v/>
      </c>
      <c r="Z265" s="112">
        <v>1</v>
      </c>
      <c r="AC265" s="111">
        <f>IF(J265="","",VLOOKUP(F266,[1]dim!$A:$F,6,FALSE))</f>
        <v>0.35</v>
      </c>
      <c r="AD265" s="111">
        <f>IF(J265="","",VLOOKUP(F266,[1]dim!$A:$G,7,FALSE))</f>
        <v>0.35</v>
      </c>
      <c r="AF265">
        <v>0.35</v>
      </c>
      <c r="AG265">
        <v>0.35</v>
      </c>
    </row>
    <row r="266" spans="1:33">
      <c r="A266" s="27"/>
      <c r="B266" s="129"/>
      <c r="C266" s="131"/>
      <c r="D266" s="131"/>
      <c r="E266" s="34" t="s">
        <v>228</v>
      </c>
      <c r="F266" s="6" t="s">
        <v>528</v>
      </c>
      <c r="G266" s="13">
        <v>21.614750000000004</v>
      </c>
      <c r="H266" s="13" t="s">
        <v>529</v>
      </c>
      <c r="I266" s="115"/>
      <c r="J266" s="113"/>
      <c r="K266" s="113"/>
      <c r="L266" s="113"/>
      <c r="M266" s="113"/>
      <c r="N266" s="113"/>
      <c r="O266" s="115"/>
      <c r="P266" s="117"/>
      <c r="Q266" s="90" t="s">
        <v>300</v>
      </c>
      <c r="U266" s="87"/>
      <c r="Y266" s="113"/>
      <c r="Z266" s="113"/>
      <c r="AC266" s="111"/>
      <c r="AD266" s="111"/>
    </row>
    <row r="267" spans="1:33">
      <c r="A267" s="27" t="s">
        <v>907</v>
      </c>
      <c r="B267" s="129" t="s">
        <v>530</v>
      </c>
      <c r="C267" s="131" t="s">
        <v>97</v>
      </c>
      <c r="D267" s="131" t="s">
        <v>40</v>
      </c>
      <c r="E267" s="34" t="s">
        <v>227</v>
      </c>
      <c r="F267" s="6" t="s">
        <v>95</v>
      </c>
      <c r="G267" s="13">
        <v>22.049527000000015</v>
      </c>
      <c r="H267" s="13" t="s">
        <v>374</v>
      </c>
      <c r="I267" s="114" t="s">
        <v>531</v>
      </c>
      <c r="J267" s="112">
        <v>0.45</v>
      </c>
      <c r="K267" s="112">
        <v>2.0888980000000075</v>
      </c>
      <c r="L267" s="112">
        <v>0.26415008909351495</v>
      </c>
      <c r="M267" s="112">
        <v>0.4</v>
      </c>
      <c r="N267" s="112">
        <v>1</v>
      </c>
      <c r="O267" s="114" t="s">
        <v>312</v>
      </c>
      <c r="P267" s="116" t="s">
        <v>312</v>
      </c>
      <c r="Q267" s="90"/>
      <c r="U267" s="87"/>
      <c r="Y267" s="112" t="str">
        <f>IF(V267="","",
IF(AND(V267&gt;=$V$12,V267&lt;$V$13),$V$12,
IF(AND(V267&gt;=$V$13,V267&lt;$V$14),$V$13,
IF(AND(V267&gt;=$V$14,V267&lt;$V$15),$V$14,
IF(AND(V267&gt;=$V$15,V267&lt;$V$16),$V$15,
IF(AND(V267&gt;=$V$16,V267&lt;$V$17),$V$16,""))))))</f>
        <v/>
      </c>
      <c r="Z267" s="112">
        <v>1</v>
      </c>
      <c r="AC267" s="111">
        <f>IF(J267="","",VLOOKUP(F268,[1]dim!$A:$F,6,FALSE))</f>
        <v>0.45</v>
      </c>
      <c r="AD267" s="111">
        <f>IF(J267="","",VLOOKUP(F268,[1]dim!$A:$G,7,FALSE))</f>
        <v>0.42</v>
      </c>
      <c r="AF267">
        <v>0.45</v>
      </c>
      <c r="AG267">
        <v>0.42</v>
      </c>
    </row>
    <row r="268" spans="1:33">
      <c r="A268" s="27"/>
      <c r="B268" s="129"/>
      <c r="C268" s="131"/>
      <c r="D268" s="131"/>
      <c r="E268" s="34" t="s">
        <v>228</v>
      </c>
      <c r="F268" s="6" t="s">
        <v>532</v>
      </c>
      <c r="G268" s="13">
        <v>19.960629000000008</v>
      </c>
      <c r="H268" s="13" t="s">
        <v>533</v>
      </c>
      <c r="I268" s="115"/>
      <c r="J268" s="113"/>
      <c r="K268" s="113"/>
      <c r="L268" s="113"/>
      <c r="M268" s="113"/>
      <c r="N268" s="113"/>
      <c r="O268" s="115"/>
      <c r="P268" s="117"/>
      <c r="Q268" s="90"/>
      <c r="U268" s="87"/>
      <c r="Y268" s="113"/>
      <c r="Z268" s="113"/>
      <c r="AC268" s="111"/>
      <c r="AD268" s="111"/>
    </row>
    <row r="269" spans="1:33">
      <c r="A269" s="27" t="s">
        <v>908</v>
      </c>
      <c r="B269" s="129" t="s">
        <v>530</v>
      </c>
      <c r="C269" s="131" t="s">
        <v>97</v>
      </c>
      <c r="D269" s="131" t="s">
        <v>40</v>
      </c>
      <c r="E269" s="34" t="s">
        <v>227</v>
      </c>
      <c r="F269" s="6" t="s">
        <v>95</v>
      </c>
      <c r="G269" s="13">
        <v>22.049527000000015</v>
      </c>
      <c r="H269" s="13" t="s">
        <v>374</v>
      </c>
      <c r="I269" s="114" t="s">
        <v>534</v>
      </c>
      <c r="J269" s="112">
        <v>0.5</v>
      </c>
      <c r="K269" s="112">
        <v>0.32641900000000845</v>
      </c>
      <c r="L269" s="112">
        <v>0.23034663241023934</v>
      </c>
      <c r="M269" s="112">
        <v>0.4</v>
      </c>
      <c r="N269" s="112">
        <v>1</v>
      </c>
      <c r="O269" s="114" t="s">
        <v>312</v>
      </c>
      <c r="P269" s="116" t="s">
        <v>312</v>
      </c>
      <c r="Q269" s="90"/>
      <c r="U269" s="87"/>
      <c r="Y269" s="112" t="str">
        <f>IF(V269="","",
IF(AND(V269&gt;=$V$12,V269&lt;$V$13),$V$12,
IF(AND(V269&gt;=$V$13,V269&lt;$V$14),$V$13,
IF(AND(V269&gt;=$V$14,V269&lt;$V$15),$V$14,
IF(AND(V269&gt;=$V$15,V269&lt;$V$16),$V$15,
IF(AND(V269&gt;=$V$16,V269&lt;$V$17),$V$16,""))))))</f>
        <v/>
      </c>
      <c r="Z269" s="112">
        <v>1</v>
      </c>
      <c r="AC269" s="111">
        <f>IF(J269="","",VLOOKUP(F270,[1]dim!$A:$F,6,FALSE))</f>
        <v>0.5</v>
      </c>
      <c r="AD269" s="111">
        <f>IF(J269="","",VLOOKUP(F270,[1]dim!$A:$G,7,FALSE))</f>
        <v>0.43208511751682532</v>
      </c>
      <c r="AF269">
        <v>0.5</v>
      </c>
      <c r="AG269">
        <v>0.43208511751682532</v>
      </c>
    </row>
    <row r="270" spans="1:33">
      <c r="A270" s="27"/>
      <c r="B270" s="129"/>
      <c r="C270" s="131"/>
      <c r="D270" s="131"/>
      <c r="E270" s="34" t="s">
        <v>228</v>
      </c>
      <c r="F270" s="6" t="s">
        <v>535</v>
      </c>
      <c r="G270" s="13">
        <v>21.723108000000007</v>
      </c>
      <c r="H270" s="13" t="s">
        <v>536</v>
      </c>
      <c r="I270" s="115"/>
      <c r="J270" s="113"/>
      <c r="K270" s="113"/>
      <c r="L270" s="113"/>
      <c r="M270" s="113"/>
      <c r="N270" s="113"/>
      <c r="O270" s="115"/>
      <c r="P270" s="117"/>
      <c r="Q270" s="90"/>
      <c r="U270" s="87"/>
      <c r="Y270" s="113"/>
      <c r="Z270" s="113"/>
      <c r="AC270" s="111"/>
      <c r="AD270" s="111"/>
    </row>
    <row r="271" spans="1:33">
      <c r="A271" s="27" t="s">
        <v>909</v>
      </c>
      <c r="B271" s="129" t="s">
        <v>537</v>
      </c>
      <c r="C271" s="131" t="s">
        <v>100</v>
      </c>
      <c r="D271" s="131" t="s">
        <v>40</v>
      </c>
      <c r="E271" s="34" t="s">
        <v>227</v>
      </c>
      <c r="F271" s="6" t="s">
        <v>98</v>
      </c>
      <c r="G271" s="13">
        <v>20.733354000000013</v>
      </c>
      <c r="H271" s="13" t="s">
        <v>376</v>
      </c>
      <c r="I271" s="114" t="s">
        <v>538</v>
      </c>
      <c r="J271" s="112">
        <v>0.45</v>
      </c>
      <c r="K271" s="112">
        <v>1.0693880000000071</v>
      </c>
      <c r="L271" s="112">
        <v>0.2397128504443401</v>
      </c>
      <c r="M271" s="112">
        <v>0.4</v>
      </c>
      <c r="N271" s="112">
        <v>1</v>
      </c>
      <c r="O271" s="114" t="s">
        <v>312</v>
      </c>
      <c r="P271" s="116" t="s">
        <v>312</v>
      </c>
      <c r="Q271" s="90"/>
      <c r="U271" s="87"/>
      <c r="Y271" s="112" t="str">
        <f>IF(V271="","",
IF(AND(V271&gt;=$V$12,V271&lt;$V$13),$V$12,
IF(AND(V271&gt;=$V$13,V271&lt;$V$14),$V$13,
IF(AND(V271&gt;=$V$14,V271&lt;$V$15),$V$14,
IF(AND(V271&gt;=$V$15,V271&lt;$V$16),$V$15,
IF(AND(V271&gt;=$V$16,V271&lt;$V$17),$V$16,""))))))</f>
        <v/>
      </c>
      <c r="Z271" s="112">
        <v>1</v>
      </c>
      <c r="AC271" s="111">
        <f>IF(J271="","",VLOOKUP(F272,[1]dim!$A:$F,6,FALSE))</f>
        <v>0.45</v>
      </c>
      <c r="AD271" s="111">
        <f>IF(J271="","",VLOOKUP(F272,[1]dim!$A:$G,7,FALSE))</f>
        <v>0.37472827450512064</v>
      </c>
      <c r="AF271">
        <v>0.45</v>
      </c>
      <c r="AG271">
        <v>0.37472827450512064</v>
      </c>
    </row>
    <row r="272" spans="1:33">
      <c r="A272" s="27"/>
      <c r="B272" s="129"/>
      <c r="C272" s="131"/>
      <c r="D272" s="131"/>
      <c r="E272" s="34" t="s">
        <v>228</v>
      </c>
      <c r="F272" s="6" t="s">
        <v>539</v>
      </c>
      <c r="G272" s="13">
        <v>19.663966000000006</v>
      </c>
      <c r="H272" s="13" t="s">
        <v>540</v>
      </c>
      <c r="I272" s="115"/>
      <c r="J272" s="113"/>
      <c r="K272" s="113"/>
      <c r="L272" s="113"/>
      <c r="M272" s="113"/>
      <c r="N272" s="113"/>
      <c r="O272" s="115"/>
      <c r="P272" s="117"/>
      <c r="Q272" s="90"/>
      <c r="U272" s="87"/>
      <c r="Y272" s="113"/>
      <c r="Z272" s="113"/>
      <c r="AC272" s="111"/>
      <c r="AD272" s="111"/>
    </row>
    <row r="273" spans="1:33">
      <c r="A273" s="27" t="s">
        <v>910</v>
      </c>
      <c r="B273" s="132" t="s">
        <v>541</v>
      </c>
      <c r="C273" s="114" t="s">
        <v>542</v>
      </c>
      <c r="D273" s="136" t="s">
        <v>301</v>
      </c>
      <c r="E273" s="34" t="s">
        <v>227</v>
      </c>
      <c r="F273" s="6" t="s">
        <v>102</v>
      </c>
      <c r="G273" s="13">
        <v>18.407250000000005</v>
      </c>
      <c r="H273" s="13" t="s">
        <v>380</v>
      </c>
      <c r="I273" s="114"/>
      <c r="J273" s="112"/>
      <c r="K273" s="112"/>
      <c r="L273" s="112"/>
      <c r="M273" s="112" t="s">
        <v>302</v>
      </c>
      <c r="N273" s="112"/>
      <c r="O273" s="114"/>
      <c r="P273" s="116"/>
      <c r="Q273" s="90"/>
      <c r="U273" s="87"/>
      <c r="Y273" s="112" t="str">
        <f>IF(V273="","",
IF(AND(V273&gt;=$V$12,V273&lt;$V$13),$V$12,
IF(AND(V273&gt;=$V$13,V273&lt;$V$14),$V$13,
IF(AND(V273&gt;=$V$14,V273&lt;$V$15),$V$14,
IF(AND(V273&gt;=$V$15,V273&lt;$V$16),$V$15,
IF(AND(V273&gt;=$V$16,V273&lt;$V$17),$V$16,""))))))</f>
        <v/>
      </c>
      <c r="Z273" s="112"/>
      <c r="AC273" s="111" t="str">
        <f>IF(J273="","",VLOOKUP(F274,[1]dim!$A:$F,6,FALSE))</f>
        <v/>
      </c>
      <c r="AD273" s="111" t="str">
        <f>IF(J273="","",VLOOKUP(F274,[1]dim!$A:$G,7,FALSE))</f>
        <v/>
      </c>
      <c r="AF273" t="s">
        <v>302</v>
      </c>
      <c r="AG273" t="s">
        <v>302</v>
      </c>
    </row>
    <row r="274" spans="1:33">
      <c r="A274" s="27"/>
      <c r="B274" s="133"/>
      <c r="C274" s="115"/>
      <c r="D274" s="137"/>
      <c r="E274" s="34" t="s">
        <v>228</v>
      </c>
      <c r="F274" s="6"/>
      <c r="G274" s="13"/>
      <c r="H274" s="102" t="s">
        <v>303</v>
      </c>
      <c r="I274" s="115"/>
      <c r="J274" s="113"/>
      <c r="K274" s="113"/>
      <c r="L274" s="113"/>
      <c r="M274" s="113"/>
      <c r="N274" s="113"/>
      <c r="O274" s="115"/>
      <c r="P274" s="117"/>
      <c r="Q274" s="90"/>
      <c r="U274" s="87"/>
      <c r="Y274" s="113"/>
      <c r="Z274" s="113"/>
      <c r="AC274" s="111"/>
      <c r="AD274" s="111"/>
    </row>
    <row r="275" spans="1:33">
      <c r="A275" s="27" t="s">
        <v>911</v>
      </c>
      <c r="B275" s="129" t="s">
        <v>537</v>
      </c>
      <c r="C275" s="131" t="s">
        <v>100</v>
      </c>
      <c r="D275" s="131" t="s">
        <v>40</v>
      </c>
      <c r="E275" s="34" t="s">
        <v>227</v>
      </c>
      <c r="F275" s="6" t="s">
        <v>98</v>
      </c>
      <c r="G275" s="13">
        <v>20.733354000000013</v>
      </c>
      <c r="H275" s="13" t="s">
        <v>376</v>
      </c>
      <c r="I275" s="114" t="s">
        <v>543</v>
      </c>
      <c r="J275" s="112">
        <v>0.45</v>
      </c>
      <c r="K275" s="112">
        <v>0.32560400000000556</v>
      </c>
      <c r="L275" s="112">
        <v>0.22981476929795222</v>
      </c>
      <c r="M275" s="112">
        <v>0.4</v>
      </c>
      <c r="N275" s="112">
        <v>1</v>
      </c>
      <c r="O275" s="114" t="s">
        <v>312</v>
      </c>
      <c r="P275" s="116" t="s">
        <v>312</v>
      </c>
      <c r="Q275" s="90"/>
      <c r="U275" s="87"/>
      <c r="Y275" s="112" t="str">
        <f>IF(V275="","",
IF(AND(V275&gt;=$V$12,V275&lt;$V$13),$V$12,
IF(AND(V275&gt;=$V$13,V275&lt;$V$14),$V$13,
IF(AND(V275&gt;=$V$14,V275&lt;$V$15),$V$14,
IF(AND(V275&gt;=$V$15,V275&lt;$V$16),$V$15,
IF(AND(V275&gt;=$V$16,V275&lt;$V$17),$V$16,""))))))</f>
        <v/>
      </c>
      <c r="Z275" s="112">
        <v>1</v>
      </c>
      <c r="AC275" s="111">
        <f>IF(J275="","",VLOOKUP(F276,[1]dim!$A:$F,6,FALSE))</f>
        <v>0.45</v>
      </c>
      <c r="AD275" s="111">
        <f>IF(J275="","",VLOOKUP(F276,[1]dim!$A:$G,7,FALSE))</f>
        <v>0.38614790559491641</v>
      </c>
      <c r="AF275">
        <v>0.45</v>
      </c>
      <c r="AG275">
        <v>0.38614790559491641</v>
      </c>
    </row>
    <row r="276" spans="1:33">
      <c r="A276" s="27"/>
      <c r="B276" s="129"/>
      <c r="C276" s="131"/>
      <c r="D276" s="131"/>
      <c r="E276" s="34" t="s">
        <v>228</v>
      </c>
      <c r="F276" s="6" t="s">
        <v>544</v>
      </c>
      <c r="G276" s="13">
        <v>20.407750000000007</v>
      </c>
      <c r="H276" s="13" t="s">
        <v>545</v>
      </c>
      <c r="I276" s="115"/>
      <c r="J276" s="113"/>
      <c r="K276" s="113"/>
      <c r="L276" s="113"/>
      <c r="M276" s="113"/>
      <c r="N276" s="113"/>
      <c r="O276" s="115"/>
      <c r="P276" s="117"/>
      <c r="Q276" s="90"/>
      <c r="U276" s="87"/>
      <c r="Y276" s="113"/>
      <c r="Z276" s="113"/>
      <c r="AC276" s="111"/>
      <c r="AD276" s="111"/>
    </row>
    <row r="277" spans="1:33">
      <c r="A277" s="27" t="s">
        <v>912</v>
      </c>
      <c r="B277" s="129" t="s">
        <v>546</v>
      </c>
      <c r="C277" s="131" t="s">
        <v>547</v>
      </c>
      <c r="D277" s="131" t="s">
        <v>40</v>
      </c>
      <c r="E277" s="34" t="s">
        <v>227</v>
      </c>
      <c r="F277" s="6" t="s">
        <v>101</v>
      </c>
      <c r="G277" s="13">
        <v>19.764809000000014</v>
      </c>
      <c r="H277" s="13" t="s">
        <v>378</v>
      </c>
      <c r="I277" s="114" t="s">
        <v>548</v>
      </c>
      <c r="J277" s="112">
        <v>0.45</v>
      </c>
      <c r="K277" s="112">
        <v>0.38538100000000952</v>
      </c>
      <c r="L277" s="112">
        <v>0.14378929968908408</v>
      </c>
      <c r="M277" s="112">
        <v>0.4</v>
      </c>
      <c r="N277" s="112">
        <v>1</v>
      </c>
      <c r="O277" s="114" t="s">
        <v>312</v>
      </c>
      <c r="P277" s="116" t="s">
        <v>312</v>
      </c>
      <c r="Q277" s="90"/>
      <c r="U277" s="87"/>
      <c r="Y277" s="112" t="str">
        <f>IF(V277="","",
IF(AND(V277&gt;=$V$12,V277&lt;$V$13),$V$12,
IF(AND(V277&gt;=$V$13,V277&lt;$V$14),$V$13,
IF(AND(V277&gt;=$V$14,V277&lt;$V$15),$V$14,
IF(AND(V277&gt;=$V$15,V277&lt;$V$16),$V$15,
IF(AND(V277&gt;=$V$16,V277&lt;$V$17),$V$16,""))))))</f>
        <v/>
      </c>
      <c r="Z277" s="112">
        <v>1</v>
      </c>
      <c r="AC277" s="111">
        <f>IF(J277="","",VLOOKUP(F278,[1]dim!$A:$F,6,FALSE))</f>
        <v>0.45</v>
      </c>
      <c r="AD277" s="111">
        <f>IF(J277="","",VLOOKUP(F278,[1]dim!$A:$G,7,FALSE))</f>
        <v>0.3833281054472607</v>
      </c>
      <c r="AF277">
        <v>0.45</v>
      </c>
      <c r="AG277">
        <v>0.3833281054472607</v>
      </c>
    </row>
    <row r="278" spans="1:33">
      <c r="A278" s="27"/>
      <c r="B278" s="129"/>
      <c r="C278" s="131"/>
      <c r="D278" s="131"/>
      <c r="E278" s="34" t="s">
        <v>228</v>
      </c>
      <c r="F278" s="6" t="s">
        <v>549</v>
      </c>
      <c r="G278" s="13">
        <v>19.379428000000004</v>
      </c>
      <c r="H278" s="13" t="s">
        <v>550</v>
      </c>
      <c r="I278" s="115"/>
      <c r="J278" s="113"/>
      <c r="K278" s="113"/>
      <c r="L278" s="113"/>
      <c r="M278" s="113"/>
      <c r="N278" s="113"/>
      <c r="O278" s="115"/>
      <c r="P278" s="117"/>
      <c r="Q278" s="90"/>
      <c r="U278" s="87"/>
      <c r="Y278" s="113"/>
      <c r="Z278" s="113"/>
      <c r="AC278" s="111"/>
      <c r="AD278" s="111"/>
    </row>
    <row r="279" spans="1:33">
      <c r="A279" s="27" t="s">
        <v>913</v>
      </c>
      <c r="B279" s="129" t="s">
        <v>546</v>
      </c>
      <c r="C279" s="131" t="s">
        <v>547</v>
      </c>
      <c r="D279" s="131" t="s">
        <v>40</v>
      </c>
      <c r="E279" s="34" t="s">
        <v>227</v>
      </c>
      <c r="F279" s="6" t="s">
        <v>101</v>
      </c>
      <c r="G279" s="13">
        <v>19.764809000000014</v>
      </c>
      <c r="H279" s="13" t="s">
        <v>378</v>
      </c>
      <c r="I279" s="114" t="s">
        <v>551</v>
      </c>
      <c r="J279" s="112">
        <v>0.5</v>
      </c>
      <c r="K279" s="112">
        <v>0.30000000000000071</v>
      </c>
      <c r="L279" s="112">
        <v>0.10050400940559404</v>
      </c>
      <c r="M279" s="174">
        <v>0.5</v>
      </c>
      <c r="N279" s="112">
        <v>1</v>
      </c>
      <c r="O279" s="114" t="s">
        <v>312</v>
      </c>
      <c r="P279" s="116" t="s">
        <v>312</v>
      </c>
      <c r="Q279" s="90"/>
      <c r="U279" s="87"/>
      <c r="Y279" s="112" t="str">
        <f>IF(V279="","",
IF(AND(V279&gt;=$V$12,V279&lt;$V$13),$V$12,
IF(AND(V279&gt;=$V$13,V279&lt;$V$14),$V$13,
IF(AND(V279&gt;=$V$14,V279&lt;$V$15),$V$14,
IF(AND(V279&gt;=$V$15,V279&lt;$V$16),$V$15,
IF(AND(V279&gt;=$V$16,V279&lt;$V$17),$V$16,""))))))</f>
        <v/>
      </c>
      <c r="Z279" s="112">
        <v>1</v>
      </c>
      <c r="AC279" s="111">
        <f>IF(J279="","",VLOOKUP(F280,[1]dim!$A:$F,6,FALSE))</f>
        <v>0.5</v>
      </c>
      <c r="AD279" s="111">
        <f>IF(J279="","",VLOOKUP(F280,[1]dim!$A:$G,7,FALSE))</f>
        <v>0.48665578282369387</v>
      </c>
      <c r="AF279">
        <v>0.5</v>
      </c>
      <c r="AG279">
        <v>0.48665578282369387</v>
      </c>
    </row>
    <row r="280" spans="1:33">
      <c r="A280" s="27"/>
      <c r="B280" s="129"/>
      <c r="C280" s="131"/>
      <c r="D280" s="131"/>
      <c r="E280" s="34" t="s">
        <v>228</v>
      </c>
      <c r="F280" s="6" t="s">
        <v>552</v>
      </c>
      <c r="G280" s="13">
        <v>19.464809000000013</v>
      </c>
      <c r="H280" s="13" t="s">
        <v>553</v>
      </c>
      <c r="I280" s="115"/>
      <c r="J280" s="113"/>
      <c r="K280" s="113"/>
      <c r="L280" s="113"/>
      <c r="M280" s="175"/>
      <c r="N280" s="113"/>
      <c r="O280" s="115"/>
      <c r="P280" s="117"/>
      <c r="Q280" s="90"/>
      <c r="U280" s="87"/>
      <c r="Y280" s="113"/>
      <c r="Z280" s="113"/>
      <c r="AC280" s="111"/>
      <c r="AD280" s="111"/>
    </row>
    <row r="281" spans="1:33">
      <c r="A281" s="27"/>
      <c r="B281" s="138" t="s">
        <v>264</v>
      </c>
      <c r="C281" s="140"/>
      <c r="D281" s="140"/>
      <c r="E281" s="32"/>
      <c r="F281" s="19"/>
      <c r="G281" s="20"/>
      <c r="H281" s="20"/>
      <c r="I281" s="140" t="s">
        <v>302</v>
      </c>
      <c r="J281" s="119"/>
      <c r="K281" s="119"/>
      <c r="L281" s="119"/>
      <c r="M281" s="119" t="s">
        <v>302</v>
      </c>
      <c r="N281" s="119"/>
      <c r="O281" s="140"/>
      <c r="P281" s="150"/>
      <c r="Q281" s="90"/>
      <c r="U281" s="87"/>
      <c r="Y281" s="119" t="str">
        <f>IF(V281="","",
IF(AND(V281&gt;=$V$12,V281&lt;$V$13),$V$12,
IF(AND(V281&gt;=$V$13,V281&lt;$V$14),$V$13,
IF(AND(V281&gt;=$V$14,V281&lt;$V$15),$V$14,
IF(AND(V281&gt;=$V$15,V281&lt;$V$16),$V$15,
IF(AND(V281&gt;=$V$16,V281&lt;$V$17),$V$16,""))))))</f>
        <v/>
      </c>
      <c r="Z281" s="119"/>
      <c r="AC281" s="111" t="str">
        <f>IF(J281="","",VLOOKUP(F282,[1]dim!$A:$F,6,FALSE))</f>
        <v/>
      </c>
      <c r="AD281" s="111" t="str">
        <f>IF(J281="","",VLOOKUP(F282,[1]dim!$A:$G,7,FALSE))</f>
        <v/>
      </c>
      <c r="AF281" t="s">
        <v>302</v>
      </c>
      <c r="AG281" t="s">
        <v>302</v>
      </c>
    </row>
    <row r="282" spans="1:33">
      <c r="A282" s="27"/>
      <c r="B282" s="139"/>
      <c r="C282" s="141"/>
      <c r="D282" s="141"/>
      <c r="E282" s="33"/>
      <c r="F282" s="21"/>
      <c r="G282" s="22"/>
      <c r="H282" s="22"/>
      <c r="I282" s="141"/>
      <c r="J282" s="120"/>
      <c r="K282" s="120"/>
      <c r="L282" s="120"/>
      <c r="M282" s="120"/>
      <c r="N282" s="120"/>
      <c r="O282" s="141"/>
      <c r="P282" s="151"/>
      <c r="Q282" s="90"/>
      <c r="U282" s="87"/>
      <c r="Y282" s="120"/>
      <c r="Z282" s="120"/>
      <c r="AC282" s="111"/>
      <c r="AD282" s="111"/>
    </row>
    <row r="283" spans="1:33">
      <c r="A283" s="27" t="s">
        <v>914</v>
      </c>
      <c r="B283" s="129" t="s">
        <v>554</v>
      </c>
      <c r="C283" s="131" t="s">
        <v>105</v>
      </c>
      <c r="D283" s="131" t="s">
        <v>40</v>
      </c>
      <c r="E283" s="34" t="s">
        <v>227</v>
      </c>
      <c r="F283" s="6" t="s">
        <v>103</v>
      </c>
      <c r="G283" s="13">
        <v>23.006144000000006</v>
      </c>
      <c r="H283" s="13" t="s">
        <v>382</v>
      </c>
      <c r="I283" s="114" t="s">
        <v>555</v>
      </c>
      <c r="J283" s="112">
        <v>0.45</v>
      </c>
      <c r="K283" s="112">
        <v>1.6401439999999994</v>
      </c>
      <c r="L283" s="112">
        <v>0.36081007438971385</v>
      </c>
      <c r="M283" s="112">
        <v>0.4</v>
      </c>
      <c r="N283" s="112">
        <v>1</v>
      </c>
      <c r="O283" s="114" t="s">
        <v>312</v>
      </c>
      <c r="P283" s="116" t="s">
        <v>312</v>
      </c>
      <c r="Q283" s="90"/>
      <c r="U283" s="87"/>
      <c r="Y283" s="112" t="str">
        <f>IF(V283="","",
IF(AND(V283&gt;=$V$12,V283&lt;$V$13),$V$12,
IF(AND(V283&gt;=$V$13,V283&lt;$V$14),$V$13,
IF(AND(V283&gt;=$V$14,V283&lt;$V$15),$V$14,
IF(AND(V283&gt;=$V$15,V283&lt;$V$16),$V$15,
IF(AND(V283&gt;=$V$16,V283&lt;$V$17),$V$16,""))))))</f>
        <v/>
      </c>
      <c r="Z283" s="112">
        <v>1</v>
      </c>
      <c r="AC283" s="111">
        <f>IF(J283="","",VLOOKUP(F284,[1]dim!$A:$F,6,FALSE))</f>
        <v>0.45</v>
      </c>
      <c r="AD283" s="111">
        <f>IF(J283="","",VLOOKUP(F284,[1]dim!$A:$G,7,FALSE))</f>
        <v>0.35989428111272198</v>
      </c>
      <c r="AF283">
        <v>0.45</v>
      </c>
      <c r="AG283">
        <v>0.35989428111272198</v>
      </c>
    </row>
    <row r="284" spans="1:33">
      <c r="A284" s="27"/>
      <c r="B284" s="129"/>
      <c r="C284" s="131"/>
      <c r="D284" s="131"/>
      <c r="E284" s="34" t="s">
        <v>228</v>
      </c>
      <c r="F284" s="6" t="s">
        <v>556</v>
      </c>
      <c r="G284" s="13">
        <v>21.366000000000007</v>
      </c>
      <c r="H284" s="13" t="s">
        <v>557</v>
      </c>
      <c r="I284" s="115"/>
      <c r="J284" s="113"/>
      <c r="K284" s="113"/>
      <c r="L284" s="113"/>
      <c r="M284" s="113"/>
      <c r="N284" s="113"/>
      <c r="O284" s="115"/>
      <c r="P284" s="117"/>
      <c r="Q284" s="90"/>
      <c r="U284" s="87"/>
      <c r="Y284" s="113"/>
      <c r="Z284" s="113"/>
      <c r="AC284" s="111"/>
      <c r="AD284" s="111"/>
    </row>
    <row r="285" spans="1:33">
      <c r="A285" s="27" t="s">
        <v>915</v>
      </c>
      <c r="B285" s="132" t="s">
        <v>558</v>
      </c>
      <c r="C285" s="114" t="s">
        <v>559</v>
      </c>
      <c r="D285" s="136" t="s">
        <v>301</v>
      </c>
      <c r="E285" s="34" t="s">
        <v>227</v>
      </c>
      <c r="F285" s="6" t="s">
        <v>113</v>
      </c>
      <c r="G285" s="13">
        <v>21.567250000000005</v>
      </c>
      <c r="H285" s="13" t="s">
        <v>390</v>
      </c>
      <c r="I285" s="114"/>
      <c r="J285" s="112"/>
      <c r="K285" s="112"/>
      <c r="L285" s="112"/>
      <c r="M285" s="112" t="s">
        <v>302</v>
      </c>
      <c r="N285" s="112"/>
      <c r="O285" s="114"/>
      <c r="P285" s="116"/>
      <c r="Q285" s="90"/>
      <c r="U285" s="87"/>
      <c r="Y285" s="112" t="str">
        <f>IF(V285="","",
IF(AND(V285&gt;=$V$12,V285&lt;$V$13),$V$12,
IF(AND(V285&gt;=$V$13,V285&lt;$V$14),$V$13,
IF(AND(V285&gt;=$V$14,V285&lt;$V$15),$V$14,
IF(AND(V285&gt;=$V$15,V285&lt;$V$16),$V$15,
IF(AND(V285&gt;=$V$16,V285&lt;$V$17),$V$16,""))))))</f>
        <v/>
      </c>
      <c r="Z285" s="112"/>
      <c r="AC285" s="111" t="str">
        <f>IF(J285="","",VLOOKUP(F286,[1]dim!$A:$F,6,FALSE))</f>
        <v/>
      </c>
      <c r="AD285" s="111" t="str">
        <f>IF(J285="","",VLOOKUP(F286,[1]dim!$A:$G,7,FALSE))</f>
        <v/>
      </c>
      <c r="AF285" t="s">
        <v>302</v>
      </c>
      <c r="AG285" t="s">
        <v>302</v>
      </c>
    </row>
    <row r="286" spans="1:33">
      <c r="A286" s="27"/>
      <c r="B286" s="133"/>
      <c r="C286" s="115"/>
      <c r="D286" s="137"/>
      <c r="E286" s="34" t="s">
        <v>228</v>
      </c>
      <c r="F286" s="6"/>
      <c r="G286" s="13"/>
      <c r="H286" s="102" t="s">
        <v>303</v>
      </c>
      <c r="I286" s="115"/>
      <c r="J286" s="113"/>
      <c r="K286" s="113"/>
      <c r="L286" s="113"/>
      <c r="M286" s="113"/>
      <c r="N286" s="113"/>
      <c r="O286" s="115"/>
      <c r="P286" s="117"/>
      <c r="Q286" s="90"/>
      <c r="U286" s="87"/>
      <c r="Y286" s="113"/>
      <c r="Z286" s="113"/>
      <c r="AC286" s="111"/>
      <c r="AD286" s="111"/>
    </row>
    <row r="287" spans="1:33">
      <c r="A287" s="27" t="s">
        <v>915</v>
      </c>
      <c r="B287" s="132" t="s">
        <v>558</v>
      </c>
      <c r="C287" s="114" t="s">
        <v>559</v>
      </c>
      <c r="D287" s="136" t="s">
        <v>301</v>
      </c>
      <c r="E287" s="34" t="s">
        <v>227</v>
      </c>
      <c r="F287" s="6" t="s">
        <v>113</v>
      </c>
      <c r="G287" s="13">
        <v>21.567250000000005</v>
      </c>
      <c r="H287" s="13" t="s">
        <v>390</v>
      </c>
      <c r="I287" s="114"/>
      <c r="J287" s="112"/>
      <c r="K287" s="112"/>
      <c r="L287" s="112"/>
      <c r="M287" s="112" t="s">
        <v>302</v>
      </c>
      <c r="N287" s="112"/>
      <c r="O287" s="114"/>
      <c r="P287" s="116"/>
      <c r="Q287" s="90"/>
      <c r="U287" s="87"/>
      <c r="Y287" s="112" t="str">
        <f>IF(V287="","",
IF(AND(V287&gt;=$V$12,V287&lt;$V$13),$V$12,
IF(AND(V287&gt;=$V$13,V287&lt;$V$14),$V$13,
IF(AND(V287&gt;=$V$14,V287&lt;$V$15),$V$14,
IF(AND(V287&gt;=$V$15,V287&lt;$V$16),$V$15,
IF(AND(V287&gt;=$V$16,V287&lt;$V$17),$V$16,""))))))</f>
        <v/>
      </c>
      <c r="Z287" s="112"/>
      <c r="AC287" s="111" t="str">
        <f>IF(J287="","",VLOOKUP(F288,[1]dim!$A:$F,6,FALSE))</f>
        <v/>
      </c>
      <c r="AD287" s="111" t="str">
        <f>IF(J287="","",VLOOKUP(F288,[1]dim!$A:$G,7,FALSE))</f>
        <v/>
      </c>
      <c r="AF287" t="s">
        <v>302</v>
      </c>
      <c r="AG287" t="s">
        <v>302</v>
      </c>
    </row>
    <row r="288" spans="1:33">
      <c r="A288" s="27"/>
      <c r="B288" s="133"/>
      <c r="C288" s="115"/>
      <c r="D288" s="137"/>
      <c r="E288" s="34" t="s">
        <v>228</v>
      </c>
      <c r="F288" s="6"/>
      <c r="G288" s="13"/>
      <c r="H288" s="102" t="s">
        <v>303</v>
      </c>
      <c r="I288" s="115"/>
      <c r="J288" s="113"/>
      <c r="K288" s="113"/>
      <c r="L288" s="113"/>
      <c r="M288" s="113"/>
      <c r="N288" s="113"/>
      <c r="O288" s="115"/>
      <c r="P288" s="117"/>
      <c r="Q288" s="90"/>
      <c r="U288" s="87"/>
      <c r="Y288" s="113"/>
      <c r="Z288" s="113"/>
      <c r="AC288" s="111"/>
      <c r="AD288" s="111"/>
    </row>
    <row r="289" spans="1:33">
      <c r="A289" s="27" t="s">
        <v>916</v>
      </c>
      <c r="B289" s="129" t="s">
        <v>554</v>
      </c>
      <c r="C289" s="131" t="s">
        <v>105</v>
      </c>
      <c r="D289" s="131" t="s">
        <v>40</v>
      </c>
      <c r="E289" s="34" t="s">
        <v>227</v>
      </c>
      <c r="F289" s="6" t="s">
        <v>103</v>
      </c>
      <c r="G289" s="13">
        <v>23.006144000000006</v>
      </c>
      <c r="H289" s="13" t="s">
        <v>382</v>
      </c>
      <c r="I289" s="114" t="s">
        <v>560</v>
      </c>
      <c r="J289" s="112">
        <v>0.45</v>
      </c>
      <c r="K289" s="112">
        <v>1.2263940000000026</v>
      </c>
      <c r="L289" s="112">
        <v>0.35795910830576677</v>
      </c>
      <c r="M289" s="112">
        <v>0.4</v>
      </c>
      <c r="N289" s="112">
        <v>1</v>
      </c>
      <c r="O289" s="114" t="s">
        <v>312</v>
      </c>
      <c r="P289" s="116" t="s">
        <v>312</v>
      </c>
      <c r="Q289" s="90"/>
      <c r="U289" s="87"/>
      <c r="Y289" s="112" t="str">
        <f>IF(V289="","",
IF(AND(V289&gt;=$V$12,V289&lt;$V$13),$V$12,
IF(AND(V289&gt;=$V$13,V289&lt;$V$14),$V$13,
IF(AND(V289&gt;=$V$14,V289&lt;$V$15),$V$14,
IF(AND(V289&gt;=$V$15,V289&lt;$V$16),$V$15,
IF(AND(V289&gt;=$V$16,V289&lt;$V$17),$V$16,""))))))</f>
        <v/>
      </c>
      <c r="Z289" s="112">
        <v>1</v>
      </c>
      <c r="AC289" s="111">
        <f>IF(J289="","",VLOOKUP(F290,[1]dim!$A:$F,6,FALSE))</f>
        <v>0.45</v>
      </c>
      <c r="AD289" s="111">
        <f>IF(J289="","",VLOOKUP(F290,[1]dim!$A:$G,7,FALSE))</f>
        <v>0.36299999999999999</v>
      </c>
      <c r="AF289">
        <v>0.45</v>
      </c>
      <c r="AG289">
        <v>0.36299999999999999</v>
      </c>
    </row>
    <row r="290" spans="1:33">
      <c r="A290" s="27"/>
      <c r="B290" s="129"/>
      <c r="C290" s="131"/>
      <c r="D290" s="131"/>
      <c r="E290" s="34" t="s">
        <v>228</v>
      </c>
      <c r="F290" s="6" t="s">
        <v>561</v>
      </c>
      <c r="G290" s="13">
        <v>21.779750000000003</v>
      </c>
      <c r="H290" s="13" t="s">
        <v>562</v>
      </c>
      <c r="I290" s="115"/>
      <c r="J290" s="113"/>
      <c r="K290" s="113"/>
      <c r="L290" s="113"/>
      <c r="M290" s="113"/>
      <c r="N290" s="113"/>
      <c r="O290" s="115"/>
      <c r="P290" s="117"/>
      <c r="Q290" s="90"/>
      <c r="U290" s="87"/>
      <c r="Y290" s="113"/>
      <c r="Z290" s="113"/>
      <c r="AC290" s="111"/>
      <c r="AD290" s="111"/>
    </row>
    <row r="291" spans="1:33">
      <c r="A291" s="27" t="s">
        <v>917</v>
      </c>
      <c r="B291" s="129" t="s">
        <v>563</v>
      </c>
      <c r="C291" s="131" t="s">
        <v>108</v>
      </c>
      <c r="D291" s="131" t="s">
        <v>40</v>
      </c>
      <c r="E291" s="34" t="s">
        <v>227</v>
      </c>
      <c r="F291" s="6" t="s">
        <v>106</v>
      </c>
      <c r="G291" s="13">
        <v>22.303748000000006</v>
      </c>
      <c r="H291" s="13" t="s">
        <v>384</v>
      </c>
      <c r="I291" s="114" t="s">
        <v>564</v>
      </c>
      <c r="J291" s="112">
        <v>0.3</v>
      </c>
      <c r="K291" s="112">
        <v>2.2107480000000059</v>
      </c>
      <c r="L291" s="112">
        <v>0.51561655170934562</v>
      </c>
      <c r="M291" s="112">
        <v>0.3</v>
      </c>
      <c r="N291" s="112">
        <v>1</v>
      </c>
      <c r="O291" s="114" t="s">
        <v>312</v>
      </c>
      <c r="P291" s="116" t="s">
        <v>312</v>
      </c>
      <c r="Q291" s="90"/>
      <c r="U291" s="87"/>
      <c r="Y291" s="112" t="str">
        <f>IF(V291="","",
IF(AND(V291&gt;=$V$12,V291&lt;$V$13),$V$12,
IF(AND(V291&gt;=$V$13,V291&lt;$V$14),$V$13,
IF(AND(V291&gt;=$V$14,V291&lt;$V$15),$V$14,
IF(AND(V291&gt;=$V$15,V291&lt;$V$16),$V$15,
IF(AND(V291&gt;=$V$16,V291&lt;$V$17),$V$16,""))))))</f>
        <v/>
      </c>
      <c r="Z291" s="112">
        <v>1</v>
      </c>
      <c r="AC291" s="111">
        <f>IF(J291="","",VLOOKUP(F292,[1]dim!$A:$F,6,FALSE))</f>
        <v>0.3</v>
      </c>
      <c r="AD291" s="111">
        <f>IF(J291="","",VLOOKUP(F292,[1]dim!$A:$G,7,FALSE))</f>
        <v>0.25885059005180217</v>
      </c>
      <c r="AF291">
        <v>0.3</v>
      </c>
      <c r="AG291">
        <v>0.25885059005180217</v>
      </c>
    </row>
    <row r="292" spans="1:33">
      <c r="A292" s="27"/>
      <c r="B292" s="129"/>
      <c r="C292" s="131"/>
      <c r="D292" s="131"/>
      <c r="E292" s="34" t="s">
        <v>228</v>
      </c>
      <c r="F292" s="6" t="s">
        <v>565</v>
      </c>
      <c r="G292" s="13">
        <v>20.093</v>
      </c>
      <c r="H292" s="13" t="s">
        <v>566</v>
      </c>
      <c r="I292" s="115"/>
      <c r="J292" s="113"/>
      <c r="K292" s="113"/>
      <c r="L292" s="113"/>
      <c r="M292" s="113"/>
      <c r="N292" s="113"/>
      <c r="O292" s="115"/>
      <c r="P292" s="117"/>
      <c r="Q292" s="90"/>
      <c r="U292" s="87"/>
      <c r="Y292" s="113"/>
      <c r="Z292" s="113"/>
      <c r="AC292" s="111"/>
      <c r="AD292" s="111"/>
    </row>
    <row r="293" spans="1:33">
      <c r="A293" s="27" t="s">
        <v>918</v>
      </c>
      <c r="B293" s="129" t="s">
        <v>563</v>
      </c>
      <c r="C293" s="131" t="s">
        <v>108</v>
      </c>
      <c r="D293" s="131" t="s">
        <v>40</v>
      </c>
      <c r="E293" s="34" t="s">
        <v>227</v>
      </c>
      <c r="F293" s="6" t="s">
        <v>106</v>
      </c>
      <c r="G293" s="13">
        <v>22.303748000000006</v>
      </c>
      <c r="H293" s="13" t="s">
        <v>384</v>
      </c>
      <c r="I293" s="114" t="s">
        <v>567</v>
      </c>
      <c r="J293" s="112">
        <v>0.4</v>
      </c>
      <c r="K293" s="112">
        <v>1.7992479999999951</v>
      </c>
      <c r="L293" s="112">
        <v>0.41442506492152575</v>
      </c>
      <c r="M293" s="112">
        <v>0.4</v>
      </c>
      <c r="N293" s="112">
        <v>1</v>
      </c>
      <c r="O293" s="114" t="s">
        <v>312</v>
      </c>
      <c r="P293" s="116" t="s">
        <v>312</v>
      </c>
      <c r="Q293" s="90"/>
      <c r="U293" s="87"/>
      <c r="Y293" s="112" t="str">
        <f>IF(V293="","",
IF(AND(V293&gt;=$V$12,V293&lt;$V$13),$V$12,
IF(AND(V293&gt;=$V$13,V293&lt;$V$14),$V$13,
IF(AND(V293&gt;=$V$14,V293&lt;$V$15),$V$14,
IF(AND(V293&gt;=$V$15,V293&lt;$V$16),$V$15,
IF(AND(V293&gt;=$V$16,V293&lt;$V$17),$V$16,""))))))</f>
        <v/>
      </c>
      <c r="Z293" s="112">
        <v>1</v>
      </c>
      <c r="AC293" s="111">
        <f>IF(J293="","",VLOOKUP(F294,[1]dim!$A:$F,6,FALSE))</f>
        <v>0.4</v>
      </c>
      <c r="AD293" s="111">
        <f>IF(J293="","",VLOOKUP(F294,[1]dim!$A:$G,7,FALSE))</f>
        <v>0.29684184672606706</v>
      </c>
      <c r="AF293">
        <v>0.4</v>
      </c>
      <c r="AG293">
        <v>0.29684184672606706</v>
      </c>
    </row>
    <row r="294" spans="1:33">
      <c r="A294" s="27"/>
      <c r="B294" s="129"/>
      <c r="C294" s="131"/>
      <c r="D294" s="131"/>
      <c r="E294" s="34" t="s">
        <v>228</v>
      </c>
      <c r="F294" s="6" t="s">
        <v>568</v>
      </c>
      <c r="G294" s="13">
        <v>20.504500000000011</v>
      </c>
      <c r="H294" s="13" t="s">
        <v>569</v>
      </c>
      <c r="I294" s="115"/>
      <c r="J294" s="113"/>
      <c r="K294" s="113"/>
      <c r="L294" s="113"/>
      <c r="M294" s="113"/>
      <c r="N294" s="113"/>
      <c r="O294" s="115"/>
      <c r="P294" s="117"/>
      <c r="Q294" s="90"/>
      <c r="U294" s="87"/>
      <c r="Y294" s="113"/>
      <c r="Z294" s="113"/>
      <c r="AC294" s="111"/>
      <c r="AD294" s="111"/>
    </row>
    <row r="295" spans="1:33">
      <c r="A295" s="27" t="s">
        <v>919</v>
      </c>
      <c r="B295" s="132" t="s">
        <v>570</v>
      </c>
      <c r="C295" s="114" t="s">
        <v>571</v>
      </c>
      <c r="D295" s="136" t="s">
        <v>301</v>
      </c>
      <c r="E295" s="34" t="s">
        <v>227</v>
      </c>
      <c r="F295" s="6" t="s">
        <v>112</v>
      </c>
      <c r="G295" s="13">
        <v>21.241984000000006</v>
      </c>
      <c r="H295" s="13" t="s">
        <v>388</v>
      </c>
      <c r="I295" s="114"/>
      <c r="J295" s="112"/>
      <c r="K295" s="112"/>
      <c r="L295" s="112"/>
      <c r="M295" s="112" t="s">
        <v>302</v>
      </c>
      <c r="N295" s="112"/>
      <c r="O295" s="114"/>
      <c r="P295" s="116"/>
      <c r="Q295" s="90"/>
      <c r="U295" s="87"/>
      <c r="Y295" s="112" t="str">
        <f>IF(V295="","",
IF(AND(V295&gt;=$V$12,V295&lt;$V$13),$V$12,
IF(AND(V295&gt;=$V$13,V295&lt;$V$14),$V$13,
IF(AND(V295&gt;=$V$14,V295&lt;$V$15),$V$14,
IF(AND(V295&gt;=$V$15,V295&lt;$V$16),$V$15,
IF(AND(V295&gt;=$V$16,V295&lt;$V$17),$V$16,""))))))</f>
        <v/>
      </c>
      <c r="Z295" s="112"/>
      <c r="AC295" s="111" t="str">
        <f>IF(J295="","",VLOOKUP(F296,[1]dim!$A:$F,6,FALSE))</f>
        <v/>
      </c>
      <c r="AD295" s="111" t="str">
        <f>IF(J295="","",VLOOKUP(F296,[1]dim!$A:$G,7,FALSE))</f>
        <v/>
      </c>
      <c r="AF295" t="s">
        <v>302</v>
      </c>
      <c r="AG295" t="s">
        <v>302</v>
      </c>
    </row>
    <row r="296" spans="1:33">
      <c r="A296" s="27"/>
      <c r="B296" s="133"/>
      <c r="C296" s="115"/>
      <c r="D296" s="137"/>
      <c r="E296" s="34" t="s">
        <v>228</v>
      </c>
      <c r="F296" s="6"/>
      <c r="G296" s="13"/>
      <c r="H296" s="102" t="s">
        <v>303</v>
      </c>
      <c r="I296" s="115"/>
      <c r="J296" s="113"/>
      <c r="K296" s="113"/>
      <c r="L296" s="113"/>
      <c r="M296" s="113"/>
      <c r="N296" s="113"/>
      <c r="O296" s="115"/>
      <c r="P296" s="117"/>
      <c r="Q296" s="90"/>
      <c r="U296" s="87"/>
      <c r="Y296" s="113"/>
      <c r="Z296" s="113"/>
      <c r="AC296" s="111"/>
      <c r="AD296" s="111"/>
    </row>
    <row r="297" spans="1:33">
      <c r="A297" s="27" t="s">
        <v>920</v>
      </c>
      <c r="B297" s="129" t="s">
        <v>572</v>
      </c>
      <c r="C297" s="131" t="s">
        <v>111</v>
      </c>
      <c r="D297" s="131" t="s">
        <v>40</v>
      </c>
      <c r="E297" s="34" t="s">
        <v>227</v>
      </c>
      <c r="F297" s="6" t="s">
        <v>109</v>
      </c>
      <c r="G297" s="13">
        <v>21.769570000000005</v>
      </c>
      <c r="H297" s="13" t="s">
        <v>386</v>
      </c>
      <c r="I297" s="114" t="s">
        <v>573</v>
      </c>
      <c r="J297" s="112">
        <v>0.55000000000000004</v>
      </c>
      <c r="K297" s="112">
        <v>0.49597500000000139</v>
      </c>
      <c r="L297" s="112">
        <v>0.10068530876148887</v>
      </c>
      <c r="M297" s="112">
        <v>0.4</v>
      </c>
      <c r="N297" s="112">
        <v>1</v>
      </c>
      <c r="O297" s="114" t="s">
        <v>312</v>
      </c>
      <c r="P297" s="116" t="s">
        <v>312</v>
      </c>
      <c r="Q297" s="90"/>
      <c r="U297" s="87"/>
      <c r="Y297" s="112" t="str">
        <f>IF(V297="","",
IF(AND(V297&gt;=$V$12,V297&lt;$V$13),$V$12,
IF(AND(V297&gt;=$V$13,V297&lt;$V$14),$V$13,
IF(AND(V297&gt;=$V$14,V297&lt;$V$15),$V$14,
IF(AND(V297&gt;=$V$15,V297&lt;$V$16),$V$15,
IF(AND(V297&gt;=$V$16,V297&lt;$V$17),$V$16,""))))))</f>
        <v/>
      </c>
      <c r="Z297" s="112">
        <v>1</v>
      </c>
      <c r="AC297" s="111">
        <f>IF(J297="","",VLOOKUP(F298,[1]dim!$A:$F,6,FALSE))</f>
        <v>0.55000000000000004</v>
      </c>
      <c r="AD297" s="111">
        <f>IF(J297="","",VLOOKUP(F298,[1]dim!$A:$G,7,FALSE))</f>
        <v>0.52216341003660527</v>
      </c>
      <c r="AF297">
        <v>0.55000000000000004</v>
      </c>
      <c r="AG297">
        <v>0.52216341003660527</v>
      </c>
    </row>
    <row r="298" spans="1:33">
      <c r="A298" s="27"/>
      <c r="B298" s="129"/>
      <c r="C298" s="131"/>
      <c r="D298" s="131"/>
      <c r="E298" s="34" t="s">
        <v>228</v>
      </c>
      <c r="F298" s="6" t="s">
        <v>574</v>
      </c>
      <c r="G298" s="13">
        <v>21.273595000000004</v>
      </c>
      <c r="H298" s="13" t="s">
        <v>575</v>
      </c>
      <c r="I298" s="115"/>
      <c r="J298" s="113"/>
      <c r="K298" s="113"/>
      <c r="L298" s="113"/>
      <c r="M298" s="113"/>
      <c r="N298" s="113"/>
      <c r="O298" s="115"/>
      <c r="P298" s="117"/>
      <c r="Q298" s="90"/>
      <c r="U298" s="87"/>
      <c r="Y298" s="113"/>
      <c r="Z298" s="113"/>
      <c r="AC298" s="111"/>
      <c r="AD298" s="111"/>
    </row>
    <row r="299" spans="1:33">
      <c r="A299" s="27" t="s">
        <v>921</v>
      </c>
      <c r="B299" s="129" t="s">
        <v>576</v>
      </c>
      <c r="C299" s="131" t="s">
        <v>116</v>
      </c>
      <c r="D299" s="131" t="s">
        <v>40</v>
      </c>
      <c r="E299" s="34" t="s">
        <v>227</v>
      </c>
      <c r="F299" s="6" t="s">
        <v>114</v>
      </c>
      <c r="G299" s="13">
        <v>20.904333000000015</v>
      </c>
      <c r="H299" s="13" t="s">
        <v>392</v>
      </c>
      <c r="I299" s="114" t="s">
        <v>577</v>
      </c>
      <c r="J299" s="112">
        <v>0.3</v>
      </c>
      <c r="K299" s="112">
        <v>1.1960890000000113</v>
      </c>
      <c r="L299" s="112">
        <v>0.2526015341860875</v>
      </c>
      <c r="M299" s="112">
        <v>0.3</v>
      </c>
      <c r="N299" s="112">
        <v>1</v>
      </c>
      <c r="O299" s="114" t="s">
        <v>312</v>
      </c>
      <c r="P299" s="116" t="s">
        <v>312</v>
      </c>
      <c r="Q299" s="91">
        <v>0.7</v>
      </c>
      <c r="U299" s="87"/>
      <c r="Y299" s="112" t="str">
        <f>IF(V299="","",
IF(AND(V299&gt;=$V$12,V299&lt;$V$13),$V$12,
IF(AND(V299&gt;=$V$13,V299&lt;$V$14),$V$13,
IF(AND(V299&gt;=$V$14,V299&lt;$V$15),$V$14,
IF(AND(V299&gt;=$V$15,V299&lt;$V$16),$V$15,
IF(AND(V299&gt;=$V$16,V299&lt;$V$17),$V$16,""))))))</f>
        <v/>
      </c>
      <c r="Z299" s="112">
        <v>1</v>
      </c>
      <c r="AC299" s="111">
        <f>IF(J299="","",VLOOKUP(F300,[1]dim!$A:$F,6,FALSE))</f>
        <v>0.3</v>
      </c>
      <c r="AD299" s="111">
        <f>IF(J299="","",VLOOKUP(F300,[1]dim!$A:$G,7,FALSE))</f>
        <v>0.28482374554887308</v>
      </c>
      <c r="AF299">
        <v>0.3</v>
      </c>
      <c r="AG299">
        <v>0.28482374554887308</v>
      </c>
    </row>
    <row r="300" spans="1:33">
      <c r="A300" s="27"/>
      <c r="B300" s="129"/>
      <c r="C300" s="131"/>
      <c r="D300" s="131"/>
      <c r="E300" s="34" t="s">
        <v>228</v>
      </c>
      <c r="F300" s="6" t="s">
        <v>578</v>
      </c>
      <c r="G300" s="13">
        <v>19.708244000000004</v>
      </c>
      <c r="H300" s="13" t="s">
        <v>579</v>
      </c>
      <c r="I300" s="115"/>
      <c r="J300" s="113"/>
      <c r="K300" s="113"/>
      <c r="L300" s="113"/>
      <c r="M300" s="113"/>
      <c r="N300" s="113"/>
      <c r="O300" s="115"/>
      <c r="P300" s="117"/>
      <c r="Q300" s="90" t="s">
        <v>300</v>
      </c>
      <c r="U300" s="87"/>
      <c r="Y300" s="113"/>
      <c r="Z300" s="113"/>
      <c r="AC300" s="111"/>
      <c r="AD300" s="111"/>
    </row>
    <row r="301" spans="1:33">
      <c r="A301" s="27" t="s">
        <v>922</v>
      </c>
      <c r="B301" s="132" t="s">
        <v>580</v>
      </c>
      <c r="C301" s="114" t="s">
        <v>581</v>
      </c>
      <c r="D301" s="136" t="s">
        <v>301</v>
      </c>
      <c r="E301" s="34" t="s">
        <v>227</v>
      </c>
      <c r="F301" s="6" t="s">
        <v>120</v>
      </c>
      <c r="G301" s="13">
        <v>20.071489000000014</v>
      </c>
      <c r="H301" s="13" t="s">
        <v>395</v>
      </c>
      <c r="I301" s="114"/>
      <c r="J301" s="112"/>
      <c r="K301" s="112"/>
      <c r="L301" s="112"/>
      <c r="M301" s="112" t="s">
        <v>302</v>
      </c>
      <c r="N301" s="112"/>
      <c r="O301" s="114"/>
      <c r="P301" s="116"/>
      <c r="Q301" s="90"/>
      <c r="U301" s="87"/>
      <c r="Y301" s="112" t="str">
        <f>IF(V301="","",
IF(AND(V301&gt;=$V$12,V301&lt;$V$13),$V$12,
IF(AND(V301&gt;=$V$13,V301&lt;$V$14),$V$13,
IF(AND(V301&gt;=$V$14,V301&lt;$V$15),$V$14,
IF(AND(V301&gt;=$V$15,V301&lt;$V$16),$V$15,
IF(AND(V301&gt;=$V$16,V301&lt;$V$17),$V$16,""))))))</f>
        <v/>
      </c>
      <c r="Z301" s="112"/>
      <c r="AC301" s="111" t="str">
        <f>IF(J301="","",VLOOKUP(F302,[1]dim!$A:$F,6,FALSE))</f>
        <v/>
      </c>
      <c r="AD301" s="111" t="str">
        <f>IF(J301="","",VLOOKUP(F302,[1]dim!$A:$G,7,FALSE))</f>
        <v/>
      </c>
      <c r="AF301" t="s">
        <v>302</v>
      </c>
      <c r="AG301" t="s">
        <v>302</v>
      </c>
    </row>
    <row r="302" spans="1:33">
      <c r="A302" s="27"/>
      <c r="B302" s="133"/>
      <c r="C302" s="115"/>
      <c r="D302" s="137"/>
      <c r="E302" s="34" t="s">
        <v>228</v>
      </c>
      <c r="F302" s="6"/>
      <c r="G302" s="13"/>
      <c r="H302" s="102" t="s">
        <v>303</v>
      </c>
      <c r="I302" s="115"/>
      <c r="J302" s="113"/>
      <c r="K302" s="113"/>
      <c r="L302" s="113"/>
      <c r="M302" s="113"/>
      <c r="N302" s="113"/>
      <c r="O302" s="115"/>
      <c r="P302" s="117"/>
      <c r="Q302" s="90"/>
      <c r="U302" s="87"/>
      <c r="Y302" s="113"/>
      <c r="Z302" s="113"/>
      <c r="AC302" s="111"/>
      <c r="AD302" s="111"/>
    </row>
    <row r="303" spans="1:33">
      <c r="A303" s="27" t="s">
        <v>923</v>
      </c>
      <c r="B303" s="129" t="s">
        <v>582</v>
      </c>
      <c r="C303" s="131" t="s">
        <v>119</v>
      </c>
      <c r="D303" s="131" t="s">
        <v>40</v>
      </c>
      <c r="E303" s="34" t="s">
        <v>227</v>
      </c>
      <c r="F303" s="6" t="s">
        <v>117</v>
      </c>
      <c r="G303" s="13">
        <v>20.488634000000015</v>
      </c>
      <c r="H303" s="13" t="s">
        <v>393</v>
      </c>
      <c r="I303" s="114" t="s">
        <v>583</v>
      </c>
      <c r="J303" s="112">
        <v>0.5</v>
      </c>
      <c r="K303" s="112">
        <v>1.0576960000000035</v>
      </c>
      <c r="L303" s="112">
        <v>0.11480119955753142</v>
      </c>
      <c r="M303" s="112">
        <v>0.4</v>
      </c>
      <c r="N303" s="112">
        <v>1</v>
      </c>
      <c r="O303" s="114" t="s">
        <v>312</v>
      </c>
      <c r="P303" s="116" t="s">
        <v>312</v>
      </c>
      <c r="Q303" s="90"/>
      <c r="U303" s="87"/>
      <c r="Y303" s="112" t="str">
        <f>IF(V303="","",
IF(AND(V303&gt;=$V$12,V303&lt;$V$13),$V$12,
IF(AND(V303&gt;=$V$13,V303&lt;$V$14),$V$13,
IF(AND(V303&gt;=$V$14,V303&lt;$V$15),$V$14,
IF(AND(V303&gt;=$V$15,V303&lt;$V$16),$V$15,
IF(AND(V303&gt;=$V$16,V303&lt;$V$17),$V$16,""))))))</f>
        <v/>
      </c>
      <c r="Z303" s="112">
        <v>1</v>
      </c>
      <c r="AC303" s="111">
        <f>IF(J303="","",VLOOKUP(F304,[1]dim!$A:$F,6,FALSE))</f>
        <v>0.5</v>
      </c>
      <c r="AD303" s="111">
        <f>IF(J303="","",VLOOKUP(F304,[1]dim!$A:$G,7,FALSE))</f>
        <v>0.41536360028182301</v>
      </c>
      <c r="AF303">
        <v>0.5</v>
      </c>
      <c r="AG303">
        <v>0.41536360028182301</v>
      </c>
    </row>
    <row r="304" spans="1:33">
      <c r="A304" s="27"/>
      <c r="B304" s="129"/>
      <c r="C304" s="131"/>
      <c r="D304" s="131"/>
      <c r="E304" s="34" t="s">
        <v>228</v>
      </c>
      <c r="F304" s="6" t="s">
        <v>584</v>
      </c>
      <c r="G304" s="13">
        <v>19.430938000000012</v>
      </c>
      <c r="H304" s="13" t="s">
        <v>585</v>
      </c>
      <c r="I304" s="115"/>
      <c r="J304" s="113"/>
      <c r="K304" s="113"/>
      <c r="L304" s="113"/>
      <c r="M304" s="113"/>
      <c r="N304" s="113"/>
      <c r="O304" s="115"/>
      <c r="P304" s="117"/>
      <c r="Q304" s="90"/>
      <c r="U304" s="87"/>
      <c r="Y304" s="113"/>
      <c r="Z304" s="113"/>
      <c r="AC304" s="111"/>
      <c r="AD304" s="111"/>
    </row>
    <row r="305" spans="1:33">
      <c r="A305" s="27" t="s">
        <v>924</v>
      </c>
      <c r="B305" s="132" t="s">
        <v>586</v>
      </c>
      <c r="C305" s="114" t="s">
        <v>587</v>
      </c>
      <c r="D305" s="136" t="s">
        <v>301</v>
      </c>
      <c r="E305" s="34" t="s">
        <v>227</v>
      </c>
      <c r="F305" s="6" t="s">
        <v>145</v>
      </c>
      <c r="G305" s="13">
        <v>22.823250000000016</v>
      </c>
      <c r="H305" s="13" t="s">
        <v>413</v>
      </c>
      <c r="I305" s="114"/>
      <c r="J305" s="112"/>
      <c r="K305" s="112"/>
      <c r="L305" s="112"/>
      <c r="M305" s="112" t="s">
        <v>302</v>
      </c>
      <c r="N305" s="112"/>
      <c r="O305" s="114"/>
      <c r="P305" s="116"/>
      <c r="Q305" s="90"/>
      <c r="U305" s="87"/>
      <c r="Y305" s="112" t="str">
        <f>IF(V305="","",
IF(AND(V305&gt;=$V$12,V305&lt;$V$13),$V$12,
IF(AND(V305&gt;=$V$13,V305&lt;$V$14),$V$13,
IF(AND(V305&gt;=$V$14,V305&lt;$V$15),$V$14,
IF(AND(V305&gt;=$V$15,V305&lt;$V$16),$V$15,
IF(AND(V305&gt;=$V$16,V305&lt;$V$17),$V$16,""))))))</f>
        <v/>
      </c>
      <c r="Z305" s="112"/>
      <c r="AC305" s="111" t="str">
        <f>IF(J305="","",VLOOKUP(F306,[1]dim!$A:$F,6,FALSE))</f>
        <v/>
      </c>
      <c r="AD305" s="111" t="str">
        <f>IF(J305="","",VLOOKUP(F306,[1]dim!$A:$G,7,FALSE))</f>
        <v/>
      </c>
      <c r="AF305" t="s">
        <v>302</v>
      </c>
      <c r="AG305" t="s">
        <v>302</v>
      </c>
    </row>
    <row r="306" spans="1:33">
      <c r="A306" s="27"/>
      <c r="B306" s="133"/>
      <c r="C306" s="115"/>
      <c r="D306" s="137"/>
      <c r="E306" s="34" t="s">
        <v>228</v>
      </c>
      <c r="F306" s="6"/>
      <c r="G306" s="13"/>
      <c r="H306" s="102" t="s">
        <v>303</v>
      </c>
      <c r="I306" s="115"/>
      <c r="J306" s="113"/>
      <c r="K306" s="113"/>
      <c r="L306" s="113"/>
      <c r="M306" s="113"/>
      <c r="N306" s="113"/>
      <c r="O306" s="115"/>
      <c r="P306" s="117"/>
      <c r="Q306" s="90"/>
      <c r="U306" s="87"/>
      <c r="Y306" s="113"/>
      <c r="Z306" s="113"/>
      <c r="AC306" s="111"/>
      <c r="AD306" s="111"/>
    </row>
    <row r="307" spans="1:33">
      <c r="A307" s="27" t="s">
        <v>924</v>
      </c>
      <c r="B307" s="132" t="s">
        <v>586</v>
      </c>
      <c r="C307" s="114" t="s">
        <v>587</v>
      </c>
      <c r="D307" s="136" t="s">
        <v>301</v>
      </c>
      <c r="E307" s="34" t="s">
        <v>227</v>
      </c>
      <c r="F307" s="6" t="s">
        <v>145</v>
      </c>
      <c r="G307" s="13">
        <v>22.823250000000016</v>
      </c>
      <c r="H307" s="13" t="s">
        <v>413</v>
      </c>
      <c r="I307" s="114"/>
      <c r="J307" s="112"/>
      <c r="K307" s="112"/>
      <c r="L307" s="112"/>
      <c r="M307" s="112" t="s">
        <v>302</v>
      </c>
      <c r="N307" s="112"/>
      <c r="O307" s="114"/>
      <c r="P307" s="116"/>
      <c r="Q307" s="90"/>
      <c r="U307" s="87"/>
      <c r="Y307" s="112" t="str">
        <f>IF(V307="","",
IF(AND(V307&gt;=$V$12,V307&lt;$V$13),$V$12,
IF(AND(V307&gt;=$V$13,V307&lt;$V$14),$V$13,
IF(AND(V307&gt;=$V$14,V307&lt;$V$15),$V$14,
IF(AND(V307&gt;=$V$15,V307&lt;$V$16),$V$15,
IF(AND(V307&gt;=$V$16,V307&lt;$V$17),$V$16,""))))))</f>
        <v/>
      </c>
      <c r="Z307" s="112"/>
      <c r="AC307" s="111" t="str">
        <f>IF(J307="","",VLOOKUP(F308,[1]dim!$A:$F,6,FALSE))</f>
        <v/>
      </c>
      <c r="AD307" s="111" t="str">
        <f>IF(J307="","",VLOOKUP(F308,[1]dim!$A:$G,7,FALSE))</f>
        <v/>
      </c>
      <c r="AF307" t="s">
        <v>302</v>
      </c>
      <c r="AG307" t="s">
        <v>302</v>
      </c>
    </row>
    <row r="308" spans="1:33">
      <c r="A308" s="27"/>
      <c r="B308" s="133"/>
      <c r="C308" s="115"/>
      <c r="D308" s="137"/>
      <c r="E308" s="34" t="s">
        <v>228</v>
      </c>
      <c r="F308" s="6"/>
      <c r="G308" s="13"/>
      <c r="H308" s="102" t="s">
        <v>303</v>
      </c>
      <c r="I308" s="115"/>
      <c r="J308" s="113"/>
      <c r="K308" s="113"/>
      <c r="L308" s="113"/>
      <c r="M308" s="113"/>
      <c r="N308" s="113"/>
      <c r="O308" s="115"/>
      <c r="P308" s="117"/>
      <c r="Q308" s="90"/>
      <c r="U308" s="87"/>
      <c r="Y308" s="113"/>
      <c r="Z308" s="113"/>
      <c r="AC308" s="111"/>
      <c r="AD308" s="111"/>
    </row>
    <row r="309" spans="1:33">
      <c r="A309" s="27"/>
      <c r="B309" s="138" t="s">
        <v>266</v>
      </c>
      <c r="C309" s="140"/>
      <c r="D309" s="140"/>
      <c r="E309" s="32"/>
      <c r="F309" s="19"/>
      <c r="G309" s="20"/>
      <c r="H309" s="20"/>
      <c r="I309" s="140" t="s">
        <v>302</v>
      </c>
      <c r="J309" s="119"/>
      <c r="K309" s="119"/>
      <c r="L309" s="119"/>
      <c r="M309" s="119" t="s">
        <v>302</v>
      </c>
      <c r="N309" s="119"/>
      <c r="O309" s="140"/>
      <c r="P309" s="150"/>
      <c r="Q309" s="90"/>
      <c r="U309" s="87"/>
      <c r="Y309" s="119" t="str">
        <f>IF(V309="","",
IF(AND(V309&gt;=$V$12,V309&lt;$V$13),$V$12,
IF(AND(V309&gt;=$V$13,V309&lt;$V$14),$V$13,
IF(AND(V309&gt;=$V$14,V309&lt;$V$15),$V$14,
IF(AND(V309&gt;=$V$15,V309&lt;$V$16),$V$15,
IF(AND(V309&gt;=$V$16,V309&lt;$V$17),$V$16,""))))))</f>
        <v/>
      </c>
      <c r="Z309" s="119"/>
      <c r="AC309" s="111" t="str">
        <f>IF(J309="","",VLOOKUP(F310,[1]dim!$A:$F,6,FALSE))</f>
        <v/>
      </c>
      <c r="AD309" s="111" t="str">
        <f>IF(J309="","",VLOOKUP(F310,[1]dim!$A:$G,7,FALSE))</f>
        <v/>
      </c>
      <c r="AF309" t="s">
        <v>302</v>
      </c>
      <c r="AG309" t="s">
        <v>302</v>
      </c>
    </row>
    <row r="310" spans="1:33">
      <c r="A310" s="27"/>
      <c r="B310" s="139"/>
      <c r="C310" s="141"/>
      <c r="D310" s="141"/>
      <c r="E310" s="33"/>
      <c r="F310" s="21"/>
      <c r="G310" s="22"/>
      <c r="H310" s="22"/>
      <c r="I310" s="141"/>
      <c r="J310" s="120"/>
      <c r="K310" s="120"/>
      <c r="L310" s="120"/>
      <c r="M310" s="120"/>
      <c r="N310" s="120"/>
      <c r="O310" s="141"/>
      <c r="P310" s="151"/>
      <c r="Q310" s="90"/>
      <c r="U310" s="87"/>
      <c r="Y310" s="120"/>
      <c r="Z310" s="120"/>
      <c r="AC310" s="111"/>
      <c r="AD310" s="111"/>
    </row>
    <row r="311" spans="1:33">
      <c r="A311" s="27" t="s">
        <v>925</v>
      </c>
      <c r="B311" s="129" t="s">
        <v>588</v>
      </c>
      <c r="C311" s="131" t="s">
        <v>125</v>
      </c>
      <c r="D311" s="131" t="s">
        <v>40</v>
      </c>
      <c r="E311" s="34" t="s">
        <v>227</v>
      </c>
      <c r="F311" s="6" t="s">
        <v>123</v>
      </c>
      <c r="G311" s="13">
        <v>23.78049500000002</v>
      </c>
      <c r="H311" s="13" t="s">
        <v>398</v>
      </c>
      <c r="I311" s="114" t="s">
        <v>589</v>
      </c>
      <c r="J311" s="112">
        <v>0.5</v>
      </c>
      <c r="K311" s="112">
        <v>0.74974500000001498</v>
      </c>
      <c r="L311" s="112">
        <v>0.45179476578507261</v>
      </c>
      <c r="M311" s="112">
        <v>0.4</v>
      </c>
      <c r="N311" s="112">
        <v>1</v>
      </c>
      <c r="O311" s="114" t="s">
        <v>312</v>
      </c>
      <c r="P311" s="116" t="s">
        <v>312</v>
      </c>
      <c r="Q311" s="91">
        <v>0.7</v>
      </c>
      <c r="U311" s="87"/>
      <c r="Y311" s="112" t="str">
        <f>IF(V311="","",
IF(AND(V311&gt;=$V$12,V311&lt;$V$13),$V$12,
IF(AND(V311&gt;=$V$13,V311&lt;$V$14),$V$13,
IF(AND(V311&gt;=$V$14,V311&lt;$V$15),$V$14,
IF(AND(V311&gt;=$V$15,V311&lt;$V$16),$V$15,
IF(AND(V311&gt;=$V$16,V311&lt;$V$17),$V$16,""))))))</f>
        <v/>
      </c>
      <c r="Z311" s="112">
        <v>1</v>
      </c>
      <c r="AC311" s="111">
        <f>IF(J311="","",VLOOKUP(F312,[1]dim!$A:$F,6,FALSE))</f>
        <v>0.5</v>
      </c>
      <c r="AD311" s="111">
        <f>IF(J311="","",VLOOKUP(F312,[1]dim!$A:$G,7,FALSE))</f>
        <v>0.42261917910659486</v>
      </c>
      <c r="AF311">
        <v>0.5</v>
      </c>
      <c r="AG311">
        <v>0.42261917910659486</v>
      </c>
    </row>
    <row r="312" spans="1:33">
      <c r="A312" s="27"/>
      <c r="B312" s="129"/>
      <c r="C312" s="131"/>
      <c r="D312" s="131"/>
      <c r="E312" s="34" t="s">
        <v>228</v>
      </c>
      <c r="F312" s="6" t="s">
        <v>590</v>
      </c>
      <c r="G312" s="13">
        <v>23.030750000000005</v>
      </c>
      <c r="H312" s="13" t="s">
        <v>591</v>
      </c>
      <c r="I312" s="115"/>
      <c r="J312" s="113"/>
      <c r="K312" s="113"/>
      <c r="L312" s="113"/>
      <c r="M312" s="113"/>
      <c r="N312" s="113"/>
      <c r="O312" s="115"/>
      <c r="P312" s="117"/>
      <c r="Q312" s="90" t="s">
        <v>300</v>
      </c>
      <c r="U312" s="87"/>
      <c r="Y312" s="113"/>
      <c r="Z312" s="113"/>
      <c r="AC312" s="111"/>
      <c r="AD312" s="111"/>
    </row>
    <row r="313" spans="1:33">
      <c r="A313" s="27" t="s">
        <v>926</v>
      </c>
      <c r="B313" s="129" t="s">
        <v>592</v>
      </c>
      <c r="C313" s="131" t="s">
        <v>128</v>
      </c>
      <c r="D313" s="131" t="s">
        <v>40</v>
      </c>
      <c r="E313" s="34" t="s">
        <v>227</v>
      </c>
      <c r="F313" s="6" t="s">
        <v>126</v>
      </c>
      <c r="G313" s="13">
        <v>23.677707500000018</v>
      </c>
      <c r="H313" s="13" t="s">
        <v>399</v>
      </c>
      <c r="I313" s="114" t="s">
        <v>593</v>
      </c>
      <c r="J313" s="112">
        <v>0.5</v>
      </c>
      <c r="K313" s="112">
        <v>1.1403982787600135</v>
      </c>
      <c r="L313" s="112">
        <v>0.41676292830088918</v>
      </c>
      <c r="M313" s="112">
        <v>0.4</v>
      </c>
      <c r="N313" s="112">
        <v>1</v>
      </c>
      <c r="O313" s="114" t="s">
        <v>312</v>
      </c>
      <c r="P313" s="116" t="s">
        <v>312</v>
      </c>
      <c r="Q313" s="90"/>
      <c r="U313" s="87"/>
      <c r="Y313" s="112" t="str">
        <f>IF(V313="","",
IF(AND(V313&gt;=$V$12,V313&lt;$V$13),$V$12,
IF(AND(V313&gt;=$V$13,V313&lt;$V$14),$V$13,
IF(AND(V313&gt;=$V$14,V313&lt;$V$15),$V$14,
IF(AND(V313&gt;=$V$15,V313&lt;$V$16),$V$15,
IF(AND(V313&gt;=$V$16,V313&lt;$V$17),$V$16,""))))))</f>
        <v/>
      </c>
      <c r="Z313" s="112">
        <v>1</v>
      </c>
      <c r="AC313" s="111">
        <f>IF(J313="","",VLOOKUP(F314,[1]dim!$A:$F,6,FALSE))</f>
        <v>0.5</v>
      </c>
      <c r="AD313" s="111">
        <f>IF(J313="","",VLOOKUP(F314,[1]dim!$A:$G,7,FALSE))</f>
        <v>0.45035799255969433</v>
      </c>
      <c r="AF313">
        <v>0.5</v>
      </c>
      <c r="AG313">
        <v>0.45035799255969433</v>
      </c>
    </row>
    <row r="314" spans="1:33">
      <c r="A314" s="27"/>
      <c r="B314" s="129"/>
      <c r="C314" s="131"/>
      <c r="D314" s="131"/>
      <c r="E314" s="34" t="s">
        <v>228</v>
      </c>
      <c r="F314" s="6" t="s">
        <v>594</v>
      </c>
      <c r="G314" s="13">
        <v>22.537309221240005</v>
      </c>
      <c r="H314" s="13" t="s">
        <v>595</v>
      </c>
      <c r="I314" s="115"/>
      <c r="J314" s="113"/>
      <c r="K314" s="113"/>
      <c r="L314" s="113"/>
      <c r="M314" s="113"/>
      <c r="N314" s="113"/>
      <c r="O314" s="115"/>
      <c r="P314" s="117"/>
      <c r="Q314" s="90"/>
      <c r="U314" s="87"/>
      <c r="Y314" s="113"/>
      <c r="Z314" s="113"/>
      <c r="AC314" s="111"/>
      <c r="AD314" s="111"/>
    </row>
    <row r="315" spans="1:33">
      <c r="A315" s="27" t="s">
        <v>927</v>
      </c>
      <c r="B315" s="129" t="s">
        <v>596</v>
      </c>
      <c r="C315" s="131" t="s">
        <v>131</v>
      </c>
      <c r="D315" s="131" t="s">
        <v>40</v>
      </c>
      <c r="E315" s="34" t="s">
        <v>227</v>
      </c>
      <c r="F315" s="6" t="s">
        <v>129</v>
      </c>
      <c r="G315" s="13">
        <v>23.327695000000016</v>
      </c>
      <c r="H315" s="13" t="s">
        <v>401</v>
      </c>
      <c r="I315" s="114" t="s">
        <v>597</v>
      </c>
      <c r="J315" s="112">
        <v>0.4</v>
      </c>
      <c r="K315" s="112">
        <v>1.3081538016172658</v>
      </c>
      <c r="L315" s="112">
        <v>0.52524543119270017</v>
      </c>
      <c r="M315" s="112">
        <v>0.4</v>
      </c>
      <c r="N315" s="112">
        <v>1</v>
      </c>
      <c r="O315" s="114" t="s">
        <v>312</v>
      </c>
      <c r="P315" s="116" t="s">
        <v>312</v>
      </c>
      <c r="Q315" s="90"/>
      <c r="U315" s="87"/>
      <c r="Y315" s="112" t="str">
        <f>IF(V315="","",
IF(AND(V315&gt;=$V$12,V315&lt;$V$13),$V$12,
IF(AND(V315&gt;=$V$13,V315&lt;$V$14),$V$13,
IF(AND(V315&gt;=$V$14,V315&lt;$V$15),$V$14,
IF(AND(V315&gt;=$V$15,V315&lt;$V$16),$V$15,
IF(AND(V315&gt;=$V$16,V315&lt;$V$17),$V$16,""))))))</f>
        <v/>
      </c>
      <c r="Z315" s="112">
        <v>1</v>
      </c>
      <c r="AC315" s="111">
        <f>IF(J315="","",VLOOKUP(F316,[1]dim!$A:$F,6,FALSE))</f>
        <v>0.4</v>
      </c>
      <c r="AD315" s="111">
        <f>IF(J315="","",VLOOKUP(F316,[1]dim!$A:$G,7,FALSE))</f>
        <v>0.35619121077700316</v>
      </c>
      <c r="AF315">
        <v>0.4</v>
      </c>
      <c r="AG315">
        <v>0.35619121077700316</v>
      </c>
    </row>
    <row r="316" spans="1:33">
      <c r="A316" s="27"/>
      <c r="B316" s="129"/>
      <c r="C316" s="131"/>
      <c r="D316" s="131"/>
      <c r="E316" s="34" t="s">
        <v>228</v>
      </c>
      <c r="F316" s="6" t="s">
        <v>598</v>
      </c>
      <c r="G316" s="13">
        <v>22.01954119838275</v>
      </c>
      <c r="H316" s="13" t="s">
        <v>599</v>
      </c>
      <c r="I316" s="115"/>
      <c r="J316" s="113"/>
      <c r="K316" s="113"/>
      <c r="L316" s="113"/>
      <c r="M316" s="113"/>
      <c r="N316" s="113"/>
      <c r="O316" s="115"/>
      <c r="P316" s="117"/>
      <c r="Q316" s="90"/>
      <c r="U316" s="87"/>
      <c r="Y316" s="113"/>
      <c r="Z316" s="113"/>
      <c r="AC316" s="111"/>
      <c r="AD316" s="111"/>
    </row>
    <row r="317" spans="1:33">
      <c r="A317" s="27" t="s">
        <v>928</v>
      </c>
      <c r="B317" s="129" t="s">
        <v>600</v>
      </c>
      <c r="C317" s="131" t="s">
        <v>134</v>
      </c>
      <c r="D317" s="131" t="s">
        <v>40</v>
      </c>
      <c r="E317" s="34" t="s">
        <v>227</v>
      </c>
      <c r="F317" s="6" t="s">
        <v>132</v>
      </c>
      <c r="G317" s="13">
        <v>22.621215000000017</v>
      </c>
      <c r="H317" s="13" t="s">
        <v>403</v>
      </c>
      <c r="I317" s="114" t="s">
        <v>601</v>
      </c>
      <c r="J317" s="112">
        <v>0.45</v>
      </c>
      <c r="K317" s="112">
        <v>0.87271500000000657</v>
      </c>
      <c r="L317" s="112">
        <v>0.44410825178461527</v>
      </c>
      <c r="M317" s="112">
        <v>0.4</v>
      </c>
      <c r="N317" s="112">
        <v>1</v>
      </c>
      <c r="O317" s="114" t="s">
        <v>312</v>
      </c>
      <c r="P317" s="116" t="s">
        <v>312</v>
      </c>
      <c r="Q317" s="90"/>
      <c r="U317" s="87"/>
      <c r="Y317" s="112" t="str">
        <f>IF(V317="","",
IF(AND(V317&gt;=$V$12,V317&lt;$V$13),$V$12,
IF(AND(V317&gt;=$V$13,V317&lt;$V$14),$V$13,
IF(AND(V317&gt;=$V$14,V317&lt;$V$15),$V$14,
IF(AND(V317&gt;=$V$15,V317&lt;$V$16),$V$15,
IF(AND(V317&gt;=$V$16,V317&lt;$V$17),$V$16,""))))))</f>
        <v/>
      </c>
      <c r="Z317" s="112">
        <v>1</v>
      </c>
      <c r="AC317" s="111">
        <f>IF(J317="","",VLOOKUP(F318,[1]dim!$A:$F,6,FALSE))</f>
        <v>0.45</v>
      </c>
      <c r="AD317" s="111">
        <f>IF(J317="","",VLOOKUP(F318,[1]dim!$A:$G,7,FALSE))</f>
        <v>0.3833281037910688</v>
      </c>
      <c r="AF317">
        <v>0.45</v>
      </c>
      <c r="AG317">
        <v>0.3833281037910688</v>
      </c>
    </row>
    <row r="318" spans="1:33">
      <c r="A318" s="27"/>
      <c r="B318" s="129"/>
      <c r="C318" s="131"/>
      <c r="D318" s="131"/>
      <c r="E318" s="34" t="s">
        <v>228</v>
      </c>
      <c r="F318" s="6" t="s">
        <v>602</v>
      </c>
      <c r="G318" s="13">
        <v>21.748500000000011</v>
      </c>
      <c r="H318" s="13" t="s">
        <v>603</v>
      </c>
      <c r="I318" s="115"/>
      <c r="J318" s="113"/>
      <c r="K318" s="113"/>
      <c r="L318" s="113"/>
      <c r="M318" s="113"/>
      <c r="N318" s="113"/>
      <c r="O318" s="115"/>
      <c r="P318" s="117"/>
      <c r="Q318" s="90"/>
      <c r="U318" s="87"/>
      <c r="Y318" s="113"/>
      <c r="Z318" s="113"/>
      <c r="AC318" s="111"/>
      <c r="AD318" s="111"/>
    </row>
    <row r="319" spans="1:33">
      <c r="A319" s="27" t="s">
        <v>929</v>
      </c>
      <c r="B319" s="129" t="s">
        <v>600</v>
      </c>
      <c r="C319" s="131" t="s">
        <v>134</v>
      </c>
      <c r="D319" s="131" t="s">
        <v>40</v>
      </c>
      <c r="E319" s="34" t="s">
        <v>227</v>
      </c>
      <c r="F319" s="6" t="s">
        <v>132</v>
      </c>
      <c r="G319" s="13">
        <v>22.621215000000017</v>
      </c>
      <c r="H319" s="13" t="s">
        <v>403</v>
      </c>
      <c r="I319" s="114" t="s">
        <v>604</v>
      </c>
      <c r="J319" s="112">
        <v>0.45</v>
      </c>
      <c r="K319" s="112">
        <v>0.39492083133658795</v>
      </c>
      <c r="L319" s="112">
        <v>0.39182204652041064</v>
      </c>
      <c r="M319" s="112">
        <v>0.4</v>
      </c>
      <c r="N319" s="112">
        <v>1</v>
      </c>
      <c r="O319" s="114" t="s">
        <v>312</v>
      </c>
      <c r="P319" s="116" t="s">
        <v>312</v>
      </c>
      <c r="Q319" s="90"/>
      <c r="U319" s="87"/>
      <c r="Y319" s="112" t="str">
        <f>IF(V319="","",
IF(AND(V319&gt;=$V$12,V319&lt;$V$13),$V$12,
IF(AND(V319&gt;=$V$13,V319&lt;$V$14),$V$13,
IF(AND(V319&gt;=$V$14,V319&lt;$V$15),$V$14,
IF(AND(V319&gt;=$V$15,V319&lt;$V$16),$V$15,
IF(AND(V319&gt;=$V$16,V319&lt;$V$17),$V$16,""))))))</f>
        <v/>
      </c>
      <c r="Z319" s="112">
        <v>1</v>
      </c>
      <c r="AC319" s="111">
        <f>IF(J319="","",VLOOKUP(F320,[1]dim!$A:$F,6,FALSE))</f>
        <v>0.45</v>
      </c>
      <c r="AD319" s="111">
        <f>IF(J319="","",VLOOKUP(F320,[1]dim!$A:$G,7,FALSE))</f>
        <v>0.4359080445243903</v>
      </c>
      <c r="AF319">
        <v>0.45</v>
      </c>
      <c r="AG319">
        <v>0.4359080445243903</v>
      </c>
    </row>
    <row r="320" spans="1:33">
      <c r="A320" s="27"/>
      <c r="B320" s="129"/>
      <c r="C320" s="131"/>
      <c r="D320" s="131"/>
      <c r="E320" s="34" t="s">
        <v>228</v>
      </c>
      <c r="F320" s="6" t="s">
        <v>605</v>
      </c>
      <c r="G320" s="13">
        <v>22.226294168663429</v>
      </c>
      <c r="H320" s="13" t="s">
        <v>606</v>
      </c>
      <c r="I320" s="115"/>
      <c r="J320" s="113"/>
      <c r="K320" s="113"/>
      <c r="L320" s="113"/>
      <c r="M320" s="113"/>
      <c r="N320" s="113"/>
      <c r="O320" s="115"/>
      <c r="P320" s="117"/>
      <c r="Q320" s="90"/>
      <c r="U320" s="87"/>
      <c r="Y320" s="113"/>
      <c r="Z320" s="113"/>
      <c r="AC320" s="111"/>
      <c r="AD320" s="111"/>
    </row>
    <row r="321" spans="1:33">
      <c r="A321" s="27" t="s">
        <v>930</v>
      </c>
      <c r="B321" s="129" t="s">
        <v>607</v>
      </c>
      <c r="C321" s="131" t="s">
        <v>137</v>
      </c>
      <c r="D321" s="131" t="s">
        <v>40</v>
      </c>
      <c r="E321" s="34" t="s">
        <v>227</v>
      </c>
      <c r="F321" s="6" t="s">
        <v>135</v>
      </c>
      <c r="G321" s="13">
        <v>22.074810000000017</v>
      </c>
      <c r="H321" s="13" t="s">
        <v>405</v>
      </c>
      <c r="I321" s="114" t="s">
        <v>608</v>
      </c>
      <c r="J321" s="112">
        <v>0.35</v>
      </c>
      <c r="K321" s="112">
        <v>0.57841714285715184</v>
      </c>
      <c r="L321" s="112">
        <v>0.41551995549480941</v>
      </c>
      <c r="M321" s="112">
        <v>0.3</v>
      </c>
      <c r="N321" s="112">
        <v>1</v>
      </c>
      <c r="O321" s="114" t="s">
        <v>312</v>
      </c>
      <c r="P321" s="116" t="s">
        <v>312</v>
      </c>
      <c r="Q321" s="90"/>
      <c r="U321" s="87"/>
      <c r="Y321" s="112" t="str">
        <f>IF(V321="","",
IF(AND(V321&gt;=$V$12,V321&lt;$V$13),$V$12,
IF(AND(V321&gt;=$V$13,V321&lt;$V$14),$V$13,
IF(AND(V321&gt;=$V$14,V321&lt;$V$15),$V$14,
IF(AND(V321&gt;=$V$15,V321&lt;$V$16),$V$15,
IF(AND(V321&gt;=$V$16,V321&lt;$V$17),$V$16,""))))))</f>
        <v/>
      </c>
      <c r="Z321" s="112">
        <v>1</v>
      </c>
      <c r="AC321" s="111">
        <f>IF(J321="","",VLOOKUP(F322,[1]dim!$A:$F,6,FALSE))</f>
        <v>0.35</v>
      </c>
      <c r="AD321" s="111">
        <f>IF(J321="","",VLOOKUP(F322,[1]dim!$A:$G,7,FALSE))</f>
        <v>0.24952097795814321</v>
      </c>
      <c r="AF321">
        <v>0.35</v>
      </c>
      <c r="AG321">
        <v>0.24952097795814321</v>
      </c>
    </row>
    <row r="322" spans="1:33">
      <c r="A322" s="27"/>
      <c r="B322" s="129"/>
      <c r="C322" s="131"/>
      <c r="D322" s="131"/>
      <c r="E322" s="34" t="s">
        <v>228</v>
      </c>
      <c r="F322" s="6" t="s">
        <v>609</v>
      </c>
      <c r="G322" s="13">
        <v>21.496392857142865</v>
      </c>
      <c r="H322" s="13" t="s">
        <v>610</v>
      </c>
      <c r="I322" s="115"/>
      <c r="J322" s="113"/>
      <c r="K322" s="113"/>
      <c r="L322" s="113"/>
      <c r="M322" s="113"/>
      <c r="N322" s="113"/>
      <c r="O322" s="115"/>
      <c r="P322" s="117"/>
      <c r="Q322" s="90"/>
      <c r="U322" s="87"/>
      <c r="Y322" s="113"/>
      <c r="Z322" s="113"/>
      <c r="AC322" s="111"/>
      <c r="AD322" s="111"/>
    </row>
    <row r="323" spans="1:33">
      <c r="A323" s="27" t="s">
        <v>931</v>
      </c>
      <c r="B323" s="129" t="s">
        <v>607</v>
      </c>
      <c r="C323" s="131" t="s">
        <v>137</v>
      </c>
      <c r="D323" s="131" t="s">
        <v>40</v>
      </c>
      <c r="E323" s="34" t="s">
        <v>227</v>
      </c>
      <c r="F323" s="6" t="s">
        <v>135</v>
      </c>
      <c r="G323" s="13">
        <v>22.074810000000017</v>
      </c>
      <c r="H323" s="13" t="s">
        <v>405</v>
      </c>
      <c r="I323" s="114" t="s">
        <v>611</v>
      </c>
      <c r="J323" s="112">
        <v>0.4</v>
      </c>
      <c r="K323" s="112">
        <v>1.1214259996426783</v>
      </c>
      <c r="L323" s="112">
        <v>0.33459662152763953</v>
      </c>
      <c r="M323" s="112">
        <v>0.4</v>
      </c>
      <c r="N323" s="112">
        <v>1</v>
      </c>
      <c r="O323" s="114" t="s">
        <v>312</v>
      </c>
      <c r="P323" s="116" t="s">
        <v>312</v>
      </c>
      <c r="Q323" s="90"/>
      <c r="U323" s="87"/>
      <c r="Y323" s="112" t="str">
        <f>IF(V323="","",
IF(AND(V323&gt;=$V$12,V323&lt;$V$13),$V$12,
IF(AND(V323&gt;=$V$13,V323&lt;$V$14),$V$13,
IF(AND(V323&gt;=$V$14,V323&lt;$V$15),$V$14,
IF(AND(V323&gt;=$V$15,V323&lt;$V$16),$V$15,
IF(AND(V323&gt;=$V$16,V323&lt;$V$17),$V$16,""))))))</f>
        <v/>
      </c>
      <c r="Z323" s="112">
        <v>1</v>
      </c>
      <c r="AC323" s="111">
        <f>IF(J323="","",VLOOKUP(F324,[1]dim!$A:$F,6,FALSE))</f>
        <v>0.4</v>
      </c>
      <c r="AD323" s="111">
        <f>IF(J323="","",VLOOKUP(F324,[1]dim!$A:$G,7,FALSE))</f>
        <v>0.35945440392925643</v>
      </c>
      <c r="AF323">
        <v>0.4</v>
      </c>
      <c r="AG323">
        <v>0.35945440392925643</v>
      </c>
    </row>
    <row r="324" spans="1:33">
      <c r="A324" s="27"/>
      <c r="B324" s="129"/>
      <c r="C324" s="131"/>
      <c r="D324" s="131"/>
      <c r="E324" s="34" t="s">
        <v>228</v>
      </c>
      <c r="F324" s="6" t="s">
        <v>612</v>
      </c>
      <c r="G324" s="13">
        <v>20.953384000357339</v>
      </c>
      <c r="H324" s="13" t="s">
        <v>613</v>
      </c>
      <c r="I324" s="115"/>
      <c r="J324" s="113"/>
      <c r="K324" s="113"/>
      <c r="L324" s="113"/>
      <c r="M324" s="113"/>
      <c r="N324" s="113"/>
      <c r="O324" s="115"/>
      <c r="P324" s="117"/>
      <c r="Q324" s="90"/>
      <c r="U324" s="87"/>
      <c r="Y324" s="113"/>
      <c r="Z324" s="113"/>
      <c r="AC324" s="111"/>
      <c r="AD324" s="111"/>
    </row>
    <row r="325" spans="1:33">
      <c r="A325" s="27" t="s">
        <v>932</v>
      </c>
      <c r="B325" s="129" t="s">
        <v>614</v>
      </c>
      <c r="C325" s="131" t="s">
        <v>140</v>
      </c>
      <c r="D325" s="131" t="s">
        <v>40</v>
      </c>
      <c r="E325" s="34" t="s">
        <v>227</v>
      </c>
      <c r="F325" s="6" t="s">
        <v>138</v>
      </c>
      <c r="G325" s="13">
        <v>21.747617500000015</v>
      </c>
      <c r="H325" s="13" t="s">
        <v>407</v>
      </c>
      <c r="I325" s="114" t="s">
        <v>615</v>
      </c>
      <c r="J325" s="112">
        <v>0.45</v>
      </c>
      <c r="K325" s="112">
        <v>1.0586950258868235</v>
      </c>
      <c r="L325" s="112">
        <v>0.33142218672297191</v>
      </c>
      <c r="M325" s="112">
        <v>0.4</v>
      </c>
      <c r="N325" s="112">
        <v>1</v>
      </c>
      <c r="O325" s="114" t="s">
        <v>312</v>
      </c>
      <c r="P325" s="116" t="s">
        <v>312</v>
      </c>
      <c r="Q325" s="90"/>
      <c r="U325" s="87"/>
      <c r="Y325" s="112" t="str">
        <f>IF(V325="","",
IF(AND(V325&gt;=$V$12,V325&lt;$V$13),$V$12,
IF(AND(V325&gt;=$V$13,V325&lt;$V$14),$V$13,
IF(AND(V325&gt;=$V$14,V325&lt;$V$15),$V$14,
IF(AND(V325&gt;=$V$15,V325&lt;$V$16),$V$15,
IF(AND(V325&gt;=$V$16,V325&lt;$V$17),$V$16,""))))))</f>
        <v/>
      </c>
      <c r="Z325" s="112">
        <v>1</v>
      </c>
      <c r="AC325" s="111">
        <f>IF(J325="","",VLOOKUP(F326,[1]dim!$A:$F,6,FALSE))</f>
        <v>0.45</v>
      </c>
      <c r="AD325" s="111">
        <f>IF(J325="","",VLOOKUP(F326,[1]dim!$A:$G,7,FALSE))</f>
        <v>0.41056408064316108</v>
      </c>
      <c r="AF325">
        <v>0.45</v>
      </c>
      <c r="AG325">
        <v>0.41056408064316108</v>
      </c>
    </row>
    <row r="326" spans="1:33">
      <c r="A326" s="27"/>
      <c r="B326" s="129"/>
      <c r="C326" s="131"/>
      <c r="D326" s="131"/>
      <c r="E326" s="34" t="s">
        <v>228</v>
      </c>
      <c r="F326" s="6" t="s">
        <v>616</v>
      </c>
      <c r="G326" s="13">
        <v>20.688922474113191</v>
      </c>
      <c r="H326" s="13" t="s">
        <v>617</v>
      </c>
      <c r="I326" s="115"/>
      <c r="J326" s="113"/>
      <c r="K326" s="113"/>
      <c r="L326" s="113"/>
      <c r="M326" s="113"/>
      <c r="N326" s="113"/>
      <c r="O326" s="115"/>
      <c r="P326" s="117"/>
      <c r="Q326" s="90"/>
      <c r="U326" s="87"/>
      <c r="Y326" s="113"/>
      <c r="Z326" s="113"/>
      <c r="AC326" s="111"/>
      <c r="AD326" s="111"/>
    </row>
    <row r="327" spans="1:33">
      <c r="A327" s="27" t="s">
        <v>933</v>
      </c>
      <c r="B327" s="129" t="s">
        <v>618</v>
      </c>
      <c r="C327" s="131" t="s">
        <v>143</v>
      </c>
      <c r="D327" s="131" t="s">
        <v>40</v>
      </c>
      <c r="E327" s="34" t="s">
        <v>227</v>
      </c>
      <c r="F327" s="6" t="s">
        <v>141</v>
      </c>
      <c r="G327" s="13">
        <v>21.395770000000013</v>
      </c>
      <c r="H327" s="13" t="s">
        <v>409</v>
      </c>
      <c r="I327" s="114" t="s">
        <v>619</v>
      </c>
      <c r="J327" s="112">
        <v>0.35</v>
      </c>
      <c r="K327" s="112">
        <v>0.80777000000000498</v>
      </c>
      <c r="L327" s="112">
        <v>0.43342406679316547</v>
      </c>
      <c r="M327" s="112">
        <v>0.3</v>
      </c>
      <c r="N327" s="112">
        <v>1</v>
      </c>
      <c r="O327" s="114" t="s">
        <v>312</v>
      </c>
      <c r="P327" s="116" t="s">
        <v>312</v>
      </c>
      <c r="Q327" s="90"/>
      <c r="U327" s="87"/>
      <c r="Y327" s="112" t="str">
        <f>IF(V327="","",
IF(AND(V327&gt;=$V$12,V327&lt;$V$13),$V$12,
IF(AND(V327&gt;=$V$13,V327&lt;$V$14),$V$13,
IF(AND(V327&gt;=$V$14,V327&lt;$V$15),$V$14,
IF(AND(V327&gt;=$V$15,V327&lt;$V$16),$V$15,
IF(AND(V327&gt;=$V$16,V327&lt;$V$17),$V$16,""))))))</f>
        <v/>
      </c>
      <c r="Z327" s="112">
        <v>1</v>
      </c>
      <c r="AC327" s="111">
        <f>IF(J327="","",VLOOKUP(F328,[1]dim!$A:$F,6,FALSE))</f>
        <v>0.35</v>
      </c>
      <c r="AD327" s="111">
        <f>IF(J327="","",VLOOKUP(F328,[1]dim!$A:$G,7,FALSE))</f>
        <v>0.24952097795814321</v>
      </c>
      <c r="AF327">
        <v>0.35</v>
      </c>
      <c r="AG327">
        <v>0.24952097795814321</v>
      </c>
    </row>
    <row r="328" spans="1:33">
      <c r="A328" s="27"/>
      <c r="B328" s="129"/>
      <c r="C328" s="131"/>
      <c r="D328" s="131"/>
      <c r="E328" s="34" t="s">
        <v>228</v>
      </c>
      <c r="F328" s="6" t="s">
        <v>620</v>
      </c>
      <c r="G328" s="13">
        <v>20.588000000000008</v>
      </c>
      <c r="H328" s="13" t="s">
        <v>621</v>
      </c>
      <c r="I328" s="115"/>
      <c r="J328" s="113"/>
      <c r="K328" s="113"/>
      <c r="L328" s="113"/>
      <c r="M328" s="113"/>
      <c r="N328" s="113"/>
      <c r="O328" s="115"/>
      <c r="P328" s="117"/>
      <c r="Q328" s="90"/>
      <c r="U328" s="87"/>
      <c r="Y328" s="113"/>
      <c r="Z328" s="113"/>
      <c r="AC328" s="111"/>
      <c r="AD328" s="111"/>
    </row>
    <row r="329" spans="1:33">
      <c r="A329" s="27" t="s">
        <v>934</v>
      </c>
      <c r="B329" s="129" t="s">
        <v>618</v>
      </c>
      <c r="C329" s="131" t="s">
        <v>143</v>
      </c>
      <c r="D329" s="131" t="s">
        <v>40</v>
      </c>
      <c r="E329" s="34" t="s">
        <v>227</v>
      </c>
      <c r="F329" s="6" t="s">
        <v>141</v>
      </c>
      <c r="G329" s="13">
        <v>21.395770000000013</v>
      </c>
      <c r="H329" s="13" t="s">
        <v>409</v>
      </c>
      <c r="I329" s="114" t="s">
        <v>622</v>
      </c>
      <c r="J329" s="112">
        <v>0.45</v>
      </c>
      <c r="K329" s="112">
        <v>0.53058673969767511</v>
      </c>
      <c r="L329" s="112">
        <v>0.26419731742786112</v>
      </c>
      <c r="M329" s="112">
        <v>0.4</v>
      </c>
      <c r="N329" s="112">
        <v>1</v>
      </c>
      <c r="O329" s="114" t="s">
        <v>312</v>
      </c>
      <c r="P329" s="116" t="s">
        <v>312</v>
      </c>
      <c r="Q329" s="90"/>
      <c r="U329" s="87"/>
      <c r="Y329" s="112" t="str">
        <f>IF(V329="","",
IF(AND(V329&gt;=$V$12,V329&lt;$V$13),$V$12,
IF(AND(V329&gt;=$V$13,V329&lt;$V$14),$V$13,
IF(AND(V329&gt;=$V$14,V329&lt;$V$15),$V$14,
IF(AND(V329&gt;=$V$15,V329&lt;$V$16),$V$15,
IF(AND(V329&gt;=$V$16,V329&lt;$V$17),$V$16,""))))))</f>
        <v/>
      </c>
      <c r="Z329" s="112">
        <v>1</v>
      </c>
      <c r="AC329" s="111">
        <f>IF(J329="","",VLOOKUP(F330,[1]dim!$A:$F,6,FALSE))</f>
        <v>0.45</v>
      </c>
      <c r="AD329" s="111">
        <f>IF(J329="","",VLOOKUP(F330,[1]dim!$A:$G,7,FALSE))</f>
        <v>0.438351181821166</v>
      </c>
      <c r="AF329">
        <v>0.45</v>
      </c>
      <c r="AG329">
        <v>0.438351181821166</v>
      </c>
    </row>
    <row r="330" spans="1:33">
      <c r="A330" s="27"/>
      <c r="B330" s="129"/>
      <c r="C330" s="131"/>
      <c r="D330" s="131"/>
      <c r="E330" s="34" t="s">
        <v>228</v>
      </c>
      <c r="F330" s="6" t="s">
        <v>623</v>
      </c>
      <c r="G330" s="13">
        <v>20.865183260302338</v>
      </c>
      <c r="H330" s="13" t="s">
        <v>624</v>
      </c>
      <c r="I330" s="115"/>
      <c r="J330" s="113"/>
      <c r="K330" s="113"/>
      <c r="L330" s="113"/>
      <c r="M330" s="113"/>
      <c r="N330" s="113"/>
      <c r="O330" s="115"/>
      <c r="P330" s="117"/>
      <c r="Q330" s="90"/>
      <c r="U330" s="87"/>
      <c r="Y330" s="113"/>
      <c r="Z330" s="113"/>
      <c r="AC330" s="111"/>
      <c r="AD330" s="111"/>
    </row>
    <row r="331" spans="1:33">
      <c r="A331" s="27" t="s">
        <v>935</v>
      </c>
      <c r="B331" s="129" t="s">
        <v>618</v>
      </c>
      <c r="C331" s="131" t="s">
        <v>143</v>
      </c>
      <c r="D331" s="131" t="s">
        <v>40</v>
      </c>
      <c r="E331" s="34" t="s">
        <v>227</v>
      </c>
      <c r="F331" s="6" t="s">
        <v>141</v>
      </c>
      <c r="G331" s="13">
        <v>21.395770000000013</v>
      </c>
      <c r="H331" s="13" t="s">
        <v>409</v>
      </c>
      <c r="I331" s="114" t="s">
        <v>625</v>
      </c>
      <c r="J331" s="112">
        <v>0.5</v>
      </c>
      <c r="K331" s="112">
        <v>0.32962582838787213</v>
      </c>
      <c r="L331" s="112">
        <v>0.24674046414515546</v>
      </c>
      <c r="M331" s="112">
        <v>0.4</v>
      </c>
      <c r="N331" s="112">
        <v>1</v>
      </c>
      <c r="O331" s="114" t="s">
        <v>312</v>
      </c>
      <c r="P331" s="116" t="s">
        <v>312</v>
      </c>
      <c r="Q331" s="90"/>
      <c r="U331" s="87"/>
      <c r="Y331" s="112" t="str">
        <f>IF(V331="","",
IF(AND(V331&gt;=$V$12,V331&lt;$V$13),$V$12,
IF(AND(V331&gt;=$V$13,V331&lt;$V$14),$V$13,
IF(AND(V331&gt;=$V$14,V331&lt;$V$15),$V$14,
IF(AND(V331&gt;=$V$15,V331&lt;$V$16),$V$15,
IF(AND(V331&gt;=$V$16,V331&lt;$V$17),$V$16,""))))))</f>
        <v/>
      </c>
      <c r="Z331" s="112">
        <v>1</v>
      </c>
      <c r="AC331" s="111">
        <f>IF(J331="","",VLOOKUP(F332,[1]dim!$A:$F,6,FALSE))</f>
        <v>0.5</v>
      </c>
      <c r="AD331" s="111">
        <f>IF(J331="","",VLOOKUP(F332,[1]dim!$A:$G,7,FALSE))</f>
        <v>0.44132686393513576</v>
      </c>
      <c r="AF331">
        <v>0.5</v>
      </c>
      <c r="AG331">
        <v>0.44132686393513576</v>
      </c>
    </row>
    <row r="332" spans="1:33">
      <c r="A332" s="27"/>
      <c r="B332" s="129"/>
      <c r="C332" s="131"/>
      <c r="D332" s="131"/>
      <c r="E332" s="34" t="s">
        <v>228</v>
      </c>
      <c r="F332" s="6" t="s">
        <v>626</v>
      </c>
      <c r="G332" s="13">
        <v>21.066144171612141</v>
      </c>
      <c r="H332" s="13" t="s">
        <v>627</v>
      </c>
      <c r="I332" s="115"/>
      <c r="J332" s="113"/>
      <c r="K332" s="113"/>
      <c r="L332" s="113"/>
      <c r="M332" s="113"/>
      <c r="N332" s="113"/>
      <c r="O332" s="115"/>
      <c r="P332" s="117"/>
      <c r="Q332" s="90"/>
      <c r="U332" s="87"/>
      <c r="Y332" s="113"/>
      <c r="Z332" s="113"/>
      <c r="AC332" s="111"/>
      <c r="AD332" s="111"/>
    </row>
    <row r="333" spans="1:33">
      <c r="A333" s="27" t="s">
        <v>936</v>
      </c>
      <c r="B333" s="129" t="s">
        <v>628</v>
      </c>
      <c r="C333" s="131" t="s">
        <v>629</v>
      </c>
      <c r="D333" s="131" t="s">
        <v>40</v>
      </c>
      <c r="E333" s="34" t="s">
        <v>227</v>
      </c>
      <c r="F333" s="6" t="s">
        <v>144</v>
      </c>
      <c r="G333" s="13">
        <v>20.548250000000014</v>
      </c>
      <c r="H333" s="13" t="s">
        <v>411</v>
      </c>
      <c r="I333" s="114" t="s">
        <v>630</v>
      </c>
      <c r="J333" s="112">
        <v>0.55000000000000004</v>
      </c>
      <c r="K333" s="112">
        <v>0.30000000000000071</v>
      </c>
      <c r="L333" s="112">
        <v>0.10121922517235976</v>
      </c>
      <c r="M333" s="112">
        <v>0.4</v>
      </c>
      <c r="N333" s="112">
        <v>1</v>
      </c>
      <c r="O333" s="114" t="s">
        <v>312</v>
      </c>
      <c r="P333" s="116" t="s">
        <v>312</v>
      </c>
      <c r="Q333" s="90"/>
      <c r="U333" s="87"/>
      <c r="Y333" s="112" t="str">
        <f>IF(V333="","",
IF(AND(V333&gt;=$V$12,V333&lt;$V$13),$V$12,
IF(AND(V333&gt;=$V$13,V333&lt;$V$14),$V$13,
IF(AND(V333&gt;=$V$14,V333&lt;$V$15),$V$14,
IF(AND(V333&gt;=$V$15,V333&lt;$V$16),$V$15,
IF(AND(V333&gt;=$V$16,V333&lt;$V$17),$V$16,""))))))</f>
        <v/>
      </c>
      <c r="Z333" s="112">
        <v>1</v>
      </c>
      <c r="AC333" s="111">
        <f>IF(J333="","",VLOOKUP(F334,[1]dim!$A:$F,6,FALSE))</f>
        <v>0.55000000000000004</v>
      </c>
      <c r="AD333" s="111">
        <f>IF(J333="","",VLOOKUP(F334,[1]dim!$A:$G,7,FALSE))</f>
        <v>0.49249573636904592</v>
      </c>
      <c r="AF333">
        <v>0.55000000000000004</v>
      </c>
      <c r="AG333">
        <v>0.49249573636904592</v>
      </c>
    </row>
    <row r="334" spans="1:33">
      <c r="A334" s="27"/>
      <c r="B334" s="129"/>
      <c r="C334" s="131"/>
      <c r="D334" s="131"/>
      <c r="E334" s="34" t="s">
        <v>228</v>
      </c>
      <c r="F334" s="6" t="s">
        <v>631</v>
      </c>
      <c r="G334" s="13">
        <v>20.248250000000013</v>
      </c>
      <c r="H334" s="13" t="s">
        <v>632</v>
      </c>
      <c r="I334" s="115"/>
      <c r="J334" s="113"/>
      <c r="K334" s="113"/>
      <c r="L334" s="113"/>
      <c r="M334" s="113"/>
      <c r="N334" s="113"/>
      <c r="O334" s="115"/>
      <c r="P334" s="117"/>
      <c r="Q334" s="90"/>
      <c r="U334" s="87"/>
      <c r="Y334" s="113"/>
      <c r="Z334" s="113"/>
      <c r="AC334" s="111"/>
      <c r="AD334" s="111"/>
    </row>
    <row r="335" spans="1:33">
      <c r="A335" s="27" t="s">
        <v>937</v>
      </c>
      <c r="B335" s="129" t="s">
        <v>628</v>
      </c>
      <c r="C335" s="131" t="s">
        <v>629</v>
      </c>
      <c r="D335" s="131" t="s">
        <v>40</v>
      </c>
      <c r="E335" s="34" t="s">
        <v>227</v>
      </c>
      <c r="F335" s="6" t="s">
        <v>144</v>
      </c>
      <c r="G335" s="13">
        <v>20.548250000000014</v>
      </c>
      <c r="H335" s="13" t="s">
        <v>411</v>
      </c>
      <c r="I335" s="114" t="s">
        <v>633</v>
      </c>
      <c r="J335" s="112">
        <v>0.4</v>
      </c>
      <c r="K335" s="112">
        <v>0.87600000000001188</v>
      </c>
      <c r="L335" s="112">
        <v>0.17656308505699359</v>
      </c>
      <c r="M335" s="112">
        <v>0.4</v>
      </c>
      <c r="N335" s="112">
        <v>1</v>
      </c>
      <c r="O335" s="114" t="s">
        <v>312</v>
      </c>
      <c r="P335" s="116" t="s">
        <v>312</v>
      </c>
      <c r="Q335" s="90"/>
      <c r="U335" s="87"/>
      <c r="Y335" s="112" t="str">
        <f>IF(V335="","",
IF(AND(V335&gt;=$V$12,V335&lt;$V$13),$V$12,
IF(AND(V335&gt;=$V$13,V335&lt;$V$14),$V$13,
IF(AND(V335&gt;=$V$14,V335&lt;$V$15),$V$14,
IF(AND(V335&gt;=$V$15,V335&lt;$V$16),$V$15,
IF(AND(V335&gt;=$V$16,V335&lt;$V$17),$V$16,""))))))</f>
        <v/>
      </c>
      <c r="Z335" s="112">
        <v>1</v>
      </c>
      <c r="AC335" s="111">
        <f>IF(J335="","",VLOOKUP(F336,[1]dim!$A:$F,6,FALSE))</f>
        <v>0.4</v>
      </c>
      <c r="AD335" s="111">
        <f>IF(J335="","",VLOOKUP(F336,[1]dim!$A:$G,7,FALSE))</f>
        <v>0.39335665568203471</v>
      </c>
      <c r="AF335">
        <v>0.4</v>
      </c>
      <c r="AG335">
        <v>0.39335665568203471</v>
      </c>
    </row>
    <row r="336" spans="1:33">
      <c r="A336" s="27"/>
      <c r="B336" s="129"/>
      <c r="C336" s="131"/>
      <c r="D336" s="131"/>
      <c r="E336" s="34" t="s">
        <v>228</v>
      </c>
      <c r="F336" s="6" t="s">
        <v>634</v>
      </c>
      <c r="G336" s="13">
        <v>19.672250000000002</v>
      </c>
      <c r="H336" s="13" t="s">
        <v>635</v>
      </c>
      <c r="I336" s="115"/>
      <c r="J336" s="113"/>
      <c r="K336" s="113"/>
      <c r="L336" s="113"/>
      <c r="M336" s="113"/>
      <c r="N336" s="113"/>
      <c r="O336" s="115"/>
      <c r="P336" s="117"/>
      <c r="Q336" s="90"/>
      <c r="U336" s="87"/>
      <c r="Y336" s="113"/>
      <c r="Z336" s="113"/>
      <c r="AC336" s="111"/>
      <c r="AD336" s="111"/>
    </row>
    <row r="337" spans="1:33">
      <c r="A337" s="27" t="s">
        <v>938</v>
      </c>
      <c r="B337" s="129" t="s">
        <v>636</v>
      </c>
      <c r="C337" s="131" t="s">
        <v>148</v>
      </c>
      <c r="D337" s="131" t="s">
        <v>40</v>
      </c>
      <c r="E337" s="34" t="s">
        <v>227</v>
      </c>
      <c r="F337" s="6" t="s">
        <v>146</v>
      </c>
      <c r="G337" s="13">
        <v>21.69912350000001</v>
      </c>
      <c r="H337" s="13" t="s">
        <v>415</v>
      </c>
      <c r="I337" s="114" t="s">
        <v>637</v>
      </c>
      <c r="J337" s="112">
        <v>0.3</v>
      </c>
      <c r="K337" s="112">
        <v>0.75737350000000703</v>
      </c>
      <c r="L337" s="112">
        <v>0.45549925548842007</v>
      </c>
      <c r="M337" s="112">
        <v>0.3</v>
      </c>
      <c r="N337" s="112">
        <v>1</v>
      </c>
      <c r="O337" s="114" t="s">
        <v>312</v>
      </c>
      <c r="P337" s="116" t="s">
        <v>312</v>
      </c>
      <c r="Q337" s="90"/>
      <c r="U337" s="87"/>
      <c r="Y337" s="112" t="str">
        <f>IF(V337="","",
IF(AND(V337&gt;=$V$12,V337&lt;$V$13),$V$12,
IF(AND(V337&gt;=$V$13,V337&lt;$V$14),$V$13,
IF(AND(V337&gt;=$V$14,V337&lt;$V$15),$V$14,
IF(AND(V337&gt;=$V$15,V337&lt;$V$16),$V$15,
IF(AND(V337&gt;=$V$16,V337&lt;$V$17),$V$16,""))))))</f>
        <v/>
      </c>
      <c r="Z337" s="112">
        <v>1</v>
      </c>
      <c r="AC337" s="111">
        <f>IF(J337="","",VLOOKUP(F338,[1]dim!$A:$F,6,FALSE))</f>
        <v>0.3</v>
      </c>
      <c r="AD337" s="111">
        <f>IF(J337="","",VLOOKUP(F338,[1]dim!$A:$G,7,FALSE))</f>
        <v>0.22961637840568802</v>
      </c>
      <c r="AF337">
        <v>0.3</v>
      </c>
      <c r="AG337">
        <v>0.22961637840568802</v>
      </c>
    </row>
    <row r="338" spans="1:33">
      <c r="A338" s="27"/>
      <c r="B338" s="129"/>
      <c r="C338" s="131"/>
      <c r="D338" s="131"/>
      <c r="E338" s="34" t="s">
        <v>228</v>
      </c>
      <c r="F338" s="6" t="s">
        <v>638</v>
      </c>
      <c r="G338" s="13">
        <v>20.941750000000003</v>
      </c>
      <c r="H338" s="13" t="s">
        <v>639</v>
      </c>
      <c r="I338" s="115"/>
      <c r="J338" s="113"/>
      <c r="K338" s="113"/>
      <c r="L338" s="113"/>
      <c r="M338" s="113"/>
      <c r="N338" s="113"/>
      <c r="O338" s="115"/>
      <c r="P338" s="117"/>
      <c r="Q338" s="90"/>
      <c r="U338" s="87"/>
      <c r="Y338" s="113"/>
      <c r="Z338" s="113"/>
      <c r="AC338" s="111"/>
      <c r="AD338" s="111"/>
    </row>
    <row r="339" spans="1:33">
      <c r="A339" s="27" t="s">
        <v>939</v>
      </c>
      <c r="B339" s="129" t="s">
        <v>636</v>
      </c>
      <c r="C339" s="131" t="s">
        <v>148</v>
      </c>
      <c r="D339" s="131" t="s">
        <v>40</v>
      </c>
      <c r="E339" s="34" t="s">
        <v>227</v>
      </c>
      <c r="F339" s="6" t="s">
        <v>146</v>
      </c>
      <c r="G339" s="13">
        <v>21.69912350000001</v>
      </c>
      <c r="H339" s="13" t="s">
        <v>415</v>
      </c>
      <c r="I339" s="114" t="s">
        <v>640</v>
      </c>
      <c r="J339" s="112">
        <v>0.45</v>
      </c>
      <c r="K339" s="112">
        <v>0.3051235000000041</v>
      </c>
      <c r="L339" s="112">
        <v>0.2613996069708962</v>
      </c>
      <c r="M339" s="112">
        <v>0.4</v>
      </c>
      <c r="N339" s="112">
        <v>1</v>
      </c>
      <c r="O339" s="114" t="s">
        <v>312</v>
      </c>
      <c r="P339" s="116" t="s">
        <v>312</v>
      </c>
      <c r="Q339" s="90"/>
      <c r="U339" s="87"/>
      <c r="Y339" s="112" t="str">
        <f>IF(V339="","",
IF(AND(V339&gt;=$V$12,V339&lt;$V$13),$V$12,
IF(AND(V339&gt;=$V$13,V339&lt;$V$14),$V$13,
IF(AND(V339&gt;=$V$14,V339&lt;$V$15),$V$14,
IF(AND(V339&gt;=$V$15,V339&lt;$V$16),$V$15,
IF(AND(V339&gt;=$V$16,V339&lt;$V$17),$V$16,""))))))</f>
        <v/>
      </c>
      <c r="Z339" s="112">
        <v>1</v>
      </c>
      <c r="AC339" s="111">
        <f>IF(J339="","",VLOOKUP(F340,[1]dim!$A:$F,6,FALSE))</f>
        <v>0.45</v>
      </c>
      <c r="AD339" s="111">
        <f>IF(J339="","",VLOOKUP(F340,[1]dim!$A:$G,7,FALSE))</f>
        <v>0.42345085842064778</v>
      </c>
      <c r="AF339">
        <v>0.45</v>
      </c>
      <c r="AG339">
        <v>0.42345085842064778</v>
      </c>
    </row>
    <row r="340" spans="1:33">
      <c r="A340" s="27"/>
      <c r="B340" s="129"/>
      <c r="C340" s="131"/>
      <c r="D340" s="131"/>
      <c r="E340" s="34" t="s">
        <v>228</v>
      </c>
      <c r="F340" s="6" t="s">
        <v>641</v>
      </c>
      <c r="G340" s="13">
        <v>21.394000000000005</v>
      </c>
      <c r="H340" s="13" t="s">
        <v>642</v>
      </c>
      <c r="I340" s="115"/>
      <c r="J340" s="113"/>
      <c r="K340" s="113"/>
      <c r="L340" s="113"/>
      <c r="M340" s="113"/>
      <c r="N340" s="113"/>
      <c r="O340" s="115"/>
      <c r="P340" s="117"/>
      <c r="Q340" s="90"/>
      <c r="U340" s="87"/>
      <c r="Y340" s="113"/>
      <c r="Z340" s="113"/>
      <c r="AC340" s="111"/>
      <c r="AD340" s="111"/>
    </row>
    <row r="341" spans="1:33">
      <c r="A341" s="27" t="s">
        <v>940</v>
      </c>
      <c r="B341" s="129" t="s">
        <v>643</v>
      </c>
      <c r="C341" s="131" t="s">
        <v>151</v>
      </c>
      <c r="D341" s="131" t="s">
        <v>40</v>
      </c>
      <c r="E341" s="34" t="s">
        <v>227</v>
      </c>
      <c r="F341" s="6" t="s">
        <v>149</v>
      </c>
      <c r="G341" s="13">
        <v>21.409445500000007</v>
      </c>
      <c r="H341" s="13" t="s">
        <v>417</v>
      </c>
      <c r="I341" s="114" t="s">
        <v>644</v>
      </c>
      <c r="J341" s="112">
        <v>0.45</v>
      </c>
      <c r="K341" s="112">
        <v>0.39144549999999612</v>
      </c>
      <c r="L341" s="112">
        <v>0.23242709964771582</v>
      </c>
      <c r="M341" s="112">
        <v>0.4</v>
      </c>
      <c r="N341" s="112">
        <v>1</v>
      </c>
      <c r="O341" s="114" t="s">
        <v>312</v>
      </c>
      <c r="P341" s="116" t="s">
        <v>312</v>
      </c>
      <c r="Q341" s="90"/>
      <c r="U341" s="87"/>
      <c r="Y341" s="112" t="str">
        <f>IF(V341="","",
IF(AND(V341&gt;=$V$12,V341&lt;$V$13),$V$12,
IF(AND(V341&gt;=$V$13,V341&lt;$V$14),$V$13,
IF(AND(V341&gt;=$V$14,V341&lt;$V$15),$V$14,
IF(AND(V341&gt;=$V$15,V341&lt;$V$16),$V$15,
IF(AND(V341&gt;=$V$16,V341&lt;$V$17),$V$16,""))))))</f>
        <v/>
      </c>
      <c r="Z341" s="112">
        <v>1</v>
      </c>
      <c r="AC341" s="111">
        <f>IF(J341="","",VLOOKUP(F342,[1]dim!$A:$F,6,FALSE))</f>
        <v>0.45</v>
      </c>
      <c r="AD341" s="111">
        <f>IF(J341="","",VLOOKUP(F342,[1]dim!$A:$G,7,FALSE))</f>
        <v>0.43344917677395267</v>
      </c>
      <c r="AF341">
        <v>0.45</v>
      </c>
      <c r="AG341">
        <v>0.43344917677395267</v>
      </c>
    </row>
    <row r="342" spans="1:33">
      <c r="A342" s="27"/>
      <c r="B342" s="129"/>
      <c r="C342" s="131"/>
      <c r="D342" s="131"/>
      <c r="E342" s="34" t="s">
        <v>228</v>
      </c>
      <c r="F342" s="6" t="s">
        <v>645</v>
      </c>
      <c r="G342" s="13">
        <v>21.018000000000011</v>
      </c>
      <c r="H342" s="13" t="s">
        <v>646</v>
      </c>
      <c r="I342" s="115"/>
      <c r="J342" s="113"/>
      <c r="K342" s="113"/>
      <c r="L342" s="113"/>
      <c r="M342" s="113"/>
      <c r="N342" s="113"/>
      <c r="O342" s="115"/>
      <c r="P342" s="117"/>
      <c r="Q342" s="90"/>
      <c r="U342" s="87"/>
      <c r="Y342" s="113"/>
      <c r="Z342" s="113"/>
      <c r="AC342" s="111"/>
      <c r="AD342" s="111"/>
    </row>
    <row r="343" spans="1:33">
      <c r="A343" s="27" t="s">
        <v>941</v>
      </c>
      <c r="B343" s="129" t="s">
        <v>647</v>
      </c>
      <c r="C343" s="131" t="s">
        <v>154</v>
      </c>
      <c r="D343" s="131" t="s">
        <v>40</v>
      </c>
      <c r="E343" s="34" t="s">
        <v>227</v>
      </c>
      <c r="F343" s="6" t="s">
        <v>152</v>
      </c>
      <c r="G343" s="13">
        <v>20.587368000000009</v>
      </c>
      <c r="H343" s="13" t="s">
        <v>419</v>
      </c>
      <c r="I343" s="114" t="s">
        <v>648</v>
      </c>
      <c r="J343" s="112">
        <v>0.45</v>
      </c>
      <c r="K343" s="112">
        <v>1.2466180000000016</v>
      </c>
      <c r="L343" s="112">
        <v>0.22651518792105704</v>
      </c>
      <c r="M343" s="112">
        <v>0.4</v>
      </c>
      <c r="N343" s="112">
        <v>1</v>
      </c>
      <c r="O343" s="114" t="s">
        <v>312</v>
      </c>
      <c r="P343" s="116" t="s">
        <v>312</v>
      </c>
      <c r="Q343" s="90"/>
      <c r="U343" s="87"/>
      <c r="Y343" s="112" t="str">
        <f>IF(V343="","",
IF(AND(V343&gt;=$V$12,V343&lt;$V$13),$V$12,
IF(AND(V343&gt;=$V$13,V343&lt;$V$14),$V$13,
IF(AND(V343&gt;=$V$14,V343&lt;$V$15),$V$14,
IF(AND(V343&gt;=$V$15,V343&lt;$V$16),$V$15,
IF(AND(V343&gt;=$V$16,V343&lt;$V$17),$V$16,""))))))</f>
        <v/>
      </c>
      <c r="Z343" s="112">
        <v>1</v>
      </c>
      <c r="AC343" s="111">
        <f>IF(J343="","",VLOOKUP(F344,[1]dim!$A:$F,6,FALSE))</f>
        <v>0.45</v>
      </c>
      <c r="AD343" s="111">
        <f>IF(J343="","",VLOOKUP(F344,[1]dim!$A:$G,7,FALSE))</f>
        <v>0.39447376263701839</v>
      </c>
      <c r="AF343">
        <v>0.45</v>
      </c>
      <c r="AG343">
        <v>0.39447376263701839</v>
      </c>
    </row>
    <row r="344" spans="1:33">
      <c r="A344" s="27"/>
      <c r="B344" s="129"/>
      <c r="C344" s="131"/>
      <c r="D344" s="131"/>
      <c r="E344" s="34" t="s">
        <v>228</v>
      </c>
      <c r="F344" s="6" t="s">
        <v>649</v>
      </c>
      <c r="G344" s="13">
        <v>19.340750000000007</v>
      </c>
      <c r="H344" s="13" t="s">
        <v>650</v>
      </c>
      <c r="I344" s="115"/>
      <c r="J344" s="113"/>
      <c r="K344" s="113"/>
      <c r="L344" s="113"/>
      <c r="M344" s="113"/>
      <c r="N344" s="113"/>
      <c r="O344" s="115"/>
      <c r="P344" s="117"/>
      <c r="Q344" s="90"/>
      <c r="U344" s="87"/>
      <c r="Y344" s="113"/>
      <c r="Z344" s="113"/>
      <c r="AC344" s="111"/>
      <c r="AD344" s="111"/>
    </row>
    <row r="345" spans="1:33">
      <c r="A345" s="27" t="s">
        <v>942</v>
      </c>
      <c r="B345" s="129" t="s">
        <v>647</v>
      </c>
      <c r="C345" s="131" t="s">
        <v>154</v>
      </c>
      <c r="D345" s="131" t="s">
        <v>40</v>
      </c>
      <c r="E345" s="34" t="s">
        <v>227</v>
      </c>
      <c r="F345" s="6" t="s">
        <v>152</v>
      </c>
      <c r="G345" s="13">
        <v>20.587368000000009</v>
      </c>
      <c r="H345" s="13" t="s">
        <v>419</v>
      </c>
      <c r="I345" s="114" t="s">
        <v>651</v>
      </c>
      <c r="J345" s="112">
        <v>0.35</v>
      </c>
      <c r="K345" s="112">
        <v>1.0853680000000026</v>
      </c>
      <c r="L345" s="112">
        <v>0.2533619478922895</v>
      </c>
      <c r="M345" s="112">
        <v>0.3</v>
      </c>
      <c r="N345" s="112">
        <v>1</v>
      </c>
      <c r="O345" s="114" t="s">
        <v>312</v>
      </c>
      <c r="P345" s="116" t="s">
        <v>312</v>
      </c>
      <c r="Q345" s="90"/>
      <c r="U345" s="87"/>
      <c r="Y345" s="112" t="str">
        <f>IF(V345="","",
IF(AND(V345&gt;=$V$12,V345&lt;$V$13),$V$12,
IF(AND(V345&gt;=$V$13,V345&lt;$V$14),$V$13,
IF(AND(V345&gt;=$V$14,V345&lt;$V$15),$V$14,
IF(AND(V345&gt;=$V$15,V345&lt;$V$16),$V$15,
IF(AND(V345&gt;=$V$16,V345&lt;$V$17),$V$16,""))))))</f>
        <v/>
      </c>
      <c r="Z345" s="112">
        <v>1</v>
      </c>
      <c r="AC345" s="111">
        <f>IF(J345="","",VLOOKUP(F346,[1]dim!$A:$F,6,FALSE))</f>
        <v>0.35</v>
      </c>
      <c r="AD345" s="111">
        <f>IF(J345="","",VLOOKUP(F346,[1]dim!$A:$G,7,FALSE))</f>
        <v>0.34445161423417409</v>
      </c>
      <c r="AF345">
        <v>0.35</v>
      </c>
      <c r="AG345">
        <v>0.34445161423417409</v>
      </c>
    </row>
    <row r="346" spans="1:33">
      <c r="A346" s="27"/>
      <c r="B346" s="129"/>
      <c r="C346" s="131"/>
      <c r="D346" s="131"/>
      <c r="E346" s="34" t="s">
        <v>228</v>
      </c>
      <c r="F346" s="6" t="s">
        <v>652</v>
      </c>
      <c r="G346" s="13">
        <v>19.502000000000006</v>
      </c>
      <c r="H346" s="13" t="s">
        <v>653</v>
      </c>
      <c r="I346" s="115"/>
      <c r="J346" s="113"/>
      <c r="K346" s="113"/>
      <c r="L346" s="113"/>
      <c r="M346" s="113"/>
      <c r="N346" s="113"/>
      <c r="O346" s="115"/>
      <c r="P346" s="117"/>
      <c r="Q346" s="90"/>
      <c r="U346" s="87"/>
      <c r="Y346" s="113"/>
      <c r="Z346" s="113"/>
      <c r="AC346" s="111"/>
      <c r="AD346" s="111"/>
    </row>
    <row r="347" spans="1:33">
      <c r="A347" s="27" t="s">
        <v>943</v>
      </c>
      <c r="B347" s="129" t="s">
        <v>654</v>
      </c>
      <c r="C347" s="131" t="s">
        <v>157</v>
      </c>
      <c r="D347" s="131" t="s">
        <v>40</v>
      </c>
      <c r="E347" s="34" t="s">
        <v>227</v>
      </c>
      <c r="F347" s="6" t="s">
        <v>155</v>
      </c>
      <c r="G347" s="13">
        <v>20.083554000000007</v>
      </c>
      <c r="H347" s="13" t="s">
        <v>421</v>
      </c>
      <c r="I347" s="114" t="s">
        <v>655</v>
      </c>
      <c r="J347" s="112">
        <v>0.4</v>
      </c>
      <c r="K347" s="112">
        <v>0.7975539999999981</v>
      </c>
      <c r="L347" s="112">
        <v>0.21827546896003816</v>
      </c>
      <c r="M347" s="112">
        <v>0.4</v>
      </c>
      <c r="N347" s="112">
        <v>1</v>
      </c>
      <c r="O347" s="114" t="s">
        <v>312</v>
      </c>
      <c r="P347" s="116" t="s">
        <v>312</v>
      </c>
      <c r="Q347" s="90"/>
      <c r="U347" s="87"/>
      <c r="Y347" s="112" t="str">
        <f>IF(V347="","",
IF(AND(V347&gt;=$V$12,V347&lt;$V$13),$V$12,
IF(AND(V347&gt;=$V$13,V347&lt;$V$14),$V$13,
IF(AND(V347&gt;=$V$14,V347&lt;$V$15),$V$14,
IF(AND(V347&gt;=$V$15,V347&lt;$V$16),$V$15,
IF(AND(V347&gt;=$V$16,V347&lt;$V$17),$V$16,""))))))</f>
        <v/>
      </c>
      <c r="Z347" s="112">
        <v>1</v>
      </c>
      <c r="AC347" s="111">
        <f>IF(J347="","",VLOOKUP(F348,[1]dim!$A:$F,6,FALSE))</f>
        <v>0.4</v>
      </c>
      <c r="AD347" s="111">
        <f>IF(J347="","",VLOOKUP(F348,[1]dim!$A:$G,7,FALSE))</f>
        <v>0.36268475904544556</v>
      </c>
      <c r="AF347">
        <v>0.4</v>
      </c>
      <c r="AG347">
        <v>0.36268475904544556</v>
      </c>
    </row>
    <row r="348" spans="1:33">
      <c r="A348" s="27"/>
      <c r="B348" s="129"/>
      <c r="C348" s="131"/>
      <c r="D348" s="131"/>
      <c r="E348" s="34" t="s">
        <v>228</v>
      </c>
      <c r="F348" s="6" t="s">
        <v>656</v>
      </c>
      <c r="G348" s="13">
        <v>19.286000000000008</v>
      </c>
      <c r="H348" s="13" t="s">
        <v>657</v>
      </c>
      <c r="I348" s="115"/>
      <c r="J348" s="113"/>
      <c r="K348" s="113"/>
      <c r="L348" s="113"/>
      <c r="M348" s="113"/>
      <c r="N348" s="113"/>
      <c r="O348" s="115"/>
      <c r="P348" s="117"/>
      <c r="Q348" s="90"/>
      <c r="U348" s="87"/>
      <c r="Y348" s="113"/>
      <c r="Z348" s="113"/>
      <c r="AC348" s="111"/>
      <c r="AD348" s="111"/>
    </row>
    <row r="349" spans="1:33">
      <c r="A349" s="27" t="s">
        <v>944</v>
      </c>
      <c r="B349" s="129" t="s">
        <v>654</v>
      </c>
      <c r="C349" s="131" t="s">
        <v>157</v>
      </c>
      <c r="D349" s="131" t="s">
        <v>40</v>
      </c>
      <c r="E349" s="34" t="s">
        <v>227</v>
      </c>
      <c r="F349" s="6" t="s">
        <v>155</v>
      </c>
      <c r="G349" s="13">
        <v>20.083554000000007</v>
      </c>
      <c r="H349" s="13" t="s">
        <v>421</v>
      </c>
      <c r="I349" s="114" t="s">
        <v>658</v>
      </c>
      <c r="J349" s="112">
        <v>0.45</v>
      </c>
      <c r="K349" s="112">
        <v>0.54480399999999918</v>
      </c>
      <c r="L349" s="112">
        <v>0.17483778423283994</v>
      </c>
      <c r="M349" s="112">
        <v>0.4</v>
      </c>
      <c r="N349" s="112">
        <v>1</v>
      </c>
      <c r="O349" s="114" t="s">
        <v>312</v>
      </c>
      <c r="P349" s="116" t="s">
        <v>312</v>
      </c>
      <c r="Q349" s="90"/>
      <c r="U349" s="87"/>
      <c r="Y349" s="112" t="str">
        <f>IF(V349="","",
IF(AND(V349&gt;=$V$12,V349&lt;$V$13),$V$12,
IF(AND(V349&gt;=$V$13,V349&lt;$V$14),$V$13,
IF(AND(V349&gt;=$V$14,V349&lt;$V$15),$V$14,
IF(AND(V349&gt;=$V$15,V349&lt;$V$16),$V$15,
IF(AND(V349&gt;=$V$16,V349&lt;$V$17),$V$16,""))))))</f>
        <v/>
      </c>
      <c r="Z349" s="112">
        <v>1</v>
      </c>
      <c r="AC349" s="111">
        <f>IF(J349="","",VLOOKUP(F350,[1]dim!$A:$F,6,FALSE))</f>
        <v>0.45</v>
      </c>
      <c r="AD349" s="111">
        <f>IF(J349="","",VLOOKUP(F350,[1]dim!$A:$G,7,FALSE))</f>
        <v>0.3972060604332609</v>
      </c>
      <c r="AF349">
        <v>0.45</v>
      </c>
      <c r="AG349">
        <v>0.3972060604332609</v>
      </c>
    </row>
    <row r="350" spans="1:33">
      <c r="A350" s="27"/>
      <c r="B350" s="129"/>
      <c r="C350" s="131"/>
      <c r="D350" s="131"/>
      <c r="E350" s="34" t="s">
        <v>228</v>
      </c>
      <c r="F350" s="6" t="s">
        <v>659</v>
      </c>
      <c r="G350" s="13">
        <v>19.538750000000007</v>
      </c>
      <c r="H350" s="13" t="s">
        <v>660</v>
      </c>
      <c r="I350" s="115"/>
      <c r="J350" s="113"/>
      <c r="K350" s="113"/>
      <c r="L350" s="113"/>
      <c r="M350" s="113"/>
      <c r="N350" s="113"/>
      <c r="O350" s="115"/>
      <c r="P350" s="117"/>
      <c r="Q350" s="90"/>
      <c r="U350" s="87"/>
      <c r="Y350" s="113"/>
      <c r="Z350" s="113"/>
      <c r="AC350" s="111"/>
      <c r="AD350" s="111"/>
    </row>
    <row r="351" spans="1:33">
      <c r="A351" s="27" t="s">
        <v>945</v>
      </c>
      <c r="B351" s="132" t="s">
        <v>661</v>
      </c>
      <c r="C351" s="114" t="s">
        <v>662</v>
      </c>
      <c r="D351" s="136" t="s">
        <v>301</v>
      </c>
      <c r="E351" s="34" t="s">
        <v>227</v>
      </c>
      <c r="F351" s="6" t="s">
        <v>158</v>
      </c>
      <c r="G351" s="13">
        <v>19.424250000000008</v>
      </c>
      <c r="H351" s="13" t="s">
        <v>423</v>
      </c>
      <c r="I351" s="114"/>
      <c r="J351" s="112"/>
      <c r="K351" s="112"/>
      <c r="L351" s="112"/>
      <c r="M351" s="112" t="s">
        <v>302</v>
      </c>
      <c r="N351" s="112"/>
      <c r="O351" s="114"/>
      <c r="P351" s="116"/>
      <c r="Q351" s="90"/>
      <c r="U351" s="87"/>
      <c r="Y351" s="112" t="str">
        <f>IF(V351="","",
IF(AND(V351&gt;=$V$12,V351&lt;$V$13),$V$12,
IF(AND(V351&gt;=$V$13,V351&lt;$V$14),$V$13,
IF(AND(V351&gt;=$V$14,V351&lt;$V$15),$V$14,
IF(AND(V351&gt;=$V$15,V351&lt;$V$16),$V$15,
IF(AND(V351&gt;=$V$16,V351&lt;$V$17),$V$16,""))))))</f>
        <v/>
      </c>
      <c r="Z351" s="112"/>
      <c r="AC351" s="111" t="str">
        <f>IF(J351="","",VLOOKUP(F352,[1]dim!$A:$F,6,FALSE))</f>
        <v/>
      </c>
      <c r="AD351" s="111" t="str">
        <f>IF(J351="","",VLOOKUP(F352,[1]dim!$A:$G,7,FALSE))</f>
        <v/>
      </c>
      <c r="AF351" t="s">
        <v>302</v>
      </c>
      <c r="AG351" t="s">
        <v>302</v>
      </c>
    </row>
    <row r="352" spans="1:33">
      <c r="A352" s="27"/>
      <c r="B352" s="133"/>
      <c r="C352" s="115"/>
      <c r="D352" s="137"/>
      <c r="E352" s="34" t="s">
        <v>228</v>
      </c>
      <c r="F352" s="6"/>
      <c r="G352" s="13"/>
      <c r="H352" s="102" t="s">
        <v>303</v>
      </c>
      <c r="I352" s="115"/>
      <c r="J352" s="113"/>
      <c r="K352" s="113"/>
      <c r="L352" s="113"/>
      <c r="M352" s="113"/>
      <c r="N352" s="113"/>
      <c r="O352" s="115"/>
      <c r="P352" s="117"/>
      <c r="Q352" s="90"/>
      <c r="U352" s="87"/>
      <c r="Y352" s="113"/>
      <c r="Z352" s="113"/>
      <c r="AC352" s="111"/>
      <c r="AD352" s="111"/>
    </row>
    <row r="353" spans="1:33">
      <c r="A353" s="27" t="s">
        <v>945</v>
      </c>
      <c r="B353" s="132" t="s">
        <v>661</v>
      </c>
      <c r="C353" s="114" t="s">
        <v>662</v>
      </c>
      <c r="D353" s="136" t="s">
        <v>301</v>
      </c>
      <c r="E353" s="34" t="s">
        <v>227</v>
      </c>
      <c r="F353" s="6" t="s">
        <v>158</v>
      </c>
      <c r="G353" s="13">
        <v>19.424250000000008</v>
      </c>
      <c r="H353" s="13" t="s">
        <v>423</v>
      </c>
      <c r="I353" s="114"/>
      <c r="J353" s="112"/>
      <c r="K353" s="112"/>
      <c r="L353" s="112"/>
      <c r="M353" s="112" t="s">
        <v>302</v>
      </c>
      <c r="N353" s="112"/>
      <c r="O353" s="114"/>
      <c r="P353" s="116"/>
      <c r="Q353" s="90"/>
      <c r="U353" s="87"/>
      <c r="Y353" s="112" t="str">
        <f>IF(V353="","",
IF(AND(V353&gt;=$V$12,V353&lt;$V$13),$V$12,
IF(AND(V353&gt;=$V$13,V353&lt;$V$14),$V$13,
IF(AND(V353&gt;=$V$14,V353&lt;$V$15),$V$14,
IF(AND(V353&gt;=$V$15,V353&lt;$V$16),$V$15,
IF(AND(V353&gt;=$V$16,V353&lt;$V$17),$V$16,""))))))</f>
        <v/>
      </c>
      <c r="Z353" s="112"/>
      <c r="AC353" s="111" t="str">
        <f>IF(J353="","",VLOOKUP(F354,[1]dim!$A:$F,6,FALSE))</f>
        <v/>
      </c>
      <c r="AD353" s="111" t="str">
        <f>IF(J353="","",VLOOKUP(F354,[1]dim!$A:$G,7,FALSE))</f>
        <v/>
      </c>
      <c r="AF353" t="s">
        <v>302</v>
      </c>
      <c r="AG353" t="s">
        <v>302</v>
      </c>
    </row>
    <row r="354" spans="1:33">
      <c r="A354" s="27"/>
      <c r="B354" s="133"/>
      <c r="C354" s="115"/>
      <c r="D354" s="137"/>
      <c r="E354" s="34" t="s">
        <v>228</v>
      </c>
      <c r="F354" s="6"/>
      <c r="G354" s="13"/>
      <c r="H354" s="102" t="s">
        <v>303</v>
      </c>
      <c r="I354" s="115"/>
      <c r="J354" s="113"/>
      <c r="K354" s="113"/>
      <c r="L354" s="113"/>
      <c r="M354" s="113"/>
      <c r="N354" s="113"/>
      <c r="O354" s="115"/>
      <c r="P354" s="117"/>
      <c r="Q354" s="90"/>
      <c r="U354" s="87"/>
      <c r="Y354" s="113"/>
      <c r="Z354" s="113"/>
      <c r="AC354" s="111"/>
      <c r="AD354" s="111"/>
    </row>
    <row r="355" spans="1:33">
      <c r="A355" s="27" t="s">
        <v>945</v>
      </c>
      <c r="B355" s="132" t="s">
        <v>661</v>
      </c>
      <c r="C355" s="114" t="s">
        <v>662</v>
      </c>
      <c r="D355" s="136" t="s">
        <v>301</v>
      </c>
      <c r="E355" s="34" t="s">
        <v>227</v>
      </c>
      <c r="F355" s="6" t="s">
        <v>158</v>
      </c>
      <c r="G355" s="13">
        <v>19.424250000000008</v>
      </c>
      <c r="H355" s="13" t="s">
        <v>423</v>
      </c>
      <c r="I355" s="114"/>
      <c r="J355" s="112"/>
      <c r="K355" s="112"/>
      <c r="L355" s="112"/>
      <c r="M355" s="112" t="s">
        <v>302</v>
      </c>
      <c r="N355" s="112"/>
      <c r="O355" s="114"/>
      <c r="P355" s="116"/>
      <c r="Q355" s="90"/>
      <c r="U355" s="87"/>
      <c r="Y355" s="112" t="str">
        <f>IF(V355="","",
IF(AND(V355&gt;=$V$12,V355&lt;$V$13),$V$12,
IF(AND(V355&gt;=$V$13,V355&lt;$V$14),$V$13,
IF(AND(V355&gt;=$V$14,V355&lt;$V$15),$V$14,
IF(AND(V355&gt;=$V$15,V355&lt;$V$16),$V$15,
IF(AND(V355&gt;=$V$16,V355&lt;$V$17),$V$16,""))))))</f>
        <v/>
      </c>
      <c r="Z355" s="112"/>
      <c r="AC355" s="111" t="str">
        <f>IF(J355="","",VLOOKUP(F356,[1]dim!$A:$F,6,FALSE))</f>
        <v/>
      </c>
      <c r="AD355" s="111" t="str">
        <f>IF(J355="","",VLOOKUP(F356,[1]dim!$A:$G,7,FALSE))</f>
        <v/>
      </c>
      <c r="AF355" t="s">
        <v>302</v>
      </c>
      <c r="AG355" t="s">
        <v>302</v>
      </c>
    </row>
    <row r="356" spans="1:33">
      <c r="A356" s="27"/>
      <c r="B356" s="133"/>
      <c r="C356" s="115"/>
      <c r="D356" s="137"/>
      <c r="E356" s="34" t="s">
        <v>228</v>
      </c>
      <c r="F356" s="6"/>
      <c r="G356" s="13"/>
      <c r="H356" s="102" t="s">
        <v>303</v>
      </c>
      <c r="I356" s="115"/>
      <c r="J356" s="113"/>
      <c r="K356" s="113"/>
      <c r="L356" s="113"/>
      <c r="M356" s="113"/>
      <c r="N356" s="113"/>
      <c r="O356" s="115"/>
      <c r="P356" s="117"/>
      <c r="Q356" s="90"/>
      <c r="U356" s="87"/>
      <c r="Y356" s="113"/>
      <c r="Z356" s="113"/>
      <c r="AC356" s="111"/>
      <c r="AD356" s="111"/>
    </row>
    <row r="357" spans="1:33">
      <c r="A357" s="27" t="s">
        <v>946</v>
      </c>
      <c r="B357" s="129" t="s">
        <v>663</v>
      </c>
      <c r="C357" s="131" t="s">
        <v>161</v>
      </c>
      <c r="D357" s="131" t="s">
        <v>40</v>
      </c>
      <c r="E357" s="34" t="s">
        <v>227</v>
      </c>
      <c r="F357" s="6" t="s">
        <v>159</v>
      </c>
      <c r="G357" s="13">
        <v>20.04872700000001</v>
      </c>
      <c r="H357" s="13" t="s">
        <v>425</v>
      </c>
      <c r="I357" s="114" t="s">
        <v>664</v>
      </c>
      <c r="J357" s="112">
        <v>0.35</v>
      </c>
      <c r="K357" s="112">
        <v>0.33222700000000671</v>
      </c>
      <c r="L357" s="112">
        <v>0.17062156101304551</v>
      </c>
      <c r="M357" s="112">
        <v>0.3</v>
      </c>
      <c r="N357" s="112">
        <v>1</v>
      </c>
      <c r="O357" s="114" t="s">
        <v>312</v>
      </c>
      <c r="P357" s="116" t="s">
        <v>312</v>
      </c>
      <c r="Q357" s="90"/>
      <c r="U357" s="87"/>
      <c r="Y357" s="112" t="str">
        <f>IF(V357="","",
IF(AND(V357&gt;=$V$12,V357&lt;$V$13),$V$12,
IF(AND(V357&gt;=$V$13,V357&lt;$V$14),$V$13,
IF(AND(V357&gt;=$V$14,V357&lt;$V$15),$V$14,
IF(AND(V357&gt;=$V$15,V357&lt;$V$16),$V$15,
IF(AND(V357&gt;=$V$16,V357&lt;$V$17),$V$16,""))))))</f>
        <v/>
      </c>
      <c r="Z357" s="112">
        <v>1</v>
      </c>
      <c r="AC357" s="111">
        <f>IF(J357="","",VLOOKUP(F358,[1]dim!$A:$F,6,FALSE))</f>
        <v>0.35</v>
      </c>
      <c r="AD357" s="111">
        <f>IF(J357="","",VLOOKUP(F358,[1]dim!$A:$G,7,FALSE))</f>
        <v>0.30951703165612038</v>
      </c>
      <c r="AF357">
        <v>0.35</v>
      </c>
      <c r="AG357">
        <v>0.30951703165612038</v>
      </c>
    </row>
    <row r="358" spans="1:33">
      <c r="A358" s="27"/>
      <c r="B358" s="129"/>
      <c r="C358" s="131"/>
      <c r="D358" s="131"/>
      <c r="E358" s="34" t="s">
        <v>228</v>
      </c>
      <c r="F358" s="6" t="s">
        <v>665</v>
      </c>
      <c r="G358" s="13">
        <v>19.716500000000003</v>
      </c>
      <c r="H358" s="13" t="s">
        <v>666</v>
      </c>
      <c r="I358" s="115"/>
      <c r="J358" s="113"/>
      <c r="K358" s="113"/>
      <c r="L358" s="113"/>
      <c r="M358" s="113"/>
      <c r="N358" s="113"/>
      <c r="O358" s="115"/>
      <c r="P358" s="117"/>
      <c r="Q358" s="90"/>
      <c r="U358" s="87"/>
      <c r="Y358" s="113"/>
      <c r="Z358" s="113"/>
      <c r="AC358" s="111"/>
      <c r="AD358" s="111"/>
    </row>
    <row r="359" spans="1:33">
      <c r="A359" s="27" t="s">
        <v>947</v>
      </c>
      <c r="B359" s="129" t="s">
        <v>663</v>
      </c>
      <c r="C359" s="131" t="s">
        <v>161</v>
      </c>
      <c r="D359" s="131" t="s">
        <v>40</v>
      </c>
      <c r="E359" s="34" t="s">
        <v>227</v>
      </c>
      <c r="F359" s="6" t="s">
        <v>159</v>
      </c>
      <c r="G359" s="13">
        <v>20.04872700000001</v>
      </c>
      <c r="H359" s="13" t="s">
        <v>425</v>
      </c>
      <c r="I359" s="114" t="s">
        <v>667</v>
      </c>
      <c r="J359" s="112">
        <v>0.3</v>
      </c>
      <c r="K359" s="112">
        <v>0.3359770000000033</v>
      </c>
      <c r="L359" s="112">
        <v>0.23069948155716288</v>
      </c>
      <c r="M359" s="112">
        <v>0.3</v>
      </c>
      <c r="N359" s="112">
        <v>1</v>
      </c>
      <c r="O359" s="114" t="s">
        <v>312</v>
      </c>
      <c r="P359" s="116" t="s">
        <v>312</v>
      </c>
      <c r="Q359" s="90"/>
      <c r="U359" s="87"/>
      <c r="Y359" s="112" t="str">
        <f>IF(V359="","",
IF(AND(V359&gt;=$V$12,V359&lt;$V$13),$V$12,
IF(AND(V359&gt;=$V$13,V359&lt;$V$14),$V$13,
IF(AND(V359&gt;=$V$14,V359&lt;$V$15),$V$14,
IF(AND(V359&gt;=$V$15,V359&lt;$V$16),$V$15,
IF(AND(V359&gt;=$V$16,V359&lt;$V$17),$V$16,""))))))</f>
        <v/>
      </c>
      <c r="Z359" s="112">
        <v>1</v>
      </c>
      <c r="AC359" s="111">
        <f>IF(J359="","",VLOOKUP(F360,[1]dim!$A:$F,6,FALSE))</f>
        <v>0.3</v>
      </c>
      <c r="AD359" s="111">
        <f>IF(J359="","",VLOOKUP(F360,[1]dim!$A:$G,7,FALSE))</f>
        <v>0.25329817369006491</v>
      </c>
      <c r="AF359">
        <v>0.3</v>
      </c>
      <c r="AG359">
        <v>0.25329817369006491</v>
      </c>
    </row>
    <row r="360" spans="1:33">
      <c r="A360" s="27"/>
      <c r="B360" s="129"/>
      <c r="C360" s="131"/>
      <c r="D360" s="131"/>
      <c r="E360" s="34" t="s">
        <v>228</v>
      </c>
      <c r="F360" s="6" t="s">
        <v>668</v>
      </c>
      <c r="G360" s="13">
        <v>19.712750000000007</v>
      </c>
      <c r="H360" s="13" t="s">
        <v>669</v>
      </c>
      <c r="I360" s="115"/>
      <c r="J360" s="113"/>
      <c r="K360" s="113"/>
      <c r="L360" s="113"/>
      <c r="M360" s="113"/>
      <c r="N360" s="113"/>
      <c r="O360" s="115"/>
      <c r="P360" s="117"/>
      <c r="Q360" s="90"/>
      <c r="U360" s="87"/>
      <c r="Y360" s="113"/>
      <c r="Z360" s="113"/>
      <c r="AC360" s="111"/>
      <c r="AD360" s="111"/>
    </row>
    <row r="361" spans="1:33">
      <c r="A361" s="27" t="s">
        <v>948</v>
      </c>
      <c r="B361" s="97" t="s">
        <v>670</v>
      </c>
      <c r="C361" s="94" t="s">
        <v>671</v>
      </c>
      <c r="D361" s="99" t="s">
        <v>301</v>
      </c>
      <c r="E361" s="34" t="s">
        <v>227</v>
      </c>
      <c r="F361" s="6" t="s">
        <v>162</v>
      </c>
      <c r="G361" s="13">
        <v>19.503250000000008</v>
      </c>
      <c r="H361" s="13" t="s">
        <v>427</v>
      </c>
      <c r="I361" s="114" t="s">
        <v>672</v>
      </c>
      <c r="J361" s="112"/>
      <c r="K361" s="112"/>
      <c r="L361" s="112"/>
      <c r="M361" s="92" t="s">
        <v>302</v>
      </c>
      <c r="N361" s="112"/>
      <c r="O361" s="114"/>
      <c r="P361" s="100"/>
      <c r="Q361" s="90"/>
      <c r="U361" s="87"/>
      <c r="Y361" s="92" t="str">
        <f>IF(V361="","",
IF(AND(V361&gt;=$V$12,V361&lt;$V$13),$V$12,
IF(AND(V361&gt;=$V$13,V361&lt;$V$14),$V$13,
IF(AND(V361&gt;=$V$14,V361&lt;$V$15),$V$14,
IF(AND(V361&gt;=$V$15,V361&lt;$V$16),$V$15,
IF(AND(V361&gt;=$V$16,V361&lt;$V$17),$V$16,""))))))</f>
        <v/>
      </c>
      <c r="Z361" s="112"/>
      <c r="AC361" s="111" t="str">
        <f>IF(J361="","",VLOOKUP(F362,[1]dim!$A:$F,6,FALSE))</f>
        <v/>
      </c>
      <c r="AD361" s="111" t="str">
        <f>IF(J361="","",VLOOKUP(F362,[1]dim!$A:$G,7,FALSE))</f>
        <v/>
      </c>
      <c r="AF361" t="s">
        <v>302</v>
      </c>
      <c r="AG361" t="s">
        <v>302</v>
      </c>
    </row>
    <row r="362" spans="1:33">
      <c r="A362" s="27"/>
      <c r="B362" s="98"/>
      <c r="C362" s="95"/>
      <c r="D362" s="96"/>
      <c r="E362" s="34" t="s">
        <v>228</v>
      </c>
      <c r="F362" s="6" t="s">
        <v>673</v>
      </c>
      <c r="G362" s="13">
        <v>19.403250000000007</v>
      </c>
      <c r="H362" s="13" t="s">
        <v>674</v>
      </c>
      <c r="I362" s="115"/>
      <c r="J362" s="113"/>
      <c r="K362" s="113"/>
      <c r="L362" s="113"/>
      <c r="M362" s="93"/>
      <c r="N362" s="113"/>
      <c r="O362" s="115"/>
      <c r="P362" s="101"/>
      <c r="Q362" s="90"/>
      <c r="U362" s="87"/>
      <c r="Y362" s="93"/>
      <c r="Z362" s="113"/>
      <c r="AC362" s="111"/>
      <c r="AD362" s="111"/>
    </row>
    <row r="363" spans="1:33">
      <c r="A363" s="27" t="s">
        <v>948</v>
      </c>
      <c r="B363" s="132" t="s">
        <v>670</v>
      </c>
      <c r="C363" s="114" t="s">
        <v>671</v>
      </c>
      <c r="D363" s="136" t="s">
        <v>301</v>
      </c>
      <c r="E363" s="34" t="s">
        <v>227</v>
      </c>
      <c r="F363" s="6" t="s">
        <v>162</v>
      </c>
      <c r="G363" s="13">
        <v>19.503250000000008</v>
      </c>
      <c r="H363" s="13" t="s">
        <v>427</v>
      </c>
      <c r="I363" s="114"/>
      <c r="J363" s="112"/>
      <c r="K363" s="112"/>
      <c r="L363" s="112"/>
      <c r="M363" s="112" t="s">
        <v>302</v>
      </c>
      <c r="N363" s="112"/>
      <c r="O363" s="114"/>
      <c r="P363" s="116"/>
      <c r="Q363" s="90"/>
      <c r="U363" s="87"/>
      <c r="Y363" s="112" t="str">
        <f>IF(V363="","",
IF(AND(V363&gt;=$V$12,V363&lt;$V$13),$V$12,
IF(AND(V363&gt;=$V$13,V363&lt;$V$14),$V$13,
IF(AND(V363&gt;=$V$14,V363&lt;$V$15),$V$14,
IF(AND(V363&gt;=$V$15,V363&lt;$V$16),$V$15,
IF(AND(V363&gt;=$V$16,V363&lt;$V$17),$V$16,""))))))</f>
        <v/>
      </c>
      <c r="Z363" s="112"/>
      <c r="AC363" s="111" t="str">
        <f>IF(J363="","",VLOOKUP(F364,[1]dim!$A:$F,6,FALSE))</f>
        <v/>
      </c>
      <c r="AD363" s="111" t="str">
        <f>IF(J363="","",VLOOKUP(F364,[1]dim!$A:$G,7,FALSE))</f>
        <v/>
      </c>
      <c r="AF363" t="s">
        <v>302</v>
      </c>
      <c r="AG363" t="s">
        <v>302</v>
      </c>
    </row>
    <row r="364" spans="1:33">
      <c r="A364" s="27"/>
      <c r="B364" s="133"/>
      <c r="C364" s="115"/>
      <c r="D364" s="137"/>
      <c r="E364" s="34" t="s">
        <v>228</v>
      </c>
      <c r="F364" s="6"/>
      <c r="G364" s="13"/>
      <c r="H364" s="102" t="s">
        <v>303</v>
      </c>
      <c r="I364" s="115"/>
      <c r="J364" s="113"/>
      <c r="K364" s="113"/>
      <c r="L364" s="113"/>
      <c r="M364" s="113"/>
      <c r="N364" s="113"/>
      <c r="O364" s="115"/>
      <c r="P364" s="117"/>
      <c r="Q364" s="90"/>
      <c r="U364" s="87"/>
      <c r="Y364" s="113"/>
      <c r="Z364" s="113"/>
      <c r="AC364" s="111"/>
      <c r="AD364" s="111"/>
    </row>
    <row r="365" spans="1:33">
      <c r="A365" s="27"/>
      <c r="B365" s="138" t="s">
        <v>267</v>
      </c>
      <c r="C365" s="140"/>
      <c r="D365" s="140"/>
      <c r="E365" s="32"/>
      <c r="F365" s="19"/>
      <c r="G365" s="20"/>
      <c r="H365" s="20"/>
      <c r="I365" s="140" t="s">
        <v>302</v>
      </c>
      <c r="J365" s="119"/>
      <c r="K365" s="119"/>
      <c r="L365" s="119"/>
      <c r="M365" s="119" t="s">
        <v>302</v>
      </c>
      <c r="N365" s="119"/>
      <c r="O365" s="140"/>
      <c r="P365" s="150"/>
      <c r="Q365" s="90"/>
      <c r="U365" s="87"/>
      <c r="Y365" s="119" t="str">
        <f>IF(V365="","",
IF(AND(V365&gt;=$V$12,V365&lt;$V$13),$V$12,
IF(AND(V365&gt;=$V$13,V365&lt;$V$14),$V$13,
IF(AND(V365&gt;=$V$14,V365&lt;$V$15),$V$14,
IF(AND(V365&gt;=$V$15,V365&lt;$V$16),$V$15,
IF(AND(V365&gt;=$V$16,V365&lt;$V$17),$V$16,""))))))</f>
        <v/>
      </c>
      <c r="Z365" s="119"/>
      <c r="AC365" s="111" t="str">
        <f>IF(J365="","",VLOOKUP(F366,[1]dim!$A:$F,6,FALSE))</f>
        <v/>
      </c>
      <c r="AD365" s="111" t="str">
        <f>IF(J365="","",VLOOKUP(F366,[1]dim!$A:$G,7,FALSE))</f>
        <v/>
      </c>
      <c r="AF365" t="s">
        <v>302</v>
      </c>
      <c r="AG365" t="s">
        <v>302</v>
      </c>
    </row>
    <row r="366" spans="1:33">
      <c r="A366" s="27"/>
      <c r="B366" s="139"/>
      <c r="C366" s="141"/>
      <c r="D366" s="141"/>
      <c r="E366" s="33"/>
      <c r="F366" s="21"/>
      <c r="G366" s="22"/>
      <c r="H366" s="22"/>
      <c r="I366" s="141"/>
      <c r="J366" s="120"/>
      <c r="K366" s="120"/>
      <c r="L366" s="120"/>
      <c r="M366" s="120"/>
      <c r="N366" s="120"/>
      <c r="O366" s="141"/>
      <c r="P366" s="151"/>
      <c r="Q366" s="90"/>
      <c r="U366" s="87"/>
      <c r="Y366" s="120"/>
      <c r="Z366" s="120"/>
      <c r="AC366" s="111"/>
      <c r="AD366" s="111"/>
    </row>
    <row r="367" spans="1:33">
      <c r="A367" s="27" t="s">
        <v>949</v>
      </c>
      <c r="B367" s="132" t="s">
        <v>675</v>
      </c>
      <c r="C367" s="114" t="s">
        <v>676</v>
      </c>
      <c r="D367" s="136" t="s">
        <v>301</v>
      </c>
      <c r="E367" s="34" t="s">
        <v>227</v>
      </c>
      <c r="F367" s="6" t="s">
        <v>64</v>
      </c>
      <c r="G367" s="13">
        <v>24.305859000000012</v>
      </c>
      <c r="H367" s="13" t="s">
        <v>351</v>
      </c>
      <c r="I367" s="114"/>
      <c r="J367" s="112"/>
      <c r="K367" s="112"/>
      <c r="L367" s="112"/>
      <c r="M367" s="92" t="s">
        <v>302</v>
      </c>
      <c r="N367" s="112"/>
      <c r="O367" s="114"/>
      <c r="P367" s="116"/>
      <c r="Q367" s="90"/>
      <c r="U367" s="87"/>
      <c r="Y367" s="92" t="str">
        <f>IF(V367="","",
IF(AND(V367&gt;=$V$12,V367&lt;$V$13),$V$12,
IF(AND(V367&gt;=$V$13,V367&lt;$V$14),$V$13,
IF(AND(V367&gt;=$V$14,V367&lt;$V$15),$V$14,
IF(AND(V367&gt;=$V$15,V367&lt;$V$16),$V$15,
IF(AND(V367&gt;=$V$16,V367&lt;$V$17),$V$16,""))))))</f>
        <v/>
      </c>
      <c r="Z367" s="112"/>
      <c r="AC367" s="111" t="str">
        <f>IF(J367="","",VLOOKUP(F368,[1]dim!$A:$F,6,FALSE))</f>
        <v/>
      </c>
      <c r="AD367" s="111" t="str">
        <f>IF(J367="","",VLOOKUP(F368,[1]dim!$A:$G,7,FALSE))</f>
        <v/>
      </c>
      <c r="AF367" t="s">
        <v>302</v>
      </c>
      <c r="AG367" t="s">
        <v>302</v>
      </c>
    </row>
    <row r="368" spans="1:33">
      <c r="A368" s="27"/>
      <c r="B368" s="133"/>
      <c r="C368" s="115"/>
      <c r="D368" s="137"/>
      <c r="E368" s="34" t="s">
        <v>228</v>
      </c>
      <c r="F368" s="6"/>
      <c r="G368" s="13"/>
      <c r="H368" s="102" t="s">
        <v>303</v>
      </c>
      <c r="I368" s="115"/>
      <c r="J368" s="113"/>
      <c r="K368" s="113"/>
      <c r="L368" s="113"/>
      <c r="M368" s="93"/>
      <c r="N368" s="113"/>
      <c r="O368" s="115"/>
      <c r="P368" s="117"/>
      <c r="Q368" s="90"/>
      <c r="U368" s="87"/>
      <c r="Y368" s="93"/>
      <c r="Z368" s="113"/>
      <c r="AC368" s="111"/>
      <c r="AD368" s="111"/>
    </row>
    <row r="369" spans="1:33">
      <c r="A369" s="27" t="s">
        <v>949</v>
      </c>
      <c r="B369" s="132" t="s">
        <v>675</v>
      </c>
      <c r="C369" s="114" t="s">
        <v>676</v>
      </c>
      <c r="D369" s="136" t="s">
        <v>301</v>
      </c>
      <c r="E369" s="34" t="s">
        <v>227</v>
      </c>
      <c r="F369" s="6" t="s">
        <v>64</v>
      </c>
      <c r="G369" s="13">
        <v>24.305859000000012</v>
      </c>
      <c r="H369" s="13" t="s">
        <v>351</v>
      </c>
      <c r="I369" s="114"/>
      <c r="J369" s="112"/>
      <c r="K369" s="112"/>
      <c r="L369" s="112"/>
      <c r="M369" s="112" t="s">
        <v>302</v>
      </c>
      <c r="N369" s="112"/>
      <c r="O369" s="114"/>
      <c r="P369" s="116"/>
      <c r="Q369" s="90"/>
      <c r="U369" s="87"/>
      <c r="Y369" s="112" t="str">
        <f>IF(V369="","",
IF(AND(V369&gt;=$V$12,V369&lt;$V$13),$V$12,
IF(AND(V369&gt;=$V$13,V369&lt;$V$14),$V$13,
IF(AND(V369&gt;=$V$14,V369&lt;$V$15),$V$14,
IF(AND(V369&gt;=$V$15,V369&lt;$V$16),$V$15,
IF(AND(V369&gt;=$V$16,V369&lt;$V$17),$V$16,""))))))</f>
        <v/>
      </c>
      <c r="Z369" s="112"/>
      <c r="AC369" s="111" t="str">
        <f>IF(J369="","",VLOOKUP(F370,[1]dim!$A:$F,6,FALSE))</f>
        <v/>
      </c>
      <c r="AD369" s="111" t="str">
        <f>IF(J369="","",VLOOKUP(F370,[1]dim!$A:$G,7,FALSE))</f>
        <v/>
      </c>
      <c r="AF369" t="s">
        <v>302</v>
      </c>
      <c r="AG369" t="s">
        <v>302</v>
      </c>
    </row>
    <row r="370" spans="1:33">
      <c r="A370" s="27"/>
      <c r="B370" s="133"/>
      <c r="C370" s="115"/>
      <c r="D370" s="137"/>
      <c r="E370" s="34" t="s">
        <v>228</v>
      </c>
      <c r="F370" s="6"/>
      <c r="G370" s="13"/>
      <c r="H370" s="102" t="s">
        <v>303</v>
      </c>
      <c r="I370" s="115"/>
      <c r="J370" s="113"/>
      <c r="K370" s="113"/>
      <c r="L370" s="113"/>
      <c r="M370" s="113"/>
      <c r="N370" s="113"/>
      <c r="O370" s="115"/>
      <c r="P370" s="117"/>
      <c r="Q370" s="90"/>
      <c r="U370" s="87"/>
      <c r="Y370" s="113"/>
      <c r="Z370" s="113"/>
      <c r="AC370" s="111"/>
      <c r="AD370" s="111"/>
    </row>
    <row r="371" spans="1:33">
      <c r="A371" s="27" t="s">
        <v>950</v>
      </c>
      <c r="B371" s="129" t="s">
        <v>677</v>
      </c>
      <c r="C371" s="131" t="s">
        <v>44</v>
      </c>
      <c r="D371" s="131" t="s">
        <v>40</v>
      </c>
      <c r="E371" s="34" t="s">
        <v>227</v>
      </c>
      <c r="F371" s="6" t="s">
        <v>42</v>
      </c>
      <c r="G371" s="13">
        <v>25.489049000000016</v>
      </c>
      <c r="H371" s="13" t="s">
        <v>335</v>
      </c>
      <c r="I371" s="114" t="s">
        <v>678</v>
      </c>
      <c r="J371" s="112">
        <v>0.4</v>
      </c>
      <c r="K371" s="112">
        <v>2.1697990000000082</v>
      </c>
      <c r="L371" s="112">
        <v>0.44647658437064336</v>
      </c>
      <c r="M371" s="112">
        <v>0.4</v>
      </c>
      <c r="N371" s="112">
        <v>1</v>
      </c>
      <c r="O371" s="114" t="s">
        <v>312</v>
      </c>
      <c r="P371" s="116" t="s">
        <v>312</v>
      </c>
      <c r="Q371" s="90"/>
      <c r="U371" s="87"/>
      <c r="Y371" s="112" t="str">
        <f>IF(V371="","",
IF(AND(V371&gt;=$V$12,V371&lt;$V$13),$V$12,
IF(AND(V371&gt;=$V$13,V371&lt;$V$14),$V$13,
IF(AND(V371&gt;=$V$14,V371&lt;$V$15),$V$14,
IF(AND(V371&gt;=$V$15,V371&lt;$V$16),$V$15,
IF(AND(V371&gt;=$V$16,V371&lt;$V$17),$V$16,""))))))</f>
        <v/>
      </c>
      <c r="Z371" s="112">
        <v>1</v>
      </c>
      <c r="AC371" s="111">
        <f>IF(J371="","",VLOOKUP(F372,[1]dim!$A:$F,6,FALSE))</f>
        <v>0.4</v>
      </c>
      <c r="AD371" s="111">
        <f>IF(J371="","",VLOOKUP(F372,[1]dim!$A:$G,7,FALSE))</f>
        <v>0.35619121038699958</v>
      </c>
      <c r="AF371">
        <v>0.4</v>
      </c>
      <c r="AG371">
        <v>0.35619121038699958</v>
      </c>
    </row>
    <row r="372" spans="1:33">
      <c r="A372" s="27"/>
      <c r="B372" s="129"/>
      <c r="C372" s="131"/>
      <c r="D372" s="131"/>
      <c r="E372" s="34" t="s">
        <v>228</v>
      </c>
      <c r="F372" s="6" t="s">
        <v>679</v>
      </c>
      <c r="G372" s="13">
        <v>23.319250000000007</v>
      </c>
      <c r="H372" s="13" t="s">
        <v>680</v>
      </c>
      <c r="I372" s="115"/>
      <c r="J372" s="113"/>
      <c r="K372" s="113"/>
      <c r="L372" s="113"/>
      <c r="M372" s="113"/>
      <c r="N372" s="113"/>
      <c r="O372" s="115"/>
      <c r="P372" s="117"/>
      <c r="Q372" s="90"/>
      <c r="U372" s="87"/>
      <c r="Y372" s="113"/>
      <c r="Z372" s="113"/>
      <c r="AC372" s="111"/>
      <c r="AD372" s="111"/>
    </row>
    <row r="373" spans="1:33">
      <c r="A373" s="27" t="s">
        <v>951</v>
      </c>
      <c r="B373" s="129" t="s">
        <v>681</v>
      </c>
      <c r="C373" s="131" t="s">
        <v>47</v>
      </c>
      <c r="D373" s="131" t="s">
        <v>40</v>
      </c>
      <c r="E373" s="34" t="s">
        <v>227</v>
      </c>
      <c r="F373" s="6" t="s">
        <v>45</v>
      </c>
      <c r="G373" s="13">
        <v>25.159292000000015</v>
      </c>
      <c r="H373" s="13" t="s">
        <v>337</v>
      </c>
      <c r="I373" s="114" t="s">
        <v>682</v>
      </c>
      <c r="J373" s="112">
        <v>0.5</v>
      </c>
      <c r="K373" s="112">
        <v>1.3121850000000101</v>
      </c>
      <c r="L373" s="112">
        <v>0.27299982217653784</v>
      </c>
      <c r="M373" s="112">
        <v>0.4</v>
      </c>
      <c r="N373" s="112">
        <v>1</v>
      </c>
      <c r="O373" s="114" t="s">
        <v>312</v>
      </c>
      <c r="P373" s="116" t="s">
        <v>312</v>
      </c>
      <c r="Q373" s="90"/>
      <c r="U373" s="87"/>
      <c r="Y373" s="112" t="str">
        <f>IF(V373="","",
IF(AND(V373&gt;=$V$12,V373&lt;$V$13),$V$12,
IF(AND(V373&gt;=$V$13,V373&lt;$V$14),$V$13,
IF(AND(V373&gt;=$V$14,V373&lt;$V$15),$V$14,
IF(AND(V373&gt;=$V$15,V373&lt;$V$16),$V$15,
IF(AND(V373&gt;=$V$16,V373&lt;$V$17),$V$16,""))))))</f>
        <v/>
      </c>
      <c r="Z373" s="112">
        <v>1</v>
      </c>
      <c r="AC373" s="111">
        <f>IF(J373="","",VLOOKUP(F374,[1]dim!$A:$F,6,FALSE))</f>
        <v>0.5</v>
      </c>
      <c r="AD373" s="111">
        <f>IF(J373="","",VLOOKUP(F374,[1]dim!$A:$G,7,FALSE))</f>
        <v>0.47209218767190775</v>
      </c>
      <c r="AF373">
        <v>0.5</v>
      </c>
      <c r="AG373">
        <v>0.47209218767190775</v>
      </c>
    </row>
    <row r="374" spans="1:33">
      <c r="A374" s="27"/>
      <c r="B374" s="129"/>
      <c r="C374" s="131"/>
      <c r="D374" s="131"/>
      <c r="E374" s="34" t="s">
        <v>228</v>
      </c>
      <c r="F374" s="6" t="s">
        <v>683</v>
      </c>
      <c r="G374" s="13">
        <v>23.847107000000005</v>
      </c>
      <c r="H374" s="13" t="s">
        <v>684</v>
      </c>
      <c r="I374" s="115"/>
      <c r="J374" s="113"/>
      <c r="K374" s="113"/>
      <c r="L374" s="113"/>
      <c r="M374" s="113"/>
      <c r="N374" s="113"/>
      <c r="O374" s="115"/>
      <c r="P374" s="117"/>
      <c r="Q374" s="90"/>
      <c r="U374" s="87"/>
      <c r="Y374" s="113"/>
      <c r="Z374" s="113"/>
      <c r="AC374" s="111"/>
      <c r="AD374" s="111"/>
    </row>
    <row r="375" spans="1:33">
      <c r="A375" s="27" t="s">
        <v>952</v>
      </c>
      <c r="B375" s="129" t="s">
        <v>685</v>
      </c>
      <c r="C375" s="131" t="s">
        <v>50</v>
      </c>
      <c r="D375" s="131" t="s">
        <v>40</v>
      </c>
      <c r="E375" s="34" t="s">
        <v>227</v>
      </c>
      <c r="F375" s="6" t="s">
        <v>48</v>
      </c>
      <c r="G375" s="13">
        <v>24.738308000000014</v>
      </c>
      <c r="H375" s="13" t="s">
        <v>339</v>
      </c>
      <c r="I375" s="114" t="s">
        <v>686</v>
      </c>
      <c r="J375" s="112">
        <v>0.3</v>
      </c>
      <c r="K375" s="112">
        <v>1.3995580000000096</v>
      </c>
      <c r="L375" s="112">
        <v>0.55856171235585139</v>
      </c>
      <c r="M375" s="112">
        <v>0.3</v>
      </c>
      <c r="N375" s="112">
        <v>1</v>
      </c>
      <c r="O375" s="114" t="s">
        <v>312</v>
      </c>
      <c r="P375" s="116" t="s">
        <v>312</v>
      </c>
      <c r="Q375" s="90"/>
      <c r="U375" s="87"/>
      <c r="Y375" s="112" t="str">
        <f>IF(V375="","",
IF(AND(V375&gt;=$V$12,V375&lt;$V$13),$V$12,
IF(AND(V375&gt;=$V$13,V375&lt;$V$14),$V$13,
IF(AND(V375&gt;=$V$14,V375&lt;$V$15),$V$14,
IF(AND(V375&gt;=$V$15,V375&lt;$V$16),$V$15,
IF(AND(V375&gt;=$V$16,V375&lt;$V$17),$V$16,""))))))</f>
        <v/>
      </c>
      <c r="Z375" s="112">
        <v>1</v>
      </c>
      <c r="AC375" s="111">
        <f>IF(J375="","",VLOOKUP(F376,[1]dim!$A:$F,6,FALSE))</f>
        <v>0.3</v>
      </c>
      <c r="AD375" s="111">
        <f>IF(J375="","",VLOOKUP(F376,[1]dim!$A:$G,7,FALSE))</f>
        <v>0.18819437534024519</v>
      </c>
      <c r="AF375">
        <v>0.3</v>
      </c>
      <c r="AG375">
        <v>0.18819437534024519</v>
      </c>
    </row>
    <row r="376" spans="1:33">
      <c r="A376" s="27"/>
      <c r="B376" s="129"/>
      <c r="C376" s="131"/>
      <c r="D376" s="131"/>
      <c r="E376" s="34" t="s">
        <v>228</v>
      </c>
      <c r="F376" s="6" t="s">
        <v>687</v>
      </c>
      <c r="G376" s="13">
        <v>23.338750000000005</v>
      </c>
      <c r="H376" s="13" t="s">
        <v>688</v>
      </c>
      <c r="I376" s="115"/>
      <c r="J376" s="113"/>
      <c r="K376" s="113"/>
      <c r="L376" s="113"/>
      <c r="M376" s="113"/>
      <c r="N376" s="113"/>
      <c r="O376" s="115"/>
      <c r="P376" s="117"/>
      <c r="Q376" s="90"/>
      <c r="U376" s="87"/>
      <c r="Y376" s="113"/>
      <c r="Z376" s="113"/>
      <c r="AC376" s="111"/>
      <c r="AD376" s="111"/>
    </row>
    <row r="377" spans="1:33">
      <c r="A377" s="27" t="s">
        <v>953</v>
      </c>
      <c r="B377" s="129" t="s">
        <v>685</v>
      </c>
      <c r="C377" s="131" t="s">
        <v>50</v>
      </c>
      <c r="D377" s="131" t="s">
        <v>40</v>
      </c>
      <c r="E377" s="34" t="s">
        <v>227</v>
      </c>
      <c r="F377" s="6" t="s">
        <v>48</v>
      </c>
      <c r="G377" s="13">
        <v>24.738308000000014</v>
      </c>
      <c r="H377" s="13" t="s">
        <v>339</v>
      </c>
      <c r="I377" s="114" t="s">
        <v>689</v>
      </c>
      <c r="J377" s="112">
        <v>0.45</v>
      </c>
      <c r="K377" s="112">
        <v>1.2555580000000042</v>
      </c>
      <c r="L377" s="112">
        <v>0.37083755034879418</v>
      </c>
      <c r="M377" s="112">
        <v>0.4</v>
      </c>
      <c r="N377" s="112">
        <v>1</v>
      </c>
      <c r="O377" s="114" t="s">
        <v>312</v>
      </c>
      <c r="P377" s="116" t="s">
        <v>312</v>
      </c>
      <c r="Q377" s="90"/>
      <c r="U377" s="87"/>
      <c r="Y377" s="112" t="str">
        <f>IF(V377="","",
IF(AND(V377&gt;=$V$12,V377&lt;$V$13),$V$12,
IF(AND(V377&gt;=$V$13,V377&lt;$V$14),$V$13,
IF(AND(V377&gt;=$V$14,V377&lt;$V$15),$V$14,
IF(AND(V377&gt;=$V$15,V377&lt;$V$16),$V$15,
IF(AND(V377&gt;=$V$16,V377&lt;$V$17),$V$16,""))))))</f>
        <v/>
      </c>
      <c r="Z377" s="112">
        <v>1</v>
      </c>
      <c r="AC377" s="111">
        <f>IF(J377="","",VLOOKUP(F378,[1]dim!$A:$F,6,FALSE))</f>
        <v>0.45</v>
      </c>
      <c r="AD377" s="111">
        <f>IF(J377="","",VLOOKUP(F378,[1]dim!$A:$G,7,FALSE))</f>
        <v>0.35989428276496349</v>
      </c>
      <c r="AF377">
        <v>0.45</v>
      </c>
      <c r="AG377">
        <v>0.35989428276496349</v>
      </c>
    </row>
    <row r="378" spans="1:33">
      <c r="A378" s="27"/>
      <c r="B378" s="129"/>
      <c r="C378" s="131"/>
      <c r="D378" s="131"/>
      <c r="E378" s="34" t="s">
        <v>228</v>
      </c>
      <c r="F378" s="6" t="s">
        <v>690</v>
      </c>
      <c r="G378" s="13">
        <v>23.48275000000001</v>
      </c>
      <c r="H378" s="13" t="s">
        <v>691</v>
      </c>
      <c r="I378" s="115"/>
      <c r="J378" s="113"/>
      <c r="K378" s="113"/>
      <c r="L378" s="113"/>
      <c r="M378" s="113"/>
      <c r="N378" s="113"/>
      <c r="O378" s="115"/>
      <c r="P378" s="117"/>
      <c r="Q378" s="90"/>
      <c r="U378" s="87"/>
      <c r="Y378" s="113"/>
      <c r="Z378" s="113"/>
      <c r="AC378" s="111"/>
      <c r="AD378" s="111"/>
    </row>
    <row r="379" spans="1:33">
      <c r="A379" s="27" t="s">
        <v>954</v>
      </c>
      <c r="B379" s="129" t="s">
        <v>692</v>
      </c>
      <c r="C379" s="131" t="s">
        <v>53</v>
      </c>
      <c r="D379" s="131" t="s">
        <v>40</v>
      </c>
      <c r="E379" s="34" t="s">
        <v>227</v>
      </c>
      <c r="F379" s="6" t="s">
        <v>51</v>
      </c>
      <c r="G379" s="13">
        <v>24.373376000000011</v>
      </c>
      <c r="H379" s="13" t="s">
        <v>341</v>
      </c>
      <c r="I379" s="114" t="s">
        <v>693</v>
      </c>
      <c r="J379" s="112">
        <v>0.5</v>
      </c>
      <c r="K379" s="112">
        <v>1.7568663689636566</v>
      </c>
      <c r="L379" s="112">
        <v>0.26705174993388597</v>
      </c>
      <c r="M379" s="112">
        <v>0.4</v>
      </c>
      <c r="N379" s="112">
        <v>1</v>
      </c>
      <c r="O379" s="114" t="s">
        <v>312</v>
      </c>
      <c r="P379" s="116" t="s">
        <v>312</v>
      </c>
      <c r="Q379" s="90"/>
      <c r="U379" s="87"/>
      <c r="Y379" s="112" t="str">
        <f>IF(V379="","",
IF(AND(V379&gt;=$V$12,V379&lt;$V$13),$V$12,
IF(AND(V379&gt;=$V$13,V379&lt;$V$14),$V$13,
IF(AND(V379&gt;=$V$14,V379&lt;$V$15),$V$14,
IF(AND(V379&gt;=$V$15,V379&lt;$V$16),$V$15,
IF(AND(V379&gt;=$V$16,V379&lt;$V$17),$V$16,""))))))</f>
        <v/>
      </c>
      <c r="Z379" s="112">
        <v>1</v>
      </c>
      <c r="AC379" s="111">
        <f>IF(J379="","",VLOOKUP(F380,[1]dim!$A:$F,6,FALSE))</f>
        <v>0.5</v>
      </c>
      <c r="AD379" s="111">
        <f>IF(J379="","",VLOOKUP(F380,[1]dim!$A:$G,7,FALSE))</f>
        <v>0.44586796085550517</v>
      </c>
      <c r="AF379">
        <v>0.5</v>
      </c>
      <c r="AG379">
        <v>0.44586796085550517</v>
      </c>
    </row>
    <row r="380" spans="1:33">
      <c r="A380" s="27"/>
      <c r="B380" s="129"/>
      <c r="C380" s="131"/>
      <c r="D380" s="131"/>
      <c r="E380" s="34" t="s">
        <v>228</v>
      </c>
      <c r="F380" s="6" t="s">
        <v>694</v>
      </c>
      <c r="G380" s="13">
        <v>22.616509631036354</v>
      </c>
      <c r="H380" s="13" t="s">
        <v>695</v>
      </c>
      <c r="I380" s="115"/>
      <c r="J380" s="113"/>
      <c r="K380" s="113"/>
      <c r="L380" s="113"/>
      <c r="M380" s="113"/>
      <c r="N380" s="113"/>
      <c r="O380" s="115"/>
      <c r="P380" s="117"/>
      <c r="Q380" s="90"/>
      <c r="U380" s="87"/>
      <c r="Y380" s="113"/>
      <c r="Z380" s="113"/>
      <c r="AC380" s="111"/>
      <c r="AD380" s="111"/>
    </row>
    <row r="381" spans="1:33">
      <c r="A381" s="27" t="s">
        <v>955</v>
      </c>
      <c r="B381" s="129" t="s">
        <v>696</v>
      </c>
      <c r="C381" s="131" t="s">
        <v>56</v>
      </c>
      <c r="D381" s="131" t="s">
        <v>40</v>
      </c>
      <c r="E381" s="34" t="s">
        <v>227</v>
      </c>
      <c r="F381" s="6" t="s">
        <v>54</v>
      </c>
      <c r="G381" s="13">
        <v>23.943239000000009</v>
      </c>
      <c r="H381" s="13" t="s">
        <v>343</v>
      </c>
      <c r="I381" s="114" t="s">
        <v>697</v>
      </c>
      <c r="J381" s="112">
        <v>0.45</v>
      </c>
      <c r="K381" s="112">
        <v>2.9379042491214449</v>
      </c>
      <c r="L381" s="112">
        <v>0.32030733404717521</v>
      </c>
      <c r="M381" s="112">
        <v>0.4</v>
      </c>
      <c r="N381" s="112">
        <v>1</v>
      </c>
      <c r="O381" s="114" t="s">
        <v>312</v>
      </c>
      <c r="P381" s="116" t="s">
        <v>312</v>
      </c>
      <c r="Q381" s="90"/>
      <c r="U381" s="87"/>
      <c r="Y381" s="112" t="str">
        <f>IF(V381="","",
IF(AND(V381&gt;=$V$12,V381&lt;$V$13),$V$12,
IF(AND(V381&gt;=$V$13,V381&lt;$V$14),$V$13,
IF(AND(V381&gt;=$V$14,V381&lt;$V$15),$V$14,
IF(AND(V381&gt;=$V$15,V381&lt;$V$16),$V$15,
IF(AND(V381&gt;=$V$16,V381&lt;$V$17),$V$16,""))))))</f>
        <v/>
      </c>
      <c r="Z381" s="112">
        <v>1</v>
      </c>
      <c r="AC381" s="111">
        <f>IF(J381="","",VLOOKUP(F382,[1]dim!$A:$F,6,FALSE))</f>
        <v>0.45</v>
      </c>
      <c r="AD381" s="111">
        <f>IF(J381="","",VLOOKUP(F382,[1]dim!$A:$G,7,FALSE))</f>
        <v>0.40260875855991413</v>
      </c>
      <c r="AF381">
        <v>0.45</v>
      </c>
      <c r="AG381">
        <v>0.40260875855991413</v>
      </c>
    </row>
    <row r="382" spans="1:33">
      <c r="A382" s="27"/>
      <c r="B382" s="129"/>
      <c r="C382" s="131"/>
      <c r="D382" s="131"/>
      <c r="E382" s="34" t="s">
        <v>228</v>
      </c>
      <c r="F382" s="6" t="s">
        <v>698</v>
      </c>
      <c r="G382" s="13">
        <v>21.005334750878564</v>
      </c>
      <c r="H382" s="13" t="s">
        <v>699</v>
      </c>
      <c r="I382" s="115"/>
      <c r="J382" s="113"/>
      <c r="K382" s="113"/>
      <c r="L382" s="113"/>
      <c r="M382" s="113"/>
      <c r="N382" s="113"/>
      <c r="O382" s="115"/>
      <c r="P382" s="117"/>
      <c r="Q382" s="90"/>
      <c r="U382" s="87"/>
      <c r="Y382" s="113"/>
      <c r="Z382" s="113"/>
      <c r="AC382" s="111"/>
      <c r="AD382" s="111"/>
    </row>
    <row r="383" spans="1:33">
      <c r="A383" s="27" t="s">
        <v>956</v>
      </c>
      <c r="B383" s="129" t="s">
        <v>700</v>
      </c>
      <c r="C383" s="131" t="s">
        <v>59</v>
      </c>
      <c r="D383" s="131" t="s">
        <v>40</v>
      </c>
      <c r="E383" s="34" t="s">
        <v>227</v>
      </c>
      <c r="F383" s="6" t="s">
        <v>57</v>
      </c>
      <c r="G383" s="13">
        <v>23.09727800000001</v>
      </c>
      <c r="H383" s="13" t="s">
        <v>345</v>
      </c>
      <c r="I383" s="114" t="s">
        <v>701</v>
      </c>
      <c r="J383" s="112">
        <v>0.4</v>
      </c>
      <c r="K383" s="112">
        <v>1.0518920934155069</v>
      </c>
      <c r="L383" s="112">
        <v>0.29958895113244727</v>
      </c>
      <c r="M383" s="112">
        <v>0.4</v>
      </c>
      <c r="N383" s="112">
        <v>1</v>
      </c>
      <c r="O383" s="114" t="s">
        <v>312</v>
      </c>
      <c r="P383" s="116" t="s">
        <v>312</v>
      </c>
      <c r="Q383" s="90"/>
      <c r="U383" s="87"/>
      <c r="Y383" s="112" t="str">
        <f>IF(V383="","",
IF(AND(V383&gt;=$V$12,V383&lt;$V$13),$V$12,
IF(AND(V383&gt;=$V$13,V383&lt;$V$14),$V$13,
IF(AND(V383&gt;=$V$14,V383&lt;$V$15),$V$14,
IF(AND(V383&gt;=$V$15,V383&lt;$V$16),$V$15,
IF(AND(V383&gt;=$V$16,V383&lt;$V$17),$V$16,""))))))</f>
        <v/>
      </c>
      <c r="Z383" s="112">
        <v>1</v>
      </c>
      <c r="AC383" s="111">
        <f>IF(J383="","",VLOOKUP(F384,[1]dim!$A:$F,6,FALSE))</f>
        <v>0.4</v>
      </c>
      <c r="AD383" s="111">
        <f>IF(J383="","",VLOOKUP(F384,[1]dim!$A:$G,7,FALSE))</f>
        <v>0.32709830131353529</v>
      </c>
      <c r="AF383">
        <v>0.4</v>
      </c>
      <c r="AG383">
        <v>0.32709830131353529</v>
      </c>
    </row>
    <row r="384" spans="1:33">
      <c r="A384" s="27"/>
      <c r="B384" s="129"/>
      <c r="C384" s="131"/>
      <c r="D384" s="131"/>
      <c r="E384" s="34" t="s">
        <v>228</v>
      </c>
      <c r="F384" s="6" t="s">
        <v>702</v>
      </c>
      <c r="G384" s="13">
        <v>22.045385906584503</v>
      </c>
      <c r="H384" s="13" t="s">
        <v>703</v>
      </c>
      <c r="I384" s="115"/>
      <c r="J384" s="113"/>
      <c r="K384" s="113"/>
      <c r="L384" s="113"/>
      <c r="M384" s="113"/>
      <c r="N384" s="113"/>
      <c r="O384" s="115"/>
      <c r="P384" s="117"/>
      <c r="Q384" s="90"/>
      <c r="U384" s="87"/>
      <c r="Y384" s="113"/>
      <c r="Z384" s="113"/>
      <c r="AC384" s="111"/>
      <c r="AD384" s="111"/>
    </row>
    <row r="385" spans="1:33">
      <c r="A385" s="27" t="s">
        <v>957</v>
      </c>
      <c r="B385" s="129" t="s">
        <v>704</v>
      </c>
      <c r="C385" s="131" t="s">
        <v>62</v>
      </c>
      <c r="D385" s="131" t="s">
        <v>40</v>
      </c>
      <c r="E385" s="34" t="s">
        <v>227</v>
      </c>
      <c r="F385" s="6" t="s">
        <v>60</v>
      </c>
      <c r="G385" s="13">
        <v>22.670858000000006</v>
      </c>
      <c r="H385" s="13" t="s">
        <v>347</v>
      </c>
      <c r="I385" s="114" t="s">
        <v>705</v>
      </c>
      <c r="J385" s="112">
        <v>0.5</v>
      </c>
      <c r="K385" s="112">
        <v>0.4021079999999948</v>
      </c>
      <c r="L385" s="112">
        <v>9.8853415296114314E-2</v>
      </c>
      <c r="M385" s="112">
        <v>0.4</v>
      </c>
      <c r="N385" s="112">
        <v>1</v>
      </c>
      <c r="O385" s="114" t="s">
        <v>312</v>
      </c>
      <c r="P385" s="116" t="s">
        <v>312</v>
      </c>
      <c r="Q385" s="90"/>
      <c r="U385" s="87"/>
      <c r="Y385" s="112" t="str">
        <f>IF(V385="","",
IF(AND(V385&gt;=$V$12,V385&lt;$V$13),$V$12,
IF(AND(V385&gt;=$V$13,V385&lt;$V$14),$V$13,
IF(AND(V385&gt;=$V$14,V385&lt;$V$15),$V$14,
IF(AND(V385&gt;=$V$15,V385&lt;$V$16),$V$15,
IF(AND(V385&gt;=$V$16,V385&lt;$V$17),$V$16,""))))))</f>
        <v/>
      </c>
      <c r="Z385" s="112">
        <v>1</v>
      </c>
      <c r="AC385" s="111">
        <f>IF(J385="","",VLOOKUP(F386,[1]dim!$A:$F,6,FALSE))</f>
        <v>0.5</v>
      </c>
      <c r="AD385" s="111">
        <f>IF(J385="","",VLOOKUP(F386,[1]dim!$A:$G,7,FALSE))</f>
        <v>0.45258433116028668</v>
      </c>
      <c r="AF385">
        <v>0.5</v>
      </c>
      <c r="AG385">
        <v>0.45258433116028668</v>
      </c>
    </row>
    <row r="386" spans="1:33">
      <c r="A386" s="27"/>
      <c r="B386" s="129"/>
      <c r="C386" s="131"/>
      <c r="D386" s="131"/>
      <c r="E386" s="34" t="s">
        <v>228</v>
      </c>
      <c r="F386" s="6" t="s">
        <v>706</v>
      </c>
      <c r="G386" s="13">
        <v>22.268750000000011</v>
      </c>
      <c r="H386" s="13" t="s">
        <v>707</v>
      </c>
      <c r="I386" s="115"/>
      <c r="J386" s="113"/>
      <c r="K386" s="113"/>
      <c r="L386" s="113"/>
      <c r="M386" s="113"/>
      <c r="N386" s="113"/>
      <c r="O386" s="115"/>
      <c r="P386" s="117"/>
      <c r="Q386" s="90"/>
      <c r="U386" s="87"/>
      <c r="Y386" s="113"/>
      <c r="Z386" s="113"/>
      <c r="AC386" s="111"/>
      <c r="AD386" s="111"/>
    </row>
    <row r="387" spans="1:33">
      <c r="A387" s="27" t="s">
        <v>958</v>
      </c>
      <c r="B387" s="129" t="s">
        <v>704</v>
      </c>
      <c r="C387" s="131" t="s">
        <v>62</v>
      </c>
      <c r="D387" s="131" t="s">
        <v>40</v>
      </c>
      <c r="E387" s="34" t="s">
        <v>227</v>
      </c>
      <c r="F387" s="6" t="s">
        <v>60</v>
      </c>
      <c r="G387" s="13">
        <v>22.670858000000006</v>
      </c>
      <c r="H387" s="13" t="s">
        <v>347</v>
      </c>
      <c r="I387" s="114" t="s">
        <v>708</v>
      </c>
      <c r="J387" s="112">
        <v>0.5</v>
      </c>
      <c r="K387" s="112">
        <v>0.33991781184714753</v>
      </c>
      <c r="L387" s="112">
        <v>9.8853415296114314E-2</v>
      </c>
      <c r="M387" s="112">
        <v>0.4</v>
      </c>
      <c r="N387" s="112">
        <v>1</v>
      </c>
      <c r="O387" s="114" t="s">
        <v>312</v>
      </c>
      <c r="P387" s="116" t="s">
        <v>312</v>
      </c>
      <c r="Q387" s="90"/>
      <c r="U387" s="87"/>
      <c r="Y387" s="112" t="str">
        <f>IF(V387="","",
IF(AND(V387&gt;=$V$12,V387&lt;$V$13),$V$12,
IF(AND(V387&gt;=$V$13,V387&lt;$V$14),$V$13,
IF(AND(V387&gt;=$V$14,V387&lt;$V$15),$V$14,
IF(AND(V387&gt;=$V$15,V387&lt;$V$16),$V$15,
IF(AND(V387&gt;=$V$16,V387&lt;$V$17),$V$16,""))))))</f>
        <v/>
      </c>
      <c r="Z387" s="112">
        <v>1</v>
      </c>
      <c r="AC387" s="111">
        <f>IF(J387="","",VLOOKUP(F388,[1]dim!$A:$F,6,FALSE))</f>
        <v>0.5</v>
      </c>
      <c r="AD387" s="111">
        <f>IF(J387="","",VLOOKUP(F388,[1]dim!$A:$G,7,FALSE))</f>
        <v>0.3877948748852294</v>
      </c>
      <c r="AF387">
        <v>0.5</v>
      </c>
      <c r="AG387">
        <v>0.3877948748852294</v>
      </c>
    </row>
    <row r="388" spans="1:33">
      <c r="A388" s="27"/>
      <c r="B388" s="129"/>
      <c r="C388" s="131"/>
      <c r="D388" s="131"/>
      <c r="E388" s="34" t="s">
        <v>228</v>
      </c>
      <c r="F388" s="6" t="s">
        <v>709</v>
      </c>
      <c r="G388" s="13">
        <v>22.330940188152859</v>
      </c>
      <c r="H388" s="13" t="s">
        <v>710</v>
      </c>
      <c r="I388" s="115"/>
      <c r="J388" s="113"/>
      <c r="K388" s="113"/>
      <c r="L388" s="113"/>
      <c r="M388" s="113"/>
      <c r="N388" s="113"/>
      <c r="O388" s="115"/>
      <c r="P388" s="117"/>
      <c r="Q388" s="90"/>
      <c r="U388" s="87"/>
      <c r="Y388" s="113"/>
      <c r="Z388" s="113"/>
      <c r="AC388" s="111"/>
      <c r="AD388" s="111"/>
    </row>
    <row r="389" spans="1:33">
      <c r="A389" s="27" t="s">
        <v>959</v>
      </c>
      <c r="B389" s="132" t="s">
        <v>711</v>
      </c>
      <c r="C389" s="114" t="s">
        <v>712</v>
      </c>
      <c r="D389" s="136" t="s">
        <v>301</v>
      </c>
      <c r="E389" s="34" t="s">
        <v>227</v>
      </c>
      <c r="F389" s="6" t="s">
        <v>63</v>
      </c>
      <c r="G389" s="13">
        <v>21.748515000000005</v>
      </c>
      <c r="H389" s="13" t="s">
        <v>349</v>
      </c>
      <c r="I389" s="114"/>
      <c r="J389" s="112"/>
      <c r="K389" s="112"/>
      <c r="L389" s="112"/>
      <c r="M389" s="112" t="s">
        <v>302</v>
      </c>
      <c r="N389" s="112"/>
      <c r="O389" s="114"/>
      <c r="P389" s="116"/>
      <c r="Q389" s="90"/>
      <c r="U389" s="87"/>
      <c r="Y389" s="112" t="str">
        <f>IF(V389="","",
IF(AND(V389&gt;=$V$12,V389&lt;$V$13),$V$12,
IF(AND(V389&gt;=$V$13,V389&lt;$V$14),$V$13,
IF(AND(V389&gt;=$V$14,V389&lt;$V$15),$V$14,
IF(AND(V389&gt;=$V$15,V389&lt;$V$16),$V$15,
IF(AND(V389&gt;=$V$16,V389&lt;$V$17),$V$16,""))))))</f>
        <v/>
      </c>
      <c r="Z389" s="112"/>
      <c r="AC389" s="111" t="str">
        <f>IF(J389="","",VLOOKUP(F390,[1]dim!$A:$F,6,FALSE))</f>
        <v/>
      </c>
      <c r="AD389" s="111" t="str">
        <f>IF(J389="","",VLOOKUP(F390,[1]dim!$A:$G,7,FALSE))</f>
        <v/>
      </c>
      <c r="AF389" t="s">
        <v>302</v>
      </c>
      <c r="AG389" t="s">
        <v>302</v>
      </c>
    </row>
    <row r="390" spans="1:33">
      <c r="A390" s="27"/>
      <c r="B390" s="133"/>
      <c r="C390" s="115"/>
      <c r="D390" s="137"/>
      <c r="E390" s="34" t="s">
        <v>228</v>
      </c>
      <c r="F390" s="6"/>
      <c r="G390" s="13"/>
      <c r="H390" s="102" t="s">
        <v>303</v>
      </c>
      <c r="I390" s="115"/>
      <c r="J390" s="113"/>
      <c r="K390" s="113"/>
      <c r="L390" s="113"/>
      <c r="M390" s="113"/>
      <c r="N390" s="113"/>
      <c r="O390" s="115"/>
      <c r="P390" s="117"/>
      <c r="Q390" s="90"/>
      <c r="U390" s="87"/>
      <c r="Y390" s="113"/>
      <c r="Z390" s="113"/>
      <c r="AC390" s="111"/>
      <c r="AD390" s="111"/>
    </row>
    <row r="391" spans="1:33">
      <c r="A391" s="27" t="s">
        <v>960</v>
      </c>
      <c r="B391" s="129" t="s">
        <v>713</v>
      </c>
      <c r="C391" s="131" t="s">
        <v>67</v>
      </c>
      <c r="D391" s="131" t="s">
        <v>40</v>
      </c>
      <c r="E391" s="34" t="s">
        <v>227</v>
      </c>
      <c r="F391" s="6" t="s">
        <v>65</v>
      </c>
      <c r="G391" s="13">
        <v>23.45706100000001</v>
      </c>
      <c r="H391" s="13" t="s">
        <v>353</v>
      </c>
      <c r="I391" s="114" t="s">
        <v>714</v>
      </c>
      <c r="J391" s="112">
        <v>0.3</v>
      </c>
      <c r="K391" s="112">
        <v>0.68331100000000689</v>
      </c>
      <c r="L391" s="112">
        <v>0.37180049827529271</v>
      </c>
      <c r="M391" s="112">
        <v>0.3</v>
      </c>
      <c r="N391" s="112">
        <v>1</v>
      </c>
      <c r="O391" s="114" t="s">
        <v>312</v>
      </c>
      <c r="P391" s="116" t="s">
        <v>312</v>
      </c>
      <c r="Q391" s="103">
        <v>0.7</v>
      </c>
      <c r="U391" s="87"/>
      <c r="Y391" s="112" t="str">
        <f>IF(V391="","",
IF(AND(V391&gt;=$V$12,V391&lt;$V$13),$V$12,
IF(AND(V391&gt;=$V$13,V391&lt;$V$14),$V$13,
IF(AND(V391&gt;=$V$14,V391&lt;$V$15),$V$14,
IF(AND(V391&gt;=$V$15,V391&lt;$V$16),$V$15,
IF(AND(V391&gt;=$V$16,V391&lt;$V$17),$V$16,""))))))</f>
        <v/>
      </c>
      <c r="Z391" s="112">
        <v>1</v>
      </c>
      <c r="AC391" s="111">
        <f>IF(J391="","",VLOOKUP(F392,[1]dim!$A:$F,6,FALSE))</f>
        <v>0.3</v>
      </c>
      <c r="AD391" s="111">
        <f>IF(J391="","",VLOOKUP(F392,[1]dim!$A:$G,7,FALSE))</f>
        <v>0.27984551330394364</v>
      </c>
      <c r="AF391">
        <v>0.3</v>
      </c>
      <c r="AG391">
        <v>0.27984551330394364</v>
      </c>
    </row>
    <row r="392" spans="1:33">
      <c r="A392" s="27"/>
      <c r="B392" s="129"/>
      <c r="C392" s="131"/>
      <c r="D392" s="131"/>
      <c r="E392" s="34" t="s">
        <v>228</v>
      </c>
      <c r="F392" s="6" t="s">
        <v>715</v>
      </c>
      <c r="G392" s="13">
        <v>22.773750000000003</v>
      </c>
      <c r="H392" s="13" t="s">
        <v>716</v>
      </c>
      <c r="I392" s="115"/>
      <c r="J392" s="113"/>
      <c r="K392" s="113"/>
      <c r="L392" s="113"/>
      <c r="M392" s="113"/>
      <c r="N392" s="113"/>
      <c r="O392" s="115"/>
      <c r="P392" s="117"/>
      <c r="Q392" s="104" t="s">
        <v>300</v>
      </c>
      <c r="U392" s="87"/>
      <c r="Y392" s="113"/>
      <c r="Z392" s="113"/>
      <c r="AC392" s="111"/>
      <c r="AD392" s="111"/>
    </row>
    <row r="393" spans="1:33">
      <c r="A393" s="27" t="s">
        <v>961</v>
      </c>
      <c r="B393" s="129" t="s">
        <v>717</v>
      </c>
      <c r="C393" s="131" t="s">
        <v>70</v>
      </c>
      <c r="D393" s="131" t="s">
        <v>40</v>
      </c>
      <c r="E393" s="34" t="s">
        <v>227</v>
      </c>
      <c r="F393" s="6" t="s">
        <v>68</v>
      </c>
      <c r="G393" s="13">
        <v>23.218208000000008</v>
      </c>
      <c r="H393" s="13" t="s">
        <v>354</v>
      </c>
      <c r="I393" s="114" t="s">
        <v>718</v>
      </c>
      <c r="J393" s="112">
        <v>0.35</v>
      </c>
      <c r="K393" s="112">
        <v>0.33420800000000384</v>
      </c>
      <c r="L393" s="112">
        <v>0.20135845898424978</v>
      </c>
      <c r="M393" s="112">
        <v>0.3</v>
      </c>
      <c r="N393" s="112">
        <v>1</v>
      </c>
      <c r="O393" s="114" t="s">
        <v>312</v>
      </c>
      <c r="P393" s="116" t="s">
        <v>312</v>
      </c>
      <c r="Q393" s="90"/>
      <c r="U393" s="87"/>
      <c r="Y393" s="112" t="str">
        <f>IF(V393="","",
IF(AND(V393&gt;=$V$12,V393&lt;$V$13),$V$12,
IF(AND(V393&gt;=$V$13,V393&lt;$V$14),$V$13,
IF(AND(V393&gt;=$V$14,V393&lt;$V$15),$V$14,
IF(AND(V393&gt;=$V$15,V393&lt;$V$16),$V$15,
IF(AND(V393&gt;=$V$16,V393&lt;$V$17),$V$16,""))))))</f>
        <v/>
      </c>
      <c r="Z393" s="112">
        <v>1</v>
      </c>
      <c r="AC393" s="111">
        <f>IF(J393="","",VLOOKUP(F394,[1]dim!$A:$F,6,FALSE))</f>
        <v>0.35</v>
      </c>
      <c r="AD393" s="111">
        <f>IF(J393="","",VLOOKUP(F394,[1]dim!$A:$G,7,FALSE))</f>
        <v>0.34445161423417409</v>
      </c>
      <c r="AF393">
        <v>0.35</v>
      </c>
      <c r="AG393">
        <v>0.34445161423417409</v>
      </c>
    </row>
    <row r="394" spans="1:33">
      <c r="A394" s="27"/>
      <c r="B394" s="129"/>
      <c r="C394" s="131"/>
      <c r="D394" s="131"/>
      <c r="E394" s="34" t="s">
        <v>228</v>
      </c>
      <c r="F394" s="6" t="s">
        <v>719</v>
      </c>
      <c r="G394" s="13">
        <v>22.884000000000004</v>
      </c>
      <c r="H394" s="13" t="s">
        <v>720</v>
      </c>
      <c r="I394" s="115"/>
      <c r="J394" s="113"/>
      <c r="K394" s="113"/>
      <c r="L394" s="113"/>
      <c r="M394" s="113"/>
      <c r="N394" s="113"/>
      <c r="O394" s="115"/>
      <c r="P394" s="117"/>
      <c r="Q394" s="90"/>
      <c r="U394" s="87"/>
      <c r="Y394" s="113"/>
      <c r="Z394" s="113"/>
      <c r="AC394" s="111"/>
      <c r="AD394" s="111"/>
    </row>
    <row r="395" spans="1:33">
      <c r="A395" s="27" t="s">
        <v>962</v>
      </c>
      <c r="B395" s="129" t="s">
        <v>717</v>
      </c>
      <c r="C395" s="131" t="s">
        <v>70</v>
      </c>
      <c r="D395" s="131" t="s">
        <v>40</v>
      </c>
      <c r="E395" s="34" t="s">
        <v>227</v>
      </c>
      <c r="F395" s="6" t="s">
        <v>68</v>
      </c>
      <c r="G395" s="13">
        <v>23.218208000000008</v>
      </c>
      <c r="H395" s="13" t="s">
        <v>354</v>
      </c>
      <c r="I395" s="114" t="s">
        <v>721</v>
      </c>
      <c r="J395" s="112">
        <v>0.35</v>
      </c>
      <c r="K395" s="112">
        <v>1.3332080000000026</v>
      </c>
      <c r="L395" s="112">
        <v>0.25145625121674098</v>
      </c>
      <c r="M395" s="112">
        <v>0.3</v>
      </c>
      <c r="N395" s="112">
        <v>1</v>
      </c>
      <c r="O395" s="114" t="s">
        <v>312</v>
      </c>
      <c r="P395" s="116" t="s">
        <v>312</v>
      </c>
      <c r="Q395" s="90"/>
      <c r="U395" s="87"/>
      <c r="Y395" s="112" t="str">
        <f>IF(V395="","",
IF(AND(V395&gt;=$V$12,V395&lt;$V$13),$V$12,
IF(AND(V395&gt;=$V$13,V395&lt;$V$14),$V$13,
IF(AND(V395&gt;=$V$14,V395&lt;$V$15),$V$14,
IF(AND(V395&gt;=$V$15,V395&lt;$V$16),$V$15,
IF(AND(V395&gt;=$V$16,V395&lt;$V$17),$V$16,""))))))</f>
        <v/>
      </c>
      <c r="Z395" s="112">
        <v>1</v>
      </c>
      <c r="AC395" s="111">
        <f>IF(J395="","",VLOOKUP(F396,[1]dim!$A:$F,6,FALSE))</f>
        <v>0.35</v>
      </c>
      <c r="AD395" s="111">
        <f>IF(J395="","",VLOOKUP(F396,[1]dim!$A:$G,7,FALSE))</f>
        <v>0.28804905429902994</v>
      </c>
      <c r="AF395">
        <v>0.35</v>
      </c>
      <c r="AG395">
        <v>0.28804905429902994</v>
      </c>
    </row>
    <row r="396" spans="1:33">
      <c r="A396" s="27"/>
      <c r="B396" s="129"/>
      <c r="C396" s="131"/>
      <c r="D396" s="131"/>
      <c r="E396" s="34" t="s">
        <v>228</v>
      </c>
      <c r="F396" s="6" t="s">
        <v>722</v>
      </c>
      <c r="G396" s="13">
        <v>21.885000000000005</v>
      </c>
      <c r="H396" s="13" t="s">
        <v>723</v>
      </c>
      <c r="I396" s="115"/>
      <c r="J396" s="113"/>
      <c r="K396" s="113"/>
      <c r="L396" s="113"/>
      <c r="M396" s="113"/>
      <c r="N396" s="113"/>
      <c r="O396" s="115"/>
      <c r="P396" s="117"/>
      <c r="Q396" s="90"/>
      <c r="U396" s="87"/>
      <c r="Y396" s="113"/>
      <c r="Z396" s="113"/>
      <c r="AC396" s="111"/>
      <c r="AD396" s="111"/>
    </row>
    <row r="397" spans="1:33">
      <c r="A397" s="27" t="s">
        <v>963</v>
      </c>
      <c r="B397" s="129" t="s">
        <v>724</v>
      </c>
      <c r="C397" s="131" t="s">
        <v>725</v>
      </c>
      <c r="D397" s="131" t="s">
        <v>40</v>
      </c>
      <c r="E397" s="34" t="s">
        <v>227</v>
      </c>
      <c r="F397" s="6" t="s">
        <v>71</v>
      </c>
      <c r="G397" s="13">
        <v>22.362550000000006</v>
      </c>
      <c r="H397" s="13" t="s">
        <v>356</v>
      </c>
      <c r="I397" s="114" t="s">
        <v>726</v>
      </c>
      <c r="J397" s="112">
        <v>0.55000000000000004</v>
      </c>
      <c r="K397" s="112">
        <v>0.30000000000000071</v>
      </c>
      <c r="L397" s="112">
        <v>0.10535426334210043</v>
      </c>
      <c r="M397" s="174">
        <v>0.5</v>
      </c>
      <c r="N397" s="112">
        <v>1</v>
      </c>
      <c r="O397" s="114" t="s">
        <v>312</v>
      </c>
      <c r="P397" s="116" t="s">
        <v>312</v>
      </c>
      <c r="Q397" s="90"/>
      <c r="U397" s="87"/>
      <c r="Y397" s="112" t="str">
        <f>IF(V397="","",
IF(AND(V397&gt;=$V$12,V397&lt;$V$13),$V$12,
IF(AND(V397&gt;=$V$13,V397&lt;$V$14),$V$13,
IF(AND(V397&gt;=$V$14,V397&lt;$V$15),$V$14,
IF(AND(V397&gt;=$V$15,V397&lt;$V$16),$V$15,
IF(AND(V397&gt;=$V$16,V397&lt;$V$17),$V$16,""))))))</f>
        <v/>
      </c>
      <c r="Z397" s="112">
        <v>1</v>
      </c>
      <c r="AC397" s="111">
        <f>IF(J397="","",VLOOKUP(F398,[1]dim!$A:$F,6,FALSE))</f>
        <v>0.55000000000000004</v>
      </c>
      <c r="AD397" s="111">
        <f>IF(J397="","",VLOOKUP(F398,[1]dim!$A:$G,7,FALSE))</f>
        <v>0.4828036826848448</v>
      </c>
      <c r="AF397">
        <v>0.55000000000000004</v>
      </c>
      <c r="AG397">
        <v>0.4828036826848448</v>
      </c>
    </row>
    <row r="398" spans="1:33">
      <c r="A398" s="27"/>
      <c r="B398" s="129"/>
      <c r="C398" s="131"/>
      <c r="D398" s="131"/>
      <c r="E398" s="34" t="s">
        <v>228</v>
      </c>
      <c r="F398" s="6" t="s">
        <v>727</v>
      </c>
      <c r="G398" s="13">
        <v>22.062550000000005</v>
      </c>
      <c r="H398" s="13" t="s">
        <v>728</v>
      </c>
      <c r="I398" s="115"/>
      <c r="J398" s="113"/>
      <c r="K398" s="113"/>
      <c r="L398" s="113"/>
      <c r="M398" s="175"/>
      <c r="N398" s="113"/>
      <c r="O398" s="115"/>
      <c r="P398" s="117"/>
      <c r="Q398" s="90"/>
      <c r="U398" s="87"/>
      <c r="Y398" s="113"/>
      <c r="Z398" s="113"/>
      <c r="AC398" s="111"/>
      <c r="AD398" s="111"/>
    </row>
    <row r="399" spans="1:33">
      <c r="A399" s="27" t="s">
        <v>964</v>
      </c>
      <c r="B399" s="129" t="s">
        <v>724</v>
      </c>
      <c r="C399" s="131" t="s">
        <v>725</v>
      </c>
      <c r="D399" s="131" t="s">
        <v>40</v>
      </c>
      <c r="E399" s="34" t="s">
        <v>227</v>
      </c>
      <c r="F399" s="6" t="s">
        <v>71</v>
      </c>
      <c r="G399" s="13">
        <v>22.362550000000006</v>
      </c>
      <c r="H399" s="13" t="s">
        <v>356</v>
      </c>
      <c r="I399" s="114" t="s">
        <v>729</v>
      </c>
      <c r="J399" s="112">
        <v>0.4</v>
      </c>
      <c r="K399" s="112">
        <v>1.3369285653225162</v>
      </c>
      <c r="L399" s="112">
        <v>0.17782521332934523</v>
      </c>
      <c r="M399" s="112">
        <v>0.4</v>
      </c>
      <c r="N399" s="112">
        <v>1</v>
      </c>
      <c r="O399" s="114" t="s">
        <v>312</v>
      </c>
      <c r="P399" s="116" t="s">
        <v>312</v>
      </c>
      <c r="Q399" s="90"/>
      <c r="U399" s="87"/>
      <c r="Y399" s="112" t="str">
        <f>IF(V399="","",
IF(AND(V399&gt;=$V$12,V399&lt;$V$13),$V$12,
IF(AND(V399&gt;=$V$13,V399&lt;$V$14),$V$13,
IF(AND(V399&gt;=$V$14,V399&lt;$V$15),$V$14,
IF(AND(V399&gt;=$V$15,V399&lt;$V$16),$V$15,
IF(AND(V399&gt;=$V$16,V399&lt;$V$17),$V$16,""))))))</f>
        <v/>
      </c>
      <c r="Z399" s="112">
        <v>1</v>
      </c>
      <c r="AC399" s="111">
        <f>IF(J399="","",VLOOKUP(F400,[1]dim!$A:$F,6,FALSE))</f>
        <v>0.4</v>
      </c>
      <c r="AD399" s="111">
        <f>IF(J399="","",VLOOKUP(F400,[1]dim!$A:$G,7,FALSE))</f>
        <v>0.34279172521938978</v>
      </c>
      <c r="AF399">
        <v>0.4</v>
      </c>
      <c r="AG399">
        <v>0.34279172521938978</v>
      </c>
    </row>
    <row r="400" spans="1:33">
      <c r="A400" s="27"/>
      <c r="B400" s="129"/>
      <c r="C400" s="131"/>
      <c r="D400" s="131"/>
      <c r="E400" s="34" t="s">
        <v>228</v>
      </c>
      <c r="F400" s="6" t="s">
        <v>730</v>
      </c>
      <c r="G400" s="13">
        <v>21.02562143467749</v>
      </c>
      <c r="H400" s="13" t="s">
        <v>731</v>
      </c>
      <c r="I400" s="115"/>
      <c r="J400" s="113"/>
      <c r="K400" s="113"/>
      <c r="L400" s="113"/>
      <c r="M400" s="113"/>
      <c r="N400" s="113"/>
      <c r="O400" s="115"/>
      <c r="P400" s="117"/>
      <c r="Q400" s="90"/>
      <c r="U400" s="87"/>
      <c r="Y400" s="113"/>
      <c r="Z400" s="113"/>
      <c r="AC400" s="111"/>
      <c r="AD400" s="111"/>
    </row>
    <row r="401" spans="1:33">
      <c r="A401" s="27" t="s">
        <v>965</v>
      </c>
      <c r="B401" s="129" t="s">
        <v>732</v>
      </c>
      <c r="C401" s="131" t="s">
        <v>74</v>
      </c>
      <c r="D401" s="131" t="s">
        <v>40</v>
      </c>
      <c r="E401" s="34" t="s">
        <v>227</v>
      </c>
      <c r="F401" s="6" t="s">
        <v>72</v>
      </c>
      <c r="G401" s="13">
        <v>23.065874000000015</v>
      </c>
      <c r="H401" s="13" t="s">
        <v>358</v>
      </c>
      <c r="I401" s="114" t="s">
        <v>733</v>
      </c>
      <c r="J401" s="112">
        <v>0.35</v>
      </c>
      <c r="K401" s="112">
        <v>1.8787820000000082</v>
      </c>
      <c r="L401" s="112">
        <v>0.18373864629506895</v>
      </c>
      <c r="M401" s="112">
        <v>0.3</v>
      </c>
      <c r="N401" s="112">
        <v>1</v>
      </c>
      <c r="O401" s="114" t="s">
        <v>312</v>
      </c>
      <c r="P401" s="116" t="s">
        <v>312</v>
      </c>
      <c r="Q401" s="91">
        <v>0.7</v>
      </c>
      <c r="U401" s="87"/>
      <c r="Y401" s="112" t="str">
        <f>IF(V401="","",
IF(AND(V401&gt;=$V$12,V401&lt;$V$13),$V$12,
IF(AND(V401&gt;=$V$13,V401&lt;$V$14),$V$13,
IF(AND(V401&gt;=$V$14,V401&lt;$V$15),$V$14,
IF(AND(V401&gt;=$V$15,V401&lt;$V$16),$V$15,
IF(AND(V401&gt;=$V$16,V401&lt;$V$17),$V$16,""))))))</f>
        <v/>
      </c>
      <c r="Z401" s="112">
        <v>1</v>
      </c>
      <c r="AC401" s="111">
        <f>IF(J401="","",VLOOKUP(F402,[1]dim!$A:$F,6,FALSE))</f>
        <v>0.35</v>
      </c>
      <c r="AD401" s="111">
        <f>IF(J401="","",VLOOKUP(F402,[1]dim!$A:$G,7,FALSE))</f>
        <v>0.29248170009744751</v>
      </c>
      <c r="AF401">
        <v>0.35</v>
      </c>
      <c r="AG401">
        <v>0.29248170009744751</v>
      </c>
    </row>
    <row r="402" spans="1:33">
      <c r="A402" s="27"/>
      <c r="B402" s="129"/>
      <c r="C402" s="131"/>
      <c r="D402" s="131"/>
      <c r="E402" s="34" t="s">
        <v>228</v>
      </c>
      <c r="F402" s="6" t="s">
        <v>734</v>
      </c>
      <c r="G402" s="13">
        <v>21.187092000000007</v>
      </c>
      <c r="H402" s="13" t="s">
        <v>735</v>
      </c>
      <c r="I402" s="115"/>
      <c r="J402" s="113"/>
      <c r="K402" s="113"/>
      <c r="L402" s="113"/>
      <c r="M402" s="113"/>
      <c r="N402" s="113"/>
      <c r="O402" s="115"/>
      <c r="P402" s="117"/>
      <c r="Q402" s="90" t="s">
        <v>300</v>
      </c>
      <c r="U402" s="87"/>
      <c r="Y402" s="113"/>
      <c r="Z402" s="113"/>
      <c r="AC402" s="111"/>
      <c r="AD402" s="111"/>
    </row>
    <row r="403" spans="1:33">
      <c r="A403" s="27" t="s">
        <v>966</v>
      </c>
      <c r="B403" s="132" t="s">
        <v>736</v>
      </c>
      <c r="C403" s="114" t="s">
        <v>737</v>
      </c>
      <c r="D403" s="136" t="s">
        <v>301</v>
      </c>
      <c r="E403" s="34" t="s">
        <v>227</v>
      </c>
      <c r="F403" s="6" t="s">
        <v>75</v>
      </c>
      <c r="G403" s="13">
        <v>22.858057000000013</v>
      </c>
      <c r="H403" s="13" t="s">
        <v>360</v>
      </c>
      <c r="I403" s="114"/>
      <c r="J403" s="112"/>
      <c r="K403" s="112"/>
      <c r="L403" s="112"/>
      <c r="M403" s="112" t="s">
        <v>302</v>
      </c>
      <c r="N403" s="112"/>
      <c r="O403" s="114"/>
      <c r="P403" s="116"/>
      <c r="Q403" s="90"/>
      <c r="U403" s="87"/>
      <c r="Y403" s="112" t="str">
        <f>IF(V403="","",
IF(AND(V403&gt;=$V$12,V403&lt;$V$13),$V$12,
IF(AND(V403&gt;=$V$13,V403&lt;$V$14),$V$13,
IF(AND(V403&gt;=$V$14,V403&lt;$V$15),$V$14,
IF(AND(V403&gt;=$V$15,V403&lt;$V$16),$V$15,
IF(AND(V403&gt;=$V$16,V403&lt;$V$17),$V$16,""))))))</f>
        <v/>
      </c>
      <c r="Z403" s="112"/>
      <c r="AC403" s="111" t="str">
        <f>IF(J403="","",VLOOKUP(F404,[1]dim!$A:$F,6,FALSE))</f>
        <v/>
      </c>
      <c r="AD403" s="111" t="str">
        <f>IF(J403="","",VLOOKUP(F404,[1]dim!$A:$G,7,FALSE))</f>
        <v/>
      </c>
      <c r="AF403" t="s">
        <v>302</v>
      </c>
      <c r="AG403" t="s">
        <v>302</v>
      </c>
    </row>
    <row r="404" spans="1:33">
      <c r="A404" s="27"/>
      <c r="B404" s="133"/>
      <c r="C404" s="115"/>
      <c r="D404" s="137"/>
      <c r="E404" s="34" t="s">
        <v>228</v>
      </c>
      <c r="F404" s="6"/>
      <c r="G404" s="13"/>
      <c r="H404" s="102" t="s">
        <v>303</v>
      </c>
      <c r="I404" s="115"/>
      <c r="J404" s="113"/>
      <c r="K404" s="113"/>
      <c r="L404" s="113"/>
      <c r="M404" s="113"/>
      <c r="N404" s="113"/>
      <c r="O404" s="115"/>
      <c r="P404" s="117"/>
      <c r="Q404" s="90"/>
      <c r="U404" s="87"/>
      <c r="Y404" s="113"/>
      <c r="Z404" s="113"/>
      <c r="AC404" s="111"/>
      <c r="AD404" s="111"/>
    </row>
    <row r="405" spans="1:33">
      <c r="A405" s="27" t="s">
        <v>967</v>
      </c>
      <c r="B405" s="129" t="s">
        <v>738</v>
      </c>
      <c r="C405" s="131" t="s">
        <v>78</v>
      </c>
      <c r="D405" s="131" t="s">
        <v>40</v>
      </c>
      <c r="E405" s="34" t="s">
        <v>227</v>
      </c>
      <c r="F405" s="6" t="s">
        <v>76</v>
      </c>
      <c r="G405" s="13">
        <v>22.663803000000009</v>
      </c>
      <c r="H405" s="13" t="s">
        <v>362</v>
      </c>
      <c r="I405" s="114" t="s">
        <v>739</v>
      </c>
      <c r="J405" s="112">
        <v>0.35</v>
      </c>
      <c r="K405" s="112">
        <v>1.0988030000000073</v>
      </c>
      <c r="L405" s="112">
        <v>0.17282991462952549</v>
      </c>
      <c r="M405" s="112">
        <v>0.3</v>
      </c>
      <c r="N405" s="112">
        <v>1</v>
      </c>
      <c r="O405" s="114" t="s">
        <v>312</v>
      </c>
      <c r="P405" s="116" t="s">
        <v>312</v>
      </c>
      <c r="Q405" s="91">
        <v>0.7</v>
      </c>
      <c r="U405" s="87"/>
      <c r="Y405" s="112" t="str">
        <f>IF(V405="","",
IF(AND(V405&gt;=$V$12,V405&lt;$V$13),$V$12,
IF(AND(V405&gt;=$V$13,V405&lt;$V$14),$V$13,
IF(AND(V405&gt;=$V$14,V405&lt;$V$15),$V$14,
IF(AND(V405&gt;=$V$15,V405&lt;$V$16),$V$15,
IF(AND(V405&gt;=$V$16,V405&lt;$V$17),$V$16,""))))))</f>
        <v/>
      </c>
      <c r="Z405" s="112">
        <v>1</v>
      </c>
      <c r="AC405" s="111">
        <f>IF(J405="","",VLOOKUP(F406,[1]dim!$A:$F,6,FALSE))</f>
        <v>0.35</v>
      </c>
      <c r="AD405" s="111">
        <f>IF(J405="","",VLOOKUP(F406,[1]dim!$A:$G,7,FALSE))</f>
        <v>0.33704230552529063</v>
      </c>
      <c r="AF405">
        <v>0.35</v>
      </c>
      <c r="AG405">
        <v>0.33704230552529063</v>
      </c>
    </row>
    <row r="406" spans="1:33">
      <c r="A406" s="27"/>
      <c r="B406" s="129"/>
      <c r="C406" s="131"/>
      <c r="D406" s="131"/>
      <c r="E406" s="34" t="s">
        <v>228</v>
      </c>
      <c r="F406" s="6" t="s">
        <v>740</v>
      </c>
      <c r="G406" s="13">
        <v>21.565000000000001</v>
      </c>
      <c r="H406" s="13" t="s">
        <v>741</v>
      </c>
      <c r="I406" s="115"/>
      <c r="J406" s="113"/>
      <c r="K406" s="113"/>
      <c r="L406" s="113"/>
      <c r="M406" s="113"/>
      <c r="N406" s="113"/>
      <c r="O406" s="115"/>
      <c r="P406" s="117"/>
      <c r="Q406" s="90" t="s">
        <v>300</v>
      </c>
      <c r="U406" s="87"/>
      <c r="Y406" s="113"/>
      <c r="Z406" s="113"/>
      <c r="AC406" s="111"/>
      <c r="AD406" s="111"/>
    </row>
    <row r="407" spans="1:33">
      <c r="A407" s="27" t="s">
        <v>968</v>
      </c>
      <c r="B407" s="132" t="s">
        <v>742</v>
      </c>
      <c r="C407" s="114" t="s">
        <v>743</v>
      </c>
      <c r="D407" s="136" t="s">
        <v>301</v>
      </c>
      <c r="E407" s="34" t="s">
        <v>227</v>
      </c>
      <c r="F407" s="6" t="s">
        <v>82</v>
      </c>
      <c r="G407" s="13">
        <v>21.844474000000005</v>
      </c>
      <c r="H407" s="13" t="s">
        <v>365</v>
      </c>
      <c r="I407" s="114"/>
      <c r="J407" s="112"/>
      <c r="K407" s="112"/>
      <c r="L407" s="112"/>
      <c r="M407" s="112" t="s">
        <v>302</v>
      </c>
      <c r="N407" s="112"/>
      <c r="O407" s="114"/>
      <c r="P407" s="116"/>
      <c r="Q407" s="90"/>
      <c r="U407" s="87"/>
      <c r="Y407" s="112" t="str">
        <f>IF(V407="","",
IF(AND(V407&gt;=$V$12,V407&lt;$V$13),$V$12,
IF(AND(V407&gt;=$V$13,V407&lt;$V$14),$V$13,
IF(AND(V407&gt;=$V$14,V407&lt;$V$15),$V$14,
IF(AND(V407&gt;=$V$15,V407&lt;$V$16),$V$15,
IF(AND(V407&gt;=$V$16,V407&lt;$V$17),$V$16,""))))))</f>
        <v/>
      </c>
      <c r="Z407" s="112"/>
      <c r="AC407" s="111" t="str">
        <f>IF(J407="","",VLOOKUP(F408,[1]dim!$A:$F,6,FALSE))</f>
        <v/>
      </c>
      <c r="AD407" s="111" t="str">
        <f>IF(J407="","",VLOOKUP(F408,[1]dim!$A:$G,7,FALSE))</f>
        <v/>
      </c>
      <c r="AF407" t="s">
        <v>302</v>
      </c>
      <c r="AG407" t="s">
        <v>302</v>
      </c>
    </row>
    <row r="408" spans="1:33">
      <c r="A408" s="27"/>
      <c r="B408" s="133"/>
      <c r="C408" s="115"/>
      <c r="D408" s="137"/>
      <c r="E408" s="34" t="s">
        <v>228</v>
      </c>
      <c r="F408" s="6"/>
      <c r="G408" s="13"/>
      <c r="H408" s="102" t="s">
        <v>303</v>
      </c>
      <c r="I408" s="115"/>
      <c r="J408" s="113"/>
      <c r="K408" s="113"/>
      <c r="L408" s="113"/>
      <c r="M408" s="113"/>
      <c r="N408" s="113"/>
      <c r="O408" s="115"/>
      <c r="P408" s="117"/>
      <c r="Q408" s="90"/>
      <c r="U408" s="87"/>
      <c r="Y408" s="113"/>
      <c r="Z408" s="113"/>
      <c r="AC408" s="111"/>
      <c r="AD408" s="111"/>
    </row>
    <row r="409" spans="1:33">
      <c r="A409" s="27" t="s">
        <v>968</v>
      </c>
      <c r="B409" s="132" t="s">
        <v>742</v>
      </c>
      <c r="C409" s="114" t="s">
        <v>743</v>
      </c>
      <c r="D409" s="136" t="s">
        <v>301</v>
      </c>
      <c r="E409" s="34" t="s">
        <v>227</v>
      </c>
      <c r="F409" s="6" t="s">
        <v>82</v>
      </c>
      <c r="G409" s="13">
        <v>21.844474000000005</v>
      </c>
      <c r="H409" s="13" t="s">
        <v>365</v>
      </c>
      <c r="I409" s="114"/>
      <c r="J409" s="112"/>
      <c r="K409" s="112"/>
      <c r="L409" s="112"/>
      <c r="M409" s="112" t="s">
        <v>302</v>
      </c>
      <c r="N409" s="112"/>
      <c r="O409" s="114"/>
      <c r="P409" s="116"/>
      <c r="Q409" s="90"/>
      <c r="U409" s="87"/>
      <c r="Y409" s="112" t="str">
        <f>IF(V409="","",
IF(AND(V409&gt;=$V$12,V409&lt;$V$13),$V$12,
IF(AND(V409&gt;=$V$13,V409&lt;$V$14),$V$13,
IF(AND(V409&gt;=$V$14,V409&lt;$V$15),$V$14,
IF(AND(V409&gt;=$V$15,V409&lt;$V$16),$V$15,
IF(AND(V409&gt;=$V$16,V409&lt;$V$17),$V$16,""))))))</f>
        <v/>
      </c>
      <c r="Z409" s="112"/>
      <c r="AC409" s="111" t="str">
        <f>IF(J409="","",VLOOKUP(F410,[1]dim!$A:$F,6,FALSE))</f>
        <v/>
      </c>
      <c r="AD409" s="111" t="str">
        <f>IF(J409="","",VLOOKUP(F410,[1]dim!$A:$G,7,FALSE))</f>
        <v/>
      </c>
      <c r="AF409" t="s">
        <v>302</v>
      </c>
      <c r="AG409" t="s">
        <v>302</v>
      </c>
    </row>
    <row r="410" spans="1:33">
      <c r="A410" s="27"/>
      <c r="B410" s="133"/>
      <c r="C410" s="115"/>
      <c r="D410" s="137"/>
      <c r="E410" s="34" t="s">
        <v>228</v>
      </c>
      <c r="F410" s="6"/>
      <c r="G410" s="13"/>
      <c r="H410" s="102" t="s">
        <v>303</v>
      </c>
      <c r="I410" s="115"/>
      <c r="J410" s="113"/>
      <c r="K410" s="113"/>
      <c r="L410" s="113"/>
      <c r="M410" s="113"/>
      <c r="N410" s="113"/>
      <c r="O410" s="115"/>
      <c r="P410" s="117"/>
      <c r="Q410" s="90"/>
      <c r="U410" s="87"/>
      <c r="Y410" s="113"/>
      <c r="Z410" s="113"/>
      <c r="AC410" s="111"/>
      <c r="AD410" s="111"/>
    </row>
    <row r="411" spans="1:33">
      <c r="A411" s="27" t="s">
        <v>969</v>
      </c>
      <c r="B411" s="129" t="s">
        <v>744</v>
      </c>
      <c r="C411" s="131" t="s">
        <v>81</v>
      </c>
      <c r="D411" s="131" t="s">
        <v>40</v>
      </c>
      <c r="E411" s="34" t="s">
        <v>227</v>
      </c>
      <c r="F411" s="6" t="s">
        <v>79</v>
      </c>
      <c r="G411" s="13">
        <v>22.405091000000006</v>
      </c>
      <c r="H411" s="13" t="s">
        <v>363</v>
      </c>
      <c r="I411" s="114" t="s">
        <v>745</v>
      </c>
      <c r="J411" s="112">
        <v>0.4</v>
      </c>
      <c r="K411" s="112">
        <v>2.3833409999999979</v>
      </c>
      <c r="L411" s="112">
        <v>7.6954434830350277E-2</v>
      </c>
      <c r="M411" s="112">
        <v>0.4</v>
      </c>
      <c r="N411" s="112">
        <v>1</v>
      </c>
      <c r="O411" s="114" t="s">
        <v>312</v>
      </c>
      <c r="P411" s="116" t="s">
        <v>312</v>
      </c>
      <c r="Q411" s="90"/>
      <c r="U411" s="87"/>
      <c r="Y411" s="112" t="str">
        <f>IF(V411="","",
IF(AND(V411&gt;=$V$12,V411&lt;$V$13),$V$12,
IF(AND(V411&gt;=$V$13,V411&lt;$V$14),$V$13,
IF(AND(V411&gt;=$V$14,V411&lt;$V$15),$V$14,
IF(AND(V411&gt;=$V$15,V411&lt;$V$16),$V$15,
IF(AND(V411&gt;=$V$16,V411&lt;$V$17),$V$16,""))))))</f>
        <v/>
      </c>
      <c r="Z411" s="112">
        <v>1</v>
      </c>
      <c r="AC411" s="111">
        <f>IF(J411="","",VLOOKUP(F412,[1]dim!$A:$F,6,FALSE))</f>
        <v>0.4</v>
      </c>
      <c r="AD411" s="111">
        <f>IF(J411="","",VLOOKUP(F412,[1]dim!$A:$G,7,FALSE))</f>
        <v>0.39335665569070533</v>
      </c>
      <c r="AF411">
        <v>0.4</v>
      </c>
      <c r="AG411">
        <v>0.39335665569070533</v>
      </c>
    </row>
    <row r="412" spans="1:33">
      <c r="A412" s="27"/>
      <c r="B412" s="129"/>
      <c r="C412" s="131"/>
      <c r="D412" s="131"/>
      <c r="E412" s="34" t="s">
        <v>228</v>
      </c>
      <c r="F412" s="6" t="s">
        <v>746</v>
      </c>
      <c r="G412" s="13">
        <v>20.021750000000008</v>
      </c>
      <c r="H412" s="13" t="s">
        <v>747</v>
      </c>
      <c r="I412" s="115"/>
      <c r="J412" s="113"/>
      <c r="K412" s="113"/>
      <c r="L412" s="113"/>
      <c r="M412" s="113"/>
      <c r="N412" s="113"/>
      <c r="O412" s="115"/>
      <c r="P412" s="117"/>
      <c r="Q412" s="90"/>
      <c r="U412" s="87"/>
      <c r="Y412" s="113"/>
      <c r="Z412" s="113"/>
      <c r="AC412" s="111"/>
      <c r="AD412" s="111"/>
    </row>
    <row r="413" spans="1:33">
      <c r="A413" s="27"/>
      <c r="B413" s="138" t="s">
        <v>268</v>
      </c>
      <c r="C413" s="140"/>
      <c r="D413" s="140"/>
      <c r="E413" s="32"/>
      <c r="F413" s="19"/>
      <c r="G413" s="20"/>
      <c r="H413" s="20"/>
      <c r="I413" s="140" t="s">
        <v>302</v>
      </c>
      <c r="J413" s="119"/>
      <c r="K413" s="119"/>
      <c r="L413" s="119"/>
      <c r="M413" s="119" t="s">
        <v>302</v>
      </c>
      <c r="N413" s="119"/>
      <c r="O413" s="140"/>
      <c r="P413" s="150"/>
      <c r="Q413" s="90"/>
      <c r="U413" s="87"/>
      <c r="Y413" s="119" t="str">
        <f>IF(V413="","",
IF(AND(V413&gt;=$V$12,V413&lt;$V$13),$V$12,
IF(AND(V413&gt;=$V$13,V413&lt;$V$14),$V$13,
IF(AND(V413&gt;=$V$14,V413&lt;$V$15),$V$14,
IF(AND(V413&gt;=$V$15,V413&lt;$V$16),$V$15,
IF(AND(V413&gt;=$V$16,V413&lt;$V$17),$V$16,""))))))</f>
        <v/>
      </c>
      <c r="Z413" s="119"/>
      <c r="AC413" s="111" t="str">
        <f>IF(J413="","",VLOOKUP(F414,[1]dim!$A:$F,6,FALSE))</f>
        <v/>
      </c>
      <c r="AD413" s="111" t="str">
        <f>IF(J413="","",VLOOKUP(F414,[1]dim!$A:$G,7,FALSE))</f>
        <v/>
      </c>
      <c r="AF413" t="s">
        <v>302</v>
      </c>
      <c r="AG413" t="s">
        <v>302</v>
      </c>
    </row>
    <row r="414" spans="1:33">
      <c r="A414" s="27"/>
      <c r="B414" s="139"/>
      <c r="C414" s="141"/>
      <c r="D414" s="141"/>
      <c r="E414" s="33"/>
      <c r="F414" s="21"/>
      <c r="G414" s="22"/>
      <c r="H414" s="22"/>
      <c r="I414" s="141"/>
      <c r="J414" s="120"/>
      <c r="K414" s="120"/>
      <c r="L414" s="120"/>
      <c r="M414" s="120"/>
      <c r="N414" s="120"/>
      <c r="O414" s="141"/>
      <c r="P414" s="151"/>
      <c r="Q414" s="90"/>
      <c r="U414" s="87"/>
      <c r="Y414" s="120"/>
      <c r="Z414" s="120"/>
      <c r="AC414" s="111"/>
      <c r="AD414" s="111"/>
    </row>
    <row r="415" spans="1:33">
      <c r="A415" s="27" t="s">
        <v>970</v>
      </c>
      <c r="B415" s="129" t="s">
        <v>748</v>
      </c>
      <c r="C415" s="131" t="s">
        <v>26</v>
      </c>
      <c r="D415" s="131" t="s">
        <v>40</v>
      </c>
      <c r="E415" s="34" t="s">
        <v>227</v>
      </c>
      <c r="F415" s="6" t="s">
        <v>24</v>
      </c>
      <c r="G415" s="13">
        <v>26.613487848303414</v>
      </c>
      <c r="H415" s="13" t="s">
        <v>322</v>
      </c>
      <c r="I415" s="114" t="s">
        <v>749</v>
      </c>
      <c r="J415" s="112">
        <v>0.45</v>
      </c>
      <c r="K415" s="112">
        <v>1.1924152798016614</v>
      </c>
      <c r="L415" s="112">
        <v>0.37646255920352861</v>
      </c>
      <c r="M415" s="112">
        <v>0.4</v>
      </c>
      <c r="N415" s="112">
        <v>1</v>
      </c>
      <c r="O415" s="114" t="s">
        <v>312</v>
      </c>
      <c r="P415" s="116" t="s">
        <v>312</v>
      </c>
      <c r="Q415" s="90"/>
      <c r="U415" s="87"/>
      <c r="Y415" s="112" t="str">
        <f>IF(V415="","",
IF(AND(V415&gt;=$V$12,V415&lt;$V$13),$V$12,
IF(AND(V415&gt;=$V$13,V415&lt;$V$14),$V$13,
IF(AND(V415&gt;=$V$14,V415&lt;$V$15),$V$14,
IF(AND(V415&gt;=$V$15,V415&lt;$V$16),$V$15,
IF(AND(V415&gt;=$V$16,V415&lt;$V$17),$V$16,""))))))</f>
        <v/>
      </c>
      <c r="Z415" s="112">
        <v>1</v>
      </c>
      <c r="AC415" s="111">
        <f>IF(J415="","",VLOOKUP(F416,[1]dim!$A:$F,6,FALSE))</f>
        <v>0.45</v>
      </c>
      <c r="AD415" s="111">
        <f>IF(J415="","",VLOOKUP(F416,[1]dim!$A:$G,7,FALSE))</f>
        <v>0.4157728671855318</v>
      </c>
      <c r="AF415">
        <v>0.45</v>
      </c>
      <c r="AG415">
        <v>0.4157728671855318</v>
      </c>
    </row>
    <row r="416" spans="1:33">
      <c r="A416" s="27"/>
      <c r="B416" s="129"/>
      <c r="C416" s="131"/>
      <c r="D416" s="131"/>
      <c r="E416" s="34" t="s">
        <v>228</v>
      </c>
      <c r="F416" s="6" t="s">
        <v>750</v>
      </c>
      <c r="G416" s="13">
        <v>25.421072568501753</v>
      </c>
      <c r="H416" s="13" t="s">
        <v>751</v>
      </c>
      <c r="I416" s="115"/>
      <c r="J416" s="113"/>
      <c r="K416" s="113"/>
      <c r="L416" s="113"/>
      <c r="M416" s="113"/>
      <c r="N416" s="113"/>
      <c r="O416" s="115"/>
      <c r="P416" s="117"/>
      <c r="Q416" s="90"/>
      <c r="U416" s="87"/>
      <c r="Y416" s="113"/>
      <c r="Z416" s="113"/>
      <c r="AC416" s="111"/>
      <c r="AD416" s="111"/>
    </row>
    <row r="417" spans="1:33">
      <c r="A417" s="27" t="s">
        <v>971</v>
      </c>
      <c r="B417" s="129" t="s">
        <v>748</v>
      </c>
      <c r="C417" s="131" t="s">
        <v>26</v>
      </c>
      <c r="D417" s="131" t="s">
        <v>40</v>
      </c>
      <c r="E417" s="34" t="s">
        <v>227</v>
      </c>
      <c r="F417" s="6" t="s">
        <v>24</v>
      </c>
      <c r="G417" s="13">
        <v>26.613487848303414</v>
      </c>
      <c r="H417" s="13" t="s">
        <v>322</v>
      </c>
      <c r="I417" s="114" t="s">
        <v>752</v>
      </c>
      <c r="J417" s="112">
        <v>0.3</v>
      </c>
      <c r="K417" s="112">
        <v>1.1462378483034108</v>
      </c>
      <c r="L417" s="112">
        <v>0.50761570153936031</v>
      </c>
      <c r="M417" s="112">
        <v>0.3</v>
      </c>
      <c r="N417" s="112">
        <v>1</v>
      </c>
      <c r="O417" s="114" t="s">
        <v>312</v>
      </c>
      <c r="P417" s="116" t="s">
        <v>312</v>
      </c>
      <c r="Q417" s="90"/>
      <c r="U417" s="87"/>
      <c r="Y417" s="112" t="str">
        <f>IF(V417="","",
IF(AND(V417&gt;=$V$12,V417&lt;$V$13),$V$12,
IF(AND(V417&gt;=$V$13,V417&lt;$V$14),$V$13,
IF(AND(V417&gt;=$V$14,V417&lt;$V$15),$V$14,
IF(AND(V417&gt;=$V$15,V417&lt;$V$16),$V$15,
IF(AND(V417&gt;=$V$16,V417&lt;$V$17),$V$16,""))))))</f>
        <v/>
      </c>
      <c r="Z417" s="112">
        <v>1</v>
      </c>
      <c r="AC417" s="111">
        <f>IF(J417="","",VLOOKUP(F418,[1]dim!$A:$F,6,FALSE))</f>
        <v>0.3</v>
      </c>
      <c r="AD417" s="111">
        <f>IF(J417="","",VLOOKUP(F418,[1]dim!$A:$G,7,FALSE))</f>
        <v>0.28970512341744525</v>
      </c>
      <c r="AF417">
        <v>0.3</v>
      </c>
      <c r="AG417">
        <v>0.28970512341744525</v>
      </c>
    </row>
    <row r="418" spans="1:33">
      <c r="A418" s="27"/>
      <c r="B418" s="129"/>
      <c r="C418" s="131"/>
      <c r="D418" s="131"/>
      <c r="E418" s="34" t="s">
        <v>228</v>
      </c>
      <c r="F418" s="6" t="s">
        <v>753</v>
      </c>
      <c r="G418" s="13">
        <v>25.467250000000003</v>
      </c>
      <c r="H418" s="13" t="s">
        <v>754</v>
      </c>
      <c r="I418" s="115"/>
      <c r="J418" s="113"/>
      <c r="K418" s="113"/>
      <c r="L418" s="113"/>
      <c r="M418" s="113"/>
      <c r="N418" s="113"/>
      <c r="O418" s="115"/>
      <c r="P418" s="117"/>
      <c r="Q418" s="90"/>
      <c r="U418" s="87"/>
      <c r="Y418" s="113"/>
      <c r="Z418" s="113"/>
      <c r="AC418" s="111"/>
      <c r="AD418" s="111"/>
    </row>
    <row r="419" spans="1:33">
      <c r="A419" s="27" t="s">
        <v>972</v>
      </c>
      <c r="B419" s="129" t="s">
        <v>755</v>
      </c>
      <c r="C419" s="131" t="s">
        <v>29</v>
      </c>
      <c r="D419" s="131" t="s">
        <v>40</v>
      </c>
      <c r="E419" s="34" t="s">
        <v>227</v>
      </c>
      <c r="F419" s="6" t="s">
        <v>27</v>
      </c>
      <c r="G419" s="13">
        <v>26.350762248303411</v>
      </c>
      <c r="H419" s="13" t="s">
        <v>324</v>
      </c>
      <c r="I419" s="114" t="s">
        <v>756</v>
      </c>
      <c r="J419" s="112">
        <v>0.3</v>
      </c>
      <c r="K419" s="112">
        <v>2.3952622483034069</v>
      </c>
      <c r="L419" s="112">
        <v>0.19727701945733986</v>
      </c>
      <c r="M419" s="112">
        <v>0.3</v>
      </c>
      <c r="N419" s="112">
        <v>1</v>
      </c>
      <c r="O419" s="114" t="s">
        <v>312</v>
      </c>
      <c r="P419" s="116" t="s">
        <v>312</v>
      </c>
      <c r="Q419" s="91">
        <v>0.7</v>
      </c>
      <c r="U419" s="87"/>
      <c r="Y419" s="112" t="str">
        <f>IF(V419="","",
IF(AND(V419&gt;=$V$12,V419&lt;$V$13),$V$12,
IF(AND(V419&gt;=$V$13,V419&lt;$V$14),$V$13,
IF(AND(V419&gt;=$V$14,V419&lt;$V$15),$V$14,
IF(AND(V419&gt;=$V$15,V419&lt;$V$16),$V$15,
IF(AND(V419&gt;=$V$16,V419&lt;$V$17),$V$16,""))))))</f>
        <v/>
      </c>
      <c r="Z419" s="112">
        <v>1</v>
      </c>
      <c r="AC419" s="111">
        <f>IF(J419="","",VLOOKUP(F420,[1]dim!$A:$F,6,FALSE))</f>
        <v>0.3</v>
      </c>
      <c r="AD419" s="111">
        <f>IF(J419="","",VLOOKUP(F420,[1]dim!$A:$G,7,FALSE))</f>
        <v>0.25885060257641224</v>
      </c>
      <c r="AF419">
        <v>0.3</v>
      </c>
      <c r="AG419">
        <v>0.25885060257641224</v>
      </c>
    </row>
    <row r="420" spans="1:33">
      <c r="A420" s="27"/>
      <c r="B420" s="129"/>
      <c r="C420" s="131"/>
      <c r="D420" s="131"/>
      <c r="E420" s="34" t="s">
        <v>228</v>
      </c>
      <c r="F420" s="6" t="s">
        <v>757</v>
      </c>
      <c r="G420" s="13">
        <v>23.955500000000004</v>
      </c>
      <c r="H420" s="13" t="s">
        <v>758</v>
      </c>
      <c r="I420" s="115"/>
      <c r="J420" s="113"/>
      <c r="K420" s="113"/>
      <c r="L420" s="113"/>
      <c r="M420" s="113"/>
      <c r="N420" s="113"/>
      <c r="O420" s="115"/>
      <c r="P420" s="117"/>
      <c r="Q420" s="90" t="s">
        <v>300</v>
      </c>
      <c r="U420" s="87"/>
      <c r="Y420" s="113"/>
      <c r="Z420" s="113"/>
      <c r="AC420" s="111"/>
      <c r="AD420" s="111"/>
    </row>
    <row r="421" spans="1:33">
      <c r="A421" s="27" t="s">
        <v>973</v>
      </c>
      <c r="B421" s="129" t="s">
        <v>759</v>
      </c>
      <c r="C421" s="131" t="s">
        <v>32</v>
      </c>
      <c r="D421" s="131" t="s">
        <v>40</v>
      </c>
      <c r="E421" s="34" t="s">
        <v>227</v>
      </c>
      <c r="F421" s="6" t="s">
        <v>30</v>
      </c>
      <c r="G421" s="13">
        <v>25.871165448303412</v>
      </c>
      <c r="H421" s="13" t="s">
        <v>325</v>
      </c>
      <c r="I421" s="114" t="s">
        <v>760</v>
      </c>
      <c r="J421" s="112">
        <v>0.45</v>
      </c>
      <c r="K421" s="112">
        <v>1.4459154483033991</v>
      </c>
      <c r="L421" s="112">
        <v>0.27485034976346051</v>
      </c>
      <c r="M421" s="112">
        <v>0.4</v>
      </c>
      <c r="N421" s="112">
        <v>1</v>
      </c>
      <c r="O421" s="114" t="s">
        <v>312</v>
      </c>
      <c r="P421" s="116" t="s">
        <v>312</v>
      </c>
      <c r="Q421" s="90"/>
      <c r="U421" s="87"/>
      <c r="Y421" s="112" t="str">
        <f>IF(V421="","",
IF(AND(V421&gt;=$V$12,V421&lt;$V$13),$V$12,
IF(AND(V421&gt;=$V$13,V421&lt;$V$14),$V$13,
IF(AND(V421&gt;=$V$14,V421&lt;$V$15),$V$14,
IF(AND(V421&gt;=$V$15,V421&lt;$V$16),$V$15,
IF(AND(V421&gt;=$V$16,V421&lt;$V$17),$V$16,""))))))</f>
        <v/>
      </c>
      <c r="Z421" s="112">
        <v>1</v>
      </c>
      <c r="AC421" s="111">
        <f>IF(J421="","",VLOOKUP(F422,[1]dim!$A:$F,6,FALSE))</f>
        <v>0.45</v>
      </c>
      <c r="AD421" s="111">
        <f>IF(J421="","",VLOOKUP(F422,[1]dim!$A:$G,7,FALSE))</f>
        <v>0.4431913123411681</v>
      </c>
      <c r="AF421">
        <v>0.45</v>
      </c>
      <c r="AG421">
        <v>0.4431913123411681</v>
      </c>
    </row>
    <row r="422" spans="1:33">
      <c r="A422" s="27"/>
      <c r="B422" s="129"/>
      <c r="C422" s="131"/>
      <c r="D422" s="131"/>
      <c r="E422" s="34" t="s">
        <v>228</v>
      </c>
      <c r="F422" s="6" t="s">
        <v>761</v>
      </c>
      <c r="G422" s="13">
        <v>24.425250000000013</v>
      </c>
      <c r="H422" s="13" t="s">
        <v>762</v>
      </c>
      <c r="I422" s="115"/>
      <c r="J422" s="113"/>
      <c r="K422" s="113"/>
      <c r="L422" s="113"/>
      <c r="M422" s="113"/>
      <c r="N422" s="113"/>
      <c r="O422" s="115"/>
      <c r="P422" s="117"/>
      <c r="Q422" s="90"/>
      <c r="U422" s="87"/>
      <c r="Y422" s="113"/>
      <c r="Z422" s="113"/>
      <c r="AC422" s="111"/>
      <c r="AD422" s="111"/>
    </row>
    <row r="423" spans="1:33">
      <c r="A423" s="27" t="s">
        <v>974</v>
      </c>
      <c r="B423" s="129" t="s">
        <v>759</v>
      </c>
      <c r="C423" s="131" t="s">
        <v>32</v>
      </c>
      <c r="D423" s="131" t="s">
        <v>40</v>
      </c>
      <c r="E423" s="34" t="s">
        <v>227</v>
      </c>
      <c r="F423" s="6" t="s">
        <v>30</v>
      </c>
      <c r="G423" s="13">
        <v>25.871165448303412</v>
      </c>
      <c r="H423" s="13" t="s">
        <v>325</v>
      </c>
      <c r="I423" s="114" t="s">
        <v>763</v>
      </c>
      <c r="J423" s="112">
        <v>0.45</v>
      </c>
      <c r="K423" s="112">
        <v>0.70276737137561085</v>
      </c>
      <c r="L423" s="112">
        <v>0.27707140968812277</v>
      </c>
      <c r="M423" s="112">
        <v>0.4</v>
      </c>
      <c r="N423" s="112">
        <v>1</v>
      </c>
      <c r="O423" s="114" t="s">
        <v>312</v>
      </c>
      <c r="P423" s="116" t="s">
        <v>312</v>
      </c>
      <c r="Q423" s="90"/>
      <c r="U423" s="87"/>
      <c r="Y423" s="112" t="str">
        <f>IF(V423="","",
IF(AND(V423&gt;=$V$12,V423&lt;$V$13),$V$12,
IF(AND(V423&gt;=$V$13,V423&lt;$V$14),$V$13,
IF(AND(V423&gt;=$V$14,V423&lt;$V$15),$V$14,
IF(AND(V423&gt;=$V$15,V423&lt;$V$16),$V$15,
IF(AND(V423&gt;=$V$16,V423&lt;$V$17),$V$16,""))))))</f>
        <v/>
      </c>
      <c r="Z423" s="112">
        <v>1</v>
      </c>
      <c r="AC423" s="111">
        <f>IF(J423="","",VLOOKUP(F424,[1]dim!$A:$F,6,FALSE))</f>
        <v>0.45</v>
      </c>
      <c r="AD423" s="111">
        <f>IF(J423="","",VLOOKUP(F424,[1]dim!$A:$G,7,FALSE))</f>
        <v>0.44077885255363902</v>
      </c>
      <c r="AF423">
        <v>0.45</v>
      </c>
      <c r="AG423">
        <v>0.44077885255363902</v>
      </c>
    </row>
    <row r="424" spans="1:33">
      <c r="A424" s="27"/>
      <c r="B424" s="129"/>
      <c r="C424" s="131"/>
      <c r="D424" s="131"/>
      <c r="E424" s="34" t="s">
        <v>228</v>
      </c>
      <c r="F424" s="6" t="s">
        <v>764</v>
      </c>
      <c r="G424" s="13">
        <v>25.168398076927801</v>
      </c>
      <c r="H424" s="13" t="s">
        <v>765</v>
      </c>
      <c r="I424" s="115"/>
      <c r="J424" s="113"/>
      <c r="K424" s="113"/>
      <c r="L424" s="113"/>
      <c r="M424" s="113"/>
      <c r="N424" s="113"/>
      <c r="O424" s="115"/>
      <c r="P424" s="117"/>
      <c r="Q424" s="90"/>
      <c r="U424" s="87"/>
      <c r="Y424" s="113"/>
      <c r="Z424" s="113"/>
      <c r="AC424" s="111"/>
      <c r="AD424" s="111"/>
    </row>
    <row r="425" spans="1:33">
      <c r="A425" s="27" t="s">
        <v>975</v>
      </c>
      <c r="B425" s="129" t="s">
        <v>766</v>
      </c>
      <c r="C425" s="131" t="s">
        <v>35</v>
      </c>
      <c r="D425" s="131" t="s">
        <v>40</v>
      </c>
      <c r="E425" s="34" t="s">
        <v>227</v>
      </c>
      <c r="F425" s="6" t="s">
        <v>33</v>
      </c>
      <c r="G425" s="13">
        <v>25.66155664830341</v>
      </c>
      <c r="H425" s="13" t="s">
        <v>327</v>
      </c>
      <c r="I425" s="114" t="s">
        <v>767</v>
      </c>
      <c r="J425" s="112">
        <v>0.3</v>
      </c>
      <c r="K425" s="112">
        <v>0.53855664830340544</v>
      </c>
      <c r="L425" s="112">
        <v>0.38257729860722117</v>
      </c>
      <c r="M425" s="112">
        <v>0.3</v>
      </c>
      <c r="N425" s="112">
        <v>1</v>
      </c>
      <c r="O425" s="114" t="s">
        <v>312</v>
      </c>
      <c r="P425" s="116" t="s">
        <v>312</v>
      </c>
      <c r="Q425" s="90"/>
      <c r="U425" s="87"/>
      <c r="Y425" s="112" t="str">
        <f>IF(V425="","",
IF(AND(V425&gt;=$V$12,V425&lt;$V$13),$V$12,
IF(AND(V425&gt;=$V$13,V425&lt;$V$14),$V$13,
IF(AND(V425&gt;=$V$14,V425&lt;$V$15),$V$14,
IF(AND(V425&gt;=$V$15,V425&lt;$V$16),$V$15,
IF(AND(V425&gt;=$V$16,V425&lt;$V$17),$V$16,""))))))</f>
        <v/>
      </c>
      <c r="Z425" s="112">
        <v>1</v>
      </c>
      <c r="AC425" s="111">
        <f>IF(J425="","",VLOOKUP(F426,[1]dim!$A:$F,6,FALSE))</f>
        <v>0.3</v>
      </c>
      <c r="AD425" s="111">
        <f>IF(J425="","",VLOOKUP(F426,[1]dim!$A:$G,7,FALSE))</f>
        <v>0.21672942090731576</v>
      </c>
      <c r="AF425">
        <v>0.3</v>
      </c>
      <c r="AG425">
        <v>0.21672942090731576</v>
      </c>
    </row>
    <row r="426" spans="1:33">
      <c r="A426" s="27"/>
      <c r="B426" s="129"/>
      <c r="C426" s="131"/>
      <c r="D426" s="131"/>
      <c r="E426" s="34" t="s">
        <v>228</v>
      </c>
      <c r="F426" s="6" t="s">
        <v>768</v>
      </c>
      <c r="G426" s="13">
        <v>25.123000000000005</v>
      </c>
      <c r="H426" s="13" t="s">
        <v>769</v>
      </c>
      <c r="I426" s="115"/>
      <c r="J426" s="113"/>
      <c r="K426" s="113"/>
      <c r="L426" s="113"/>
      <c r="M426" s="113"/>
      <c r="N426" s="113"/>
      <c r="O426" s="115"/>
      <c r="P426" s="117"/>
      <c r="Q426" s="90"/>
      <c r="U426" s="87"/>
      <c r="Y426" s="113"/>
      <c r="Z426" s="113"/>
      <c r="AC426" s="111"/>
      <c r="AD426" s="111"/>
    </row>
    <row r="427" spans="1:33">
      <c r="A427" s="27" t="s">
        <v>976</v>
      </c>
      <c r="B427" s="132" t="s">
        <v>770</v>
      </c>
      <c r="C427" s="114" t="s">
        <v>771</v>
      </c>
      <c r="D427" s="136" t="s">
        <v>301</v>
      </c>
      <c r="E427" s="34" t="s">
        <v>227</v>
      </c>
      <c r="F427" s="6" t="s">
        <v>41</v>
      </c>
      <c r="G427" s="13">
        <v>25.081750000000003</v>
      </c>
      <c r="H427" s="13" t="s">
        <v>333</v>
      </c>
      <c r="I427" s="114"/>
      <c r="J427" s="112"/>
      <c r="K427" s="112"/>
      <c r="L427" s="112"/>
      <c r="M427" s="112" t="s">
        <v>302</v>
      </c>
      <c r="N427" s="112"/>
      <c r="O427" s="114"/>
      <c r="P427" s="116"/>
      <c r="Q427" s="90"/>
      <c r="U427" s="87"/>
      <c r="Y427" s="112" t="str">
        <f>IF(V427="","",
IF(AND(V427&gt;=$V$12,V427&lt;$V$13),$V$12,
IF(AND(V427&gt;=$V$13,V427&lt;$V$14),$V$13,
IF(AND(V427&gt;=$V$14,V427&lt;$V$15),$V$14,
IF(AND(V427&gt;=$V$15,V427&lt;$V$16),$V$15,
IF(AND(V427&gt;=$V$16,V427&lt;$V$17),$V$16,""))))))</f>
        <v/>
      </c>
      <c r="Z427" s="112"/>
      <c r="AC427" s="111" t="str">
        <f>IF(J427="","",VLOOKUP(F428,[1]dim!$A:$F,6,FALSE))</f>
        <v/>
      </c>
      <c r="AD427" s="111" t="str">
        <f>IF(J427="","",VLOOKUP(F428,[1]dim!$A:$G,7,FALSE))</f>
        <v/>
      </c>
      <c r="AF427" t="s">
        <v>302</v>
      </c>
      <c r="AG427" t="s">
        <v>302</v>
      </c>
    </row>
    <row r="428" spans="1:33">
      <c r="A428" s="27"/>
      <c r="B428" s="133"/>
      <c r="C428" s="115"/>
      <c r="D428" s="137"/>
      <c r="E428" s="34" t="s">
        <v>228</v>
      </c>
      <c r="F428" s="6"/>
      <c r="G428" s="13"/>
      <c r="H428" s="102" t="s">
        <v>303</v>
      </c>
      <c r="I428" s="115"/>
      <c r="J428" s="113"/>
      <c r="K428" s="113"/>
      <c r="L428" s="113"/>
      <c r="M428" s="113"/>
      <c r="N428" s="113"/>
      <c r="O428" s="115"/>
      <c r="P428" s="117"/>
      <c r="Q428" s="90"/>
      <c r="U428" s="87"/>
      <c r="Y428" s="113"/>
      <c r="Z428" s="113"/>
      <c r="AC428" s="111"/>
      <c r="AD428" s="111"/>
    </row>
    <row r="429" spans="1:33">
      <c r="A429" s="27" t="s">
        <v>976</v>
      </c>
      <c r="B429" s="132" t="s">
        <v>770</v>
      </c>
      <c r="C429" s="114" t="s">
        <v>771</v>
      </c>
      <c r="D429" s="136" t="s">
        <v>301</v>
      </c>
      <c r="E429" s="34" t="s">
        <v>227</v>
      </c>
      <c r="F429" s="6" t="s">
        <v>41</v>
      </c>
      <c r="G429" s="13">
        <v>25.081750000000003</v>
      </c>
      <c r="H429" s="13" t="s">
        <v>333</v>
      </c>
      <c r="I429" s="114"/>
      <c r="J429" s="112"/>
      <c r="K429" s="112"/>
      <c r="L429" s="112"/>
      <c r="M429" s="112" t="s">
        <v>302</v>
      </c>
      <c r="N429" s="112"/>
      <c r="O429" s="114"/>
      <c r="P429" s="116"/>
      <c r="Q429" s="90"/>
      <c r="U429" s="87"/>
      <c r="Y429" s="112" t="str">
        <f>IF(V429="","",
IF(AND(V429&gt;=$V$12,V429&lt;$V$13),$V$12,
IF(AND(V429&gt;=$V$13,V429&lt;$V$14),$V$13,
IF(AND(V429&gt;=$V$14,V429&lt;$V$15),$V$14,
IF(AND(V429&gt;=$V$15,V429&lt;$V$16),$V$15,
IF(AND(V429&gt;=$V$16,V429&lt;$V$17),$V$16,""))))))</f>
        <v/>
      </c>
      <c r="Z429" s="112"/>
      <c r="AC429" s="111" t="str">
        <f>IF(J429="","",VLOOKUP(F430,[1]dim!$A:$F,6,FALSE))</f>
        <v/>
      </c>
      <c r="AD429" s="111" t="str">
        <f>IF(J429="","",VLOOKUP(F430,[1]dim!$A:$G,7,FALSE))</f>
        <v/>
      </c>
      <c r="AF429" t="s">
        <v>302</v>
      </c>
      <c r="AG429" t="s">
        <v>302</v>
      </c>
    </row>
    <row r="430" spans="1:33">
      <c r="A430" s="27"/>
      <c r="B430" s="133"/>
      <c r="C430" s="115"/>
      <c r="D430" s="137"/>
      <c r="E430" s="34" t="s">
        <v>228</v>
      </c>
      <c r="F430" s="6"/>
      <c r="G430" s="13"/>
      <c r="H430" s="102" t="s">
        <v>303</v>
      </c>
      <c r="I430" s="115"/>
      <c r="J430" s="113"/>
      <c r="K430" s="113"/>
      <c r="L430" s="113"/>
      <c r="M430" s="113"/>
      <c r="N430" s="113"/>
      <c r="O430" s="115"/>
      <c r="P430" s="117"/>
      <c r="Q430" s="90"/>
      <c r="U430" s="87"/>
      <c r="Y430" s="113"/>
      <c r="Z430" s="113"/>
      <c r="AC430" s="111"/>
      <c r="AD430" s="111"/>
    </row>
    <row r="431" spans="1:33">
      <c r="A431" s="27" t="s">
        <v>977</v>
      </c>
      <c r="B431" s="129" t="s">
        <v>772</v>
      </c>
      <c r="C431" s="131" t="s">
        <v>38</v>
      </c>
      <c r="D431" s="131" t="s">
        <v>40</v>
      </c>
      <c r="E431" s="34" t="s">
        <v>227</v>
      </c>
      <c r="F431" s="6" t="s">
        <v>36</v>
      </c>
      <c r="G431" s="13">
        <v>25.127910648303406</v>
      </c>
      <c r="H431" s="13" t="s">
        <v>329</v>
      </c>
      <c r="I431" s="114" t="s">
        <v>773</v>
      </c>
      <c r="J431" s="112">
        <v>0.3</v>
      </c>
      <c r="K431" s="112">
        <v>0.29816064830340139</v>
      </c>
      <c r="L431" s="112">
        <v>0.26341630033628172</v>
      </c>
      <c r="M431" s="112">
        <v>0.3</v>
      </c>
      <c r="N431" s="112">
        <v>1</v>
      </c>
      <c r="O431" s="114" t="s">
        <v>312</v>
      </c>
      <c r="P431" s="116" t="s">
        <v>312</v>
      </c>
      <c r="Q431" s="90"/>
      <c r="U431" s="87"/>
      <c r="Y431" s="112" t="str">
        <f>IF(V431="","",
IF(AND(V431&gt;=$V$12,V431&lt;$V$13),$V$12,
IF(AND(V431&gt;=$V$13,V431&lt;$V$14),$V$13,
IF(AND(V431&gt;=$V$14,V431&lt;$V$15),$V$14,
IF(AND(V431&gt;=$V$15,V431&lt;$V$16),$V$15,
IF(AND(V431&gt;=$V$16,V431&lt;$V$17),$V$16,""))))))</f>
        <v/>
      </c>
      <c r="Z431" s="112">
        <v>1</v>
      </c>
      <c r="AC431" s="111">
        <f>IF(J431="","",VLOOKUP(F432,[1]dim!$A:$F,6,FALSE))</f>
        <v>0.3</v>
      </c>
      <c r="AD431" s="111">
        <f>IF(J431="","",VLOOKUP(F432,[1]dim!$A:$G,7,FALSE))</f>
        <v>0.23577879795157511</v>
      </c>
      <c r="AF431">
        <v>0.3</v>
      </c>
      <c r="AG431">
        <v>0.23577879795157511</v>
      </c>
    </row>
    <row r="432" spans="1:33">
      <c r="A432" s="27"/>
      <c r="B432" s="129"/>
      <c r="C432" s="131"/>
      <c r="D432" s="131"/>
      <c r="E432" s="34" t="s">
        <v>228</v>
      </c>
      <c r="F432" s="6" t="s">
        <v>774</v>
      </c>
      <c r="G432" s="13">
        <v>24.829750000000004</v>
      </c>
      <c r="H432" s="13" t="s">
        <v>775</v>
      </c>
      <c r="I432" s="115"/>
      <c r="J432" s="113"/>
      <c r="K432" s="113"/>
      <c r="L432" s="113"/>
      <c r="M432" s="113"/>
      <c r="N432" s="113"/>
      <c r="O432" s="115"/>
      <c r="P432" s="117"/>
      <c r="Q432" s="90"/>
      <c r="U432" s="87"/>
      <c r="Y432" s="113"/>
      <c r="Z432" s="113"/>
      <c r="AC432" s="111"/>
      <c r="AD432" s="111"/>
    </row>
    <row r="433" spans="1:33">
      <c r="A433" s="27" t="s">
        <v>978</v>
      </c>
      <c r="B433" s="129" t="s">
        <v>772</v>
      </c>
      <c r="C433" s="131" t="s">
        <v>38</v>
      </c>
      <c r="D433" s="131" t="s">
        <v>40</v>
      </c>
      <c r="E433" s="34" t="s">
        <v>227</v>
      </c>
      <c r="F433" s="6" t="s">
        <v>36</v>
      </c>
      <c r="G433" s="13">
        <v>25.127910648303406</v>
      </c>
      <c r="H433" s="13" t="s">
        <v>329</v>
      </c>
      <c r="I433" s="114" t="s">
        <v>776</v>
      </c>
      <c r="J433" s="112">
        <v>0.3</v>
      </c>
      <c r="K433" s="112">
        <v>0.75816064830340224</v>
      </c>
      <c r="L433" s="112">
        <v>0.26911640514442919</v>
      </c>
      <c r="M433" s="112">
        <v>0.3</v>
      </c>
      <c r="N433" s="112">
        <v>1</v>
      </c>
      <c r="O433" s="114" t="s">
        <v>312</v>
      </c>
      <c r="P433" s="116" t="s">
        <v>312</v>
      </c>
      <c r="Q433" s="90"/>
      <c r="U433" s="87"/>
      <c r="Y433" s="112" t="str">
        <f>IF(V433="","",
IF(AND(V433&gt;=$V$12,V433&lt;$V$13),$V$12,
IF(AND(V433&gt;=$V$13,V433&lt;$V$14),$V$13,
IF(AND(V433&gt;=$V$14,V433&lt;$V$15),$V$14,
IF(AND(V433&gt;=$V$15,V433&lt;$V$16),$V$15,
IF(AND(V433&gt;=$V$16,V433&lt;$V$17),$V$16,""))))))</f>
        <v/>
      </c>
      <c r="Z433" s="112">
        <v>1</v>
      </c>
      <c r="AC433" s="111">
        <f>IF(J433="","",VLOOKUP(F434,[1]dim!$A:$F,6,FALSE))</f>
        <v>0.3</v>
      </c>
      <c r="AD433" s="111">
        <f>IF(J433="","",VLOOKUP(F434,[1]dim!$A:$G,7,FALSE))</f>
        <v>0.22961637840568802</v>
      </c>
      <c r="AF433">
        <v>0.3</v>
      </c>
      <c r="AG433">
        <v>0.22961637840568802</v>
      </c>
    </row>
    <row r="434" spans="1:33">
      <c r="A434" s="27"/>
      <c r="B434" s="129"/>
      <c r="C434" s="131"/>
      <c r="D434" s="131"/>
      <c r="E434" s="34" t="s">
        <v>228</v>
      </c>
      <c r="F434" s="6" t="s">
        <v>777</v>
      </c>
      <c r="G434" s="13">
        <v>24.369750000000003</v>
      </c>
      <c r="H434" s="13" t="s">
        <v>778</v>
      </c>
      <c r="I434" s="115"/>
      <c r="J434" s="113"/>
      <c r="K434" s="113"/>
      <c r="L434" s="113"/>
      <c r="M434" s="113"/>
      <c r="N434" s="113"/>
      <c r="O434" s="115"/>
      <c r="P434" s="117"/>
      <c r="Q434" s="90"/>
      <c r="U434" s="87"/>
      <c r="Y434" s="113"/>
      <c r="Z434" s="113"/>
      <c r="AC434" s="111"/>
      <c r="AD434" s="111"/>
    </row>
    <row r="435" spans="1:33">
      <c r="A435" s="27" t="s">
        <v>979</v>
      </c>
      <c r="B435" s="132" t="s">
        <v>779</v>
      </c>
      <c r="C435" s="114" t="s">
        <v>780</v>
      </c>
      <c r="D435" s="136" t="s">
        <v>301</v>
      </c>
      <c r="E435" s="34" t="s">
        <v>227</v>
      </c>
      <c r="F435" s="6" t="s">
        <v>39</v>
      </c>
      <c r="G435" s="13">
        <v>24.704075848303404</v>
      </c>
      <c r="H435" s="13" t="s">
        <v>331</v>
      </c>
      <c r="I435" s="114"/>
      <c r="J435" s="112"/>
      <c r="K435" s="112"/>
      <c r="L435" s="112"/>
      <c r="M435" s="112" t="s">
        <v>302</v>
      </c>
      <c r="N435" s="112"/>
      <c r="O435" s="114"/>
      <c r="P435" s="116"/>
      <c r="Q435" s="90"/>
      <c r="U435" s="87"/>
      <c r="Y435" s="112" t="str">
        <f>IF(V435="","",
IF(AND(V435&gt;=$V$12,V435&lt;$V$13),$V$12,
IF(AND(V435&gt;=$V$13,V435&lt;$V$14),$V$13,
IF(AND(V435&gt;=$V$14,V435&lt;$V$15),$V$14,
IF(AND(V435&gt;=$V$15,V435&lt;$V$16),$V$15,
IF(AND(V435&gt;=$V$16,V435&lt;$V$17),$V$16,""))))))</f>
        <v/>
      </c>
      <c r="Z435" s="112"/>
      <c r="AC435" s="111" t="str">
        <f>IF(J435="","",VLOOKUP(F436,[1]dim!$A:$F,6,FALSE))</f>
        <v/>
      </c>
      <c r="AD435" s="111" t="str">
        <f>IF(J435="","",VLOOKUP(F436,[1]dim!$A:$G,7,FALSE))</f>
        <v/>
      </c>
      <c r="AF435" t="s">
        <v>302</v>
      </c>
      <c r="AG435" t="s">
        <v>302</v>
      </c>
    </row>
    <row r="436" spans="1:33">
      <c r="A436" s="27"/>
      <c r="B436" s="133"/>
      <c r="C436" s="115"/>
      <c r="D436" s="137"/>
      <c r="E436" s="34" t="s">
        <v>228</v>
      </c>
      <c r="F436" s="6"/>
      <c r="G436" s="13"/>
      <c r="H436" s="102" t="s">
        <v>303</v>
      </c>
      <c r="I436" s="115"/>
      <c r="J436" s="113"/>
      <c r="K436" s="113"/>
      <c r="L436" s="113"/>
      <c r="M436" s="113"/>
      <c r="N436" s="113"/>
      <c r="O436" s="115"/>
      <c r="P436" s="117"/>
      <c r="Q436" s="90"/>
      <c r="U436" s="87"/>
      <c r="Y436" s="113"/>
      <c r="Z436" s="113"/>
      <c r="AC436" s="111"/>
      <c r="AD436" s="111"/>
    </row>
    <row r="437" spans="1:33">
      <c r="A437" s="27"/>
      <c r="B437" s="138" t="s">
        <v>269</v>
      </c>
      <c r="C437" s="140"/>
      <c r="D437" s="140"/>
      <c r="E437" s="32"/>
      <c r="F437" s="19"/>
      <c r="G437" s="20"/>
      <c r="H437" s="20"/>
      <c r="I437" s="140" t="s">
        <v>302</v>
      </c>
      <c r="J437" s="119"/>
      <c r="K437" s="119"/>
      <c r="L437" s="119"/>
      <c r="M437" s="119" t="s">
        <v>302</v>
      </c>
      <c r="N437" s="119"/>
      <c r="O437" s="140"/>
      <c r="P437" s="150"/>
      <c r="Q437" s="90"/>
      <c r="U437" s="87"/>
      <c r="Y437" s="119" t="str">
        <f>IF(V437="","",
IF(AND(V437&gt;=$V$12,V437&lt;$V$13),$V$12,
IF(AND(V437&gt;=$V$13,V437&lt;$V$14),$V$13,
IF(AND(V437&gt;=$V$14,V437&lt;$V$15),$V$14,
IF(AND(V437&gt;=$V$15,V437&lt;$V$16),$V$15,
IF(AND(V437&gt;=$V$16,V437&lt;$V$17),$V$16,""))))))</f>
        <v/>
      </c>
      <c r="Z437" s="119"/>
      <c r="AC437" s="111" t="str">
        <f>IF(J437="","",VLOOKUP(F438,[1]dim!$A:$F,6,FALSE))</f>
        <v/>
      </c>
      <c r="AD437" s="111" t="str">
        <f>IF(J437="","",VLOOKUP(F438,[1]dim!$A:$G,7,FALSE))</f>
        <v/>
      </c>
      <c r="AF437" t="s">
        <v>302</v>
      </c>
      <c r="AG437" t="s">
        <v>302</v>
      </c>
    </row>
    <row r="438" spans="1:33">
      <c r="A438" s="27"/>
      <c r="B438" s="139"/>
      <c r="C438" s="141"/>
      <c r="D438" s="141"/>
      <c r="E438" s="33"/>
      <c r="F438" s="21"/>
      <c r="G438" s="22"/>
      <c r="H438" s="22"/>
      <c r="I438" s="141"/>
      <c r="J438" s="120"/>
      <c r="K438" s="120"/>
      <c r="L438" s="120"/>
      <c r="M438" s="120"/>
      <c r="N438" s="120"/>
      <c r="O438" s="141"/>
      <c r="P438" s="151"/>
      <c r="Q438" s="90"/>
      <c r="U438" s="87"/>
      <c r="Y438" s="120"/>
      <c r="Z438" s="120"/>
      <c r="AC438" s="111"/>
      <c r="AD438" s="111"/>
    </row>
    <row r="439" spans="1:33">
      <c r="A439" s="27" t="s">
        <v>980</v>
      </c>
      <c r="B439" s="132" t="s">
        <v>781</v>
      </c>
      <c r="C439" s="114" t="s">
        <v>782</v>
      </c>
      <c r="D439" s="136" t="s">
        <v>301</v>
      </c>
      <c r="E439" s="34" t="s">
        <v>227</v>
      </c>
      <c r="F439" s="6" t="s">
        <v>198</v>
      </c>
      <c r="G439" s="13">
        <v>22.912763797838327</v>
      </c>
      <c r="H439" s="13" t="s">
        <v>452</v>
      </c>
      <c r="I439" s="114"/>
      <c r="J439" s="112"/>
      <c r="K439" s="112"/>
      <c r="L439" s="112"/>
      <c r="M439" s="112" t="s">
        <v>302</v>
      </c>
      <c r="N439" s="112"/>
      <c r="O439" s="114"/>
      <c r="P439" s="116"/>
      <c r="Q439" s="90"/>
      <c r="U439" s="87"/>
      <c r="Y439" s="112" t="str">
        <f>IF(V439="","",
IF(AND(V439&gt;=$V$12,V439&lt;$V$13),$V$12,
IF(AND(V439&gt;=$V$13,V439&lt;$V$14),$V$13,
IF(AND(V439&gt;=$V$14,V439&lt;$V$15),$V$14,
IF(AND(V439&gt;=$V$15,V439&lt;$V$16),$V$15,
IF(AND(V439&gt;=$V$16,V439&lt;$V$17),$V$16,""))))))</f>
        <v/>
      </c>
      <c r="Z439" s="112"/>
      <c r="AC439" s="111" t="str">
        <f>IF(J439="","",VLOOKUP(F440,[1]dim!$A:$F,6,FALSE))</f>
        <v/>
      </c>
      <c r="AD439" s="111" t="str">
        <f>IF(J439="","",VLOOKUP(F440,[1]dim!$A:$G,7,FALSE))</f>
        <v/>
      </c>
      <c r="AF439" t="s">
        <v>302</v>
      </c>
      <c r="AG439" t="s">
        <v>302</v>
      </c>
    </row>
    <row r="440" spans="1:33">
      <c r="A440" s="27"/>
      <c r="B440" s="133"/>
      <c r="C440" s="115"/>
      <c r="D440" s="137"/>
      <c r="E440" s="34" t="s">
        <v>228</v>
      </c>
      <c r="F440" s="6"/>
      <c r="G440" s="13"/>
      <c r="H440" s="102" t="s">
        <v>303</v>
      </c>
      <c r="I440" s="115"/>
      <c r="J440" s="113"/>
      <c r="K440" s="113"/>
      <c r="L440" s="113"/>
      <c r="M440" s="113"/>
      <c r="N440" s="113"/>
      <c r="O440" s="115"/>
      <c r="P440" s="117"/>
      <c r="Q440" s="90"/>
      <c r="U440" s="87"/>
      <c r="Y440" s="113"/>
      <c r="Z440" s="113"/>
      <c r="AC440" s="111"/>
      <c r="AD440" s="111"/>
    </row>
    <row r="441" spans="1:33">
      <c r="A441" s="27" t="s">
        <v>981</v>
      </c>
      <c r="B441" s="129" t="s">
        <v>783</v>
      </c>
      <c r="C441" s="131" t="s">
        <v>165</v>
      </c>
      <c r="D441" s="131" t="s">
        <v>40</v>
      </c>
      <c r="E441" s="34" t="s">
        <v>227</v>
      </c>
      <c r="F441" s="6" t="s">
        <v>163</v>
      </c>
      <c r="G441" s="13">
        <v>25.049774600000024</v>
      </c>
      <c r="H441" s="13" t="s">
        <v>429</v>
      </c>
      <c r="I441" s="114" t="s">
        <v>784</v>
      </c>
      <c r="J441" s="112">
        <v>0.5</v>
      </c>
      <c r="K441" s="112">
        <v>1.4232746000000063</v>
      </c>
      <c r="L441" s="112">
        <v>0.79437902149414086</v>
      </c>
      <c r="M441" s="112">
        <v>0.4</v>
      </c>
      <c r="N441" s="112">
        <v>1</v>
      </c>
      <c r="O441" s="114" t="s">
        <v>312</v>
      </c>
      <c r="P441" s="116" t="s">
        <v>312</v>
      </c>
      <c r="Q441" s="90"/>
      <c r="U441" s="87"/>
      <c r="Y441" s="112" t="str">
        <f>IF(V441="","",
IF(AND(V441&gt;=$V$12,V441&lt;$V$13),$V$12,
IF(AND(V441&gt;=$V$13,V441&lt;$V$14),$V$13,
IF(AND(V441&gt;=$V$14,V441&lt;$V$15),$V$14,
IF(AND(V441&gt;=$V$15,V441&lt;$V$16),$V$15,
IF(AND(V441&gt;=$V$16,V441&lt;$V$17),$V$16,""))))))</f>
        <v/>
      </c>
      <c r="Z441" s="112">
        <v>1</v>
      </c>
      <c r="AC441" s="111">
        <f>IF(J441="","",VLOOKUP(F442,[1]dim!$A:$F,6,FALSE))</f>
        <v>0.5</v>
      </c>
      <c r="AD441" s="111">
        <f>IF(J441="","",VLOOKUP(F442,[1]dim!$A:$G,7,FALSE))</f>
        <v>0.45479845835698796</v>
      </c>
      <c r="AF441">
        <v>0.5</v>
      </c>
      <c r="AG441">
        <v>0.45479845835698796</v>
      </c>
    </row>
    <row r="442" spans="1:33">
      <c r="A442" s="27"/>
      <c r="B442" s="129"/>
      <c r="C442" s="131"/>
      <c r="D442" s="131"/>
      <c r="E442" s="34" t="s">
        <v>228</v>
      </c>
      <c r="F442" s="6" t="s">
        <v>785</v>
      </c>
      <c r="G442" s="13">
        <v>23.626500000000018</v>
      </c>
      <c r="H442" s="13" t="s">
        <v>786</v>
      </c>
      <c r="I442" s="115"/>
      <c r="J442" s="113"/>
      <c r="K442" s="113"/>
      <c r="L442" s="113"/>
      <c r="M442" s="113"/>
      <c r="N442" s="113"/>
      <c r="O442" s="115"/>
      <c r="P442" s="117"/>
      <c r="Q442" s="90"/>
      <c r="U442" s="87"/>
      <c r="Y442" s="113"/>
      <c r="Z442" s="113"/>
      <c r="AC442" s="111"/>
      <c r="AD442" s="111"/>
    </row>
    <row r="443" spans="1:33">
      <c r="A443" s="27" t="s">
        <v>982</v>
      </c>
      <c r="B443" s="129" t="s">
        <v>787</v>
      </c>
      <c r="C443" s="131" t="s">
        <v>168</v>
      </c>
      <c r="D443" s="131" t="s">
        <v>40</v>
      </c>
      <c r="E443" s="34" t="s">
        <v>227</v>
      </c>
      <c r="F443" s="6" t="s">
        <v>166</v>
      </c>
      <c r="G443" s="13">
        <v>24.717745000000022</v>
      </c>
      <c r="H443" s="13" t="s">
        <v>431</v>
      </c>
      <c r="I443" s="114" t="s">
        <v>788</v>
      </c>
      <c r="J443" s="112">
        <v>0.35</v>
      </c>
      <c r="K443" s="112">
        <v>0.70999500000001348</v>
      </c>
      <c r="L443" s="112">
        <v>0.43602090452037789</v>
      </c>
      <c r="M443" s="112">
        <v>0.3</v>
      </c>
      <c r="N443" s="112">
        <v>1</v>
      </c>
      <c r="O443" s="114" t="s">
        <v>312</v>
      </c>
      <c r="P443" s="116" t="s">
        <v>312</v>
      </c>
      <c r="Q443" s="91">
        <v>0.7</v>
      </c>
      <c r="U443" s="87"/>
      <c r="Y443" s="112" t="str">
        <f>IF(V443="","",
IF(AND(V443&gt;=$V$12,V443&lt;$V$13),$V$12,
IF(AND(V443&gt;=$V$13,V443&lt;$V$14),$V$13,
IF(AND(V443&gt;=$V$14,V443&lt;$V$15),$V$14,
IF(AND(V443&gt;=$V$15,V443&lt;$V$16),$V$15,
IF(AND(V443&gt;=$V$16,V443&lt;$V$17),$V$16,""))))))</f>
        <v/>
      </c>
      <c r="Z443" s="112">
        <v>1</v>
      </c>
      <c r="AC443" s="111">
        <f>IF(J443="","",VLOOKUP(F444,[1]dim!$A:$F,6,FALSE))</f>
        <v>0.35</v>
      </c>
      <c r="AD443" s="111">
        <f>IF(J443="","",VLOOKUP(F444,[1]dim!$A:$G,7,FALSE))</f>
        <v>0.30535674927654982</v>
      </c>
      <c r="AF443">
        <v>0.35</v>
      </c>
      <c r="AG443">
        <v>0.30535674927654982</v>
      </c>
    </row>
    <row r="444" spans="1:33">
      <c r="A444" s="27"/>
      <c r="B444" s="129"/>
      <c r="C444" s="131"/>
      <c r="D444" s="131"/>
      <c r="E444" s="34" t="s">
        <v>228</v>
      </c>
      <c r="F444" s="6" t="s">
        <v>789</v>
      </c>
      <c r="G444" s="13">
        <v>24.007750000000009</v>
      </c>
      <c r="H444" s="13" t="s">
        <v>790</v>
      </c>
      <c r="I444" s="115"/>
      <c r="J444" s="113"/>
      <c r="K444" s="113"/>
      <c r="L444" s="113"/>
      <c r="M444" s="113"/>
      <c r="N444" s="113"/>
      <c r="O444" s="115"/>
      <c r="P444" s="117"/>
      <c r="Q444" s="90" t="s">
        <v>300</v>
      </c>
      <c r="U444" s="87"/>
      <c r="Y444" s="113"/>
      <c r="Z444" s="113"/>
      <c r="AC444" s="111"/>
      <c r="AD444" s="111"/>
    </row>
    <row r="445" spans="1:33">
      <c r="A445" s="27" t="s">
        <v>983</v>
      </c>
      <c r="B445" s="129" t="s">
        <v>791</v>
      </c>
      <c r="C445" s="131" t="s">
        <v>122</v>
      </c>
      <c r="D445" s="131" t="s">
        <v>40</v>
      </c>
      <c r="E445" s="34" t="s">
        <v>227</v>
      </c>
      <c r="F445" s="6" t="s">
        <v>169</v>
      </c>
      <c r="G445" s="13">
        <v>24.636457000000021</v>
      </c>
      <c r="H445" s="13" t="s">
        <v>396</v>
      </c>
      <c r="I445" s="114" t="s">
        <v>792</v>
      </c>
      <c r="J445" s="112">
        <v>0.55000000000000004</v>
      </c>
      <c r="K445" s="112">
        <v>0.32495700000000483</v>
      </c>
      <c r="L445" s="112">
        <v>0.22595575290031703</v>
      </c>
      <c r="M445" s="112">
        <v>0.4</v>
      </c>
      <c r="N445" s="112">
        <v>1</v>
      </c>
      <c r="O445" s="114" t="s">
        <v>312</v>
      </c>
      <c r="P445" s="116" t="s">
        <v>312</v>
      </c>
      <c r="Q445" s="90"/>
      <c r="U445" s="87"/>
      <c r="Y445" s="112" t="str">
        <f>IF(V445="","",
IF(AND(V445&gt;=$V$12,V445&lt;$V$13),$V$12,
IF(AND(V445&gt;=$V$13,V445&lt;$V$14),$V$13,
IF(AND(V445&gt;=$V$14,V445&lt;$V$15),$V$14,
IF(AND(V445&gt;=$V$15,V445&lt;$V$16),$V$15,
IF(AND(V445&gt;=$V$16,V445&lt;$V$17),$V$16,""))))))</f>
        <v/>
      </c>
      <c r="Z445" s="112">
        <v>1</v>
      </c>
      <c r="AC445" s="111">
        <f>IF(J445="","",VLOOKUP(F446,[1]dim!$A:$F,6,FALSE))</f>
        <v>0.55000000000000004</v>
      </c>
      <c r="AD445" s="111">
        <f>IF(J445="","",VLOOKUP(F446,[1]dim!$A:$G,7,FALSE))</f>
        <v>0.49631346739616672</v>
      </c>
      <c r="AF445">
        <v>0.55000000000000004</v>
      </c>
      <c r="AG445">
        <v>0.49631346739616672</v>
      </c>
    </row>
    <row r="446" spans="1:33">
      <c r="A446" s="27"/>
      <c r="B446" s="129"/>
      <c r="C446" s="131"/>
      <c r="D446" s="131"/>
      <c r="E446" s="34" t="s">
        <v>228</v>
      </c>
      <c r="F446" s="6" t="s">
        <v>793</v>
      </c>
      <c r="G446" s="13">
        <v>24.311500000000017</v>
      </c>
      <c r="H446" s="13" t="s">
        <v>794</v>
      </c>
      <c r="I446" s="115"/>
      <c r="J446" s="113"/>
      <c r="K446" s="113"/>
      <c r="L446" s="113"/>
      <c r="M446" s="113"/>
      <c r="N446" s="113"/>
      <c r="O446" s="115"/>
      <c r="P446" s="117"/>
      <c r="Q446" s="90"/>
      <c r="U446" s="87"/>
      <c r="Y446" s="113"/>
      <c r="Z446" s="113"/>
      <c r="AC446" s="111"/>
      <c r="AD446" s="111"/>
    </row>
    <row r="447" spans="1:33">
      <c r="A447" s="27" t="s">
        <v>984</v>
      </c>
      <c r="B447" s="129" t="s">
        <v>791</v>
      </c>
      <c r="C447" s="131" t="s">
        <v>122</v>
      </c>
      <c r="D447" s="131" t="s">
        <v>40</v>
      </c>
      <c r="E447" s="34" t="s">
        <v>227</v>
      </c>
      <c r="F447" s="6" t="s">
        <v>169</v>
      </c>
      <c r="G447" s="13">
        <v>24.636457000000021</v>
      </c>
      <c r="H447" s="13" t="s">
        <v>396</v>
      </c>
      <c r="I447" s="114" t="s">
        <v>795</v>
      </c>
      <c r="J447" s="112">
        <v>0.4</v>
      </c>
      <c r="K447" s="112">
        <v>0.89751827373707727</v>
      </c>
      <c r="L447" s="112">
        <v>0.23638883877268188</v>
      </c>
      <c r="M447" s="112">
        <v>0.4</v>
      </c>
      <c r="N447" s="112">
        <v>1</v>
      </c>
      <c r="O447" s="114" t="s">
        <v>312</v>
      </c>
      <c r="P447" s="116" t="s">
        <v>312</v>
      </c>
      <c r="Q447" s="90"/>
      <c r="U447" s="87"/>
      <c r="Y447" s="112" t="str">
        <f>IF(V447="","",
IF(AND(V447&gt;=$V$12,V447&lt;$V$13),$V$12,
IF(AND(V447&gt;=$V$13,V447&lt;$V$14),$V$13,
IF(AND(V447&gt;=$V$14,V447&lt;$V$15),$V$14,
IF(AND(V447&gt;=$V$15,V447&lt;$V$16),$V$15,
IF(AND(V447&gt;=$V$16,V447&lt;$V$17),$V$16,""))))))</f>
        <v/>
      </c>
      <c r="Z447" s="112">
        <v>1</v>
      </c>
      <c r="AC447" s="111">
        <f>IF(J447="","",VLOOKUP(F448,[1]dim!$A:$F,6,FALSE))</f>
        <v>0.4</v>
      </c>
      <c r="AD447" s="111">
        <f>IF(J447="","",VLOOKUP(F448,[1]dim!$A:$G,7,FALSE))</f>
        <v>0.37529478056574195</v>
      </c>
      <c r="AF447">
        <v>0.4</v>
      </c>
      <c r="AG447">
        <v>0.37529478056574195</v>
      </c>
    </row>
    <row r="448" spans="1:33">
      <c r="A448" s="27"/>
      <c r="B448" s="129"/>
      <c r="C448" s="131"/>
      <c r="D448" s="131"/>
      <c r="E448" s="34" t="s">
        <v>228</v>
      </c>
      <c r="F448" s="6" t="s">
        <v>796</v>
      </c>
      <c r="G448" s="13">
        <v>23.738938726262944</v>
      </c>
      <c r="H448" s="13" t="s">
        <v>797</v>
      </c>
      <c r="I448" s="115"/>
      <c r="J448" s="113"/>
      <c r="K448" s="113"/>
      <c r="L448" s="113"/>
      <c r="M448" s="113"/>
      <c r="N448" s="113"/>
      <c r="O448" s="115"/>
      <c r="P448" s="117"/>
      <c r="Q448" s="90"/>
      <c r="U448" s="87"/>
      <c r="Y448" s="113"/>
      <c r="Z448" s="113"/>
      <c r="AC448" s="111"/>
      <c r="AD448" s="111"/>
    </row>
    <row r="449" spans="1:33">
      <c r="A449" s="27" t="s">
        <v>985</v>
      </c>
      <c r="B449" s="129" t="s">
        <v>798</v>
      </c>
      <c r="C449" s="131" t="s">
        <v>172</v>
      </c>
      <c r="D449" s="131" t="s">
        <v>40</v>
      </c>
      <c r="E449" s="34" t="s">
        <v>227</v>
      </c>
      <c r="F449" s="6" t="s">
        <v>170</v>
      </c>
      <c r="G449" s="13">
        <v>24.209207000000017</v>
      </c>
      <c r="H449" s="13" t="s">
        <v>433</v>
      </c>
      <c r="I449" s="114" t="s">
        <v>799</v>
      </c>
      <c r="J449" s="112">
        <v>0.3</v>
      </c>
      <c r="K449" s="112">
        <v>1.915398692823338</v>
      </c>
      <c r="L449" s="112">
        <v>0.64663127585076086</v>
      </c>
      <c r="M449" s="112">
        <v>0.3</v>
      </c>
      <c r="N449" s="112">
        <v>1</v>
      </c>
      <c r="O449" s="114" t="s">
        <v>312</v>
      </c>
      <c r="P449" s="116" t="s">
        <v>312</v>
      </c>
      <c r="Q449" s="90"/>
      <c r="U449" s="87"/>
      <c r="Y449" s="112" t="str">
        <f>IF(V449="","",
IF(AND(V449&gt;=$V$12,V449&lt;$V$13),$V$12,
IF(AND(V449&gt;=$V$13,V449&lt;$V$14),$V$13,
IF(AND(V449&gt;=$V$14,V449&lt;$V$15),$V$14,
IF(AND(V449&gt;=$V$15,V449&lt;$V$16),$V$15,
IF(AND(V449&gt;=$V$16,V449&lt;$V$17),$V$16,""))))))</f>
        <v/>
      </c>
      <c r="Z449" s="112">
        <v>1</v>
      </c>
      <c r="AC449" s="111">
        <f>IF(J449="","",VLOOKUP(F450,[1]dim!$A:$F,6,FALSE))</f>
        <v>0.3</v>
      </c>
      <c r="AD449" s="111">
        <f>IF(J449="","",VLOOKUP(F450,[1]dim!$A:$G,7,FALSE))</f>
        <v>0.21672942090731576</v>
      </c>
      <c r="AF449">
        <v>0.3</v>
      </c>
      <c r="AG449">
        <v>0.21672942090731576</v>
      </c>
    </row>
    <row r="450" spans="1:33">
      <c r="A450" s="27"/>
      <c r="B450" s="129"/>
      <c r="C450" s="131"/>
      <c r="D450" s="131"/>
      <c r="E450" s="34" t="s">
        <v>228</v>
      </c>
      <c r="F450" s="6" t="s">
        <v>800</v>
      </c>
      <c r="G450" s="13">
        <v>22.293808307176679</v>
      </c>
      <c r="H450" s="13" t="s">
        <v>801</v>
      </c>
      <c r="I450" s="115"/>
      <c r="J450" s="113"/>
      <c r="K450" s="113"/>
      <c r="L450" s="113"/>
      <c r="M450" s="113"/>
      <c r="N450" s="113"/>
      <c r="O450" s="115"/>
      <c r="P450" s="117"/>
      <c r="Q450" s="90"/>
      <c r="U450" s="87"/>
      <c r="Y450" s="113"/>
      <c r="Z450" s="113"/>
      <c r="AC450" s="111"/>
      <c r="AD450" s="111"/>
    </row>
    <row r="451" spans="1:33">
      <c r="A451" s="27" t="s">
        <v>986</v>
      </c>
      <c r="B451" s="129" t="s">
        <v>798</v>
      </c>
      <c r="C451" s="131" t="s">
        <v>172</v>
      </c>
      <c r="D451" s="131" t="s">
        <v>40</v>
      </c>
      <c r="E451" s="34" t="s">
        <v>227</v>
      </c>
      <c r="F451" s="6" t="s">
        <v>170</v>
      </c>
      <c r="G451" s="13">
        <v>24.209207000000017</v>
      </c>
      <c r="H451" s="13" t="s">
        <v>433</v>
      </c>
      <c r="I451" s="114" t="s">
        <v>802</v>
      </c>
      <c r="J451" s="112">
        <v>0.45</v>
      </c>
      <c r="K451" s="112">
        <v>1.3395532976813875</v>
      </c>
      <c r="L451" s="112">
        <v>0.429210836665879</v>
      </c>
      <c r="M451" s="112">
        <v>0.4</v>
      </c>
      <c r="N451" s="112">
        <v>1</v>
      </c>
      <c r="O451" s="114" t="s">
        <v>312</v>
      </c>
      <c r="P451" s="116" t="s">
        <v>312</v>
      </c>
      <c r="Q451" s="90"/>
      <c r="U451" s="87"/>
      <c r="Y451" s="112" t="str">
        <f>IF(V451="","",
IF(AND(V451&gt;=$V$12,V451&lt;$V$13),$V$12,
IF(AND(V451&gt;=$V$13,V451&lt;$V$14),$V$13,
IF(AND(V451&gt;=$V$14,V451&lt;$V$15),$V$14,
IF(AND(V451&gt;=$V$15,V451&lt;$V$16),$V$15,
IF(AND(V451&gt;=$V$16,V451&lt;$V$17),$V$16,""))))))</f>
        <v/>
      </c>
      <c r="Z451" s="112">
        <v>1</v>
      </c>
      <c r="AC451" s="111">
        <f>IF(J451="","",VLOOKUP(F452,[1]dim!$A:$F,6,FALSE))</f>
        <v>0.45</v>
      </c>
      <c r="AD451" s="111">
        <f>IF(J451="","",VLOOKUP(F452,[1]dim!$A:$G,7,FALSE))</f>
        <v>0.4079316229307654</v>
      </c>
      <c r="AF451">
        <v>0.45</v>
      </c>
      <c r="AG451">
        <v>0.4079316229307654</v>
      </c>
    </row>
    <row r="452" spans="1:33">
      <c r="A452" s="27"/>
      <c r="B452" s="129"/>
      <c r="C452" s="131"/>
      <c r="D452" s="131"/>
      <c r="E452" s="34" t="s">
        <v>228</v>
      </c>
      <c r="F452" s="6" t="s">
        <v>803</v>
      </c>
      <c r="G452" s="13">
        <v>22.869653702318629</v>
      </c>
      <c r="H452" s="13" t="s">
        <v>804</v>
      </c>
      <c r="I452" s="115"/>
      <c r="J452" s="113"/>
      <c r="K452" s="113"/>
      <c r="L452" s="113"/>
      <c r="M452" s="113"/>
      <c r="N452" s="113"/>
      <c r="O452" s="115"/>
      <c r="P452" s="117"/>
      <c r="Q452" s="90"/>
      <c r="U452" s="87"/>
      <c r="Y452" s="113"/>
      <c r="Z452" s="113"/>
      <c r="AC452" s="111"/>
      <c r="AD452" s="111"/>
    </row>
    <row r="453" spans="1:33">
      <c r="A453" s="27" t="s">
        <v>987</v>
      </c>
      <c r="B453" s="129" t="s">
        <v>805</v>
      </c>
      <c r="C453" s="131" t="s">
        <v>175</v>
      </c>
      <c r="D453" s="131" t="s">
        <v>40</v>
      </c>
      <c r="E453" s="34" t="s">
        <v>227</v>
      </c>
      <c r="F453" s="6" t="s">
        <v>173</v>
      </c>
      <c r="G453" s="13">
        <v>23.823071000000017</v>
      </c>
      <c r="H453" s="13" t="s">
        <v>435</v>
      </c>
      <c r="I453" s="114" t="s">
        <v>806</v>
      </c>
      <c r="J453" s="112">
        <v>0.4</v>
      </c>
      <c r="K453" s="112">
        <v>1.322399028893706</v>
      </c>
      <c r="L453" s="112">
        <v>0.48258549332881912</v>
      </c>
      <c r="M453" s="112">
        <v>0.4</v>
      </c>
      <c r="N453" s="112">
        <v>1</v>
      </c>
      <c r="O453" s="114" t="s">
        <v>312</v>
      </c>
      <c r="P453" s="116" t="s">
        <v>312</v>
      </c>
      <c r="Q453" s="90"/>
      <c r="U453" s="87"/>
      <c r="Y453" s="112" t="str">
        <f>IF(V453="","",
IF(AND(V453&gt;=$V$12,V453&lt;$V$13),$V$12,
IF(AND(V453&gt;=$V$13,V453&lt;$V$14),$V$13,
IF(AND(V453&gt;=$V$14,V453&lt;$V$15),$V$14,
IF(AND(V453&gt;=$V$15,V453&lt;$V$16),$V$15,
IF(AND(V453&gt;=$V$16,V453&lt;$V$17),$V$16,""))))))</f>
        <v/>
      </c>
      <c r="Z453" s="112">
        <v>1</v>
      </c>
      <c r="AC453" s="111">
        <f>IF(J453="","",VLOOKUP(F454,[1]dim!$A:$F,6,FALSE))</f>
        <v>0.4</v>
      </c>
      <c r="AD453" s="111">
        <f>IF(J453="","",VLOOKUP(F454,[1]dim!$A:$G,7,FALSE))</f>
        <v>0.34956276769100031</v>
      </c>
      <c r="AF453">
        <v>0.4</v>
      </c>
      <c r="AG453">
        <v>0.34956276769100031</v>
      </c>
    </row>
    <row r="454" spans="1:33">
      <c r="A454" s="27"/>
      <c r="B454" s="129"/>
      <c r="C454" s="131"/>
      <c r="D454" s="131"/>
      <c r="E454" s="34" t="s">
        <v>228</v>
      </c>
      <c r="F454" s="6" t="s">
        <v>807</v>
      </c>
      <c r="G454" s="13">
        <v>22.500671971106311</v>
      </c>
      <c r="H454" s="13" t="s">
        <v>808</v>
      </c>
      <c r="I454" s="115"/>
      <c r="J454" s="113"/>
      <c r="K454" s="113"/>
      <c r="L454" s="113"/>
      <c r="M454" s="113"/>
      <c r="N454" s="113"/>
      <c r="O454" s="115"/>
      <c r="P454" s="117"/>
      <c r="Q454" s="90"/>
      <c r="U454" s="87"/>
      <c r="Y454" s="113"/>
      <c r="Z454" s="113"/>
      <c r="AC454" s="111"/>
      <c r="AD454" s="111"/>
    </row>
    <row r="455" spans="1:33">
      <c r="A455" s="27" t="s">
        <v>988</v>
      </c>
      <c r="B455" s="129" t="s">
        <v>805</v>
      </c>
      <c r="C455" s="131" t="s">
        <v>175</v>
      </c>
      <c r="D455" s="131" t="s">
        <v>40</v>
      </c>
      <c r="E455" s="34" t="s">
        <v>227</v>
      </c>
      <c r="F455" s="6" t="s">
        <v>173</v>
      </c>
      <c r="G455" s="13">
        <v>23.823071000000017</v>
      </c>
      <c r="H455" s="13" t="s">
        <v>435</v>
      </c>
      <c r="I455" s="114" t="s">
        <v>809</v>
      </c>
      <c r="J455" s="112">
        <v>0.45</v>
      </c>
      <c r="K455" s="112">
        <v>0.32782100000000725</v>
      </c>
      <c r="L455" s="112">
        <v>0.27669986927127321</v>
      </c>
      <c r="M455" s="112">
        <v>0.4</v>
      </c>
      <c r="N455" s="112">
        <v>1</v>
      </c>
      <c r="O455" s="114" t="s">
        <v>312</v>
      </c>
      <c r="P455" s="116" t="s">
        <v>312</v>
      </c>
      <c r="Q455" s="90"/>
      <c r="U455" s="87"/>
      <c r="Y455" s="112" t="str">
        <f>IF(V455="","",
IF(AND(V455&gt;=$V$12,V455&lt;$V$13),$V$12,
IF(AND(V455&gt;=$V$13,V455&lt;$V$14),$V$13,
IF(AND(V455&gt;=$V$14,V455&lt;$V$15),$V$14,
IF(AND(V455&gt;=$V$15,V455&lt;$V$16),$V$15,
IF(AND(V455&gt;=$V$16,V455&lt;$V$17),$V$16,""))))))</f>
        <v/>
      </c>
      <c r="Z455" s="112">
        <v>1</v>
      </c>
      <c r="AC455" s="111">
        <f>IF(J455="","",VLOOKUP(F456,[1]dim!$A:$F,6,FALSE))</f>
        <v>0.45</v>
      </c>
      <c r="AD455" s="111">
        <f>IF(J455="","",VLOOKUP(F456,[1]dim!$A:$G,7,FALSE))</f>
        <v>0.39720605907382428</v>
      </c>
      <c r="AF455">
        <v>0.45</v>
      </c>
      <c r="AG455">
        <v>0.39720605907382428</v>
      </c>
    </row>
    <row r="456" spans="1:33">
      <c r="A456" s="27"/>
      <c r="B456" s="129"/>
      <c r="C456" s="131"/>
      <c r="D456" s="131"/>
      <c r="E456" s="34" t="s">
        <v>228</v>
      </c>
      <c r="F456" s="6" t="s">
        <v>810</v>
      </c>
      <c r="G456" s="13">
        <v>23.495250000000009</v>
      </c>
      <c r="H456" s="13" t="s">
        <v>811</v>
      </c>
      <c r="I456" s="115"/>
      <c r="J456" s="113"/>
      <c r="K456" s="113"/>
      <c r="L456" s="113"/>
      <c r="M456" s="113"/>
      <c r="N456" s="113"/>
      <c r="O456" s="115"/>
      <c r="P456" s="117"/>
      <c r="Q456" s="90"/>
      <c r="U456" s="87"/>
      <c r="Y456" s="113"/>
      <c r="Z456" s="113"/>
      <c r="AC456" s="111"/>
      <c r="AD456" s="111"/>
    </row>
    <row r="457" spans="1:33">
      <c r="A457" s="27" t="s">
        <v>989</v>
      </c>
      <c r="B457" s="129" t="s">
        <v>812</v>
      </c>
      <c r="C457" s="131" t="s">
        <v>178</v>
      </c>
      <c r="D457" s="131" t="s">
        <v>40</v>
      </c>
      <c r="E457" s="34" t="s">
        <v>227</v>
      </c>
      <c r="F457" s="6" t="s">
        <v>176</v>
      </c>
      <c r="G457" s="13">
        <v>23.407380000000014</v>
      </c>
      <c r="H457" s="13" t="s">
        <v>437</v>
      </c>
      <c r="I457" s="114" t="s">
        <v>813</v>
      </c>
      <c r="J457" s="112">
        <v>0.45</v>
      </c>
      <c r="K457" s="112">
        <v>1.5772468053126723</v>
      </c>
      <c r="L457" s="112">
        <v>0.40127127769644427</v>
      </c>
      <c r="M457" s="112">
        <v>0.4</v>
      </c>
      <c r="N457" s="112">
        <v>1</v>
      </c>
      <c r="O457" s="114" t="s">
        <v>312</v>
      </c>
      <c r="P457" s="116" t="s">
        <v>312</v>
      </c>
      <c r="Q457" s="90"/>
      <c r="U457" s="87"/>
      <c r="Y457" s="112" t="str">
        <f>IF(V457="","",
IF(AND(V457&gt;=$V$12,V457&lt;$V$13),$V$12,
IF(AND(V457&gt;=$V$13,V457&lt;$V$14),$V$13,
IF(AND(V457&gt;=$V$14,V457&lt;$V$15),$V$14,
IF(AND(V457&gt;=$V$15,V457&lt;$V$16),$V$15,
IF(AND(V457&gt;=$V$16,V457&lt;$V$17),$V$16,""))))))</f>
        <v/>
      </c>
      <c r="Z457" s="112">
        <v>1</v>
      </c>
      <c r="AC457" s="111">
        <f>IF(J457="","",VLOOKUP(F458,[1]dim!$A:$F,6,FALSE))</f>
        <v>0.45</v>
      </c>
      <c r="AD457" s="111">
        <f>IF(J457="","",VLOOKUP(F458,[1]dim!$A:$G,7,FALSE))</f>
        <v>0.3972060604332609</v>
      </c>
      <c r="AF457">
        <v>0.45</v>
      </c>
      <c r="AG457">
        <v>0.3972060604332609</v>
      </c>
    </row>
    <row r="458" spans="1:33">
      <c r="A458" s="27"/>
      <c r="B458" s="129"/>
      <c r="C458" s="131"/>
      <c r="D458" s="131"/>
      <c r="E458" s="34" t="s">
        <v>228</v>
      </c>
      <c r="F458" s="6" t="s">
        <v>814</v>
      </c>
      <c r="G458" s="13">
        <v>21.830133194687342</v>
      </c>
      <c r="H458" s="13" t="s">
        <v>815</v>
      </c>
      <c r="I458" s="115"/>
      <c r="J458" s="113"/>
      <c r="K458" s="113"/>
      <c r="L458" s="113"/>
      <c r="M458" s="113"/>
      <c r="N458" s="113"/>
      <c r="O458" s="115"/>
      <c r="P458" s="117"/>
      <c r="Q458" s="90"/>
      <c r="U458" s="87"/>
      <c r="Y458" s="113"/>
      <c r="Z458" s="113"/>
      <c r="AC458" s="111"/>
      <c r="AD458" s="111"/>
    </row>
    <row r="459" spans="1:33">
      <c r="A459" s="27" t="s">
        <v>990</v>
      </c>
      <c r="B459" s="129" t="s">
        <v>816</v>
      </c>
      <c r="C459" s="131" t="s">
        <v>181</v>
      </c>
      <c r="D459" s="131" t="s">
        <v>40</v>
      </c>
      <c r="E459" s="34" t="s">
        <v>227</v>
      </c>
      <c r="F459" s="6" t="s">
        <v>179</v>
      </c>
      <c r="G459" s="13">
        <v>23.261933000000013</v>
      </c>
      <c r="H459" s="13" t="s">
        <v>439</v>
      </c>
      <c r="I459" s="114" t="s">
        <v>817</v>
      </c>
      <c r="J459" s="112">
        <v>0.4</v>
      </c>
      <c r="K459" s="112">
        <v>0.46518300000000323</v>
      </c>
      <c r="L459" s="112">
        <v>0.43853232334595454</v>
      </c>
      <c r="M459" s="112">
        <v>0.4</v>
      </c>
      <c r="N459" s="112">
        <v>1</v>
      </c>
      <c r="O459" s="114" t="s">
        <v>312</v>
      </c>
      <c r="P459" s="116" t="s">
        <v>312</v>
      </c>
      <c r="Q459" s="90"/>
      <c r="U459" s="87"/>
      <c r="Y459" s="112" t="str">
        <f>IF(V459="","",
IF(AND(V459&gt;=$V$12,V459&lt;$V$13),$V$12,
IF(AND(V459&gt;=$V$13,V459&lt;$V$14),$V$13,
IF(AND(V459&gt;=$V$14,V459&lt;$V$15),$V$14,
IF(AND(V459&gt;=$V$15,V459&lt;$V$16),$V$15,
IF(AND(V459&gt;=$V$16,V459&lt;$V$17),$V$16,""))))))</f>
        <v/>
      </c>
      <c r="Z459" s="112">
        <v>1</v>
      </c>
      <c r="AC459" s="111">
        <f>IF(J459="","",VLOOKUP(F460,[1]dim!$A:$F,6,FALSE))</f>
        <v>0.4</v>
      </c>
      <c r="AD459" s="111">
        <f>IF(J459="","",VLOOKUP(F460,[1]dim!$A:$G,7,FALSE))</f>
        <v>0.36268475904544556</v>
      </c>
      <c r="AF459">
        <v>0.4</v>
      </c>
      <c r="AG459">
        <v>0.36268475904544556</v>
      </c>
    </row>
    <row r="460" spans="1:33">
      <c r="A460" s="27"/>
      <c r="B460" s="129"/>
      <c r="C460" s="131"/>
      <c r="D460" s="131"/>
      <c r="E460" s="34" t="s">
        <v>228</v>
      </c>
      <c r="F460" s="6" t="s">
        <v>818</v>
      </c>
      <c r="G460" s="13">
        <v>22.79675000000001</v>
      </c>
      <c r="H460" s="13" t="s">
        <v>819</v>
      </c>
      <c r="I460" s="115"/>
      <c r="J460" s="113"/>
      <c r="K460" s="113"/>
      <c r="L460" s="113"/>
      <c r="M460" s="113"/>
      <c r="N460" s="113"/>
      <c r="O460" s="115"/>
      <c r="P460" s="117"/>
      <c r="Q460" s="90"/>
      <c r="U460" s="87"/>
      <c r="Y460" s="113"/>
      <c r="Z460" s="113"/>
      <c r="AC460" s="111"/>
      <c r="AD460" s="111"/>
    </row>
    <row r="461" spans="1:33">
      <c r="A461" s="27" t="s">
        <v>991</v>
      </c>
      <c r="B461" s="129" t="s">
        <v>820</v>
      </c>
      <c r="C461" s="131" t="s">
        <v>184</v>
      </c>
      <c r="D461" s="131" t="s">
        <v>40</v>
      </c>
      <c r="E461" s="34" t="s">
        <v>227</v>
      </c>
      <c r="F461" s="6" t="s">
        <v>182</v>
      </c>
      <c r="G461" s="13">
        <v>22.881380000000011</v>
      </c>
      <c r="H461" s="13" t="s">
        <v>441</v>
      </c>
      <c r="I461" s="114" t="s">
        <v>821</v>
      </c>
      <c r="J461" s="112">
        <v>0.45</v>
      </c>
      <c r="K461" s="112">
        <v>1.777630000000002</v>
      </c>
      <c r="L461" s="112">
        <v>0.34540353091473225</v>
      </c>
      <c r="M461" s="112">
        <v>0.4</v>
      </c>
      <c r="N461" s="112">
        <v>1</v>
      </c>
      <c r="O461" s="114" t="s">
        <v>312</v>
      </c>
      <c r="P461" s="116" t="s">
        <v>312</v>
      </c>
      <c r="Q461" s="90"/>
      <c r="U461" s="87"/>
      <c r="Y461" s="112" t="str">
        <f>IF(V461="","",
IF(AND(V461&gt;=$V$12,V461&lt;$V$13),$V$12,
IF(AND(V461&gt;=$V$13,V461&lt;$V$14),$V$13,
IF(AND(V461&gt;=$V$14,V461&lt;$V$15),$V$14,
IF(AND(V461&gt;=$V$15,V461&lt;$V$16),$V$15,
IF(AND(V461&gt;=$V$16,V461&lt;$V$17),$V$16,""))))))</f>
        <v/>
      </c>
      <c r="Z461" s="112">
        <v>1</v>
      </c>
      <c r="AC461" s="111">
        <f>IF(J461="","",VLOOKUP(F462,[1]dim!$A:$F,6,FALSE))</f>
        <v>0.45</v>
      </c>
      <c r="AD461" s="111">
        <f>IF(J461="","",VLOOKUP(F462,[1]dim!$A:$G,7,FALSE))</f>
        <v>0.38332810544726065</v>
      </c>
      <c r="AF461">
        <v>0.45</v>
      </c>
      <c r="AG461">
        <v>0.38332810544726065</v>
      </c>
    </row>
    <row r="462" spans="1:33">
      <c r="A462" s="27"/>
      <c r="B462" s="129"/>
      <c r="C462" s="131"/>
      <c r="D462" s="131"/>
      <c r="E462" s="34" t="s">
        <v>228</v>
      </c>
      <c r="F462" s="6" t="s">
        <v>822</v>
      </c>
      <c r="G462" s="13">
        <v>21.103750000000009</v>
      </c>
      <c r="H462" s="13" t="s">
        <v>823</v>
      </c>
      <c r="I462" s="115"/>
      <c r="J462" s="113"/>
      <c r="K462" s="113"/>
      <c r="L462" s="113"/>
      <c r="M462" s="113"/>
      <c r="N462" s="113"/>
      <c r="O462" s="115"/>
      <c r="P462" s="117"/>
      <c r="Q462" s="90"/>
      <c r="U462" s="87"/>
      <c r="Y462" s="113"/>
      <c r="Z462" s="113"/>
      <c r="AC462" s="111"/>
      <c r="AD462" s="111"/>
    </row>
    <row r="463" spans="1:33">
      <c r="A463" s="27" t="s">
        <v>992</v>
      </c>
      <c r="B463" s="132" t="s">
        <v>824</v>
      </c>
      <c r="C463" s="114" t="s">
        <v>825</v>
      </c>
      <c r="D463" s="136" t="s">
        <v>301</v>
      </c>
      <c r="E463" s="34" t="s">
        <v>227</v>
      </c>
      <c r="F463" s="6" t="s">
        <v>203</v>
      </c>
      <c r="G463" s="13">
        <v>20.198000000000008</v>
      </c>
      <c r="H463" s="13" t="s">
        <v>458</v>
      </c>
      <c r="I463" s="114"/>
      <c r="J463" s="112"/>
      <c r="K463" s="112"/>
      <c r="L463" s="112"/>
      <c r="M463" s="112" t="s">
        <v>302</v>
      </c>
      <c r="N463" s="112"/>
      <c r="O463" s="114"/>
      <c r="P463" s="116"/>
      <c r="Q463" s="90"/>
      <c r="U463" s="87"/>
      <c r="Y463" s="112" t="str">
        <f>IF(V463="","",
IF(AND(V463&gt;=$V$12,V463&lt;$V$13),$V$12,
IF(AND(V463&gt;=$V$13,V463&lt;$V$14),$V$13,
IF(AND(V463&gt;=$V$14,V463&lt;$V$15),$V$14,
IF(AND(V463&gt;=$V$15,V463&lt;$V$16),$V$15,
IF(AND(V463&gt;=$V$16,V463&lt;$V$17),$V$16,""))))))</f>
        <v/>
      </c>
      <c r="Z463" s="112"/>
      <c r="AC463" s="111" t="str">
        <f>IF(J463="","",VLOOKUP(F464,[1]dim!$A:$F,6,FALSE))</f>
        <v/>
      </c>
      <c r="AD463" s="111" t="str">
        <f>IF(J463="","",VLOOKUP(F464,[1]dim!$A:$G,7,FALSE))</f>
        <v/>
      </c>
      <c r="AF463" t="s">
        <v>302</v>
      </c>
      <c r="AG463" t="s">
        <v>302</v>
      </c>
    </row>
    <row r="464" spans="1:33">
      <c r="A464" s="27"/>
      <c r="B464" s="133"/>
      <c r="C464" s="115"/>
      <c r="D464" s="137"/>
      <c r="E464" s="34" t="s">
        <v>228</v>
      </c>
      <c r="F464" s="6"/>
      <c r="G464" s="13"/>
      <c r="H464" s="102" t="s">
        <v>303</v>
      </c>
      <c r="I464" s="115"/>
      <c r="J464" s="113"/>
      <c r="K464" s="113"/>
      <c r="L464" s="113"/>
      <c r="M464" s="113"/>
      <c r="N464" s="113"/>
      <c r="O464" s="115"/>
      <c r="P464" s="117"/>
      <c r="Q464" s="90"/>
      <c r="U464" s="87"/>
      <c r="Y464" s="113"/>
      <c r="Z464" s="113"/>
      <c r="AC464" s="111"/>
      <c r="AD464" s="111"/>
    </row>
    <row r="465" spans="1:33">
      <c r="A465" s="27" t="s">
        <v>993</v>
      </c>
      <c r="B465" s="129" t="s">
        <v>820</v>
      </c>
      <c r="C465" s="131" t="s">
        <v>184</v>
      </c>
      <c r="D465" s="131" t="s">
        <v>40</v>
      </c>
      <c r="E465" s="34" t="s">
        <v>227</v>
      </c>
      <c r="F465" s="6" t="s">
        <v>182</v>
      </c>
      <c r="G465" s="13">
        <v>22.881380000000011</v>
      </c>
      <c r="H465" s="13" t="s">
        <v>441</v>
      </c>
      <c r="I465" s="114" t="s">
        <v>826</v>
      </c>
      <c r="J465" s="112">
        <v>0.35</v>
      </c>
      <c r="K465" s="112">
        <v>1.979880000000005</v>
      </c>
      <c r="L465" s="112">
        <v>0.37828232499670633</v>
      </c>
      <c r="M465" s="112">
        <v>0.3</v>
      </c>
      <c r="N465" s="112">
        <v>1</v>
      </c>
      <c r="O465" s="114" t="s">
        <v>312</v>
      </c>
      <c r="P465" s="116" t="s">
        <v>312</v>
      </c>
      <c r="Q465" s="90"/>
      <c r="U465" s="87"/>
      <c r="Y465" s="112" t="str">
        <f>IF(V465="","",
IF(AND(V465&gt;=$V$12,V465&lt;$V$13),$V$12,
IF(AND(V465&gt;=$V$13,V465&lt;$V$14),$V$13,
IF(AND(V465&gt;=$V$14,V465&lt;$V$15),$V$14,
IF(AND(V465&gt;=$V$15,V465&lt;$V$16),$V$15,
IF(AND(V465&gt;=$V$16,V465&lt;$V$17),$V$16,""))))))</f>
        <v/>
      </c>
      <c r="Z465" s="112">
        <v>1</v>
      </c>
      <c r="AC465" s="111">
        <f>IF(J465="","",VLOOKUP(F466,[1]dim!$A:$F,6,FALSE))</f>
        <v>0.35</v>
      </c>
      <c r="AD465" s="111">
        <f>IF(J465="","",VLOOKUP(F466,[1]dim!$A:$G,7,FALSE))</f>
        <v>0.32944255513320869</v>
      </c>
      <c r="AF465">
        <v>0.35</v>
      </c>
      <c r="AG465">
        <v>0.32944255513320869</v>
      </c>
    </row>
    <row r="466" spans="1:33">
      <c r="A466" s="27"/>
      <c r="B466" s="129"/>
      <c r="C466" s="131"/>
      <c r="D466" s="131"/>
      <c r="E466" s="34" t="s">
        <v>228</v>
      </c>
      <c r="F466" s="6" t="s">
        <v>827</v>
      </c>
      <c r="G466" s="13">
        <v>20.901500000000006</v>
      </c>
      <c r="H466" s="13" t="s">
        <v>828</v>
      </c>
      <c r="I466" s="115"/>
      <c r="J466" s="113"/>
      <c r="K466" s="113"/>
      <c r="L466" s="113"/>
      <c r="M466" s="113"/>
      <c r="N466" s="113"/>
      <c r="O466" s="115"/>
      <c r="P466" s="117"/>
      <c r="Q466" s="90"/>
      <c r="U466" s="87"/>
      <c r="Y466" s="113"/>
      <c r="Z466" s="113"/>
      <c r="AC466" s="111"/>
      <c r="AD466" s="111"/>
    </row>
    <row r="467" spans="1:33">
      <c r="A467" s="27" t="s">
        <v>994</v>
      </c>
      <c r="B467" s="129" t="s">
        <v>829</v>
      </c>
      <c r="C467" s="131" t="s">
        <v>187</v>
      </c>
      <c r="D467" s="131" t="s">
        <v>40</v>
      </c>
      <c r="E467" s="34" t="s">
        <v>227</v>
      </c>
      <c r="F467" s="6" t="s">
        <v>185</v>
      </c>
      <c r="G467" s="13">
        <v>22.239976000000009</v>
      </c>
      <c r="H467" s="13" t="s">
        <v>443</v>
      </c>
      <c r="I467" s="114" t="s">
        <v>830</v>
      </c>
      <c r="J467" s="112">
        <v>0.35</v>
      </c>
      <c r="K467" s="112">
        <v>1.9224760000000032</v>
      </c>
      <c r="L467" s="112">
        <v>0.4052045964391941</v>
      </c>
      <c r="M467" s="112">
        <v>0.3</v>
      </c>
      <c r="N467" s="112">
        <v>1</v>
      </c>
      <c r="O467" s="114" t="s">
        <v>312</v>
      </c>
      <c r="P467" s="116" t="s">
        <v>312</v>
      </c>
      <c r="Q467" s="90"/>
      <c r="U467" s="87"/>
      <c r="Y467" s="112" t="str">
        <f>IF(V467="","",
IF(AND(V467&gt;=$V$12,V467&lt;$V$13),$V$12,
IF(AND(V467&gt;=$V$13,V467&lt;$V$14),$V$13,
IF(AND(V467&gt;=$V$14,V467&lt;$V$15),$V$14,
IF(AND(V467&gt;=$V$15,V467&lt;$V$16),$V$15,
IF(AND(V467&gt;=$V$16,V467&lt;$V$17),$V$16,""))))))</f>
        <v/>
      </c>
      <c r="Z467" s="112">
        <v>1</v>
      </c>
      <c r="AC467" s="111">
        <f>IF(J467="","",VLOOKUP(F468,[1]dim!$A:$F,6,FALSE))</f>
        <v>0.35</v>
      </c>
      <c r="AD467" s="111">
        <f>IF(J467="","",VLOOKUP(F468,[1]dim!$A:$G,7,FALSE))</f>
        <v>0.29248170009744751</v>
      </c>
      <c r="AF467">
        <v>0.35</v>
      </c>
      <c r="AG467">
        <v>0.29248170009744751</v>
      </c>
    </row>
    <row r="468" spans="1:33">
      <c r="A468" s="27"/>
      <c r="B468" s="129"/>
      <c r="C468" s="131"/>
      <c r="D468" s="131"/>
      <c r="E468" s="34" t="s">
        <v>228</v>
      </c>
      <c r="F468" s="6" t="s">
        <v>831</v>
      </c>
      <c r="G468" s="13">
        <v>20.317500000000006</v>
      </c>
      <c r="H468" s="13" t="s">
        <v>832</v>
      </c>
      <c r="I468" s="115"/>
      <c r="J468" s="113"/>
      <c r="K468" s="113"/>
      <c r="L468" s="113"/>
      <c r="M468" s="113"/>
      <c r="N468" s="113"/>
      <c r="O468" s="115"/>
      <c r="P468" s="117"/>
      <c r="Q468" s="90"/>
      <c r="U468" s="87"/>
      <c r="Y468" s="113"/>
      <c r="Z468" s="113"/>
      <c r="AC468" s="111"/>
      <c r="AD468" s="111"/>
    </row>
    <row r="469" spans="1:33">
      <c r="A469" s="27" t="s">
        <v>995</v>
      </c>
      <c r="B469" s="132" t="s">
        <v>833</v>
      </c>
      <c r="C469" s="114" t="s">
        <v>834</v>
      </c>
      <c r="D469" s="136" t="s">
        <v>301</v>
      </c>
      <c r="E469" s="34" t="s">
        <v>227</v>
      </c>
      <c r="F469" s="6" t="s">
        <v>211</v>
      </c>
      <c r="G469" s="13">
        <v>19.417500000000008</v>
      </c>
      <c r="H469" s="13" t="s">
        <v>465</v>
      </c>
      <c r="I469" s="114"/>
      <c r="J469" s="112"/>
      <c r="K469" s="112"/>
      <c r="L469" s="112"/>
      <c r="M469" s="112" t="s">
        <v>302</v>
      </c>
      <c r="N469" s="112"/>
      <c r="O469" s="114"/>
      <c r="P469" s="116"/>
      <c r="Q469" s="90"/>
      <c r="U469" s="87"/>
      <c r="Y469" s="112" t="str">
        <f>IF(V469="","",
IF(AND(V469&gt;=$V$12,V469&lt;$V$13),$V$12,
IF(AND(V469&gt;=$V$13,V469&lt;$V$14),$V$13,
IF(AND(V469&gt;=$V$14,V469&lt;$V$15),$V$14,
IF(AND(V469&gt;=$V$15,V469&lt;$V$16),$V$15,
IF(AND(V469&gt;=$V$16,V469&lt;$V$17),$V$16,""))))))</f>
        <v/>
      </c>
      <c r="Z469" s="112"/>
      <c r="AC469" s="111" t="str">
        <f>IF(J469="","",VLOOKUP(F470,[1]dim!$A:$F,6,FALSE))</f>
        <v/>
      </c>
      <c r="AD469" s="111" t="str">
        <f>IF(J469="","",VLOOKUP(F470,[1]dim!$A:$G,7,FALSE))</f>
        <v/>
      </c>
      <c r="AF469" t="s">
        <v>302</v>
      </c>
      <c r="AG469" t="s">
        <v>302</v>
      </c>
    </row>
    <row r="470" spans="1:33">
      <c r="A470" s="27"/>
      <c r="B470" s="133"/>
      <c r="C470" s="115"/>
      <c r="D470" s="137"/>
      <c r="E470" s="34" t="s">
        <v>228</v>
      </c>
      <c r="F470" s="6"/>
      <c r="G470" s="13"/>
      <c r="H470" s="102" t="s">
        <v>303</v>
      </c>
      <c r="I470" s="115"/>
      <c r="J470" s="113"/>
      <c r="K470" s="113"/>
      <c r="L470" s="113"/>
      <c r="M470" s="113"/>
      <c r="N470" s="113"/>
      <c r="O470" s="115"/>
      <c r="P470" s="117"/>
      <c r="Q470" s="90"/>
      <c r="U470" s="87"/>
      <c r="Y470" s="113"/>
      <c r="Z470" s="113"/>
      <c r="AC470" s="111"/>
      <c r="AD470" s="111"/>
    </row>
    <row r="471" spans="1:33">
      <c r="A471" s="27" t="s">
        <v>996</v>
      </c>
      <c r="B471" s="129" t="s">
        <v>829</v>
      </c>
      <c r="C471" s="131" t="s">
        <v>187</v>
      </c>
      <c r="D471" s="131" t="s">
        <v>40</v>
      </c>
      <c r="E471" s="34" t="s">
        <v>227</v>
      </c>
      <c r="F471" s="6" t="s">
        <v>185</v>
      </c>
      <c r="G471" s="13">
        <v>22.239976000000009</v>
      </c>
      <c r="H471" s="13" t="s">
        <v>443</v>
      </c>
      <c r="I471" s="114" t="s">
        <v>835</v>
      </c>
      <c r="J471" s="112">
        <v>0.35</v>
      </c>
      <c r="K471" s="112">
        <v>1.9387260000000026</v>
      </c>
      <c r="L471" s="112">
        <v>0.38671761217046619</v>
      </c>
      <c r="M471" s="112">
        <v>0.3</v>
      </c>
      <c r="N471" s="112">
        <v>1</v>
      </c>
      <c r="O471" s="114" t="s">
        <v>312</v>
      </c>
      <c r="P471" s="116" t="s">
        <v>312</v>
      </c>
      <c r="Q471" s="90"/>
      <c r="U471" s="87"/>
      <c r="Y471" s="112" t="str">
        <f>IF(V471="","",
IF(AND(V471&gt;=$V$12,V471&lt;$V$13),$V$12,
IF(AND(V471&gt;=$V$13,V471&lt;$V$14),$V$13,
IF(AND(V471&gt;=$V$14,V471&lt;$V$15),$V$14,
IF(AND(V471&gt;=$V$15,V471&lt;$V$16),$V$15,
IF(AND(V471&gt;=$V$16,V471&lt;$V$17),$V$16,""))))))</f>
        <v/>
      </c>
      <c r="Z471" s="112">
        <v>1</v>
      </c>
      <c r="AC471" s="111">
        <f>IF(J471="","",VLOOKUP(F472,[1]dim!$A:$F,6,FALSE))</f>
        <v>0.35</v>
      </c>
      <c r="AD471" s="111">
        <f>IF(J471="","",VLOOKUP(F472,[1]dim!$A:$G,7,FALSE))</f>
        <v>0.30951703165612038</v>
      </c>
      <c r="AF471">
        <v>0.35</v>
      </c>
      <c r="AG471">
        <v>0.30951703165612038</v>
      </c>
    </row>
    <row r="472" spans="1:33">
      <c r="A472" s="27"/>
      <c r="B472" s="129"/>
      <c r="C472" s="131"/>
      <c r="D472" s="131"/>
      <c r="E472" s="34" t="s">
        <v>228</v>
      </c>
      <c r="F472" s="6" t="s">
        <v>836</v>
      </c>
      <c r="G472" s="13">
        <v>20.301250000000007</v>
      </c>
      <c r="H472" s="13" t="s">
        <v>837</v>
      </c>
      <c r="I472" s="115"/>
      <c r="J472" s="113"/>
      <c r="K472" s="113"/>
      <c r="L472" s="113"/>
      <c r="M472" s="113"/>
      <c r="N472" s="113"/>
      <c r="O472" s="115"/>
      <c r="P472" s="117"/>
      <c r="Q472" s="90"/>
      <c r="U472" s="87"/>
      <c r="Y472" s="113"/>
      <c r="Z472" s="113"/>
      <c r="AC472" s="111"/>
      <c r="AD472" s="111"/>
    </row>
    <row r="473" spans="1:33">
      <c r="A473" s="27" t="s">
        <v>997</v>
      </c>
      <c r="B473" s="132" t="s">
        <v>838</v>
      </c>
      <c r="C473" s="114" t="s">
        <v>839</v>
      </c>
      <c r="D473" s="136" t="s">
        <v>301</v>
      </c>
      <c r="E473" s="34" t="s">
        <v>227</v>
      </c>
      <c r="F473" s="6" t="s">
        <v>202</v>
      </c>
      <c r="G473" s="13">
        <v>21.895000000000007</v>
      </c>
      <c r="H473" s="13" t="s">
        <v>456</v>
      </c>
      <c r="I473" s="114"/>
      <c r="J473" s="112"/>
      <c r="K473" s="112"/>
      <c r="L473" s="112"/>
      <c r="M473" s="112" t="s">
        <v>302</v>
      </c>
      <c r="N473" s="112"/>
      <c r="O473" s="114"/>
      <c r="P473" s="116"/>
      <c r="Q473" s="90"/>
      <c r="U473" s="87"/>
      <c r="Y473" s="112" t="str">
        <f>IF(V473="","",
IF(AND(V473&gt;=$V$12,V473&lt;$V$13),$V$12,
IF(AND(V473&gt;=$V$13,V473&lt;$V$14),$V$13,
IF(AND(V473&gt;=$V$14,V473&lt;$V$15),$V$14,
IF(AND(V473&gt;=$V$15,V473&lt;$V$16),$V$15,
IF(AND(V473&gt;=$V$16,V473&lt;$V$17),$V$16,""))))))</f>
        <v/>
      </c>
      <c r="Z473" s="112"/>
      <c r="AC473" s="111" t="str">
        <f>IF(J473="","",VLOOKUP(F474,[1]dim!$A:$F,6,FALSE))</f>
        <v/>
      </c>
      <c r="AD473" s="111" t="str">
        <f>IF(J473="","",VLOOKUP(F474,[1]dim!$A:$G,7,FALSE))</f>
        <v/>
      </c>
      <c r="AF473" t="s">
        <v>302</v>
      </c>
      <c r="AG473" t="s">
        <v>302</v>
      </c>
    </row>
    <row r="474" spans="1:33">
      <c r="A474" s="27"/>
      <c r="B474" s="133"/>
      <c r="C474" s="115"/>
      <c r="D474" s="137"/>
      <c r="E474" s="34" t="s">
        <v>228</v>
      </c>
      <c r="F474" s="6"/>
      <c r="G474" s="13"/>
      <c r="H474" s="102" t="s">
        <v>303</v>
      </c>
      <c r="I474" s="115"/>
      <c r="J474" s="113"/>
      <c r="K474" s="113"/>
      <c r="L474" s="113"/>
      <c r="M474" s="113"/>
      <c r="N474" s="113"/>
      <c r="O474" s="115"/>
      <c r="P474" s="117"/>
      <c r="Q474" s="90"/>
      <c r="U474" s="87"/>
      <c r="Y474" s="113"/>
      <c r="Z474" s="113"/>
      <c r="AC474" s="111"/>
      <c r="AD474" s="111"/>
    </row>
    <row r="475" spans="1:33">
      <c r="A475" s="27" t="s">
        <v>997</v>
      </c>
      <c r="B475" s="132" t="s">
        <v>838</v>
      </c>
      <c r="C475" s="114" t="s">
        <v>839</v>
      </c>
      <c r="D475" s="136" t="s">
        <v>301</v>
      </c>
      <c r="E475" s="34" t="s">
        <v>227</v>
      </c>
      <c r="F475" s="6" t="s">
        <v>202</v>
      </c>
      <c r="G475" s="13">
        <v>21.895000000000007</v>
      </c>
      <c r="H475" s="13" t="s">
        <v>456</v>
      </c>
      <c r="I475" s="114"/>
      <c r="J475" s="112"/>
      <c r="K475" s="112"/>
      <c r="L475" s="112"/>
      <c r="M475" s="112" t="s">
        <v>302</v>
      </c>
      <c r="N475" s="112"/>
      <c r="O475" s="114"/>
      <c r="P475" s="116"/>
      <c r="Q475" s="90"/>
      <c r="U475" s="87"/>
      <c r="Y475" s="112" t="str">
        <f>IF(V475="","",
IF(AND(V475&gt;=$V$12,V475&lt;$V$13),$V$12,
IF(AND(V475&gt;=$V$13,V475&lt;$V$14),$V$13,
IF(AND(V475&gt;=$V$14,V475&lt;$V$15),$V$14,
IF(AND(V475&gt;=$V$15,V475&lt;$V$16),$V$15,
IF(AND(V475&gt;=$V$16,V475&lt;$V$17),$V$16,""))))))</f>
        <v/>
      </c>
      <c r="Z475" s="112"/>
      <c r="AC475" s="111" t="str">
        <f>IF(J475="","",VLOOKUP(F476,[1]dim!$A:$F,6,FALSE))</f>
        <v/>
      </c>
      <c r="AD475" s="111" t="str">
        <f>IF(J475="","",VLOOKUP(F476,[1]dim!$A:$G,7,FALSE))</f>
        <v/>
      </c>
      <c r="AF475" t="s">
        <v>302</v>
      </c>
      <c r="AG475" t="s">
        <v>302</v>
      </c>
    </row>
    <row r="476" spans="1:33">
      <c r="A476" s="27"/>
      <c r="B476" s="133"/>
      <c r="C476" s="115"/>
      <c r="D476" s="137"/>
      <c r="E476" s="34" t="s">
        <v>228</v>
      </c>
      <c r="F476" s="6"/>
      <c r="G476" s="13"/>
      <c r="H476" s="102" t="s">
        <v>303</v>
      </c>
      <c r="I476" s="115"/>
      <c r="J476" s="113"/>
      <c r="K476" s="113"/>
      <c r="L476" s="113"/>
      <c r="M476" s="113"/>
      <c r="N476" s="113"/>
      <c r="O476" s="115"/>
      <c r="P476" s="117"/>
      <c r="Q476" s="90"/>
      <c r="U476" s="87"/>
      <c r="Y476" s="113"/>
      <c r="Z476" s="113"/>
      <c r="AC476" s="111"/>
      <c r="AD476" s="111"/>
    </row>
    <row r="477" spans="1:33">
      <c r="A477" s="27" t="s">
        <v>998</v>
      </c>
      <c r="B477" s="129" t="s">
        <v>840</v>
      </c>
      <c r="C477" s="131" t="s">
        <v>201</v>
      </c>
      <c r="D477" s="131" t="s">
        <v>40</v>
      </c>
      <c r="E477" s="34" t="s">
        <v>227</v>
      </c>
      <c r="F477" s="6" t="s">
        <v>199</v>
      </c>
      <c r="G477" s="13">
        <v>22.240612000000009</v>
      </c>
      <c r="H477" s="13" t="s">
        <v>454</v>
      </c>
      <c r="I477" s="114" t="s">
        <v>841</v>
      </c>
      <c r="J477" s="112">
        <v>0.5</v>
      </c>
      <c r="K477" s="112">
        <v>0.32561200000000667</v>
      </c>
      <c r="L477" s="112">
        <v>9.4523227961359674E-2</v>
      </c>
      <c r="M477" s="112">
        <v>0.4</v>
      </c>
      <c r="N477" s="112">
        <v>1</v>
      </c>
      <c r="O477" s="114" t="s">
        <v>312</v>
      </c>
      <c r="P477" s="116" t="s">
        <v>312</v>
      </c>
      <c r="Q477" s="90"/>
      <c r="U477" s="87"/>
      <c r="Y477" s="112" t="str">
        <f>IF(V477="","",
IF(AND(V477&gt;=$V$12,V477&lt;$V$13),$V$12,
IF(AND(V477&gt;=$V$13,V477&lt;$V$14),$V$13,
IF(AND(V477&gt;=$V$14,V477&lt;$V$15),$V$14,
IF(AND(V477&gt;=$V$15,V477&lt;$V$16),$V$15,
IF(AND(V477&gt;=$V$16,V477&lt;$V$17),$V$16,""))))))</f>
        <v/>
      </c>
      <c r="Z477" s="112">
        <v>1</v>
      </c>
      <c r="AC477" s="111">
        <f>IF(J477="","",VLOOKUP(F478,[1]dim!$A:$F,6,FALSE))</f>
        <v>0.5</v>
      </c>
      <c r="AD477" s="111">
        <f>IF(J477="","",VLOOKUP(F478,[1]dim!$A:$G,7,FALSE))</f>
        <v>0.45919078025328541</v>
      </c>
      <c r="AF477">
        <v>0.5</v>
      </c>
      <c r="AG477">
        <v>0.45919078025328541</v>
      </c>
    </row>
    <row r="478" spans="1:33">
      <c r="A478" s="27"/>
      <c r="B478" s="129"/>
      <c r="C478" s="131"/>
      <c r="D478" s="131"/>
      <c r="E478" s="34" t="s">
        <v>228</v>
      </c>
      <c r="F478" s="6" t="s">
        <v>842</v>
      </c>
      <c r="G478" s="13">
        <v>21.915000000000003</v>
      </c>
      <c r="H478" s="13" t="s">
        <v>843</v>
      </c>
      <c r="I478" s="115"/>
      <c r="J478" s="113"/>
      <c r="K478" s="113"/>
      <c r="L478" s="113"/>
      <c r="M478" s="113"/>
      <c r="N478" s="113"/>
      <c r="O478" s="115"/>
      <c r="P478" s="117"/>
      <c r="Q478" s="90"/>
      <c r="U478" s="87"/>
      <c r="Y478" s="113"/>
      <c r="Z478" s="113"/>
      <c r="AC478" s="111"/>
      <c r="AD478" s="111"/>
    </row>
    <row r="479" spans="1:33">
      <c r="A479" s="27" t="s">
        <v>999</v>
      </c>
      <c r="B479" s="129" t="s">
        <v>844</v>
      </c>
      <c r="C479" s="131" t="s">
        <v>206</v>
      </c>
      <c r="D479" s="131" t="s">
        <v>40</v>
      </c>
      <c r="E479" s="34" t="s">
        <v>227</v>
      </c>
      <c r="F479" s="6" t="s">
        <v>204</v>
      </c>
      <c r="G479" s="13">
        <v>21.844000000000012</v>
      </c>
      <c r="H479" s="13" t="s">
        <v>460</v>
      </c>
      <c r="I479" s="114" t="s">
        <v>845</v>
      </c>
      <c r="J479" s="112">
        <v>0.4</v>
      </c>
      <c r="K479" s="112">
        <v>0.79700000000000415</v>
      </c>
      <c r="L479" s="112">
        <v>0.19728385107853783</v>
      </c>
      <c r="M479" s="112">
        <v>0.4</v>
      </c>
      <c r="N479" s="112">
        <v>1</v>
      </c>
      <c r="O479" s="114" t="s">
        <v>312</v>
      </c>
      <c r="P479" s="116" t="s">
        <v>312</v>
      </c>
      <c r="Q479" s="91">
        <v>0.7</v>
      </c>
      <c r="U479" s="87"/>
      <c r="Y479" s="112" t="str">
        <f>IF(V479="","",
IF(AND(V479&gt;=$V$12,V479&lt;$V$13),$V$12,
IF(AND(V479&gt;=$V$13,V479&lt;$V$14),$V$13,
IF(AND(V479&gt;=$V$14,V479&lt;$V$15),$V$14,
IF(AND(V479&gt;=$V$15,V479&lt;$V$16),$V$15,
IF(AND(V479&gt;=$V$16,V479&lt;$V$17),$V$16,""))))))</f>
        <v/>
      </c>
      <c r="Z479" s="112">
        <v>1</v>
      </c>
      <c r="AC479" s="111">
        <f>IF(J479="","",VLOOKUP(F480,[1]dim!$A:$F,6,FALSE))</f>
        <v>0.4</v>
      </c>
      <c r="AD479" s="111">
        <f>IF(J479="","",VLOOKUP(F480,[1]dim!$A:$G,7,FALSE))</f>
        <v>0.33586962970211431</v>
      </c>
      <c r="AF479">
        <v>0.4</v>
      </c>
      <c r="AG479">
        <v>0.33586962970211431</v>
      </c>
    </row>
    <row r="480" spans="1:33">
      <c r="A480" s="27"/>
      <c r="B480" s="129"/>
      <c r="C480" s="131"/>
      <c r="D480" s="131"/>
      <c r="E480" s="34" t="s">
        <v>228</v>
      </c>
      <c r="F480" s="6" t="s">
        <v>846</v>
      </c>
      <c r="G480" s="13">
        <v>21.047000000000008</v>
      </c>
      <c r="H480" s="13" t="s">
        <v>847</v>
      </c>
      <c r="I480" s="115"/>
      <c r="J480" s="113"/>
      <c r="K480" s="113"/>
      <c r="L480" s="113"/>
      <c r="M480" s="113"/>
      <c r="N480" s="113"/>
      <c r="O480" s="115"/>
      <c r="P480" s="117"/>
      <c r="Q480" s="90" t="s">
        <v>300</v>
      </c>
      <c r="U480" s="87"/>
      <c r="Y480" s="113"/>
      <c r="Z480" s="113"/>
      <c r="AC480" s="111"/>
      <c r="AD480" s="111"/>
    </row>
    <row r="481" spans="1:33">
      <c r="A481" s="27" t="s">
        <v>1000</v>
      </c>
      <c r="B481" s="129" t="s">
        <v>848</v>
      </c>
      <c r="C481" s="131" t="s">
        <v>209</v>
      </c>
      <c r="D481" s="131" t="s">
        <v>40</v>
      </c>
      <c r="E481" s="34" t="s">
        <v>227</v>
      </c>
      <c r="F481" s="6" t="s">
        <v>207</v>
      </c>
      <c r="G481" s="13">
        <v>21.41565000000001</v>
      </c>
      <c r="H481" s="13" t="s">
        <v>461</v>
      </c>
      <c r="I481" s="114" t="s">
        <v>849</v>
      </c>
      <c r="J481" s="112">
        <v>0.35</v>
      </c>
      <c r="K481" s="112">
        <v>0.39590000000000458</v>
      </c>
      <c r="L481" s="112">
        <v>0.14779689920027869</v>
      </c>
      <c r="M481" s="112">
        <v>0.3</v>
      </c>
      <c r="N481" s="112">
        <v>1</v>
      </c>
      <c r="O481" s="114" t="s">
        <v>312</v>
      </c>
      <c r="P481" s="116" t="s">
        <v>312</v>
      </c>
      <c r="Q481" s="90"/>
      <c r="U481" s="87"/>
      <c r="Y481" s="112" t="str">
        <f>IF(V481="","",
IF(AND(V481&gt;=$V$12,V481&lt;$V$13),$V$12,
IF(AND(V481&gt;=$V$13,V481&lt;$V$14),$V$13,
IF(AND(V481&gt;=$V$14,V481&lt;$V$15),$V$14,
IF(AND(V481&gt;=$V$15,V481&lt;$V$16),$V$15,
IF(AND(V481&gt;=$V$16,V481&lt;$V$17),$V$16,""))))))</f>
        <v/>
      </c>
      <c r="Z481" s="112">
        <v>1</v>
      </c>
      <c r="AC481" s="111">
        <f>IF(J481="","",VLOOKUP(F482,[1]dim!$A:$F,6,FALSE))</f>
        <v>0.35</v>
      </c>
      <c r="AD481" s="111">
        <f>IF(J481="","",VLOOKUP(F482,[1]dim!$A:$G,7,FALSE))</f>
        <v>0.32556709491456592</v>
      </c>
      <c r="AF481">
        <v>0.35</v>
      </c>
      <c r="AG481">
        <v>0.32556709491456592</v>
      </c>
    </row>
    <row r="482" spans="1:33">
      <c r="A482" s="27"/>
      <c r="B482" s="129"/>
      <c r="C482" s="131"/>
      <c r="D482" s="131"/>
      <c r="E482" s="34" t="s">
        <v>228</v>
      </c>
      <c r="F482" s="6" t="s">
        <v>850</v>
      </c>
      <c r="G482" s="13">
        <v>21.019750000000005</v>
      </c>
      <c r="H482" s="13" t="s">
        <v>851</v>
      </c>
      <c r="I482" s="115"/>
      <c r="J482" s="113"/>
      <c r="K482" s="113"/>
      <c r="L482" s="113"/>
      <c r="M482" s="113"/>
      <c r="N482" s="113"/>
      <c r="O482" s="115"/>
      <c r="P482" s="117"/>
      <c r="Q482" s="90"/>
      <c r="U482" s="87"/>
      <c r="Y482" s="113"/>
      <c r="Z482" s="113"/>
      <c r="AC482" s="111"/>
      <c r="AD482" s="111"/>
    </row>
    <row r="483" spans="1:33">
      <c r="A483" s="27" t="s">
        <v>1001</v>
      </c>
      <c r="B483" s="129" t="s">
        <v>852</v>
      </c>
      <c r="C483" s="131" t="s">
        <v>853</v>
      </c>
      <c r="D483" s="131" t="s">
        <v>40</v>
      </c>
      <c r="E483" s="34" t="s">
        <v>227</v>
      </c>
      <c r="F483" s="6" t="s">
        <v>210</v>
      </c>
      <c r="G483" s="13">
        <v>21.254750000000008</v>
      </c>
      <c r="H483" s="13" t="s">
        <v>463</v>
      </c>
      <c r="I483" s="114" t="s">
        <v>854</v>
      </c>
      <c r="J483" s="112">
        <v>0.45</v>
      </c>
      <c r="K483" s="112">
        <v>0.30000000000000071</v>
      </c>
      <c r="L483" s="112">
        <v>0.10624628858638999</v>
      </c>
      <c r="M483" s="174">
        <v>0.5</v>
      </c>
      <c r="N483" s="112">
        <v>1</v>
      </c>
      <c r="O483" s="114" t="s">
        <v>312</v>
      </c>
      <c r="P483" s="116" t="s">
        <v>312</v>
      </c>
      <c r="Q483" s="90"/>
      <c r="U483" s="87"/>
      <c r="Y483" s="112" t="str">
        <f>IF(V483="","",
IF(AND(V483&gt;=$V$12,V483&lt;$V$13),$V$12,
IF(AND(V483&gt;=$V$13,V483&lt;$V$14),$V$13,
IF(AND(V483&gt;=$V$14,V483&lt;$V$15),$V$14,
IF(AND(V483&gt;=$V$15,V483&lt;$V$16),$V$15,
IF(AND(V483&gt;=$V$16,V483&lt;$V$17),$V$16,""))))))</f>
        <v/>
      </c>
      <c r="Z483" s="112">
        <v>1</v>
      </c>
      <c r="AC483" s="111">
        <f>IF(J483="","",VLOOKUP(F484,[1]dim!$A:$F,6,FALSE))</f>
        <v>0.45</v>
      </c>
      <c r="AD483" s="111">
        <f>IF(J483="","",VLOOKUP(F484,[1]dim!$A:$G,7,FALSE))</f>
        <v>0.42345085861555692</v>
      </c>
      <c r="AF483">
        <v>0.45</v>
      </c>
      <c r="AG483">
        <v>0.42345085861555692</v>
      </c>
    </row>
    <row r="484" spans="1:33">
      <c r="A484" s="27"/>
      <c r="B484" s="129"/>
      <c r="C484" s="131"/>
      <c r="D484" s="131"/>
      <c r="E484" s="34" t="s">
        <v>228</v>
      </c>
      <c r="F484" s="6" t="s">
        <v>855</v>
      </c>
      <c r="G484" s="13">
        <v>20.954750000000008</v>
      </c>
      <c r="H484" s="13" t="s">
        <v>856</v>
      </c>
      <c r="I484" s="115"/>
      <c r="J484" s="113"/>
      <c r="K484" s="113"/>
      <c r="L484" s="113"/>
      <c r="M484" s="175"/>
      <c r="N484" s="113"/>
      <c r="O484" s="115"/>
      <c r="P484" s="117"/>
      <c r="Q484" s="90"/>
      <c r="U484" s="87"/>
      <c r="Y484" s="113"/>
      <c r="Z484" s="113"/>
      <c r="AC484" s="111"/>
      <c r="AD484" s="111"/>
    </row>
    <row r="485" spans="1:33">
      <c r="A485" s="27" t="s">
        <v>1002</v>
      </c>
      <c r="B485" s="129" t="s">
        <v>852</v>
      </c>
      <c r="C485" s="131" t="s">
        <v>853</v>
      </c>
      <c r="D485" s="131" t="s">
        <v>40</v>
      </c>
      <c r="E485" s="34" t="s">
        <v>227</v>
      </c>
      <c r="F485" s="6" t="s">
        <v>210</v>
      </c>
      <c r="G485" s="13">
        <v>21.254750000000008</v>
      </c>
      <c r="H485" s="13" t="s">
        <v>463</v>
      </c>
      <c r="I485" s="114" t="s">
        <v>857</v>
      </c>
      <c r="J485" s="112">
        <v>0.3</v>
      </c>
      <c r="K485" s="112">
        <v>0.7917500000000004</v>
      </c>
      <c r="L485" s="112">
        <v>0.16499976410645353</v>
      </c>
      <c r="M485" s="112">
        <v>0.3</v>
      </c>
      <c r="N485" s="112">
        <v>1</v>
      </c>
      <c r="O485" s="114" t="s">
        <v>312</v>
      </c>
      <c r="P485" s="116" t="s">
        <v>312</v>
      </c>
      <c r="Q485" s="90"/>
      <c r="U485" s="87"/>
      <c r="Y485" s="112" t="str">
        <f>IF(V485="","",
IF(AND(V485&gt;=$V$12,V485&lt;$V$13),$V$12,
IF(AND(V485&gt;=$V$13,V485&lt;$V$14),$V$13,
IF(AND(V485&gt;=$V$14,V485&lt;$V$15),$V$14,
IF(AND(V485&gt;=$V$15,V485&lt;$V$16),$V$15,
IF(AND(V485&gt;=$V$16,V485&lt;$V$17),$V$16,""))))))</f>
        <v/>
      </c>
      <c r="Z485" s="112">
        <v>1</v>
      </c>
      <c r="AC485" s="111">
        <f>IF(J485="","",VLOOKUP(F486,[1]dim!$A:$F,6,FALSE))</f>
        <v>0.3</v>
      </c>
      <c r="AD485" s="111">
        <f>IF(J485="","",VLOOKUP(F486,[1]dim!$A:$G,7,FALSE))</f>
        <v>0.26957675461177327</v>
      </c>
      <c r="AF485">
        <v>0.3</v>
      </c>
      <c r="AG485">
        <v>0.26957675461177327</v>
      </c>
    </row>
    <row r="486" spans="1:33">
      <c r="A486" s="27"/>
      <c r="B486" s="129"/>
      <c r="C486" s="131"/>
      <c r="D486" s="131"/>
      <c r="E486" s="34" t="s">
        <v>228</v>
      </c>
      <c r="F486" s="6" t="s">
        <v>858</v>
      </c>
      <c r="G486" s="13">
        <v>20.463000000000008</v>
      </c>
      <c r="H486" s="13" t="s">
        <v>859</v>
      </c>
      <c r="I486" s="115"/>
      <c r="J486" s="113"/>
      <c r="K486" s="113"/>
      <c r="L486" s="113"/>
      <c r="M486" s="113"/>
      <c r="N486" s="113"/>
      <c r="O486" s="115"/>
      <c r="P486" s="117"/>
      <c r="Q486" s="90"/>
      <c r="U486" s="87"/>
      <c r="Y486" s="113"/>
      <c r="Z486" s="113"/>
      <c r="AC486" s="111"/>
      <c r="AD486" s="111"/>
    </row>
    <row r="487" spans="1:33">
      <c r="A487" s="27" t="s">
        <v>1003</v>
      </c>
      <c r="B487" s="129" t="s">
        <v>860</v>
      </c>
      <c r="C487" s="131" t="s">
        <v>861</v>
      </c>
      <c r="D487" s="131" t="s">
        <v>40</v>
      </c>
      <c r="E487" s="34" t="s">
        <v>227</v>
      </c>
      <c r="F487" s="6" t="s">
        <v>212</v>
      </c>
      <c r="G487" s="13">
        <v>20.50350000000001</v>
      </c>
      <c r="H487" s="13" t="s">
        <v>467</v>
      </c>
      <c r="I487" s="114" t="s">
        <v>862</v>
      </c>
      <c r="J487" s="112">
        <v>0.45</v>
      </c>
      <c r="K487" s="112">
        <v>1.2992500000000042</v>
      </c>
      <c r="L487" s="112">
        <v>5.8539580867236013E-2</v>
      </c>
      <c r="M487" s="112">
        <v>0.4</v>
      </c>
      <c r="N487" s="112">
        <v>1</v>
      </c>
      <c r="O487" s="114" t="s">
        <v>312</v>
      </c>
      <c r="P487" s="116" t="s">
        <v>312</v>
      </c>
      <c r="Q487" s="90"/>
      <c r="U487" s="87"/>
      <c r="Y487" s="112" t="str">
        <f>IF(V487="","",
IF(AND(V487&gt;=$V$12,V487&lt;$V$13),$V$12,
IF(AND(V487&gt;=$V$13,V487&lt;$V$14),$V$13,
IF(AND(V487&gt;=$V$14,V487&lt;$V$15),$V$14,
IF(AND(V487&gt;=$V$15,V487&lt;$V$16),$V$15,
IF(AND(V487&gt;=$V$16,V487&lt;$V$17),$V$16,""))))))</f>
        <v/>
      </c>
      <c r="Z487" s="112">
        <v>1</v>
      </c>
      <c r="AC487" s="111">
        <f>IF(J487="","",VLOOKUP(F488,[1]dim!$A:$F,6,FALSE))</f>
        <v>0.45</v>
      </c>
      <c r="AD487" s="111">
        <f>IF(J487="","",VLOOKUP(F488,[1]dim!$A:$G,7,FALSE))</f>
        <v>0.39172026944102462</v>
      </c>
      <c r="AF487">
        <v>0.45</v>
      </c>
      <c r="AG487">
        <v>0.39172026944102462</v>
      </c>
    </row>
    <row r="488" spans="1:33">
      <c r="A488" s="27"/>
      <c r="B488" s="129"/>
      <c r="C488" s="131"/>
      <c r="D488" s="131"/>
      <c r="E488" s="34" t="s">
        <v>228</v>
      </c>
      <c r="F488" s="6" t="s">
        <v>863</v>
      </c>
      <c r="G488" s="13">
        <v>19.204250000000005</v>
      </c>
      <c r="H488" s="13" t="s">
        <v>864</v>
      </c>
      <c r="I488" s="115"/>
      <c r="J488" s="113"/>
      <c r="K488" s="113"/>
      <c r="L488" s="113"/>
      <c r="M488" s="113"/>
      <c r="N488" s="113"/>
      <c r="O488" s="115"/>
      <c r="P488" s="117"/>
      <c r="Q488" s="90"/>
      <c r="U488" s="87"/>
      <c r="Y488" s="113"/>
      <c r="Z488" s="113"/>
      <c r="AC488" s="111"/>
      <c r="AD488" s="111"/>
    </row>
    <row r="489" spans="1:33">
      <c r="A489" s="27" t="s">
        <v>1004</v>
      </c>
      <c r="B489" s="129" t="s">
        <v>860</v>
      </c>
      <c r="C489" s="131" t="s">
        <v>861</v>
      </c>
      <c r="D489" s="131" t="s">
        <v>40</v>
      </c>
      <c r="E489" s="34" t="s">
        <v>227</v>
      </c>
      <c r="F489" s="6" t="s">
        <v>212</v>
      </c>
      <c r="G489" s="13">
        <v>20.50350000000001</v>
      </c>
      <c r="H489" s="13" t="s">
        <v>467</v>
      </c>
      <c r="I489" s="114" t="s">
        <v>865</v>
      </c>
      <c r="J489" s="112">
        <v>0.35</v>
      </c>
      <c r="K489" s="112">
        <v>0.30000000000000071</v>
      </c>
      <c r="L489" s="112">
        <v>8.2552365956076554E-2</v>
      </c>
      <c r="M489" s="112">
        <v>0.3</v>
      </c>
      <c r="N489" s="112">
        <v>1</v>
      </c>
      <c r="O489" s="114" t="s">
        <v>312</v>
      </c>
      <c r="P489" s="116" t="s">
        <v>312</v>
      </c>
      <c r="Q489" s="90"/>
      <c r="U489" s="87"/>
      <c r="Y489" s="112" t="str">
        <f>IF(V489="","",
IF(AND(V489&gt;=$V$12,V489&lt;$V$13),$V$12,
IF(AND(V489&gt;=$V$13,V489&lt;$V$14),$V$13,
IF(AND(V489&gt;=$V$14,V489&lt;$V$15),$V$14,
IF(AND(V489&gt;=$V$15,V489&lt;$V$16),$V$15,
IF(AND(V489&gt;=$V$16,V489&lt;$V$17),$V$16,""))))))</f>
        <v/>
      </c>
      <c r="Z489" s="112">
        <v>1</v>
      </c>
      <c r="AC489" s="111">
        <f>IF(J489="","",VLOOKUP(F490,[1]dim!$A:$F,6,FALSE))</f>
        <v>0.35</v>
      </c>
      <c r="AD489" s="111">
        <f>IF(J489="","",VLOOKUP(F490,[1]dim!$A:$G,7,FALSE))</f>
        <v>0.33326704609053015</v>
      </c>
      <c r="AF489">
        <v>0.35</v>
      </c>
      <c r="AG489">
        <v>0.33326704609053015</v>
      </c>
    </row>
    <row r="490" spans="1:33">
      <c r="A490" s="27"/>
      <c r="B490" s="129"/>
      <c r="C490" s="131"/>
      <c r="D490" s="131"/>
      <c r="E490" s="34" t="s">
        <v>228</v>
      </c>
      <c r="F490" s="6" t="s">
        <v>866</v>
      </c>
      <c r="G490" s="13">
        <v>20.203500000000009</v>
      </c>
      <c r="H490" s="13" t="s">
        <v>867</v>
      </c>
      <c r="I490" s="115"/>
      <c r="J490" s="113"/>
      <c r="K490" s="113"/>
      <c r="L490" s="113"/>
      <c r="M490" s="113"/>
      <c r="N490" s="113"/>
      <c r="O490" s="115"/>
      <c r="P490" s="117"/>
      <c r="Q490" s="90"/>
      <c r="U490" s="87"/>
      <c r="Y490" s="113"/>
      <c r="Z490" s="113"/>
      <c r="AC490" s="111"/>
      <c r="AD490" s="111"/>
    </row>
    <row r="491" spans="1:33">
      <c r="A491" s="27" t="s">
        <v>1005</v>
      </c>
      <c r="B491" s="129" t="s">
        <v>868</v>
      </c>
      <c r="C491" s="131" t="s">
        <v>190</v>
      </c>
      <c r="D491" s="131" t="s">
        <v>40</v>
      </c>
      <c r="E491" s="34" t="s">
        <v>227</v>
      </c>
      <c r="F491" s="6" t="s">
        <v>188</v>
      </c>
      <c r="G491" s="13">
        <v>21.423113000000008</v>
      </c>
      <c r="H491" s="13" t="s">
        <v>445</v>
      </c>
      <c r="I491" s="114" t="s">
        <v>869</v>
      </c>
      <c r="J491" s="112">
        <v>0.45</v>
      </c>
      <c r="K491" s="112">
        <v>0.98286300000000182</v>
      </c>
      <c r="L491" s="112">
        <v>0.29746452831967862</v>
      </c>
      <c r="M491" s="112">
        <v>0.4</v>
      </c>
      <c r="N491" s="112">
        <v>1</v>
      </c>
      <c r="O491" s="114" t="s">
        <v>312</v>
      </c>
      <c r="P491" s="116" t="s">
        <v>312</v>
      </c>
      <c r="Q491" s="91">
        <v>0.7</v>
      </c>
      <c r="U491" s="87"/>
      <c r="Y491" s="112" t="str">
        <f>IF(V491="","",
IF(AND(V491&gt;=$V$12,V491&lt;$V$13),$V$12,
IF(AND(V491&gt;=$V$13,V491&lt;$V$14),$V$13,
IF(AND(V491&gt;=$V$14,V491&lt;$V$15),$V$14,
IF(AND(V491&gt;=$V$15,V491&lt;$V$16),$V$15,
IF(AND(V491&gt;=$V$16,V491&lt;$V$17),$V$16,""))))))</f>
        <v/>
      </c>
      <c r="Z491" s="112">
        <v>1</v>
      </c>
      <c r="AC491" s="111">
        <f>IF(J491="","",VLOOKUP(F492,[1]dim!$A:$F,6,FALSE))</f>
        <v>0.45</v>
      </c>
      <c r="AD491" s="111">
        <f>IF(J491="","",VLOOKUP(F492,[1]dim!$A:$G,7,FALSE))</f>
        <v>0.38332810544726065</v>
      </c>
      <c r="AF491">
        <v>0.45</v>
      </c>
      <c r="AG491">
        <v>0.38332810544726065</v>
      </c>
    </row>
    <row r="492" spans="1:33">
      <c r="A492" s="27"/>
      <c r="B492" s="129"/>
      <c r="C492" s="131"/>
      <c r="D492" s="131"/>
      <c r="E492" s="34" t="s">
        <v>228</v>
      </c>
      <c r="F492" s="6" t="s">
        <v>870</v>
      </c>
      <c r="G492" s="13">
        <v>20.440250000000006</v>
      </c>
      <c r="H492" s="13" t="s">
        <v>871</v>
      </c>
      <c r="I492" s="115"/>
      <c r="J492" s="113"/>
      <c r="K492" s="113"/>
      <c r="L492" s="113"/>
      <c r="M492" s="113"/>
      <c r="N492" s="113"/>
      <c r="O492" s="115"/>
      <c r="P492" s="117"/>
      <c r="Q492" s="90" t="s">
        <v>300</v>
      </c>
      <c r="U492" s="87"/>
      <c r="Y492" s="113"/>
      <c r="Z492" s="113"/>
      <c r="AC492" s="111"/>
      <c r="AD492" s="111"/>
    </row>
    <row r="493" spans="1:33">
      <c r="A493" s="27" t="s">
        <v>1006</v>
      </c>
      <c r="B493" s="129" t="s">
        <v>872</v>
      </c>
      <c r="C493" s="131" t="s">
        <v>193</v>
      </c>
      <c r="D493" s="131" t="s">
        <v>40</v>
      </c>
      <c r="E493" s="34" t="s">
        <v>227</v>
      </c>
      <c r="F493" s="6" t="s">
        <v>191</v>
      </c>
      <c r="G493" s="13">
        <v>21.095238000000005</v>
      </c>
      <c r="H493" s="13" t="s">
        <v>446</v>
      </c>
      <c r="I493" s="114" t="s">
        <v>873</v>
      </c>
      <c r="J493" s="112">
        <v>0.3</v>
      </c>
      <c r="K493" s="112">
        <v>1.7112380000000016</v>
      </c>
      <c r="L493" s="112">
        <v>0.45023221837849287</v>
      </c>
      <c r="M493" s="112">
        <v>0.3</v>
      </c>
      <c r="N493" s="112">
        <v>1</v>
      </c>
      <c r="O493" s="114" t="s">
        <v>312</v>
      </c>
      <c r="P493" s="116" t="s">
        <v>312</v>
      </c>
      <c r="Q493" s="90"/>
      <c r="U493" s="87"/>
      <c r="Y493" s="112" t="str">
        <f>IF(V493="","",
IF(AND(V493&gt;=$V$12,V493&lt;$V$13),$V$12,
IF(AND(V493&gt;=$V$13,V493&lt;$V$14),$V$13,
IF(AND(V493&gt;=$V$14,V493&lt;$V$15),$V$14,
IF(AND(V493&gt;=$V$15,V493&lt;$V$16),$V$15,
IF(AND(V493&gt;=$V$16,V493&lt;$V$17),$V$16,""))))))</f>
        <v/>
      </c>
      <c r="Z493" s="112">
        <v>1</v>
      </c>
      <c r="AC493" s="111">
        <f>IF(J493="","",VLOOKUP(F494,[1]dim!$A:$F,6,FALSE))</f>
        <v>0.3</v>
      </c>
      <c r="AD493" s="111">
        <f>IF(J493="","",VLOOKUP(F494,[1]dim!$A:$G,7,FALSE))</f>
        <v>0.18819437534024519</v>
      </c>
      <c r="AF493">
        <v>0.3</v>
      </c>
      <c r="AG493">
        <v>0.18819437534024519</v>
      </c>
    </row>
    <row r="494" spans="1:33">
      <c r="A494" s="27"/>
      <c r="B494" s="129"/>
      <c r="C494" s="131"/>
      <c r="D494" s="131"/>
      <c r="E494" s="34" t="s">
        <v>228</v>
      </c>
      <c r="F494" s="6" t="s">
        <v>874</v>
      </c>
      <c r="G494" s="13">
        <v>19.384000000000004</v>
      </c>
      <c r="H494" s="13" t="s">
        <v>875</v>
      </c>
      <c r="I494" s="115"/>
      <c r="J494" s="113"/>
      <c r="K494" s="113"/>
      <c r="L494" s="113"/>
      <c r="M494" s="113"/>
      <c r="N494" s="113"/>
      <c r="O494" s="115"/>
      <c r="P494" s="117"/>
      <c r="Q494" s="90"/>
      <c r="U494" s="87"/>
      <c r="Y494" s="113"/>
      <c r="Z494" s="113"/>
      <c r="AC494" s="111"/>
      <c r="AD494" s="111"/>
    </row>
    <row r="495" spans="1:33">
      <c r="A495" s="27" t="s">
        <v>1007</v>
      </c>
      <c r="B495" s="129" t="s">
        <v>872</v>
      </c>
      <c r="C495" s="131" t="s">
        <v>193</v>
      </c>
      <c r="D495" s="131" t="s">
        <v>40</v>
      </c>
      <c r="E495" s="34" t="s">
        <v>227</v>
      </c>
      <c r="F495" s="6" t="s">
        <v>191</v>
      </c>
      <c r="G495" s="13">
        <v>21.095238000000005</v>
      </c>
      <c r="H495" s="13" t="s">
        <v>446</v>
      </c>
      <c r="I495" s="114" t="s">
        <v>876</v>
      </c>
      <c r="J495" s="112">
        <v>0.3</v>
      </c>
      <c r="K495" s="112">
        <v>2.1442380000000014</v>
      </c>
      <c r="L495" s="112">
        <v>0.28453866221364577</v>
      </c>
      <c r="M495" s="112">
        <v>0.3</v>
      </c>
      <c r="N495" s="112">
        <v>1</v>
      </c>
      <c r="O495" s="114" t="s">
        <v>312</v>
      </c>
      <c r="P495" s="116" t="s">
        <v>312</v>
      </c>
      <c r="Q495" s="90"/>
      <c r="U495" s="87"/>
      <c r="Y495" s="112" t="str">
        <f>IF(V495="","",
IF(AND(V495&gt;=$V$12,V495&lt;$V$13),$V$12,
IF(AND(V495&gt;=$V$13,V495&lt;$V$14),$V$13,
IF(AND(V495&gt;=$V$14,V495&lt;$V$15),$V$14,
IF(AND(V495&gt;=$V$15,V495&lt;$V$16),$V$15,
IF(AND(V495&gt;=$V$16,V495&lt;$V$17),$V$16,""))))))</f>
        <v/>
      </c>
      <c r="Z495" s="112">
        <v>1</v>
      </c>
      <c r="AC495" s="111">
        <f>IF(J495="","",VLOOKUP(F496,[1]dim!$A:$F,6,FALSE))</f>
        <v>0.3</v>
      </c>
      <c r="AD495" s="111">
        <f>IF(J495="","",VLOOKUP(F496,[1]dim!$A:$G,7,FALSE))</f>
        <v>0.22327164076703876</v>
      </c>
      <c r="AF495">
        <v>0.3</v>
      </c>
      <c r="AG495">
        <v>0.22327164076703876</v>
      </c>
    </row>
    <row r="496" spans="1:33">
      <c r="A496" s="27"/>
      <c r="B496" s="129"/>
      <c r="C496" s="131"/>
      <c r="D496" s="131"/>
      <c r="E496" s="34" t="s">
        <v>228</v>
      </c>
      <c r="F496" s="6" t="s">
        <v>877</v>
      </c>
      <c r="G496" s="13">
        <v>18.951000000000004</v>
      </c>
      <c r="H496" s="13" t="s">
        <v>878</v>
      </c>
      <c r="I496" s="115"/>
      <c r="J496" s="113"/>
      <c r="K496" s="113"/>
      <c r="L496" s="113"/>
      <c r="M496" s="113"/>
      <c r="N496" s="113"/>
      <c r="O496" s="115"/>
      <c r="P496" s="117"/>
      <c r="Q496" s="90"/>
      <c r="U496" s="87"/>
      <c r="Y496" s="113"/>
      <c r="Z496" s="113"/>
      <c r="AC496" s="111"/>
      <c r="AD496" s="111"/>
    </row>
    <row r="497" spans="1:33">
      <c r="A497" s="27" t="s">
        <v>1008</v>
      </c>
      <c r="B497" s="129" t="s">
        <v>872</v>
      </c>
      <c r="C497" s="131" t="s">
        <v>193</v>
      </c>
      <c r="D497" s="131" t="s">
        <v>40</v>
      </c>
      <c r="E497" s="34" t="s">
        <v>227</v>
      </c>
      <c r="F497" s="6" t="s">
        <v>191</v>
      </c>
      <c r="G497" s="13">
        <v>21.095238000000005</v>
      </c>
      <c r="H497" s="13" t="s">
        <v>446</v>
      </c>
      <c r="I497" s="114" t="s">
        <v>879</v>
      </c>
      <c r="J497" s="112">
        <v>0.3</v>
      </c>
      <c r="K497" s="112">
        <v>1.6722380000000001</v>
      </c>
      <c r="L497" s="112">
        <v>0.41346800831238234</v>
      </c>
      <c r="M497" s="112">
        <v>0.3</v>
      </c>
      <c r="N497" s="112">
        <v>1</v>
      </c>
      <c r="O497" s="114" t="s">
        <v>312</v>
      </c>
      <c r="P497" s="116" t="s">
        <v>312</v>
      </c>
      <c r="Q497" s="90"/>
      <c r="U497" s="87"/>
      <c r="Y497" s="112" t="str">
        <f>IF(V497="","",
IF(AND(V497&gt;=$V$12,V497&lt;$V$13),$V$12,
IF(AND(V497&gt;=$V$13,V497&lt;$V$14),$V$13,
IF(AND(V497&gt;=$V$14,V497&lt;$V$15),$V$14,
IF(AND(V497&gt;=$V$15,V497&lt;$V$16),$V$15,
IF(AND(V497&gt;=$V$16,V497&lt;$V$17),$V$16,""))))))</f>
        <v/>
      </c>
      <c r="Z497" s="112">
        <v>1</v>
      </c>
      <c r="AC497" s="111">
        <f>IF(J497="","",VLOOKUP(F498,[1]dim!$A:$F,6,FALSE))</f>
        <v>0.3</v>
      </c>
      <c r="AD497" s="111">
        <f>IF(J497="","",VLOOKUP(F498,[1]dim!$A:$G,7,FALSE))</f>
        <v>0.22327164076703876</v>
      </c>
      <c r="AF497">
        <v>0.3</v>
      </c>
      <c r="AG497">
        <v>0.22327164076703876</v>
      </c>
    </row>
    <row r="498" spans="1:33">
      <c r="A498" s="27"/>
      <c r="B498" s="129"/>
      <c r="C498" s="131"/>
      <c r="D498" s="131"/>
      <c r="E498" s="34" t="s">
        <v>228</v>
      </c>
      <c r="F498" s="6" t="s">
        <v>880</v>
      </c>
      <c r="G498" s="13">
        <v>19.423000000000005</v>
      </c>
      <c r="H498" s="13" t="s">
        <v>881</v>
      </c>
      <c r="I498" s="115"/>
      <c r="J498" s="113"/>
      <c r="K498" s="113"/>
      <c r="L498" s="113"/>
      <c r="M498" s="113"/>
      <c r="N498" s="113"/>
      <c r="O498" s="115"/>
      <c r="P498" s="117"/>
      <c r="Q498" s="90"/>
      <c r="U498" s="87"/>
      <c r="Y498" s="113"/>
      <c r="Z498" s="113"/>
      <c r="AC498" s="111"/>
      <c r="AD498" s="111"/>
    </row>
    <row r="499" spans="1:33">
      <c r="A499" s="27" t="s">
        <v>1009</v>
      </c>
      <c r="B499" s="132" t="s">
        <v>882</v>
      </c>
      <c r="C499" s="114" t="s">
        <v>883</v>
      </c>
      <c r="D499" s="136" t="s">
        <v>301</v>
      </c>
      <c r="E499" s="34" t="s">
        <v>227</v>
      </c>
      <c r="F499" s="6" t="s">
        <v>197</v>
      </c>
      <c r="G499" s="13">
        <v>19.753250000000005</v>
      </c>
      <c r="H499" s="13" t="s">
        <v>450</v>
      </c>
      <c r="I499" s="114"/>
      <c r="J499" s="112"/>
      <c r="K499" s="112"/>
      <c r="L499" s="112"/>
      <c r="M499" s="112" t="s">
        <v>302</v>
      </c>
      <c r="N499" s="112"/>
      <c r="O499" s="114"/>
      <c r="P499" s="116"/>
      <c r="Q499" s="90"/>
      <c r="U499" s="87"/>
      <c r="Y499" s="112" t="str">
        <f>IF(V499="","",
IF(AND(V499&gt;=$V$12,V499&lt;$V$13),$V$12,
IF(AND(V499&gt;=$V$13,V499&lt;$V$14),$V$13,
IF(AND(V499&gt;=$V$14,V499&lt;$V$15),$V$14,
IF(AND(V499&gt;=$V$15,V499&lt;$V$16),$V$15,
IF(AND(V499&gt;=$V$16,V499&lt;$V$17),$V$16,""))))))</f>
        <v/>
      </c>
      <c r="Z499" s="112"/>
      <c r="AC499" s="111" t="str">
        <f>IF(J499="","",VLOOKUP(F500,[1]dim!$A:$F,6,FALSE))</f>
        <v/>
      </c>
      <c r="AD499" s="111" t="str">
        <f>IF(J499="","",VLOOKUP(F500,[1]dim!$A:$G,7,FALSE))</f>
        <v/>
      </c>
      <c r="AF499" t="s">
        <v>302</v>
      </c>
      <c r="AG499" t="s">
        <v>302</v>
      </c>
    </row>
    <row r="500" spans="1:33">
      <c r="A500" s="27"/>
      <c r="B500" s="133"/>
      <c r="C500" s="115"/>
      <c r="D500" s="137"/>
      <c r="E500" s="34" t="s">
        <v>228</v>
      </c>
      <c r="F500" s="6" t="s">
        <v>884</v>
      </c>
      <c r="G500" s="13"/>
      <c r="H500" s="102" t="s">
        <v>303</v>
      </c>
      <c r="I500" s="115"/>
      <c r="J500" s="113"/>
      <c r="K500" s="113"/>
      <c r="L500" s="113"/>
      <c r="M500" s="113"/>
      <c r="N500" s="113"/>
      <c r="O500" s="115"/>
      <c r="P500" s="117"/>
      <c r="Q500" s="90"/>
      <c r="U500" s="87"/>
      <c r="Y500" s="113"/>
      <c r="Z500" s="113"/>
      <c r="AC500" s="111"/>
      <c r="AD500" s="111"/>
    </row>
    <row r="501" spans="1:33">
      <c r="A501" s="27" t="s">
        <v>1009</v>
      </c>
      <c r="B501" s="132" t="s">
        <v>882</v>
      </c>
      <c r="C501" s="114" t="s">
        <v>883</v>
      </c>
      <c r="D501" s="136" t="s">
        <v>301</v>
      </c>
      <c r="E501" s="34" t="s">
        <v>227</v>
      </c>
      <c r="F501" s="6" t="s">
        <v>197</v>
      </c>
      <c r="G501" s="13">
        <v>19.753250000000005</v>
      </c>
      <c r="H501" s="13" t="s">
        <v>450</v>
      </c>
      <c r="I501" s="114"/>
      <c r="J501" s="112"/>
      <c r="K501" s="112"/>
      <c r="L501" s="112"/>
      <c r="M501" s="112" t="s">
        <v>302</v>
      </c>
      <c r="N501" s="112"/>
      <c r="O501" s="114"/>
      <c r="P501" s="116"/>
      <c r="Q501" s="90"/>
      <c r="U501" s="87"/>
      <c r="Y501" s="112" t="str">
        <f>IF(V501="","",
IF(AND(V501&gt;=$V$12,V501&lt;$V$13),$V$12,
IF(AND(V501&gt;=$V$13,V501&lt;$V$14),$V$13,
IF(AND(V501&gt;=$V$14,V501&lt;$V$15),$V$14,
IF(AND(V501&gt;=$V$15,V501&lt;$V$16),$V$15,
IF(AND(V501&gt;=$V$16,V501&lt;$V$17),$V$16,""))))))</f>
        <v/>
      </c>
      <c r="Z501" s="112"/>
      <c r="AC501" s="111" t="str">
        <f>IF(J501="","",VLOOKUP(F502,[1]dim!$A:$F,6,FALSE))</f>
        <v/>
      </c>
      <c r="AD501" s="111" t="str">
        <f>IF(J501="","",VLOOKUP(F502,[1]dim!$A:$G,7,FALSE))</f>
        <v/>
      </c>
      <c r="AF501" t="s">
        <v>302</v>
      </c>
      <c r="AG501" t="s">
        <v>302</v>
      </c>
    </row>
    <row r="502" spans="1:33">
      <c r="A502" s="27"/>
      <c r="B502" s="133"/>
      <c r="C502" s="115"/>
      <c r="D502" s="137"/>
      <c r="E502" s="34" t="s">
        <v>228</v>
      </c>
      <c r="F502" s="6" t="s">
        <v>885</v>
      </c>
      <c r="G502" s="13"/>
      <c r="H502" s="102" t="s">
        <v>303</v>
      </c>
      <c r="I502" s="115"/>
      <c r="J502" s="113"/>
      <c r="K502" s="113"/>
      <c r="L502" s="113"/>
      <c r="M502" s="113"/>
      <c r="N502" s="113"/>
      <c r="O502" s="115"/>
      <c r="P502" s="117"/>
      <c r="Q502" s="90"/>
      <c r="U502" s="87"/>
      <c r="Y502" s="113"/>
      <c r="Z502" s="113"/>
      <c r="AC502" s="111"/>
      <c r="AD502" s="111"/>
    </row>
    <row r="503" spans="1:33">
      <c r="A503" s="27" t="s">
        <v>1010</v>
      </c>
      <c r="B503" s="129" t="s">
        <v>886</v>
      </c>
      <c r="C503" s="131" t="s">
        <v>196</v>
      </c>
      <c r="D503" s="131" t="s">
        <v>40</v>
      </c>
      <c r="E503" s="34" t="s">
        <v>227</v>
      </c>
      <c r="F503" s="6" t="s">
        <v>194</v>
      </c>
      <c r="G503" s="13">
        <v>20.887100000000004</v>
      </c>
      <c r="H503" s="13" t="s">
        <v>448</v>
      </c>
      <c r="I503" s="114" t="s">
        <v>887</v>
      </c>
      <c r="J503" s="112">
        <v>0.55000000000000004</v>
      </c>
      <c r="K503" s="112">
        <v>0.32634999999999792</v>
      </c>
      <c r="L503" s="112">
        <v>0.16215412705987103</v>
      </c>
      <c r="M503" s="112">
        <v>0.6</v>
      </c>
      <c r="N503" s="112">
        <v>1</v>
      </c>
      <c r="O503" s="114" t="s">
        <v>312</v>
      </c>
      <c r="P503" s="116" t="s">
        <v>312</v>
      </c>
      <c r="Q503" s="90"/>
      <c r="U503" s="87"/>
      <c r="Y503" s="112" t="str">
        <f>IF(V503="","",
IF(AND(V503&gt;=$V$12,V503&lt;$V$13),$V$12,
IF(AND(V503&gt;=$V$13,V503&lt;$V$14),$V$13,
IF(AND(V503&gt;=$V$14,V503&lt;$V$15),$V$14,
IF(AND(V503&gt;=$V$15,V503&lt;$V$16),$V$15,
IF(AND(V503&gt;=$V$16,V503&lt;$V$17),$V$16,""))))))</f>
        <v/>
      </c>
      <c r="Z503" s="112">
        <v>1</v>
      </c>
      <c r="AC503" s="111">
        <f>IF(J503="","",VLOOKUP(F504,[1]dim!$A:$F,6,FALSE))</f>
        <v>0.55000000000000004</v>
      </c>
      <c r="AD503" s="111">
        <f>IF(J503="","",VLOOKUP(F504,[1]dim!$A:$G,7,FALSE))</f>
        <v>0.5397734748478743</v>
      </c>
      <c r="AF503">
        <v>0.55000000000000004</v>
      </c>
      <c r="AG503">
        <v>0.5397734748478743</v>
      </c>
    </row>
    <row r="504" spans="1:33" ht="15" thickBot="1">
      <c r="A504" s="27"/>
      <c r="B504" s="145"/>
      <c r="C504" s="146"/>
      <c r="D504" s="146"/>
      <c r="E504" s="44" t="s">
        <v>228</v>
      </c>
      <c r="F504" s="40" t="s">
        <v>888</v>
      </c>
      <c r="G504" s="45">
        <v>20.560750000000006</v>
      </c>
      <c r="H504" s="45" t="s">
        <v>889</v>
      </c>
      <c r="I504" s="158"/>
      <c r="J504" s="118"/>
      <c r="K504" s="118"/>
      <c r="L504" s="118"/>
      <c r="M504" s="118"/>
      <c r="N504" s="118"/>
      <c r="O504" s="158"/>
      <c r="P504" s="159"/>
      <c r="Q504" s="90"/>
      <c r="U504" s="87"/>
      <c r="Y504" s="118"/>
      <c r="Z504" s="118"/>
      <c r="AC504" s="111"/>
      <c r="AD504" s="111"/>
    </row>
    <row r="505" spans="1:33">
      <c r="Q505" s="90"/>
    </row>
    <row r="506" spans="1:33">
      <c r="Q506" s="90"/>
    </row>
  </sheetData>
  <mergeCells count="3706">
    <mergeCell ref="Z489:Z490"/>
    <mergeCell ref="Z491:Z492"/>
    <mergeCell ref="Z493:Z494"/>
    <mergeCell ref="Z495:Z496"/>
    <mergeCell ref="Z497:Z498"/>
    <mergeCell ref="Z499:Z500"/>
    <mergeCell ref="Z501:Z502"/>
    <mergeCell ref="Z503:Z504"/>
    <mergeCell ref="Y9:Y10"/>
    <mergeCell ref="Z9:Z10"/>
    <mergeCell ref="Z455:Z456"/>
    <mergeCell ref="Z457:Z458"/>
    <mergeCell ref="Z459:Z460"/>
    <mergeCell ref="Z461:Z462"/>
    <mergeCell ref="Z463:Z464"/>
    <mergeCell ref="Z465:Z466"/>
    <mergeCell ref="Z467:Z468"/>
    <mergeCell ref="Z469:Z470"/>
    <mergeCell ref="Z471:Z472"/>
    <mergeCell ref="Z473:Z474"/>
    <mergeCell ref="Z475:Z476"/>
    <mergeCell ref="Z477:Z478"/>
    <mergeCell ref="Z479:Z480"/>
    <mergeCell ref="Z481:Z482"/>
    <mergeCell ref="Z483:Z484"/>
    <mergeCell ref="Z485:Z486"/>
    <mergeCell ref="Z487:Z488"/>
    <mergeCell ref="Z421:Z422"/>
    <mergeCell ref="Z423:Z424"/>
    <mergeCell ref="Z425:Z426"/>
    <mergeCell ref="Z427:Z428"/>
    <mergeCell ref="Z429:Z430"/>
    <mergeCell ref="Z431:Z432"/>
    <mergeCell ref="Z433:Z434"/>
    <mergeCell ref="Z435:Z436"/>
    <mergeCell ref="Z437:Z438"/>
    <mergeCell ref="Z439:Z440"/>
    <mergeCell ref="Z441:Z442"/>
    <mergeCell ref="Z443:Z444"/>
    <mergeCell ref="Z445:Z446"/>
    <mergeCell ref="Z447:Z448"/>
    <mergeCell ref="Z449:Z450"/>
    <mergeCell ref="Z451:Z452"/>
    <mergeCell ref="Z453:Z454"/>
    <mergeCell ref="Z387:Z388"/>
    <mergeCell ref="Z389:Z390"/>
    <mergeCell ref="Z391:Z392"/>
    <mergeCell ref="Z393:Z394"/>
    <mergeCell ref="Z395:Z396"/>
    <mergeCell ref="Z397:Z398"/>
    <mergeCell ref="Z399:Z400"/>
    <mergeCell ref="Z401:Z402"/>
    <mergeCell ref="Z403:Z404"/>
    <mergeCell ref="Z405:Z406"/>
    <mergeCell ref="Z407:Z408"/>
    <mergeCell ref="Z409:Z410"/>
    <mergeCell ref="Z411:Z412"/>
    <mergeCell ref="Z413:Z414"/>
    <mergeCell ref="Z415:Z416"/>
    <mergeCell ref="Z417:Z418"/>
    <mergeCell ref="Z419:Z420"/>
    <mergeCell ref="Z353:Z354"/>
    <mergeCell ref="Z355:Z356"/>
    <mergeCell ref="Z357:Z358"/>
    <mergeCell ref="Z359:Z360"/>
    <mergeCell ref="Z361:Z362"/>
    <mergeCell ref="Z363:Z364"/>
    <mergeCell ref="Z365:Z366"/>
    <mergeCell ref="Z367:Z368"/>
    <mergeCell ref="Z369:Z370"/>
    <mergeCell ref="Z371:Z372"/>
    <mergeCell ref="Z373:Z374"/>
    <mergeCell ref="Z375:Z376"/>
    <mergeCell ref="Z377:Z378"/>
    <mergeCell ref="Z379:Z380"/>
    <mergeCell ref="Z381:Z382"/>
    <mergeCell ref="Z383:Z384"/>
    <mergeCell ref="Z385:Z386"/>
    <mergeCell ref="Z319:Z320"/>
    <mergeCell ref="Z321:Z322"/>
    <mergeCell ref="Z323:Z324"/>
    <mergeCell ref="Z325:Z326"/>
    <mergeCell ref="Z327:Z328"/>
    <mergeCell ref="Z329:Z330"/>
    <mergeCell ref="Z331:Z332"/>
    <mergeCell ref="Z333:Z334"/>
    <mergeCell ref="Z335:Z336"/>
    <mergeCell ref="Z337:Z338"/>
    <mergeCell ref="Z339:Z340"/>
    <mergeCell ref="Z341:Z342"/>
    <mergeCell ref="Z343:Z344"/>
    <mergeCell ref="Z345:Z346"/>
    <mergeCell ref="Z347:Z348"/>
    <mergeCell ref="Z349:Z350"/>
    <mergeCell ref="Z351:Z352"/>
    <mergeCell ref="Z285:Z286"/>
    <mergeCell ref="Z287:Z288"/>
    <mergeCell ref="Z289:Z290"/>
    <mergeCell ref="Z291:Z292"/>
    <mergeCell ref="Z293:Z294"/>
    <mergeCell ref="Z295:Z296"/>
    <mergeCell ref="Z297:Z298"/>
    <mergeCell ref="Z299:Z300"/>
    <mergeCell ref="Z301:Z302"/>
    <mergeCell ref="Z303:Z304"/>
    <mergeCell ref="Z305:Z306"/>
    <mergeCell ref="Z307:Z308"/>
    <mergeCell ref="Z309:Z310"/>
    <mergeCell ref="Z311:Z312"/>
    <mergeCell ref="Z313:Z314"/>
    <mergeCell ref="Z315:Z316"/>
    <mergeCell ref="Z317:Z318"/>
    <mergeCell ref="Z251:Z252"/>
    <mergeCell ref="Z253:Z254"/>
    <mergeCell ref="Z255:Z256"/>
    <mergeCell ref="Z257:Z258"/>
    <mergeCell ref="Z259:Z260"/>
    <mergeCell ref="Z261:Z262"/>
    <mergeCell ref="Z263:Z264"/>
    <mergeCell ref="Z265:Z266"/>
    <mergeCell ref="Z267:Z268"/>
    <mergeCell ref="Z269:Z270"/>
    <mergeCell ref="Z271:Z272"/>
    <mergeCell ref="Z273:Z274"/>
    <mergeCell ref="Z275:Z276"/>
    <mergeCell ref="Z277:Z278"/>
    <mergeCell ref="Z279:Z280"/>
    <mergeCell ref="Z281:Z282"/>
    <mergeCell ref="Z283:Z284"/>
    <mergeCell ref="Z217:Z218"/>
    <mergeCell ref="Z219:Z220"/>
    <mergeCell ref="Z221:Z222"/>
    <mergeCell ref="Z223:Z224"/>
    <mergeCell ref="Z225:Z226"/>
    <mergeCell ref="Z227:Z228"/>
    <mergeCell ref="Z229:Z230"/>
    <mergeCell ref="Z231:Z232"/>
    <mergeCell ref="Z233:Z234"/>
    <mergeCell ref="Z235:Z236"/>
    <mergeCell ref="Z237:Z238"/>
    <mergeCell ref="Z239:Z240"/>
    <mergeCell ref="Z241:Z242"/>
    <mergeCell ref="Z243:Z244"/>
    <mergeCell ref="Z245:Z246"/>
    <mergeCell ref="Z247:Z248"/>
    <mergeCell ref="Z249:Z250"/>
    <mergeCell ref="Z183:Z184"/>
    <mergeCell ref="Z185:Z186"/>
    <mergeCell ref="Z187:Z188"/>
    <mergeCell ref="Z189:Z190"/>
    <mergeCell ref="Z191:Z192"/>
    <mergeCell ref="Z193:Z194"/>
    <mergeCell ref="Z195:Z196"/>
    <mergeCell ref="Z197:Z198"/>
    <mergeCell ref="Z199:Z200"/>
    <mergeCell ref="Z201:Z202"/>
    <mergeCell ref="Z203:Z204"/>
    <mergeCell ref="Z205:Z206"/>
    <mergeCell ref="Z207:Z208"/>
    <mergeCell ref="Z209:Z210"/>
    <mergeCell ref="Z211:Z212"/>
    <mergeCell ref="Z213:Z214"/>
    <mergeCell ref="Z215:Z216"/>
    <mergeCell ref="Z149:Z150"/>
    <mergeCell ref="Z151:Z152"/>
    <mergeCell ref="Z153:Z154"/>
    <mergeCell ref="Z155:Z156"/>
    <mergeCell ref="Z157:Z158"/>
    <mergeCell ref="Z159:Z160"/>
    <mergeCell ref="Z161:Z162"/>
    <mergeCell ref="Z163:Z164"/>
    <mergeCell ref="Z165:Z166"/>
    <mergeCell ref="Z167:Z168"/>
    <mergeCell ref="Z169:Z170"/>
    <mergeCell ref="Z171:Z172"/>
    <mergeCell ref="Z173:Z174"/>
    <mergeCell ref="Z175:Z176"/>
    <mergeCell ref="Z177:Z178"/>
    <mergeCell ref="Z179:Z180"/>
    <mergeCell ref="Z181:Z182"/>
    <mergeCell ref="Z115:Z116"/>
    <mergeCell ref="Z117:Z118"/>
    <mergeCell ref="Z119:Z120"/>
    <mergeCell ref="Z121:Z122"/>
    <mergeCell ref="Z123:Z124"/>
    <mergeCell ref="Z125:Z126"/>
    <mergeCell ref="Z127:Z128"/>
    <mergeCell ref="Z129:Z130"/>
    <mergeCell ref="Z131:Z132"/>
    <mergeCell ref="Z133:Z134"/>
    <mergeCell ref="Z135:Z136"/>
    <mergeCell ref="Z137:Z138"/>
    <mergeCell ref="Z139:Z140"/>
    <mergeCell ref="Z141:Z142"/>
    <mergeCell ref="Z143:Z144"/>
    <mergeCell ref="Z145:Z146"/>
    <mergeCell ref="Z147:Z148"/>
    <mergeCell ref="Z81:Z82"/>
    <mergeCell ref="Z83:Z84"/>
    <mergeCell ref="Z85:Z86"/>
    <mergeCell ref="Z87:Z88"/>
    <mergeCell ref="Z89:Z90"/>
    <mergeCell ref="Z91:Z92"/>
    <mergeCell ref="Z93:Z94"/>
    <mergeCell ref="Z95:Z96"/>
    <mergeCell ref="Z97:Z98"/>
    <mergeCell ref="Z99:Z100"/>
    <mergeCell ref="Z101:Z102"/>
    <mergeCell ref="Z103:Z104"/>
    <mergeCell ref="Z105:Z106"/>
    <mergeCell ref="Z107:Z108"/>
    <mergeCell ref="Z109:Z110"/>
    <mergeCell ref="Z111:Z112"/>
    <mergeCell ref="Z113:Z114"/>
    <mergeCell ref="Z47:Z48"/>
    <mergeCell ref="Z49:Z50"/>
    <mergeCell ref="Z51:Z52"/>
    <mergeCell ref="Z53:Z54"/>
    <mergeCell ref="Z55:Z56"/>
    <mergeCell ref="Z57:Z58"/>
    <mergeCell ref="Z59:Z60"/>
    <mergeCell ref="Z61:Z62"/>
    <mergeCell ref="Z63:Z64"/>
    <mergeCell ref="Z65:Z66"/>
    <mergeCell ref="Z67:Z68"/>
    <mergeCell ref="Z69:Z70"/>
    <mergeCell ref="Z71:Z72"/>
    <mergeCell ref="Z73:Z74"/>
    <mergeCell ref="Z75:Z76"/>
    <mergeCell ref="Z77:Z78"/>
    <mergeCell ref="Z79:Z80"/>
    <mergeCell ref="Z13:Z14"/>
    <mergeCell ref="Z15:Z16"/>
    <mergeCell ref="Z17:Z18"/>
    <mergeCell ref="Z19:Z20"/>
    <mergeCell ref="Z21:Z22"/>
    <mergeCell ref="Z23:Z24"/>
    <mergeCell ref="Z25:Z26"/>
    <mergeCell ref="Z27:Z28"/>
    <mergeCell ref="Z29:Z30"/>
    <mergeCell ref="Z31:Z32"/>
    <mergeCell ref="Z33:Z34"/>
    <mergeCell ref="Z35:Z36"/>
    <mergeCell ref="Z37:Z38"/>
    <mergeCell ref="Z39:Z40"/>
    <mergeCell ref="Z41:Z42"/>
    <mergeCell ref="Z43:Z44"/>
    <mergeCell ref="Z45:Z46"/>
    <mergeCell ref="L307:L308"/>
    <mergeCell ref="K307:K308"/>
    <mergeCell ref="J307:J308"/>
    <mergeCell ref="O285:O286"/>
    <mergeCell ref="N285:N286"/>
    <mergeCell ref="L285:L286"/>
    <mergeCell ref="K285:K286"/>
    <mergeCell ref="J285:J286"/>
    <mergeCell ref="O287:O288"/>
    <mergeCell ref="N287:N288"/>
    <mergeCell ref="L287:L288"/>
    <mergeCell ref="K287:K288"/>
    <mergeCell ref="J287:J288"/>
    <mergeCell ref="O273:O274"/>
    <mergeCell ref="N273:N274"/>
    <mergeCell ref="L273:L274"/>
    <mergeCell ref="K273:K274"/>
    <mergeCell ref="J273:J274"/>
    <mergeCell ref="N307:N308"/>
    <mergeCell ref="J293:J294"/>
    <mergeCell ref="K293:K294"/>
    <mergeCell ref="L293:L294"/>
    <mergeCell ref="N293:N294"/>
    <mergeCell ref="O293:O294"/>
    <mergeCell ref="J295:J296"/>
    <mergeCell ref="K295:K296"/>
    <mergeCell ref="L295:L296"/>
    <mergeCell ref="N295:N296"/>
    <mergeCell ref="O295:O296"/>
    <mergeCell ref="J297:J298"/>
    <mergeCell ref="K297:K298"/>
    <mergeCell ref="L297:L298"/>
    <mergeCell ref="B369:B370"/>
    <mergeCell ref="B367:B368"/>
    <mergeCell ref="Y363:Y364"/>
    <mergeCell ref="I363:I364"/>
    <mergeCell ref="O363:O364"/>
    <mergeCell ref="N363:N364"/>
    <mergeCell ref="L363:L364"/>
    <mergeCell ref="K363:K364"/>
    <mergeCell ref="J363:J364"/>
    <mergeCell ref="P363:P364"/>
    <mergeCell ref="M363:M364"/>
    <mergeCell ref="C363:C364"/>
    <mergeCell ref="Y355:Y356"/>
    <mergeCell ref="Y351:Y352"/>
    <mergeCell ref="I355:I356"/>
    <mergeCell ref="P355:P356"/>
    <mergeCell ref="M355:M356"/>
    <mergeCell ref="D355:D356"/>
    <mergeCell ref="C355:C356"/>
    <mergeCell ref="B355:B356"/>
    <mergeCell ref="M353:M354"/>
    <mergeCell ref="M357:M358"/>
    <mergeCell ref="M359:M360"/>
    <mergeCell ref="M365:M366"/>
    <mergeCell ref="M369:M370"/>
    <mergeCell ref="J361:J362"/>
    <mergeCell ref="K361:K362"/>
    <mergeCell ref="L361:L362"/>
    <mergeCell ref="N361:N362"/>
    <mergeCell ref="O361:O362"/>
    <mergeCell ref="J365:J366"/>
    <mergeCell ref="K365:K366"/>
    <mergeCell ref="M499:M500"/>
    <mergeCell ref="D473:D474"/>
    <mergeCell ref="O469:O470"/>
    <mergeCell ref="N469:N470"/>
    <mergeCell ref="L469:L470"/>
    <mergeCell ref="K469:K470"/>
    <mergeCell ref="J469:J470"/>
    <mergeCell ref="M435:M436"/>
    <mergeCell ref="O403:O404"/>
    <mergeCell ref="N403:N404"/>
    <mergeCell ref="L403:L404"/>
    <mergeCell ref="K403:K404"/>
    <mergeCell ref="J403:J404"/>
    <mergeCell ref="P403:P404"/>
    <mergeCell ref="O369:O370"/>
    <mergeCell ref="N369:N370"/>
    <mergeCell ref="L369:L370"/>
    <mergeCell ref="K369:K370"/>
    <mergeCell ref="J369:J370"/>
    <mergeCell ref="M485:M486"/>
    <mergeCell ref="M487:M488"/>
    <mergeCell ref="M489:M490"/>
    <mergeCell ref="M491:M492"/>
    <mergeCell ref="M493:M494"/>
    <mergeCell ref="M495:M496"/>
    <mergeCell ref="M497:M498"/>
    <mergeCell ref="M437:M438"/>
    <mergeCell ref="M439:M440"/>
    <mergeCell ref="M441:M442"/>
    <mergeCell ref="M443:M444"/>
    <mergeCell ref="M445:M446"/>
    <mergeCell ref="M447:M448"/>
    <mergeCell ref="M225:M226"/>
    <mergeCell ref="M221:M222"/>
    <mergeCell ref="M213:M214"/>
    <mergeCell ref="M209:M210"/>
    <mergeCell ref="M203:M204"/>
    <mergeCell ref="M199:M200"/>
    <mergeCell ref="M165:M166"/>
    <mergeCell ref="M153:M154"/>
    <mergeCell ref="M149:M150"/>
    <mergeCell ref="M123:M124"/>
    <mergeCell ref="M119:M120"/>
    <mergeCell ref="M121:M122"/>
    <mergeCell ref="N121:N122"/>
    <mergeCell ref="M129:M130"/>
    <mergeCell ref="N129:N130"/>
    <mergeCell ref="M147:M148"/>
    <mergeCell ref="N147:N148"/>
    <mergeCell ref="M151:M152"/>
    <mergeCell ref="N151:N152"/>
    <mergeCell ref="M163:M164"/>
    <mergeCell ref="N163:N164"/>
    <mergeCell ref="M169:M170"/>
    <mergeCell ref="N169:N170"/>
    <mergeCell ref="M197:M198"/>
    <mergeCell ref="N197:N198"/>
    <mergeCell ref="M201:M202"/>
    <mergeCell ref="N225:N226"/>
    <mergeCell ref="M453:M454"/>
    <mergeCell ref="M455:M456"/>
    <mergeCell ref="M457:M458"/>
    <mergeCell ref="M459:M460"/>
    <mergeCell ref="M461:M462"/>
    <mergeCell ref="M463:M464"/>
    <mergeCell ref="M465:M466"/>
    <mergeCell ref="M467:M468"/>
    <mergeCell ref="M469:M470"/>
    <mergeCell ref="M471:M472"/>
    <mergeCell ref="M473:M474"/>
    <mergeCell ref="M475:M476"/>
    <mergeCell ref="M477:M478"/>
    <mergeCell ref="M391:M392"/>
    <mergeCell ref="M393:M394"/>
    <mergeCell ref="M395:M396"/>
    <mergeCell ref="M397:M398"/>
    <mergeCell ref="M399:M400"/>
    <mergeCell ref="M401:M402"/>
    <mergeCell ref="M403:M404"/>
    <mergeCell ref="M405:M406"/>
    <mergeCell ref="M407:M408"/>
    <mergeCell ref="M409:M410"/>
    <mergeCell ref="M411:M412"/>
    <mergeCell ref="M413:M414"/>
    <mergeCell ref="M415:M416"/>
    <mergeCell ref="M417:M418"/>
    <mergeCell ref="M419:M420"/>
    <mergeCell ref="M421:M422"/>
    <mergeCell ref="M423:M424"/>
    <mergeCell ref="M301:M302"/>
    <mergeCell ref="M303:M304"/>
    <mergeCell ref="M371:M372"/>
    <mergeCell ref="M373:M374"/>
    <mergeCell ref="M375:M376"/>
    <mergeCell ref="M377:M378"/>
    <mergeCell ref="M379:M380"/>
    <mergeCell ref="M381:M382"/>
    <mergeCell ref="M383:M384"/>
    <mergeCell ref="M385:M386"/>
    <mergeCell ref="M315:M316"/>
    <mergeCell ref="M317:M318"/>
    <mergeCell ref="M319:M320"/>
    <mergeCell ref="M321:M322"/>
    <mergeCell ref="M323:M324"/>
    <mergeCell ref="M325:M326"/>
    <mergeCell ref="M327:M328"/>
    <mergeCell ref="M329:M330"/>
    <mergeCell ref="M331:M332"/>
    <mergeCell ref="M333:M334"/>
    <mergeCell ref="M335:M336"/>
    <mergeCell ref="M337:M338"/>
    <mergeCell ref="M339:M340"/>
    <mergeCell ref="M341:M342"/>
    <mergeCell ref="M343:M344"/>
    <mergeCell ref="M345:M346"/>
    <mergeCell ref="M347:M348"/>
    <mergeCell ref="M309:M310"/>
    <mergeCell ref="M233:M234"/>
    <mergeCell ref="M235:M236"/>
    <mergeCell ref="M237:M238"/>
    <mergeCell ref="M239:M240"/>
    <mergeCell ref="M241:M242"/>
    <mergeCell ref="M243:M244"/>
    <mergeCell ref="M245:M246"/>
    <mergeCell ref="M247:M248"/>
    <mergeCell ref="M249:M250"/>
    <mergeCell ref="M251:M252"/>
    <mergeCell ref="M253:M254"/>
    <mergeCell ref="M255:M256"/>
    <mergeCell ref="M257:M258"/>
    <mergeCell ref="M259:M260"/>
    <mergeCell ref="M261:M262"/>
    <mergeCell ref="M263:M264"/>
    <mergeCell ref="M265:M266"/>
    <mergeCell ref="P475:P476"/>
    <mergeCell ref="P477:P478"/>
    <mergeCell ref="P479:P480"/>
    <mergeCell ref="P481:P482"/>
    <mergeCell ref="P483:P484"/>
    <mergeCell ref="P485:P486"/>
    <mergeCell ref="P487:P488"/>
    <mergeCell ref="P489:P490"/>
    <mergeCell ref="P491:P492"/>
    <mergeCell ref="P493:P494"/>
    <mergeCell ref="P495:P496"/>
    <mergeCell ref="P497:P498"/>
    <mergeCell ref="P499:P500"/>
    <mergeCell ref="P501:P502"/>
    <mergeCell ref="P503:P504"/>
    <mergeCell ref="S11:U11"/>
    <mergeCell ref="P441:P442"/>
    <mergeCell ref="P443:P444"/>
    <mergeCell ref="P445:P446"/>
    <mergeCell ref="P447:P448"/>
    <mergeCell ref="P449:P450"/>
    <mergeCell ref="P451:P452"/>
    <mergeCell ref="P453:P454"/>
    <mergeCell ref="P455:P456"/>
    <mergeCell ref="P457:P458"/>
    <mergeCell ref="P459:P460"/>
    <mergeCell ref="P461:P462"/>
    <mergeCell ref="P463:P464"/>
    <mergeCell ref="P465:P466"/>
    <mergeCell ref="P467:P468"/>
    <mergeCell ref="P469:P470"/>
    <mergeCell ref="P471:P472"/>
    <mergeCell ref="P473:P474"/>
    <mergeCell ref="P405:P406"/>
    <mergeCell ref="P407:P408"/>
    <mergeCell ref="P409:P410"/>
    <mergeCell ref="P411:P412"/>
    <mergeCell ref="P415:P416"/>
    <mergeCell ref="P417:P418"/>
    <mergeCell ref="P419:P420"/>
    <mergeCell ref="P421:P422"/>
    <mergeCell ref="P423:P424"/>
    <mergeCell ref="P425:P426"/>
    <mergeCell ref="P427:P428"/>
    <mergeCell ref="P429:P430"/>
    <mergeCell ref="P431:P432"/>
    <mergeCell ref="P433:P434"/>
    <mergeCell ref="P435:P436"/>
    <mergeCell ref="P439:P440"/>
    <mergeCell ref="P349:P350"/>
    <mergeCell ref="P351:P352"/>
    <mergeCell ref="P353:P354"/>
    <mergeCell ref="P357:P358"/>
    <mergeCell ref="P359:P360"/>
    <mergeCell ref="P369:P370"/>
    <mergeCell ref="P371:P372"/>
    <mergeCell ref="P373:P374"/>
    <mergeCell ref="P375:P376"/>
    <mergeCell ref="P377:P378"/>
    <mergeCell ref="P379:P380"/>
    <mergeCell ref="P381:P382"/>
    <mergeCell ref="P383:P384"/>
    <mergeCell ref="P365:P366"/>
    <mergeCell ref="P315:P316"/>
    <mergeCell ref="P317:P318"/>
    <mergeCell ref="P319:P320"/>
    <mergeCell ref="P321:P322"/>
    <mergeCell ref="P323:P324"/>
    <mergeCell ref="P325:P326"/>
    <mergeCell ref="P327:P328"/>
    <mergeCell ref="P329:P330"/>
    <mergeCell ref="P331:P332"/>
    <mergeCell ref="P333:P334"/>
    <mergeCell ref="P335:P336"/>
    <mergeCell ref="P337:P338"/>
    <mergeCell ref="P339:P340"/>
    <mergeCell ref="P341:P342"/>
    <mergeCell ref="P343:P344"/>
    <mergeCell ref="P345:P346"/>
    <mergeCell ref="P347:P348"/>
    <mergeCell ref="P257:P258"/>
    <mergeCell ref="P259:P260"/>
    <mergeCell ref="P261:P262"/>
    <mergeCell ref="P263:P264"/>
    <mergeCell ref="P265:P266"/>
    <mergeCell ref="P267:P268"/>
    <mergeCell ref="P269:P270"/>
    <mergeCell ref="P271:P272"/>
    <mergeCell ref="P273:P274"/>
    <mergeCell ref="P275:P276"/>
    <mergeCell ref="P277:P278"/>
    <mergeCell ref="P279:P280"/>
    <mergeCell ref="P283:P284"/>
    <mergeCell ref="P285:P286"/>
    <mergeCell ref="P287:P288"/>
    <mergeCell ref="P289:P290"/>
    <mergeCell ref="P291:P292"/>
    <mergeCell ref="B9:B10"/>
    <mergeCell ref="C9:C10"/>
    <mergeCell ref="D9:D10"/>
    <mergeCell ref="I9:I10"/>
    <mergeCell ref="J9:J10"/>
    <mergeCell ref="K9:K10"/>
    <mergeCell ref="L9:L10"/>
    <mergeCell ref="M9:M10"/>
    <mergeCell ref="N9:N10"/>
    <mergeCell ref="O9:O10"/>
    <mergeCell ref="P9:P10"/>
    <mergeCell ref="P233:P234"/>
    <mergeCell ref="P235:P236"/>
    <mergeCell ref="P237:P238"/>
    <mergeCell ref="P239:P240"/>
    <mergeCell ref="P241:P242"/>
    <mergeCell ref="P243:P244"/>
    <mergeCell ref="N87:N88"/>
    <mergeCell ref="L103:L104"/>
    <mergeCell ref="M103:M104"/>
    <mergeCell ref="N103:N104"/>
    <mergeCell ref="L107:L108"/>
    <mergeCell ref="M107:M108"/>
    <mergeCell ref="N107:N108"/>
    <mergeCell ref="L117:L118"/>
    <mergeCell ref="M117:M118"/>
    <mergeCell ref="N117:N118"/>
    <mergeCell ref="L121:L122"/>
    <mergeCell ref="L129:L130"/>
    <mergeCell ref="L147:L148"/>
    <mergeCell ref="L151:L152"/>
    <mergeCell ref="L163:L164"/>
    <mergeCell ref="L413:L414"/>
    <mergeCell ref="N413:N414"/>
    <mergeCell ref="O413:O414"/>
    <mergeCell ref="P413:P414"/>
    <mergeCell ref="B437:B438"/>
    <mergeCell ref="C437:C438"/>
    <mergeCell ref="D437:D438"/>
    <mergeCell ref="I437:I438"/>
    <mergeCell ref="J437:J438"/>
    <mergeCell ref="K437:K438"/>
    <mergeCell ref="L437:L438"/>
    <mergeCell ref="N437:N438"/>
    <mergeCell ref="O437:O438"/>
    <mergeCell ref="P437:P438"/>
    <mergeCell ref="J425:J426"/>
    <mergeCell ref="K425:K426"/>
    <mergeCell ref="L425:L426"/>
    <mergeCell ref="N425:N426"/>
    <mergeCell ref="O425:O426"/>
    <mergeCell ref="J427:J428"/>
    <mergeCell ref="K427:K428"/>
    <mergeCell ref="L427:L428"/>
    <mergeCell ref="N427:N428"/>
    <mergeCell ref="O427:O428"/>
    <mergeCell ref="J429:J430"/>
    <mergeCell ref="K429:K430"/>
    <mergeCell ref="M425:M426"/>
    <mergeCell ref="M427:M428"/>
    <mergeCell ref="M429:M430"/>
    <mergeCell ref="M431:M432"/>
    <mergeCell ref="M433:M434"/>
    <mergeCell ref="L429:L430"/>
    <mergeCell ref="P385:P386"/>
    <mergeCell ref="P387:P388"/>
    <mergeCell ref="P389:P390"/>
    <mergeCell ref="P391:P392"/>
    <mergeCell ref="P393:P394"/>
    <mergeCell ref="P395:P396"/>
    <mergeCell ref="P397:P398"/>
    <mergeCell ref="P399:P400"/>
    <mergeCell ref="P401:P402"/>
    <mergeCell ref="B281:B282"/>
    <mergeCell ref="C281:C282"/>
    <mergeCell ref="D281:D282"/>
    <mergeCell ref="I281:I282"/>
    <mergeCell ref="J281:J282"/>
    <mergeCell ref="K281:K282"/>
    <mergeCell ref="L281:L282"/>
    <mergeCell ref="N281:N282"/>
    <mergeCell ref="O281:O282"/>
    <mergeCell ref="P281:P282"/>
    <mergeCell ref="B309:B310"/>
    <mergeCell ref="C309:C310"/>
    <mergeCell ref="D309:D310"/>
    <mergeCell ref="I309:I310"/>
    <mergeCell ref="J309:J310"/>
    <mergeCell ref="K309:K310"/>
    <mergeCell ref="L309:L310"/>
    <mergeCell ref="N309:N310"/>
    <mergeCell ref="O309:O310"/>
    <mergeCell ref="P309:P310"/>
    <mergeCell ref="P293:P294"/>
    <mergeCell ref="P295:P296"/>
    <mergeCell ref="P297:P298"/>
    <mergeCell ref="P299:P300"/>
    <mergeCell ref="P301:P302"/>
    <mergeCell ref="P303:P304"/>
    <mergeCell ref="P311:P312"/>
    <mergeCell ref="P313:P314"/>
    <mergeCell ref="P305:P306"/>
    <mergeCell ref="P307:P308"/>
    <mergeCell ref="L227:L228"/>
    <mergeCell ref="M227:M228"/>
    <mergeCell ref="N227:N228"/>
    <mergeCell ref="O227:O228"/>
    <mergeCell ref="P227:P228"/>
    <mergeCell ref="B227:B228"/>
    <mergeCell ref="B255:B256"/>
    <mergeCell ref="C255:C256"/>
    <mergeCell ref="D255:D256"/>
    <mergeCell ref="I255:I256"/>
    <mergeCell ref="J255:J256"/>
    <mergeCell ref="K255:K256"/>
    <mergeCell ref="L255:L256"/>
    <mergeCell ref="N255:N256"/>
    <mergeCell ref="O255:O256"/>
    <mergeCell ref="P255:P256"/>
    <mergeCell ref="P245:P246"/>
    <mergeCell ref="P247:P248"/>
    <mergeCell ref="P249:P250"/>
    <mergeCell ref="P251:P252"/>
    <mergeCell ref="P253:P254"/>
    <mergeCell ref="J311:J312"/>
    <mergeCell ref="K311:K312"/>
    <mergeCell ref="L311:L312"/>
    <mergeCell ref="N311:N312"/>
    <mergeCell ref="J499:J500"/>
    <mergeCell ref="K499:K500"/>
    <mergeCell ref="L499:L500"/>
    <mergeCell ref="N499:N500"/>
    <mergeCell ref="O499:O500"/>
    <mergeCell ref="J501:J502"/>
    <mergeCell ref="K501:K502"/>
    <mergeCell ref="L501:L502"/>
    <mergeCell ref="N501:N502"/>
    <mergeCell ref="O501:O502"/>
    <mergeCell ref="J503:J504"/>
    <mergeCell ref="K503:K504"/>
    <mergeCell ref="L503:L504"/>
    <mergeCell ref="N503:N504"/>
    <mergeCell ref="O503:O504"/>
    <mergeCell ref="J493:J494"/>
    <mergeCell ref="K493:K494"/>
    <mergeCell ref="L493:L494"/>
    <mergeCell ref="N493:N494"/>
    <mergeCell ref="O493:O494"/>
    <mergeCell ref="J495:J496"/>
    <mergeCell ref="K495:K496"/>
    <mergeCell ref="L495:L496"/>
    <mergeCell ref="N495:N496"/>
    <mergeCell ref="O495:O496"/>
    <mergeCell ref="J497:J498"/>
    <mergeCell ref="K497:K498"/>
    <mergeCell ref="L497:L498"/>
    <mergeCell ref="N497:N498"/>
    <mergeCell ref="O497:O498"/>
    <mergeCell ref="M503:M504"/>
    <mergeCell ref="M501:M502"/>
    <mergeCell ref="J487:J488"/>
    <mergeCell ref="K487:K488"/>
    <mergeCell ref="L487:L488"/>
    <mergeCell ref="N487:N488"/>
    <mergeCell ref="O487:O488"/>
    <mergeCell ref="J489:J490"/>
    <mergeCell ref="K489:K490"/>
    <mergeCell ref="L489:L490"/>
    <mergeCell ref="N489:N490"/>
    <mergeCell ref="O489:O490"/>
    <mergeCell ref="J491:J492"/>
    <mergeCell ref="K491:K492"/>
    <mergeCell ref="L491:L492"/>
    <mergeCell ref="N491:N492"/>
    <mergeCell ref="O491:O492"/>
    <mergeCell ref="J481:J482"/>
    <mergeCell ref="K481:K482"/>
    <mergeCell ref="L481:L482"/>
    <mergeCell ref="N481:N482"/>
    <mergeCell ref="O481:O482"/>
    <mergeCell ref="J483:J484"/>
    <mergeCell ref="K483:K484"/>
    <mergeCell ref="L483:L484"/>
    <mergeCell ref="N483:N484"/>
    <mergeCell ref="O483:O484"/>
    <mergeCell ref="J485:J486"/>
    <mergeCell ref="K485:K486"/>
    <mergeCell ref="L485:L486"/>
    <mergeCell ref="N485:N486"/>
    <mergeCell ref="O485:O486"/>
    <mergeCell ref="M481:M482"/>
    <mergeCell ref="M483:M484"/>
    <mergeCell ref="J475:J476"/>
    <mergeCell ref="K475:K476"/>
    <mergeCell ref="L475:L476"/>
    <mergeCell ref="N475:N476"/>
    <mergeCell ref="O475:O476"/>
    <mergeCell ref="J477:J478"/>
    <mergeCell ref="K477:K478"/>
    <mergeCell ref="L477:L478"/>
    <mergeCell ref="N477:N478"/>
    <mergeCell ref="O477:O478"/>
    <mergeCell ref="J479:J480"/>
    <mergeCell ref="K479:K480"/>
    <mergeCell ref="L479:L480"/>
    <mergeCell ref="N479:N480"/>
    <mergeCell ref="O479:O480"/>
    <mergeCell ref="J471:J472"/>
    <mergeCell ref="K471:K472"/>
    <mergeCell ref="L471:L472"/>
    <mergeCell ref="N471:N472"/>
    <mergeCell ref="O471:O472"/>
    <mergeCell ref="J473:J474"/>
    <mergeCell ref="K473:K474"/>
    <mergeCell ref="L473:L474"/>
    <mergeCell ref="N473:N474"/>
    <mergeCell ref="O473:O474"/>
    <mergeCell ref="M479:M480"/>
    <mergeCell ref="J463:J464"/>
    <mergeCell ref="K463:K464"/>
    <mergeCell ref="L463:L464"/>
    <mergeCell ref="N463:N464"/>
    <mergeCell ref="O463:O464"/>
    <mergeCell ref="J465:J466"/>
    <mergeCell ref="K465:K466"/>
    <mergeCell ref="L465:L466"/>
    <mergeCell ref="N465:N466"/>
    <mergeCell ref="O465:O466"/>
    <mergeCell ref="J467:J468"/>
    <mergeCell ref="K467:K468"/>
    <mergeCell ref="L467:L468"/>
    <mergeCell ref="N467:N468"/>
    <mergeCell ref="O467:O468"/>
    <mergeCell ref="J457:J458"/>
    <mergeCell ref="K457:K458"/>
    <mergeCell ref="L457:L458"/>
    <mergeCell ref="N457:N458"/>
    <mergeCell ref="O457:O458"/>
    <mergeCell ref="J459:J460"/>
    <mergeCell ref="K459:K460"/>
    <mergeCell ref="L459:L460"/>
    <mergeCell ref="N459:N460"/>
    <mergeCell ref="O459:O460"/>
    <mergeCell ref="J461:J462"/>
    <mergeCell ref="K461:K462"/>
    <mergeCell ref="L461:L462"/>
    <mergeCell ref="N461:N462"/>
    <mergeCell ref="O461:O462"/>
    <mergeCell ref="J451:J452"/>
    <mergeCell ref="K451:K452"/>
    <mergeCell ref="L451:L452"/>
    <mergeCell ref="N451:N452"/>
    <mergeCell ref="O451:O452"/>
    <mergeCell ref="J453:J454"/>
    <mergeCell ref="K453:K454"/>
    <mergeCell ref="L453:L454"/>
    <mergeCell ref="N453:N454"/>
    <mergeCell ref="O453:O454"/>
    <mergeCell ref="J455:J456"/>
    <mergeCell ref="K455:K456"/>
    <mergeCell ref="L455:L456"/>
    <mergeCell ref="N455:N456"/>
    <mergeCell ref="O455:O456"/>
    <mergeCell ref="J445:J446"/>
    <mergeCell ref="K445:K446"/>
    <mergeCell ref="L445:L446"/>
    <mergeCell ref="N445:N446"/>
    <mergeCell ref="O445:O446"/>
    <mergeCell ref="J447:J448"/>
    <mergeCell ref="K447:K448"/>
    <mergeCell ref="L447:L448"/>
    <mergeCell ref="N447:N448"/>
    <mergeCell ref="O447:O448"/>
    <mergeCell ref="J449:J450"/>
    <mergeCell ref="K449:K450"/>
    <mergeCell ref="L449:L450"/>
    <mergeCell ref="N449:N450"/>
    <mergeCell ref="O449:O450"/>
    <mergeCell ref="M449:M450"/>
    <mergeCell ref="M451:M452"/>
    <mergeCell ref="J439:J440"/>
    <mergeCell ref="K439:K440"/>
    <mergeCell ref="L439:L440"/>
    <mergeCell ref="N439:N440"/>
    <mergeCell ref="O439:O440"/>
    <mergeCell ref="J441:J442"/>
    <mergeCell ref="K441:K442"/>
    <mergeCell ref="L441:L442"/>
    <mergeCell ref="N441:N442"/>
    <mergeCell ref="O441:O442"/>
    <mergeCell ref="J443:J444"/>
    <mergeCell ref="K443:K444"/>
    <mergeCell ref="L443:L444"/>
    <mergeCell ref="N443:N444"/>
    <mergeCell ref="O443:O444"/>
    <mergeCell ref="J431:J432"/>
    <mergeCell ref="K431:K432"/>
    <mergeCell ref="L431:L432"/>
    <mergeCell ref="N431:N432"/>
    <mergeCell ref="O431:O432"/>
    <mergeCell ref="J433:J434"/>
    <mergeCell ref="K433:K434"/>
    <mergeCell ref="L433:L434"/>
    <mergeCell ref="N433:N434"/>
    <mergeCell ref="O433:O434"/>
    <mergeCell ref="J435:J436"/>
    <mergeCell ref="K435:K436"/>
    <mergeCell ref="L435:L436"/>
    <mergeCell ref="N435:N436"/>
    <mergeCell ref="O435:O436"/>
    <mergeCell ref="N429:N430"/>
    <mergeCell ref="O429:O430"/>
    <mergeCell ref="J419:J420"/>
    <mergeCell ref="K419:K420"/>
    <mergeCell ref="L419:L420"/>
    <mergeCell ref="N419:N420"/>
    <mergeCell ref="O419:O420"/>
    <mergeCell ref="J421:J422"/>
    <mergeCell ref="K421:K422"/>
    <mergeCell ref="L421:L422"/>
    <mergeCell ref="N421:N422"/>
    <mergeCell ref="O421:O422"/>
    <mergeCell ref="J423:J424"/>
    <mergeCell ref="K423:K424"/>
    <mergeCell ref="L423:L424"/>
    <mergeCell ref="N423:N424"/>
    <mergeCell ref="O423:O424"/>
    <mergeCell ref="J411:J412"/>
    <mergeCell ref="K411:K412"/>
    <mergeCell ref="L411:L412"/>
    <mergeCell ref="N411:N412"/>
    <mergeCell ref="O411:O412"/>
    <mergeCell ref="J415:J416"/>
    <mergeCell ref="K415:K416"/>
    <mergeCell ref="L415:L416"/>
    <mergeCell ref="N415:N416"/>
    <mergeCell ref="O415:O416"/>
    <mergeCell ref="J417:J418"/>
    <mergeCell ref="K417:K418"/>
    <mergeCell ref="L417:L418"/>
    <mergeCell ref="N417:N418"/>
    <mergeCell ref="O417:O418"/>
    <mergeCell ref="J405:J406"/>
    <mergeCell ref="K405:K406"/>
    <mergeCell ref="L405:L406"/>
    <mergeCell ref="N405:N406"/>
    <mergeCell ref="O405:O406"/>
    <mergeCell ref="J407:J408"/>
    <mergeCell ref="K407:K408"/>
    <mergeCell ref="L407:L408"/>
    <mergeCell ref="N407:N408"/>
    <mergeCell ref="O407:O408"/>
    <mergeCell ref="J409:J410"/>
    <mergeCell ref="K409:K410"/>
    <mergeCell ref="L409:L410"/>
    <mergeCell ref="N409:N410"/>
    <mergeCell ref="O409:O410"/>
    <mergeCell ref="J413:J414"/>
    <mergeCell ref="K413:K414"/>
    <mergeCell ref="J399:J400"/>
    <mergeCell ref="K399:K400"/>
    <mergeCell ref="L399:L400"/>
    <mergeCell ref="N399:N400"/>
    <mergeCell ref="O399:O400"/>
    <mergeCell ref="J401:J402"/>
    <mergeCell ref="K401:K402"/>
    <mergeCell ref="L401:L402"/>
    <mergeCell ref="N401:N402"/>
    <mergeCell ref="O401:O402"/>
    <mergeCell ref="J393:J394"/>
    <mergeCell ref="K393:K394"/>
    <mergeCell ref="L393:L394"/>
    <mergeCell ref="N393:N394"/>
    <mergeCell ref="O393:O394"/>
    <mergeCell ref="J395:J396"/>
    <mergeCell ref="K395:K396"/>
    <mergeCell ref="L395:L396"/>
    <mergeCell ref="N395:N396"/>
    <mergeCell ref="O395:O396"/>
    <mergeCell ref="J397:J398"/>
    <mergeCell ref="K397:K398"/>
    <mergeCell ref="L397:L398"/>
    <mergeCell ref="N397:N398"/>
    <mergeCell ref="O397:O398"/>
    <mergeCell ref="J387:J388"/>
    <mergeCell ref="K387:K388"/>
    <mergeCell ref="L387:L388"/>
    <mergeCell ref="N387:N388"/>
    <mergeCell ref="O387:O388"/>
    <mergeCell ref="J389:J390"/>
    <mergeCell ref="K389:K390"/>
    <mergeCell ref="L389:L390"/>
    <mergeCell ref="N389:N390"/>
    <mergeCell ref="O389:O390"/>
    <mergeCell ref="J391:J392"/>
    <mergeCell ref="K391:K392"/>
    <mergeCell ref="L391:L392"/>
    <mergeCell ref="N391:N392"/>
    <mergeCell ref="O391:O392"/>
    <mergeCell ref="J381:J382"/>
    <mergeCell ref="K381:K382"/>
    <mergeCell ref="L381:L382"/>
    <mergeCell ref="N381:N382"/>
    <mergeCell ref="O381:O382"/>
    <mergeCell ref="J383:J384"/>
    <mergeCell ref="K383:K384"/>
    <mergeCell ref="L383:L384"/>
    <mergeCell ref="N383:N384"/>
    <mergeCell ref="O383:O384"/>
    <mergeCell ref="J385:J386"/>
    <mergeCell ref="K385:K386"/>
    <mergeCell ref="L385:L386"/>
    <mergeCell ref="N385:N386"/>
    <mergeCell ref="O385:O386"/>
    <mergeCell ref="M387:M388"/>
    <mergeCell ref="M389:M390"/>
    <mergeCell ref="J375:J376"/>
    <mergeCell ref="K375:K376"/>
    <mergeCell ref="L375:L376"/>
    <mergeCell ref="N375:N376"/>
    <mergeCell ref="O375:O376"/>
    <mergeCell ref="J377:J378"/>
    <mergeCell ref="K377:K378"/>
    <mergeCell ref="L377:L378"/>
    <mergeCell ref="N377:N378"/>
    <mergeCell ref="O377:O378"/>
    <mergeCell ref="J379:J380"/>
    <mergeCell ref="K379:K380"/>
    <mergeCell ref="L379:L380"/>
    <mergeCell ref="N379:N380"/>
    <mergeCell ref="O379:O380"/>
    <mergeCell ref="J371:J372"/>
    <mergeCell ref="K371:K372"/>
    <mergeCell ref="L371:L372"/>
    <mergeCell ref="N371:N372"/>
    <mergeCell ref="O371:O372"/>
    <mergeCell ref="J373:J374"/>
    <mergeCell ref="K373:K374"/>
    <mergeCell ref="L373:L374"/>
    <mergeCell ref="N373:N374"/>
    <mergeCell ref="O373:O374"/>
    <mergeCell ref="L365:L366"/>
    <mergeCell ref="N365:N366"/>
    <mergeCell ref="O365:O366"/>
    <mergeCell ref="J355:J356"/>
    <mergeCell ref="K355:K356"/>
    <mergeCell ref="L355:L356"/>
    <mergeCell ref="N355:N356"/>
    <mergeCell ref="O355:O356"/>
    <mergeCell ref="J357:J358"/>
    <mergeCell ref="K357:K358"/>
    <mergeCell ref="L357:L358"/>
    <mergeCell ref="N357:N358"/>
    <mergeCell ref="O357:O358"/>
    <mergeCell ref="J359:J360"/>
    <mergeCell ref="K359:K360"/>
    <mergeCell ref="L359:L360"/>
    <mergeCell ref="N359:N360"/>
    <mergeCell ref="O359:O360"/>
    <mergeCell ref="J349:J350"/>
    <mergeCell ref="K349:K350"/>
    <mergeCell ref="L349:L350"/>
    <mergeCell ref="N349:N350"/>
    <mergeCell ref="O349:O350"/>
    <mergeCell ref="J351:J352"/>
    <mergeCell ref="K351:K352"/>
    <mergeCell ref="L351:L352"/>
    <mergeCell ref="N351:N352"/>
    <mergeCell ref="O351:O352"/>
    <mergeCell ref="J353:J354"/>
    <mergeCell ref="K353:K354"/>
    <mergeCell ref="L353:L354"/>
    <mergeCell ref="N353:N354"/>
    <mergeCell ref="O353:O354"/>
    <mergeCell ref="M349:M350"/>
    <mergeCell ref="M351:M352"/>
    <mergeCell ref="J343:J344"/>
    <mergeCell ref="K343:K344"/>
    <mergeCell ref="L343:L344"/>
    <mergeCell ref="N343:N344"/>
    <mergeCell ref="O343:O344"/>
    <mergeCell ref="J345:J346"/>
    <mergeCell ref="K345:K346"/>
    <mergeCell ref="L345:L346"/>
    <mergeCell ref="N345:N346"/>
    <mergeCell ref="O345:O346"/>
    <mergeCell ref="J347:J348"/>
    <mergeCell ref="K347:K348"/>
    <mergeCell ref="L347:L348"/>
    <mergeCell ref="N347:N348"/>
    <mergeCell ref="O347:O348"/>
    <mergeCell ref="J337:J338"/>
    <mergeCell ref="K337:K338"/>
    <mergeCell ref="L337:L338"/>
    <mergeCell ref="N337:N338"/>
    <mergeCell ref="O337:O338"/>
    <mergeCell ref="J339:J340"/>
    <mergeCell ref="K339:K340"/>
    <mergeCell ref="L339:L340"/>
    <mergeCell ref="N339:N340"/>
    <mergeCell ref="O339:O340"/>
    <mergeCell ref="J341:J342"/>
    <mergeCell ref="K341:K342"/>
    <mergeCell ref="L341:L342"/>
    <mergeCell ref="N341:N342"/>
    <mergeCell ref="O341:O342"/>
    <mergeCell ref="J331:J332"/>
    <mergeCell ref="K331:K332"/>
    <mergeCell ref="L331:L332"/>
    <mergeCell ref="N331:N332"/>
    <mergeCell ref="O331:O332"/>
    <mergeCell ref="J333:J334"/>
    <mergeCell ref="K333:K334"/>
    <mergeCell ref="L333:L334"/>
    <mergeCell ref="N333:N334"/>
    <mergeCell ref="O333:O334"/>
    <mergeCell ref="J335:J336"/>
    <mergeCell ref="K335:K336"/>
    <mergeCell ref="L335:L336"/>
    <mergeCell ref="N335:N336"/>
    <mergeCell ref="O335:O336"/>
    <mergeCell ref="J325:J326"/>
    <mergeCell ref="K325:K326"/>
    <mergeCell ref="L325:L326"/>
    <mergeCell ref="N325:N326"/>
    <mergeCell ref="O325:O326"/>
    <mergeCell ref="J327:J328"/>
    <mergeCell ref="K327:K328"/>
    <mergeCell ref="L327:L328"/>
    <mergeCell ref="N327:N328"/>
    <mergeCell ref="O327:O328"/>
    <mergeCell ref="J329:J330"/>
    <mergeCell ref="K329:K330"/>
    <mergeCell ref="L329:L330"/>
    <mergeCell ref="N329:N330"/>
    <mergeCell ref="O329:O330"/>
    <mergeCell ref="J319:J320"/>
    <mergeCell ref="K319:K320"/>
    <mergeCell ref="L319:L320"/>
    <mergeCell ref="N319:N320"/>
    <mergeCell ref="O319:O320"/>
    <mergeCell ref="J321:J322"/>
    <mergeCell ref="K321:K322"/>
    <mergeCell ref="L321:L322"/>
    <mergeCell ref="N321:N322"/>
    <mergeCell ref="O321:O322"/>
    <mergeCell ref="J323:J324"/>
    <mergeCell ref="K323:K324"/>
    <mergeCell ref="L323:L324"/>
    <mergeCell ref="N323:N324"/>
    <mergeCell ref="O323:O324"/>
    <mergeCell ref="J315:J316"/>
    <mergeCell ref="K315:K316"/>
    <mergeCell ref="L315:L316"/>
    <mergeCell ref="N315:N316"/>
    <mergeCell ref="O315:O316"/>
    <mergeCell ref="J317:J318"/>
    <mergeCell ref="K317:K318"/>
    <mergeCell ref="L317:L318"/>
    <mergeCell ref="N317:N318"/>
    <mergeCell ref="O317:O318"/>
    <mergeCell ref="O311:O312"/>
    <mergeCell ref="J313:J314"/>
    <mergeCell ref="K313:K314"/>
    <mergeCell ref="L313:L314"/>
    <mergeCell ref="N313:N314"/>
    <mergeCell ref="O313:O314"/>
    <mergeCell ref="J305:J306"/>
    <mergeCell ref="K305:K306"/>
    <mergeCell ref="L305:L306"/>
    <mergeCell ref="N305:N306"/>
    <mergeCell ref="O305:O306"/>
    <mergeCell ref="J299:J300"/>
    <mergeCell ref="K299:K300"/>
    <mergeCell ref="L299:L300"/>
    <mergeCell ref="N299:N300"/>
    <mergeCell ref="O299:O300"/>
    <mergeCell ref="J301:J302"/>
    <mergeCell ref="K301:K302"/>
    <mergeCell ref="L301:L302"/>
    <mergeCell ref="N301:N302"/>
    <mergeCell ref="O301:O302"/>
    <mergeCell ref="J303:J304"/>
    <mergeCell ref="K303:K304"/>
    <mergeCell ref="L303:L304"/>
    <mergeCell ref="N303:N304"/>
    <mergeCell ref="O303:O304"/>
    <mergeCell ref="M311:M312"/>
    <mergeCell ref="M313:M314"/>
    <mergeCell ref="M305:M306"/>
    <mergeCell ref="M307:M308"/>
    <mergeCell ref="O307:O308"/>
    <mergeCell ref="M299:M300"/>
    <mergeCell ref="N297:N298"/>
    <mergeCell ref="O297:O298"/>
    <mergeCell ref="J289:J290"/>
    <mergeCell ref="K289:K290"/>
    <mergeCell ref="L289:L290"/>
    <mergeCell ref="N289:N290"/>
    <mergeCell ref="O289:O290"/>
    <mergeCell ref="J291:J292"/>
    <mergeCell ref="K291:K292"/>
    <mergeCell ref="L291:L292"/>
    <mergeCell ref="N291:N292"/>
    <mergeCell ref="O291:O292"/>
    <mergeCell ref="J279:J280"/>
    <mergeCell ref="K279:K280"/>
    <mergeCell ref="L279:L280"/>
    <mergeCell ref="N279:N280"/>
    <mergeCell ref="O279:O280"/>
    <mergeCell ref="J283:J284"/>
    <mergeCell ref="K283:K284"/>
    <mergeCell ref="L283:L284"/>
    <mergeCell ref="N283:N284"/>
    <mergeCell ref="O283:O284"/>
    <mergeCell ref="M279:M280"/>
    <mergeCell ref="M281:M282"/>
    <mergeCell ref="M283:M284"/>
    <mergeCell ref="M285:M286"/>
    <mergeCell ref="M287:M288"/>
    <mergeCell ref="M289:M290"/>
    <mergeCell ref="M291:M292"/>
    <mergeCell ref="M293:M294"/>
    <mergeCell ref="M295:M296"/>
    <mergeCell ref="M297:M298"/>
    <mergeCell ref="J275:J276"/>
    <mergeCell ref="K275:K276"/>
    <mergeCell ref="L275:L276"/>
    <mergeCell ref="N275:N276"/>
    <mergeCell ref="O275:O276"/>
    <mergeCell ref="J277:J278"/>
    <mergeCell ref="K277:K278"/>
    <mergeCell ref="L277:L278"/>
    <mergeCell ref="N277:N278"/>
    <mergeCell ref="O277:O278"/>
    <mergeCell ref="J267:J268"/>
    <mergeCell ref="K267:K268"/>
    <mergeCell ref="L267:L268"/>
    <mergeCell ref="N267:N268"/>
    <mergeCell ref="O267:O268"/>
    <mergeCell ref="J269:J270"/>
    <mergeCell ref="K269:K270"/>
    <mergeCell ref="L269:L270"/>
    <mergeCell ref="N269:N270"/>
    <mergeCell ref="O269:O270"/>
    <mergeCell ref="J271:J272"/>
    <mergeCell ref="K271:K272"/>
    <mergeCell ref="L271:L272"/>
    <mergeCell ref="N271:N272"/>
    <mergeCell ref="O271:O272"/>
    <mergeCell ref="M271:M272"/>
    <mergeCell ref="M273:M274"/>
    <mergeCell ref="M275:M276"/>
    <mergeCell ref="M277:M278"/>
    <mergeCell ref="J261:J262"/>
    <mergeCell ref="K261:K262"/>
    <mergeCell ref="L261:L262"/>
    <mergeCell ref="N261:N262"/>
    <mergeCell ref="O261:O262"/>
    <mergeCell ref="J263:J264"/>
    <mergeCell ref="K263:K264"/>
    <mergeCell ref="L263:L264"/>
    <mergeCell ref="N263:N264"/>
    <mergeCell ref="O263:O264"/>
    <mergeCell ref="J265:J266"/>
    <mergeCell ref="K265:K266"/>
    <mergeCell ref="L265:L266"/>
    <mergeCell ref="N265:N266"/>
    <mergeCell ref="O265:O266"/>
    <mergeCell ref="M267:M268"/>
    <mergeCell ref="M269:M270"/>
    <mergeCell ref="J253:J254"/>
    <mergeCell ref="K253:K254"/>
    <mergeCell ref="L253:L254"/>
    <mergeCell ref="N253:N254"/>
    <mergeCell ref="O253:O254"/>
    <mergeCell ref="J257:J258"/>
    <mergeCell ref="K257:K258"/>
    <mergeCell ref="L257:L258"/>
    <mergeCell ref="N257:N258"/>
    <mergeCell ref="O257:O258"/>
    <mergeCell ref="J259:J260"/>
    <mergeCell ref="K259:K260"/>
    <mergeCell ref="L259:L260"/>
    <mergeCell ref="N259:N260"/>
    <mergeCell ref="O259:O260"/>
    <mergeCell ref="J247:J248"/>
    <mergeCell ref="K247:K248"/>
    <mergeCell ref="L247:L248"/>
    <mergeCell ref="N247:N248"/>
    <mergeCell ref="O247:O248"/>
    <mergeCell ref="J249:J250"/>
    <mergeCell ref="K249:K250"/>
    <mergeCell ref="L249:L250"/>
    <mergeCell ref="N249:N250"/>
    <mergeCell ref="O249:O250"/>
    <mergeCell ref="J251:J252"/>
    <mergeCell ref="K251:K252"/>
    <mergeCell ref="L251:L252"/>
    <mergeCell ref="N251:N252"/>
    <mergeCell ref="O251:O252"/>
    <mergeCell ref="J241:J242"/>
    <mergeCell ref="K241:K242"/>
    <mergeCell ref="L241:L242"/>
    <mergeCell ref="N241:N242"/>
    <mergeCell ref="O241:O242"/>
    <mergeCell ref="J243:J244"/>
    <mergeCell ref="K243:K244"/>
    <mergeCell ref="L243:L244"/>
    <mergeCell ref="N243:N244"/>
    <mergeCell ref="O243:O244"/>
    <mergeCell ref="J245:J246"/>
    <mergeCell ref="K245:K246"/>
    <mergeCell ref="L245:L246"/>
    <mergeCell ref="N245:N246"/>
    <mergeCell ref="O245:O246"/>
    <mergeCell ref="B477:B478"/>
    <mergeCell ref="B479:B480"/>
    <mergeCell ref="B453:B454"/>
    <mergeCell ref="B455:B456"/>
    <mergeCell ref="B457:B458"/>
    <mergeCell ref="B459:B460"/>
    <mergeCell ref="B461:B462"/>
    <mergeCell ref="B463:B464"/>
    <mergeCell ref="B465:B466"/>
    <mergeCell ref="B467:B468"/>
    <mergeCell ref="B469:B470"/>
    <mergeCell ref="B471:B472"/>
    <mergeCell ref="B473:B474"/>
    <mergeCell ref="B475:B476"/>
    <mergeCell ref="B405:B406"/>
    <mergeCell ref="B407:B408"/>
    <mergeCell ref="B409:B410"/>
    <mergeCell ref="B481:B482"/>
    <mergeCell ref="B483:B484"/>
    <mergeCell ref="B485:B486"/>
    <mergeCell ref="B487:B488"/>
    <mergeCell ref="B489:B490"/>
    <mergeCell ref="B491:B492"/>
    <mergeCell ref="B493:B494"/>
    <mergeCell ref="B495:B496"/>
    <mergeCell ref="B497:B498"/>
    <mergeCell ref="B499:B500"/>
    <mergeCell ref="B501:B502"/>
    <mergeCell ref="B503:B504"/>
    <mergeCell ref="L229:L230"/>
    <mergeCell ref="M229:M230"/>
    <mergeCell ref="N229:N230"/>
    <mergeCell ref="L231:L232"/>
    <mergeCell ref="N231:N232"/>
    <mergeCell ref="J233:J234"/>
    <mergeCell ref="K233:K234"/>
    <mergeCell ref="L233:L234"/>
    <mergeCell ref="N233:N234"/>
    <mergeCell ref="J235:J236"/>
    <mergeCell ref="K235:K236"/>
    <mergeCell ref="L235:L236"/>
    <mergeCell ref="N235:N236"/>
    <mergeCell ref="J237:J238"/>
    <mergeCell ref="K237:K238"/>
    <mergeCell ref="B443:B444"/>
    <mergeCell ref="B445:B446"/>
    <mergeCell ref="B447:B448"/>
    <mergeCell ref="B449:B450"/>
    <mergeCell ref="B451:B452"/>
    <mergeCell ref="B411:B412"/>
    <mergeCell ref="B415:B416"/>
    <mergeCell ref="B417:B418"/>
    <mergeCell ref="B419:B420"/>
    <mergeCell ref="B421:B422"/>
    <mergeCell ref="B423:B424"/>
    <mergeCell ref="B425:B426"/>
    <mergeCell ref="B427:B428"/>
    <mergeCell ref="B429:B430"/>
    <mergeCell ref="B431:B432"/>
    <mergeCell ref="B433:B434"/>
    <mergeCell ref="B435:B436"/>
    <mergeCell ref="B439:B440"/>
    <mergeCell ref="B441:B442"/>
    <mergeCell ref="B371:B372"/>
    <mergeCell ref="B373:B374"/>
    <mergeCell ref="B375:B376"/>
    <mergeCell ref="B377:B378"/>
    <mergeCell ref="B379:B380"/>
    <mergeCell ref="B381:B382"/>
    <mergeCell ref="B383:B384"/>
    <mergeCell ref="B385:B386"/>
    <mergeCell ref="B387:B388"/>
    <mergeCell ref="B389:B390"/>
    <mergeCell ref="B391:B392"/>
    <mergeCell ref="B393:B394"/>
    <mergeCell ref="B395:B396"/>
    <mergeCell ref="B397:B398"/>
    <mergeCell ref="B399:B400"/>
    <mergeCell ref="B401:B402"/>
    <mergeCell ref="B403:B404"/>
    <mergeCell ref="B413:B414"/>
    <mergeCell ref="B335:B336"/>
    <mergeCell ref="B337:B338"/>
    <mergeCell ref="B339:B340"/>
    <mergeCell ref="B341:B342"/>
    <mergeCell ref="B343:B344"/>
    <mergeCell ref="B345:B346"/>
    <mergeCell ref="B347:B348"/>
    <mergeCell ref="B349:B350"/>
    <mergeCell ref="B351:B352"/>
    <mergeCell ref="B353:B354"/>
    <mergeCell ref="B357:B358"/>
    <mergeCell ref="B359:B360"/>
    <mergeCell ref="B363:B364"/>
    <mergeCell ref="B365:B366"/>
    <mergeCell ref="B299:B300"/>
    <mergeCell ref="B301:B302"/>
    <mergeCell ref="B303:B304"/>
    <mergeCell ref="B311:B312"/>
    <mergeCell ref="B313:B314"/>
    <mergeCell ref="B305:B306"/>
    <mergeCell ref="B307:B308"/>
    <mergeCell ref="B315:B316"/>
    <mergeCell ref="B317:B318"/>
    <mergeCell ref="B319:B320"/>
    <mergeCell ref="B321:B322"/>
    <mergeCell ref="B323:B324"/>
    <mergeCell ref="B325:B326"/>
    <mergeCell ref="B327:B328"/>
    <mergeCell ref="B329:B330"/>
    <mergeCell ref="B331:B332"/>
    <mergeCell ref="B333:B334"/>
    <mergeCell ref="C493:C494"/>
    <mergeCell ref="C495:C496"/>
    <mergeCell ref="C497:C498"/>
    <mergeCell ref="C499:C500"/>
    <mergeCell ref="C501:C502"/>
    <mergeCell ref="C503:C504"/>
    <mergeCell ref="B231:B232"/>
    <mergeCell ref="B245:B246"/>
    <mergeCell ref="B247:B248"/>
    <mergeCell ref="B249:B250"/>
    <mergeCell ref="B251:B252"/>
    <mergeCell ref="B253:B254"/>
    <mergeCell ref="B257:B258"/>
    <mergeCell ref="B259:B260"/>
    <mergeCell ref="B261:B262"/>
    <mergeCell ref="B263:B264"/>
    <mergeCell ref="B265:B266"/>
    <mergeCell ref="B267:B268"/>
    <mergeCell ref="B269:B270"/>
    <mergeCell ref="B271:B272"/>
    <mergeCell ref="B273:B274"/>
    <mergeCell ref="B275:B276"/>
    <mergeCell ref="B277:B278"/>
    <mergeCell ref="B279:B280"/>
    <mergeCell ref="B283:B284"/>
    <mergeCell ref="B285:B286"/>
    <mergeCell ref="B287:B288"/>
    <mergeCell ref="B289:B290"/>
    <mergeCell ref="B291:B292"/>
    <mergeCell ref="B293:B294"/>
    <mergeCell ref="B295:B296"/>
    <mergeCell ref="B297:B298"/>
    <mergeCell ref="C459:C460"/>
    <mergeCell ref="C461:C462"/>
    <mergeCell ref="C463:C464"/>
    <mergeCell ref="C465:C466"/>
    <mergeCell ref="C467:C468"/>
    <mergeCell ref="C469:C470"/>
    <mergeCell ref="C471:C472"/>
    <mergeCell ref="C473:C474"/>
    <mergeCell ref="C475:C476"/>
    <mergeCell ref="C477:C478"/>
    <mergeCell ref="C479:C480"/>
    <mergeCell ref="C481:C482"/>
    <mergeCell ref="C483:C484"/>
    <mergeCell ref="C485:C486"/>
    <mergeCell ref="C487:C488"/>
    <mergeCell ref="C489:C490"/>
    <mergeCell ref="C491:C492"/>
    <mergeCell ref="C423:C424"/>
    <mergeCell ref="C425:C426"/>
    <mergeCell ref="C427:C428"/>
    <mergeCell ref="C429:C430"/>
    <mergeCell ref="C431:C432"/>
    <mergeCell ref="C433:C434"/>
    <mergeCell ref="C435:C436"/>
    <mergeCell ref="C439:C440"/>
    <mergeCell ref="C441:C442"/>
    <mergeCell ref="C443:C444"/>
    <mergeCell ref="C445:C446"/>
    <mergeCell ref="C447:C448"/>
    <mergeCell ref="C449:C450"/>
    <mergeCell ref="C451:C452"/>
    <mergeCell ref="C453:C454"/>
    <mergeCell ref="C455:C456"/>
    <mergeCell ref="C457:C458"/>
    <mergeCell ref="C387:C388"/>
    <mergeCell ref="C389:C390"/>
    <mergeCell ref="C391:C392"/>
    <mergeCell ref="C393:C394"/>
    <mergeCell ref="C395:C396"/>
    <mergeCell ref="C397:C398"/>
    <mergeCell ref="C399:C400"/>
    <mergeCell ref="C401:C402"/>
    <mergeCell ref="C403:C404"/>
    <mergeCell ref="C405:C406"/>
    <mergeCell ref="C407:C408"/>
    <mergeCell ref="C409:C410"/>
    <mergeCell ref="C411:C412"/>
    <mergeCell ref="C415:C416"/>
    <mergeCell ref="C417:C418"/>
    <mergeCell ref="C419:C420"/>
    <mergeCell ref="C421:C422"/>
    <mergeCell ref="C413:C414"/>
    <mergeCell ref="C351:C352"/>
    <mergeCell ref="C353:C354"/>
    <mergeCell ref="C357:C358"/>
    <mergeCell ref="C359:C360"/>
    <mergeCell ref="C369:C370"/>
    <mergeCell ref="C371:C372"/>
    <mergeCell ref="C373:C374"/>
    <mergeCell ref="C375:C376"/>
    <mergeCell ref="C377:C378"/>
    <mergeCell ref="C379:C380"/>
    <mergeCell ref="C381:C382"/>
    <mergeCell ref="C383:C384"/>
    <mergeCell ref="C385:C386"/>
    <mergeCell ref="C365:C366"/>
    <mergeCell ref="C317:C318"/>
    <mergeCell ref="C319:C320"/>
    <mergeCell ref="C321:C322"/>
    <mergeCell ref="C323:C324"/>
    <mergeCell ref="C325:C326"/>
    <mergeCell ref="C327:C328"/>
    <mergeCell ref="C329:C330"/>
    <mergeCell ref="C331:C332"/>
    <mergeCell ref="C333:C334"/>
    <mergeCell ref="C335:C336"/>
    <mergeCell ref="C337:C338"/>
    <mergeCell ref="C339:C340"/>
    <mergeCell ref="C341:C342"/>
    <mergeCell ref="C343:C344"/>
    <mergeCell ref="C345:C346"/>
    <mergeCell ref="C347:C348"/>
    <mergeCell ref="C349:C350"/>
    <mergeCell ref="C367:C368"/>
    <mergeCell ref="C279:C280"/>
    <mergeCell ref="C283:C284"/>
    <mergeCell ref="C285:C286"/>
    <mergeCell ref="C287:C288"/>
    <mergeCell ref="C289:C290"/>
    <mergeCell ref="C291:C292"/>
    <mergeCell ref="C293:C294"/>
    <mergeCell ref="C295:C296"/>
    <mergeCell ref="C297:C298"/>
    <mergeCell ref="C299:C300"/>
    <mergeCell ref="C301:C302"/>
    <mergeCell ref="C303:C304"/>
    <mergeCell ref="C311:C312"/>
    <mergeCell ref="C313:C314"/>
    <mergeCell ref="C305:C306"/>
    <mergeCell ref="C307:C308"/>
    <mergeCell ref="C315:C316"/>
    <mergeCell ref="D475:D476"/>
    <mergeCell ref="D477:D478"/>
    <mergeCell ref="D479:D480"/>
    <mergeCell ref="D481:D482"/>
    <mergeCell ref="D483:D484"/>
    <mergeCell ref="D485:D486"/>
    <mergeCell ref="D487:D488"/>
    <mergeCell ref="D489:D490"/>
    <mergeCell ref="D491:D492"/>
    <mergeCell ref="D493:D494"/>
    <mergeCell ref="D495:D496"/>
    <mergeCell ref="D497:D498"/>
    <mergeCell ref="D499:D500"/>
    <mergeCell ref="D501:D502"/>
    <mergeCell ref="D503:D504"/>
    <mergeCell ref="C231:C232"/>
    <mergeCell ref="C245:C246"/>
    <mergeCell ref="C247:C248"/>
    <mergeCell ref="C249:C250"/>
    <mergeCell ref="C251:C252"/>
    <mergeCell ref="C253:C254"/>
    <mergeCell ref="C257:C258"/>
    <mergeCell ref="C259:C260"/>
    <mergeCell ref="C261:C262"/>
    <mergeCell ref="C263:C264"/>
    <mergeCell ref="C265:C266"/>
    <mergeCell ref="C267:C268"/>
    <mergeCell ref="C269:C270"/>
    <mergeCell ref="C271:C272"/>
    <mergeCell ref="C273:C274"/>
    <mergeCell ref="C275:C276"/>
    <mergeCell ref="C277:C278"/>
    <mergeCell ref="D441:D442"/>
    <mergeCell ref="D443:D444"/>
    <mergeCell ref="D445:D446"/>
    <mergeCell ref="D447:D448"/>
    <mergeCell ref="D449:D450"/>
    <mergeCell ref="D451:D452"/>
    <mergeCell ref="D453:D454"/>
    <mergeCell ref="D455:D456"/>
    <mergeCell ref="D457:D458"/>
    <mergeCell ref="D459:D460"/>
    <mergeCell ref="D461:D462"/>
    <mergeCell ref="D463:D464"/>
    <mergeCell ref="D465:D466"/>
    <mergeCell ref="D467:D468"/>
    <mergeCell ref="D469:D470"/>
    <mergeCell ref="D471:D472"/>
    <mergeCell ref="D403:D404"/>
    <mergeCell ref="D405:D406"/>
    <mergeCell ref="D407:D408"/>
    <mergeCell ref="D409:D410"/>
    <mergeCell ref="D411:D412"/>
    <mergeCell ref="D415:D416"/>
    <mergeCell ref="D417:D418"/>
    <mergeCell ref="D419:D420"/>
    <mergeCell ref="D421:D422"/>
    <mergeCell ref="D423:D424"/>
    <mergeCell ref="D425:D426"/>
    <mergeCell ref="D427:D428"/>
    <mergeCell ref="D429:D430"/>
    <mergeCell ref="D431:D432"/>
    <mergeCell ref="D433:D434"/>
    <mergeCell ref="D435:D436"/>
    <mergeCell ref="D439:D440"/>
    <mergeCell ref="D413:D414"/>
    <mergeCell ref="D369:D370"/>
    <mergeCell ref="D371:D372"/>
    <mergeCell ref="D373:D374"/>
    <mergeCell ref="D375:D376"/>
    <mergeCell ref="D377:D378"/>
    <mergeCell ref="D379:D380"/>
    <mergeCell ref="D381:D382"/>
    <mergeCell ref="D383:D384"/>
    <mergeCell ref="D385:D386"/>
    <mergeCell ref="D387:D388"/>
    <mergeCell ref="D389:D390"/>
    <mergeCell ref="D391:D392"/>
    <mergeCell ref="D393:D394"/>
    <mergeCell ref="D395:D396"/>
    <mergeCell ref="D397:D398"/>
    <mergeCell ref="D399:D400"/>
    <mergeCell ref="D401:D402"/>
    <mergeCell ref="D367:D368"/>
    <mergeCell ref="D333:D334"/>
    <mergeCell ref="D335:D336"/>
    <mergeCell ref="D337:D338"/>
    <mergeCell ref="D339:D340"/>
    <mergeCell ref="D341:D342"/>
    <mergeCell ref="D343:D344"/>
    <mergeCell ref="D345:D346"/>
    <mergeCell ref="D347:D348"/>
    <mergeCell ref="D349:D350"/>
    <mergeCell ref="D351:D352"/>
    <mergeCell ref="D353:D354"/>
    <mergeCell ref="D357:D358"/>
    <mergeCell ref="D359:D360"/>
    <mergeCell ref="D363:D364"/>
    <mergeCell ref="D365:D366"/>
    <mergeCell ref="D297:D298"/>
    <mergeCell ref="D299:D300"/>
    <mergeCell ref="D301:D302"/>
    <mergeCell ref="D303:D304"/>
    <mergeCell ref="D311:D312"/>
    <mergeCell ref="D313:D314"/>
    <mergeCell ref="D305:D306"/>
    <mergeCell ref="D307:D308"/>
    <mergeCell ref="D315:D316"/>
    <mergeCell ref="D317:D318"/>
    <mergeCell ref="D319:D320"/>
    <mergeCell ref="D321:D322"/>
    <mergeCell ref="D323:D324"/>
    <mergeCell ref="D325:D326"/>
    <mergeCell ref="D327:D328"/>
    <mergeCell ref="D329:D330"/>
    <mergeCell ref="D331:D332"/>
    <mergeCell ref="I491:I492"/>
    <mergeCell ref="I493:I494"/>
    <mergeCell ref="I495:I496"/>
    <mergeCell ref="I497:I498"/>
    <mergeCell ref="I499:I500"/>
    <mergeCell ref="I501:I502"/>
    <mergeCell ref="I503:I504"/>
    <mergeCell ref="D231:D232"/>
    <mergeCell ref="D245:D246"/>
    <mergeCell ref="D247:D248"/>
    <mergeCell ref="D249:D250"/>
    <mergeCell ref="D251:D252"/>
    <mergeCell ref="D253:D254"/>
    <mergeCell ref="D257:D258"/>
    <mergeCell ref="D259:D260"/>
    <mergeCell ref="D261:D262"/>
    <mergeCell ref="D263:D264"/>
    <mergeCell ref="D265:D266"/>
    <mergeCell ref="D267:D268"/>
    <mergeCell ref="D269:D270"/>
    <mergeCell ref="D271:D272"/>
    <mergeCell ref="D273:D274"/>
    <mergeCell ref="D275:D276"/>
    <mergeCell ref="D277:D278"/>
    <mergeCell ref="D279:D280"/>
    <mergeCell ref="D283:D284"/>
    <mergeCell ref="D285:D286"/>
    <mergeCell ref="D287:D288"/>
    <mergeCell ref="D289:D290"/>
    <mergeCell ref="D291:D292"/>
    <mergeCell ref="D293:D294"/>
    <mergeCell ref="D295:D296"/>
    <mergeCell ref="I457:I458"/>
    <mergeCell ref="I459:I460"/>
    <mergeCell ref="I461:I462"/>
    <mergeCell ref="I463:I464"/>
    <mergeCell ref="I465:I466"/>
    <mergeCell ref="I467:I468"/>
    <mergeCell ref="I469:I470"/>
    <mergeCell ref="I471:I472"/>
    <mergeCell ref="I473:I474"/>
    <mergeCell ref="I475:I476"/>
    <mergeCell ref="I477:I478"/>
    <mergeCell ref="I479:I480"/>
    <mergeCell ref="I481:I482"/>
    <mergeCell ref="I483:I484"/>
    <mergeCell ref="I485:I486"/>
    <mergeCell ref="I487:I488"/>
    <mergeCell ref="I385:I386"/>
    <mergeCell ref="I387:I388"/>
    <mergeCell ref="I389:I390"/>
    <mergeCell ref="I391:I392"/>
    <mergeCell ref="I393:I394"/>
    <mergeCell ref="I395:I396"/>
    <mergeCell ref="I397:I398"/>
    <mergeCell ref="I399:I400"/>
    <mergeCell ref="I401:I402"/>
    <mergeCell ref="I403:I404"/>
    <mergeCell ref="I405:I406"/>
    <mergeCell ref="I407:I408"/>
    <mergeCell ref="I409:I410"/>
    <mergeCell ref="I411:I412"/>
    <mergeCell ref="I415:I416"/>
    <mergeCell ref="I489:I490"/>
    <mergeCell ref="I421:I422"/>
    <mergeCell ref="I423:I424"/>
    <mergeCell ref="I425:I426"/>
    <mergeCell ref="I427:I428"/>
    <mergeCell ref="I429:I430"/>
    <mergeCell ref="I431:I432"/>
    <mergeCell ref="I433:I434"/>
    <mergeCell ref="I435:I436"/>
    <mergeCell ref="I439:I440"/>
    <mergeCell ref="I441:I442"/>
    <mergeCell ref="I443:I444"/>
    <mergeCell ref="I445:I446"/>
    <mergeCell ref="I447:I448"/>
    <mergeCell ref="I449:I450"/>
    <mergeCell ref="I451:I452"/>
    <mergeCell ref="I453:I454"/>
    <mergeCell ref="I455:I456"/>
    <mergeCell ref="I417:I418"/>
    <mergeCell ref="I419:I420"/>
    <mergeCell ref="I413:I414"/>
    <mergeCell ref="I349:I350"/>
    <mergeCell ref="I351:I352"/>
    <mergeCell ref="I353:I354"/>
    <mergeCell ref="I357:I358"/>
    <mergeCell ref="I359:I360"/>
    <mergeCell ref="I369:I370"/>
    <mergeCell ref="I371:I372"/>
    <mergeCell ref="I373:I374"/>
    <mergeCell ref="I375:I376"/>
    <mergeCell ref="I377:I378"/>
    <mergeCell ref="I379:I380"/>
    <mergeCell ref="I381:I382"/>
    <mergeCell ref="I383:I384"/>
    <mergeCell ref="I365:I366"/>
    <mergeCell ref="I367:I368"/>
    <mergeCell ref="I361:I362"/>
    <mergeCell ref="I315:I316"/>
    <mergeCell ref="I317:I318"/>
    <mergeCell ref="I319:I320"/>
    <mergeCell ref="I321:I322"/>
    <mergeCell ref="I323:I324"/>
    <mergeCell ref="I325:I326"/>
    <mergeCell ref="I327:I328"/>
    <mergeCell ref="I329:I330"/>
    <mergeCell ref="I331:I332"/>
    <mergeCell ref="I333:I334"/>
    <mergeCell ref="I335:I336"/>
    <mergeCell ref="I337:I338"/>
    <mergeCell ref="I339:I340"/>
    <mergeCell ref="I341:I342"/>
    <mergeCell ref="I343:I344"/>
    <mergeCell ref="I345:I346"/>
    <mergeCell ref="I347:I348"/>
    <mergeCell ref="I277:I278"/>
    <mergeCell ref="I279:I280"/>
    <mergeCell ref="I283:I284"/>
    <mergeCell ref="I285:I286"/>
    <mergeCell ref="I287:I288"/>
    <mergeCell ref="I289:I290"/>
    <mergeCell ref="I291:I292"/>
    <mergeCell ref="I293:I294"/>
    <mergeCell ref="I295:I296"/>
    <mergeCell ref="I297:I298"/>
    <mergeCell ref="I299:I300"/>
    <mergeCell ref="I301:I302"/>
    <mergeCell ref="I303:I304"/>
    <mergeCell ref="I311:I312"/>
    <mergeCell ref="I313:I314"/>
    <mergeCell ref="I305:I306"/>
    <mergeCell ref="I307:I308"/>
    <mergeCell ref="I241:I242"/>
    <mergeCell ref="I243:I244"/>
    <mergeCell ref="I245:I246"/>
    <mergeCell ref="I247:I248"/>
    <mergeCell ref="I249:I250"/>
    <mergeCell ref="I251:I252"/>
    <mergeCell ref="I253:I254"/>
    <mergeCell ref="I257:I258"/>
    <mergeCell ref="I259:I260"/>
    <mergeCell ref="I261:I262"/>
    <mergeCell ref="I263:I264"/>
    <mergeCell ref="I265:I266"/>
    <mergeCell ref="I267:I268"/>
    <mergeCell ref="I269:I270"/>
    <mergeCell ref="I271:I272"/>
    <mergeCell ref="I273:I274"/>
    <mergeCell ref="I275:I276"/>
    <mergeCell ref="N5:P5"/>
    <mergeCell ref="N2:P4"/>
    <mergeCell ref="M13:M14"/>
    <mergeCell ref="N13:N14"/>
    <mergeCell ref="N15:N16"/>
    <mergeCell ref="N17:N18"/>
    <mergeCell ref="N19:N20"/>
    <mergeCell ref="I233:I234"/>
    <mergeCell ref="I235:I236"/>
    <mergeCell ref="I237:I238"/>
    <mergeCell ref="I239:I240"/>
    <mergeCell ref="O233:O234"/>
    <mergeCell ref="O235:O236"/>
    <mergeCell ref="L237:L238"/>
    <mergeCell ref="N237:N238"/>
    <mergeCell ref="O237:O238"/>
    <mergeCell ref="J239:J240"/>
    <mergeCell ref="K239:K240"/>
    <mergeCell ref="L239:L240"/>
    <mergeCell ref="N239:N240"/>
    <mergeCell ref="O239:O240"/>
    <mergeCell ref="I227:I228"/>
    <mergeCell ref="J227:J228"/>
    <mergeCell ref="K227:K228"/>
    <mergeCell ref="J219:J220"/>
    <mergeCell ref="K219:K220"/>
    <mergeCell ref="I219:I220"/>
    <mergeCell ref="M231:M232"/>
    <mergeCell ref="O219:O220"/>
    <mergeCell ref="P219:P220"/>
    <mergeCell ref="L217:L218"/>
    <mergeCell ref="L219:L220"/>
    <mergeCell ref="B5:F5"/>
    <mergeCell ref="B6:F6"/>
    <mergeCell ref="J231:J232"/>
    <mergeCell ref="K231:K232"/>
    <mergeCell ref="I231:I232"/>
    <mergeCell ref="O231:O232"/>
    <mergeCell ref="P231:P232"/>
    <mergeCell ref="J225:J226"/>
    <mergeCell ref="K225:K226"/>
    <mergeCell ref="I225:I226"/>
    <mergeCell ref="O225:O226"/>
    <mergeCell ref="P225:P226"/>
    <mergeCell ref="J229:J230"/>
    <mergeCell ref="K229:K230"/>
    <mergeCell ref="I229:I230"/>
    <mergeCell ref="O229:O230"/>
    <mergeCell ref="P229:P230"/>
    <mergeCell ref="J221:J222"/>
    <mergeCell ref="K221:K222"/>
    <mergeCell ref="I221:I222"/>
    <mergeCell ref="O221:O222"/>
    <mergeCell ref="P221:P222"/>
    <mergeCell ref="J223:J224"/>
    <mergeCell ref="K223:K224"/>
    <mergeCell ref="I223:I224"/>
    <mergeCell ref="O223:O224"/>
    <mergeCell ref="P223:P224"/>
    <mergeCell ref="J217:J218"/>
    <mergeCell ref="K217:K218"/>
    <mergeCell ref="I217:I218"/>
    <mergeCell ref="O217:O218"/>
    <mergeCell ref="P217:P218"/>
    <mergeCell ref="L221:L222"/>
    <mergeCell ref="L223:L224"/>
    <mergeCell ref="M217:M218"/>
    <mergeCell ref="N217:N218"/>
    <mergeCell ref="M219:M220"/>
    <mergeCell ref="J213:J214"/>
    <mergeCell ref="K213:K214"/>
    <mergeCell ref="I213:I214"/>
    <mergeCell ref="O213:O214"/>
    <mergeCell ref="P213:P214"/>
    <mergeCell ref="J215:J216"/>
    <mergeCell ref="K215:K216"/>
    <mergeCell ref="I215:I216"/>
    <mergeCell ref="O215:O216"/>
    <mergeCell ref="P215:P216"/>
    <mergeCell ref="L213:L214"/>
    <mergeCell ref="L215:L216"/>
    <mergeCell ref="N213:N214"/>
    <mergeCell ref="M215:M216"/>
    <mergeCell ref="N215:N216"/>
    <mergeCell ref="N219:N220"/>
    <mergeCell ref="N221:N222"/>
    <mergeCell ref="M223:M224"/>
    <mergeCell ref="N223:N224"/>
    <mergeCell ref="J209:J210"/>
    <mergeCell ref="K209:K210"/>
    <mergeCell ref="I209:I210"/>
    <mergeCell ref="O209:O210"/>
    <mergeCell ref="P209:P210"/>
    <mergeCell ref="J211:J212"/>
    <mergeCell ref="K211:K212"/>
    <mergeCell ref="I211:I212"/>
    <mergeCell ref="O211:O212"/>
    <mergeCell ref="P211:P212"/>
    <mergeCell ref="L209:L210"/>
    <mergeCell ref="L211:L212"/>
    <mergeCell ref="N209:N210"/>
    <mergeCell ref="M211:M212"/>
    <mergeCell ref="N211:N212"/>
    <mergeCell ref="J205:J206"/>
    <mergeCell ref="K205:K206"/>
    <mergeCell ref="I205:I206"/>
    <mergeCell ref="O205:O206"/>
    <mergeCell ref="P205:P206"/>
    <mergeCell ref="J207:J208"/>
    <mergeCell ref="K207:K208"/>
    <mergeCell ref="I207:I208"/>
    <mergeCell ref="O207:O208"/>
    <mergeCell ref="P207:P208"/>
    <mergeCell ref="L205:L206"/>
    <mergeCell ref="L207:L208"/>
    <mergeCell ref="M205:M206"/>
    <mergeCell ref="N205:N206"/>
    <mergeCell ref="M207:M208"/>
    <mergeCell ref="N207:N208"/>
    <mergeCell ref="J201:J202"/>
    <mergeCell ref="K201:K202"/>
    <mergeCell ref="I201:I202"/>
    <mergeCell ref="O201:O202"/>
    <mergeCell ref="P201:P202"/>
    <mergeCell ref="J203:J204"/>
    <mergeCell ref="K203:K204"/>
    <mergeCell ref="I203:I204"/>
    <mergeCell ref="O203:O204"/>
    <mergeCell ref="P203:P204"/>
    <mergeCell ref="L203:L204"/>
    <mergeCell ref="N203:N204"/>
    <mergeCell ref="J197:J198"/>
    <mergeCell ref="K197:K198"/>
    <mergeCell ref="I197:I198"/>
    <mergeCell ref="O197:O198"/>
    <mergeCell ref="P197:P198"/>
    <mergeCell ref="J199:J200"/>
    <mergeCell ref="K199:K200"/>
    <mergeCell ref="I199:I200"/>
    <mergeCell ref="O199:O200"/>
    <mergeCell ref="P199:P200"/>
    <mergeCell ref="L199:L200"/>
    <mergeCell ref="N199:N200"/>
    <mergeCell ref="L197:L198"/>
    <mergeCell ref="L201:L202"/>
    <mergeCell ref="N201:N202"/>
    <mergeCell ref="J193:J194"/>
    <mergeCell ref="K193:K194"/>
    <mergeCell ref="I193:I194"/>
    <mergeCell ref="O193:O194"/>
    <mergeCell ref="P193:P194"/>
    <mergeCell ref="J195:J196"/>
    <mergeCell ref="K195:K196"/>
    <mergeCell ref="I195:I196"/>
    <mergeCell ref="O195:O196"/>
    <mergeCell ref="P195:P196"/>
    <mergeCell ref="L193:L194"/>
    <mergeCell ref="L195:L196"/>
    <mergeCell ref="M193:M194"/>
    <mergeCell ref="N193:N194"/>
    <mergeCell ref="M195:M196"/>
    <mergeCell ref="N195:N196"/>
    <mergeCell ref="J189:J190"/>
    <mergeCell ref="K189:K190"/>
    <mergeCell ref="I189:I190"/>
    <mergeCell ref="O189:O190"/>
    <mergeCell ref="P189:P190"/>
    <mergeCell ref="J191:J192"/>
    <mergeCell ref="K191:K192"/>
    <mergeCell ref="I191:I192"/>
    <mergeCell ref="O191:O192"/>
    <mergeCell ref="P191:P192"/>
    <mergeCell ref="L189:L190"/>
    <mergeCell ref="L191:L192"/>
    <mergeCell ref="M189:M190"/>
    <mergeCell ref="N189:N190"/>
    <mergeCell ref="M191:M192"/>
    <mergeCell ref="N191:N192"/>
    <mergeCell ref="J185:J186"/>
    <mergeCell ref="K185:K186"/>
    <mergeCell ref="I185:I186"/>
    <mergeCell ref="O185:O186"/>
    <mergeCell ref="P185:P186"/>
    <mergeCell ref="J187:J188"/>
    <mergeCell ref="K187:K188"/>
    <mergeCell ref="I187:I188"/>
    <mergeCell ref="O187:O188"/>
    <mergeCell ref="P187:P188"/>
    <mergeCell ref="L185:L186"/>
    <mergeCell ref="L187:L188"/>
    <mergeCell ref="M185:M186"/>
    <mergeCell ref="N185:N186"/>
    <mergeCell ref="M187:M188"/>
    <mergeCell ref="N187:N188"/>
    <mergeCell ref="J181:J182"/>
    <mergeCell ref="K181:K182"/>
    <mergeCell ref="I181:I182"/>
    <mergeCell ref="O181:O182"/>
    <mergeCell ref="P181:P182"/>
    <mergeCell ref="J183:J184"/>
    <mergeCell ref="K183:K184"/>
    <mergeCell ref="I183:I184"/>
    <mergeCell ref="O183:O184"/>
    <mergeCell ref="P183:P184"/>
    <mergeCell ref="L181:L182"/>
    <mergeCell ref="L183:L184"/>
    <mergeCell ref="M181:M182"/>
    <mergeCell ref="N181:N182"/>
    <mergeCell ref="M183:M184"/>
    <mergeCell ref="N183:N184"/>
    <mergeCell ref="J177:J178"/>
    <mergeCell ref="K177:K178"/>
    <mergeCell ref="I177:I178"/>
    <mergeCell ref="O177:O178"/>
    <mergeCell ref="P177:P178"/>
    <mergeCell ref="J179:J180"/>
    <mergeCell ref="K179:K180"/>
    <mergeCell ref="I179:I180"/>
    <mergeCell ref="O179:O180"/>
    <mergeCell ref="P179:P180"/>
    <mergeCell ref="L177:L178"/>
    <mergeCell ref="L179:L180"/>
    <mergeCell ref="M177:M178"/>
    <mergeCell ref="N177:N178"/>
    <mergeCell ref="M179:M180"/>
    <mergeCell ref="N179:N180"/>
    <mergeCell ref="J173:J174"/>
    <mergeCell ref="K173:K174"/>
    <mergeCell ref="I173:I174"/>
    <mergeCell ref="O173:O174"/>
    <mergeCell ref="P173:P174"/>
    <mergeCell ref="J175:J176"/>
    <mergeCell ref="K175:K176"/>
    <mergeCell ref="I175:I176"/>
    <mergeCell ref="O175:O176"/>
    <mergeCell ref="P175:P176"/>
    <mergeCell ref="L173:L174"/>
    <mergeCell ref="L175:L176"/>
    <mergeCell ref="M173:M174"/>
    <mergeCell ref="N173:N174"/>
    <mergeCell ref="M175:M176"/>
    <mergeCell ref="N175:N176"/>
    <mergeCell ref="J169:J170"/>
    <mergeCell ref="K169:K170"/>
    <mergeCell ref="I169:I170"/>
    <mergeCell ref="O169:O170"/>
    <mergeCell ref="P169:P170"/>
    <mergeCell ref="J171:J172"/>
    <mergeCell ref="K171:K172"/>
    <mergeCell ref="I171:I172"/>
    <mergeCell ref="O171:O172"/>
    <mergeCell ref="P171:P172"/>
    <mergeCell ref="L171:L172"/>
    <mergeCell ref="M171:M172"/>
    <mergeCell ref="N171:N172"/>
    <mergeCell ref="J165:J166"/>
    <mergeCell ref="K165:K166"/>
    <mergeCell ref="I165:I166"/>
    <mergeCell ref="O165:O166"/>
    <mergeCell ref="P165:P166"/>
    <mergeCell ref="J167:J168"/>
    <mergeCell ref="K167:K168"/>
    <mergeCell ref="I167:I168"/>
    <mergeCell ref="O167:O168"/>
    <mergeCell ref="P167:P168"/>
    <mergeCell ref="L165:L166"/>
    <mergeCell ref="L167:L168"/>
    <mergeCell ref="N165:N166"/>
    <mergeCell ref="M167:M168"/>
    <mergeCell ref="N167:N168"/>
    <mergeCell ref="L169:L170"/>
    <mergeCell ref="J161:J162"/>
    <mergeCell ref="K161:K162"/>
    <mergeCell ref="I161:I162"/>
    <mergeCell ref="O161:O162"/>
    <mergeCell ref="P161:P162"/>
    <mergeCell ref="J163:J164"/>
    <mergeCell ref="K163:K164"/>
    <mergeCell ref="I163:I164"/>
    <mergeCell ref="O163:O164"/>
    <mergeCell ref="P163:P164"/>
    <mergeCell ref="L161:L162"/>
    <mergeCell ref="M161:M162"/>
    <mergeCell ref="N161:N162"/>
    <mergeCell ref="J157:J158"/>
    <mergeCell ref="K157:K158"/>
    <mergeCell ref="I157:I158"/>
    <mergeCell ref="O157:O158"/>
    <mergeCell ref="P157:P158"/>
    <mergeCell ref="J159:J160"/>
    <mergeCell ref="K159:K160"/>
    <mergeCell ref="I159:I160"/>
    <mergeCell ref="O159:O160"/>
    <mergeCell ref="P159:P160"/>
    <mergeCell ref="L157:L158"/>
    <mergeCell ref="L159:L160"/>
    <mergeCell ref="M157:M158"/>
    <mergeCell ref="N157:N158"/>
    <mergeCell ref="M159:M160"/>
    <mergeCell ref="N159:N160"/>
    <mergeCell ref="J153:J154"/>
    <mergeCell ref="K153:K154"/>
    <mergeCell ref="I153:I154"/>
    <mergeCell ref="O153:O154"/>
    <mergeCell ref="P153:P154"/>
    <mergeCell ref="J155:J156"/>
    <mergeCell ref="K155:K156"/>
    <mergeCell ref="I155:I156"/>
    <mergeCell ref="O155:O156"/>
    <mergeCell ref="P155:P156"/>
    <mergeCell ref="L153:L154"/>
    <mergeCell ref="L155:L156"/>
    <mergeCell ref="N153:N154"/>
    <mergeCell ref="M155:M156"/>
    <mergeCell ref="N155:N156"/>
    <mergeCell ref="J149:J150"/>
    <mergeCell ref="K149:K150"/>
    <mergeCell ref="I149:I150"/>
    <mergeCell ref="O149:O150"/>
    <mergeCell ref="P149:P150"/>
    <mergeCell ref="J151:J152"/>
    <mergeCell ref="K151:K152"/>
    <mergeCell ref="I151:I152"/>
    <mergeCell ref="O151:O152"/>
    <mergeCell ref="P151:P152"/>
    <mergeCell ref="L149:L150"/>
    <mergeCell ref="N149:N150"/>
    <mergeCell ref="J145:J146"/>
    <mergeCell ref="K145:K146"/>
    <mergeCell ref="I145:I146"/>
    <mergeCell ref="O145:O146"/>
    <mergeCell ref="P145:P146"/>
    <mergeCell ref="J147:J148"/>
    <mergeCell ref="K147:K148"/>
    <mergeCell ref="I147:I148"/>
    <mergeCell ref="O147:O148"/>
    <mergeCell ref="P147:P148"/>
    <mergeCell ref="L145:L146"/>
    <mergeCell ref="M145:M146"/>
    <mergeCell ref="N145:N146"/>
    <mergeCell ref="J141:J142"/>
    <mergeCell ref="K141:K142"/>
    <mergeCell ref="I141:I142"/>
    <mergeCell ref="O141:O142"/>
    <mergeCell ref="P141:P142"/>
    <mergeCell ref="J143:J144"/>
    <mergeCell ref="K143:K144"/>
    <mergeCell ref="I143:I144"/>
    <mergeCell ref="O143:O144"/>
    <mergeCell ref="P143:P144"/>
    <mergeCell ref="L141:L142"/>
    <mergeCell ref="L143:L144"/>
    <mergeCell ref="M141:M142"/>
    <mergeCell ref="N141:N142"/>
    <mergeCell ref="M143:M144"/>
    <mergeCell ref="N143:N144"/>
    <mergeCell ref="J137:J138"/>
    <mergeCell ref="K137:K138"/>
    <mergeCell ref="I137:I138"/>
    <mergeCell ref="O137:O138"/>
    <mergeCell ref="P137:P138"/>
    <mergeCell ref="J139:J140"/>
    <mergeCell ref="K139:K140"/>
    <mergeCell ref="I139:I140"/>
    <mergeCell ref="O139:O140"/>
    <mergeCell ref="P139:P140"/>
    <mergeCell ref="L137:L138"/>
    <mergeCell ref="L139:L140"/>
    <mergeCell ref="M137:M138"/>
    <mergeCell ref="N137:N138"/>
    <mergeCell ref="M139:M140"/>
    <mergeCell ref="N139:N140"/>
    <mergeCell ref="J133:J134"/>
    <mergeCell ref="K133:K134"/>
    <mergeCell ref="I133:I134"/>
    <mergeCell ref="O133:O134"/>
    <mergeCell ref="P133:P134"/>
    <mergeCell ref="J135:J136"/>
    <mergeCell ref="K135:K136"/>
    <mergeCell ref="I135:I136"/>
    <mergeCell ref="O135:O136"/>
    <mergeCell ref="P135:P136"/>
    <mergeCell ref="L133:L134"/>
    <mergeCell ref="L135:L136"/>
    <mergeCell ref="M133:M134"/>
    <mergeCell ref="N133:N134"/>
    <mergeCell ref="M135:M136"/>
    <mergeCell ref="N135:N136"/>
    <mergeCell ref="J129:J130"/>
    <mergeCell ref="K129:K130"/>
    <mergeCell ref="I129:I130"/>
    <mergeCell ref="O129:O130"/>
    <mergeCell ref="P129:P130"/>
    <mergeCell ref="J131:J132"/>
    <mergeCell ref="K131:K132"/>
    <mergeCell ref="I131:I132"/>
    <mergeCell ref="O131:O132"/>
    <mergeCell ref="P131:P132"/>
    <mergeCell ref="L131:L132"/>
    <mergeCell ref="M131:M132"/>
    <mergeCell ref="N131:N132"/>
    <mergeCell ref="J125:J126"/>
    <mergeCell ref="K125:K126"/>
    <mergeCell ref="I125:I126"/>
    <mergeCell ref="O125:O126"/>
    <mergeCell ref="P125:P126"/>
    <mergeCell ref="J127:J128"/>
    <mergeCell ref="K127:K128"/>
    <mergeCell ref="I127:I128"/>
    <mergeCell ref="O127:O128"/>
    <mergeCell ref="P127:P128"/>
    <mergeCell ref="L125:L126"/>
    <mergeCell ref="L127:L128"/>
    <mergeCell ref="M125:M126"/>
    <mergeCell ref="N125:N126"/>
    <mergeCell ref="M127:M128"/>
    <mergeCell ref="N127:N128"/>
    <mergeCell ref="J121:J122"/>
    <mergeCell ref="K121:K122"/>
    <mergeCell ref="I121:I122"/>
    <mergeCell ref="O121:O122"/>
    <mergeCell ref="P121:P122"/>
    <mergeCell ref="J123:J124"/>
    <mergeCell ref="K123:K124"/>
    <mergeCell ref="I123:I124"/>
    <mergeCell ref="O123:O124"/>
    <mergeCell ref="P123:P124"/>
    <mergeCell ref="L123:L124"/>
    <mergeCell ref="N123:N124"/>
    <mergeCell ref="J117:J118"/>
    <mergeCell ref="K117:K118"/>
    <mergeCell ref="I117:I118"/>
    <mergeCell ref="O117:O118"/>
    <mergeCell ref="P117:P118"/>
    <mergeCell ref="J119:J120"/>
    <mergeCell ref="K119:K120"/>
    <mergeCell ref="I119:I120"/>
    <mergeCell ref="O119:O120"/>
    <mergeCell ref="P119:P120"/>
    <mergeCell ref="L119:L120"/>
    <mergeCell ref="N119:N120"/>
    <mergeCell ref="J113:J114"/>
    <mergeCell ref="K113:K114"/>
    <mergeCell ref="I113:I114"/>
    <mergeCell ref="O113:O114"/>
    <mergeCell ref="P113:P114"/>
    <mergeCell ref="J115:J116"/>
    <mergeCell ref="K115:K116"/>
    <mergeCell ref="I115:I116"/>
    <mergeCell ref="O115:O116"/>
    <mergeCell ref="P115:P116"/>
    <mergeCell ref="L113:L114"/>
    <mergeCell ref="L115:L116"/>
    <mergeCell ref="M113:M114"/>
    <mergeCell ref="N113:N114"/>
    <mergeCell ref="M115:M116"/>
    <mergeCell ref="N115:N116"/>
    <mergeCell ref="J109:J110"/>
    <mergeCell ref="K109:K110"/>
    <mergeCell ref="I109:I110"/>
    <mergeCell ref="O109:O110"/>
    <mergeCell ref="P109:P110"/>
    <mergeCell ref="J111:J112"/>
    <mergeCell ref="K111:K112"/>
    <mergeCell ref="I111:I112"/>
    <mergeCell ref="O111:O112"/>
    <mergeCell ref="P111:P112"/>
    <mergeCell ref="L109:L110"/>
    <mergeCell ref="L111:L112"/>
    <mergeCell ref="N109:N110"/>
    <mergeCell ref="M111:M112"/>
    <mergeCell ref="N111:N112"/>
    <mergeCell ref="M109:M110"/>
    <mergeCell ref="J105:J106"/>
    <mergeCell ref="K105:K106"/>
    <mergeCell ref="I105:I106"/>
    <mergeCell ref="O105:O106"/>
    <mergeCell ref="P105:P106"/>
    <mergeCell ref="J107:J108"/>
    <mergeCell ref="K107:K108"/>
    <mergeCell ref="I107:I108"/>
    <mergeCell ref="O107:O108"/>
    <mergeCell ref="P107:P108"/>
    <mergeCell ref="L105:L106"/>
    <mergeCell ref="N105:N106"/>
    <mergeCell ref="J101:J102"/>
    <mergeCell ref="K101:K102"/>
    <mergeCell ref="I101:I102"/>
    <mergeCell ref="O101:O102"/>
    <mergeCell ref="P101:P102"/>
    <mergeCell ref="J103:J104"/>
    <mergeCell ref="K103:K104"/>
    <mergeCell ref="I103:I104"/>
    <mergeCell ref="O103:O104"/>
    <mergeCell ref="P103:P104"/>
    <mergeCell ref="L101:L102"/>
    <mergeCell ref="M101:M102"/>
    <mergeCell ref="N101:N102"/>
    <mergeCell ref="M105:M106"/>
    <mergeCell ref="J97:J98"/>
    <mergeCell ref="K97:K98"/>
    <mergeCell ref="I97:I98"/>
    <mergeCell ref="O97:O98"/>
    <mergeCell ref="P97:P98"/>
    <mergeCell ref="J99:J100"/>
    <mergeCell ref="K99:K100"/>
    <mergeCell ref="I99:I100"/>
    <mergeCell ref="O99:O100"/>
    <mergeCell ref="P99:P100"/>
    <mergeCell ref="L97:L98"/>
    <mergeCell ref="L99:L100"/>
    <mergeCell ref="M97:M98"/>
    <mergeCell ref="N97:N98"/>
    <mergeCell ref="M99:M100"/>
    <mergeCell ref="N99:N100"/>
    <mergeCell ref="J93:J94"/>
    <mergeCell ref="K93:K94"/>
    <mergeCell ref="I93:I94"/>
    <mergeCell ref="O93:O94"/>
    <mergeCell ref="P93:P94"/>
    <mergeCell ref="J95:J96"/>
    <mergeCell ref="K95:K96"/>
    <mergeCell ref="I95:I96"/>
    <mergeCell ref="O95:O96"/>
    <mergeCell ref="P95:P96"/>
    <mergeCell ref="L93:L94"/>
    <mergeCell ref="L95:L96"/>
    <mergeCell ref="M93:M94"/>
    <mergeCell ref="N93:N94"/>
    <mergeCell ref="M95:M96"/>
    <mergeCell ref="N95:N96"/>
    <mergeCell ref="J89:J90"/>
    <mergeCell ref="K89:K90"/>
    <mergeCell ref="I89:I90"/>
    <mergeCell ref="O89:O90"/>
    <mergeCell ref="P89:P90"/>
    <mergeCell ref="J91:J92"/>
    <mergeCell ref="K91:K92"/>
    <mergeCell ref="I91:I92"/>
    <mergeCell ref="O91:O92"/>
    <mergeCell ref="P91:P92"/>
    <mergeCell ref="L89:L90"/>
    <mergeCell ref="L91:L92"/>
    <mergeCell ref="M89:M90"/>
    <mergeCell ref="N89:N90"/>
    <mergeCell ref="M91:M92"/>
    <mergeCell ref="N91:N92"/>
    <mergeCell ref="J85:J86"/>
    <mergeCell ref="K85:K86"/>
    <mergeCell ref="I85:I86"/>
    <mergeCell ref="O85:O86"/>
    <mergeCell ref="P85:P86"/>
    <mergeCell ref="J87:J88"/>
    <mergeCell ref="K87:K88"/>
    <mergeCell ref="I87:I88"/>
    <mergeCell ref="O87:O88"/>
    <mergeCell ref="P87:P88"/>
    <mergeCell ref="L85:L86"/>
    <mergeCell ref="M85:M86"/>
    <mergeCell ref="N85:N86"/>
    <mergeCell ref="L87:L88"/>
    <mergeCell ref="M87:M88"/>
    <mergeCell ref="J81:J82"/>
    <mergeCell ref="K81:K82"/>
    <mergeCell ref="I81:I82"/>
    <mergeCell ref="O81:O82"/>
    <mergeCell ref="P81:P82"/>
    <mergeCell ref="J83:J84"/>
    <mergeCell ref="K83:K84"/>
    <mergeCell ref="I83:I84"/>
    <mergeCell ref="O83:O84"/>
    <mergeCell ref="P83:P84"/>
    <mergeCell ref="L81:L82"/>
    <mergeCell ref="L83:L84"/>
    <mergeCell ref="N81:N82"/>
    <mergeCell ref="M83:M84"/>
    <mergeCell ref="N83:N84"/>
    <mergeCell ref="J77:J78"/>
    <mergeCell ref="K77:K78"/>
    <mergeCell ref="I77:I78"/>
    <mergeCell ref="O77:O78"/>
    <mergeCell ref="P77:P78"/>
    <mergeCell ref="J79:J80"/>
    <mergeCell ref="K79:K80"/>
    <mergeCell ref="I79:I80"/>
    <mergeCell ref="O79:O80"/>
    <mergeCell ref="P79:P80"/>
    <mergeCell ref="L77:L78"/>
    <mergeCell ref="M77:M78"/>
    <mergeCell ref="N77:N78"/>
    <mergeCell ref="M81:M82"/>
    <mergeCell ref="L79:L80"/>
    <mergeCell ref="M79:M80"/>
    <mergeCell ref="N79:N80"/>
    <mergeCell ref="J73:J74"/>
    <mergeCell ref="K73:K74"/>
    <mergeCell ref="I73:I74"/>
    <mergeCell ref="O73:O74"/>
    <mergeCell ref="P73:P74"/>
    <mergeCell ref="J75:J76"/>
    <mergeCell ref="K75:K76"/>
    <mergeCell ref="I75:I76"/>
    <mergeCell ref="O75:O76"/>
    <mergeCell ref="P75:P76"/>
    <mergeCell ref="L75:L76"/>
    <mergeCell ref="N75:N76"/>
    <mergeCell ref="J69:J70"/>
    <mergeCell ref="K69:K70"/>
    <mergeCell ref="I69:I70"/>
    <mergeCell ref="O69:O70"/>
    <mergeCell ref="P69:P70"/>
    <mergeCell ref="J71:J72"/>
    <mergeCell ref="K71:K72"/>
    <mergeCell ref="I71:I72"/>
    <mergeCell ref="O71:O72"/>
    <mergeCell ref="P71:P72"/>
    <mergeCell ref="L69:L70"/>
    <mergeCell ref="L71:L72"/>
    <mergeCell ref="M69:M70"/>
    <mergeCell ref="N69:N70"/>
    <mergeCell ref="M71:M72"/>
    <mergeCell ref="N71:N72"/>
    <mergeCell ref="M75:M76"/>
    <mergeCell ref="L73:L74"/>
    <mergeCell ref="M73:M74"/>
    <mergeCell ref="N73:N74"/>
    <mergeCell ref="J65:J66"/>
    <mergeCell ref="K65:K66"/>
    <mergeCell ref="I65:I66"/>
    <mergeCell ref="O65:O66"/>
    <mergeCell ref="P65:P66"/>
    <mergeCell ref="J67:J68"/>
    <mergeCell ref="K67:K68"/>
    <mergeCell ref="I67:I68"/>
    <mergeCell ref="O67:O68"/>
    <mergeCell ref="P67:P68"/>
    <mergeCell ref="L67:L68"/>
    <mergeCell ref="N67:N68"/>
    <mergeCell ref="J61:J62"/>
    <mergeCell ref="K61:K62"/>
    <mergeCell ref="I61:I62"/>
    <mergeCell ref="O61:O62"/>
    <mergeCell ref="P61:P62"/>
    <mergeCell ref="J63:J64"/>
    <mergeCell ref="K63:K64"/>
    <mergeCell ref="I63:I64"/>
    <mergeCell ref="O63:O64"/>
    <mergeCell ref="P63:P64"/>
    <mergeCell ref="L63:L64"/>
    <mergeCell ref="N63:N64"/>
    <mergeCell ref="M67:M68"/>
    <mergeCell ref="M63:M64"/>
    <mergeCell ref="L61:L62"/>
    <mergeCell ref="M61:M62"/>
    <mergeCell ref="N61:N62"/>
    <mergeCell ref="L65:L66"/>
    <mergeCell ref="M65:M66"/>
    <mergeCell ref="N65:N66"/>
    <mergeCell ref="J57:J58"/>
    <mergeCell ref="K57:K58"/>
    <mergeCell ref="I57:I58"/>
    <mergeCell ref="O57:O58"/>
    <mergeCell ref="P57:P58"/>
    <mergeCell ref="J59:J60"/>
    <mergeCell ref="K59:K60"/>
    <mergeCell ref="I59:I60"/>
    <mergeCell ref="O59:O60"/>
    <mergeCell ref="P59:P60"/>
    <mergeCell ref="L57:L58"/>
    <mergeCell ref="L59:L60"/>
    <mergeCell ref="M57:M58"/>
    <mergeCell ref="N57:N58"/>
    <mergeCell ref="M59:M60"/>
    <mergeCell ref="N59:N60"/>
    <mergeCell ref="J53:J54"/>
    <mergeCell ref="K53:K54"/>
    <mergeCell ref="I53:I54"/>
    <mergeCell ref="O53:O54"/>
    <mergeCell ref="P53:P54"/>
    <mergeCell ref="J55:J56"/>
    <mergeCell ref="K55:K56"/>
    <mergeCell ref="I55:I56"/>
    <mergeCell ref="O55:O56"/>
    <mergeCell ref="P55:P56"/>
    <mergeCell ref="L53:L54"/>
    <mergeCell ref="L55:L56"/>
    <mergeCell ref="M53:M54"/>
    <mergeCell ref="N53:N54"/>
    <mergeCell ref="M55:M56"/>
    <mergeCell ref="N55:N56"/>
    <mergeCell ref="J49:J50"/>
    <mergeCell ref="K49:K50"/>
    <mergeCell ref="I49:I50"/>
    <mergeCell ref="O49:O50"/>
    <mergeCell ref="P49:P50"/>
    <mergeCell ref="J51:J52"/>
    <mergeCell ref="K51:K52"/>
    <mergeCell ref="I51:I52"/>
    <mergeCell ref="O51:O52"/>
    <mergeCell ref="P51:P52"/>
    <mergeCell ref="L49:L50"/>
    <mergeCell ref="L51:L52"/>
    <mergeCell ref="M49:M50"/>
    <mergeCell ref="N49:N50"/>
    <mergeCell ref="M51:M52"/>
    <mergeCell ref="N51:N52"/>
    <mergeCell ref="J45:J46"/>
    <mergeCell ref="K45:K46"/>
    <mergeCell ref="I45:I46"/>
    <mergeCell ref="O45:O46"/>
    <mergeCell ref="P45:P46"/>
    <mergeCell ref="J47:J48"/>
    <mergeCell ref="K47:K48"/>
    <mergeCell ref="I47:I48"/>
    <mergeCell ref="O47:O48"/>
    <mergeCell ref="P47:P48"/>
    <mergeCell ref="L45:L46"/>
    <mergeCell ref="L47:L48"/>
    <mergeCell ref="M45:M46"/>
    <mergeCell ref="N45:N46"/>
    <mergeCell ref="M47:M48"/>
    <mergeCell ref="N47:N48"/>
    <mergeCell ref="J41:J42"/>
    <mergeCell ref="K41:K42"/>
    <mergeCell ref="I41:I42"/>
    <mergeCell ref="O41:O42"/>
    <mergeCell ref="P41:P42"/>
    <mergeCell ref="J43:J44"/>
    <mergeCell ref="K43:K44"/>
    <mergeCell ref="I43:I44"/>
    <mergeCell ref="O43:O44"/>
    <mergeCell ref="P43:P44"/>
    <mergeCell ref="L41:L42"/>
    <mergeCell ref="N41:N42"/>
    <mergeCell ref="J37:J38"/>
    <mergeCell ref="K37:K38"/>
    <mergeCell ref="I37:I38"/>
    <mergeCell ref="O37:O38"/>
    <mergeCell ref="P37:P38"/>
    <mergeCell ref="J39:J40"/>
    <mergeCell ref="K39:K40"/>
    <mergeCell ref="I39:I40"/>
    <mergeCell ref="O39:O40"/>
    <mergeCell ref="P39:P40"/>
    <mergeCell ref="L37:L38"/>
    <mergeCell ref="N37:N38"/>
    <mergeCell ref="M41:M42"/>
    <mergeCell ref="L39:L40"/>
    <mergeCell ref="M39:M40"/>
    <mergeCell ref="N39:N40"/>
    <mergeCell ref="L43:L44"/>
    <mergeCell ref="M43:M44"/>
    <mergeCell ref="N43:N44"/>
    <mergeCell ref="M37:M38"/>
    <mergeCell ref="J33:J34"/>
    <mergeCell ref="K33:K34"/>
    <mergeCell ref="I33:I34"/>
    <mergeCell ref="O33:O34"/>
    <mergeCell ref="P33:P34"/>
    <mergeCell ref="J35:J36"/>
    <mergeCell ref="K35:K36"/>
    <mergeCell ref="I35:I36"/>
    <mergeCell ref="O35:O36"/>
    <mergeCell ref="P35:P36"/>
    <mergeCell ref="L33:L34"/>
    <mergeCell ref="L35:L36"/>
    <mergeCell ref="N33:N34"/>
    <mergeCell ref="N35:N36"/>
    <mergeCell ref="J29:J30"/>
    <mergeCell ref="K29:K30"/>
    <mergeCell ref="I29:I30"/>
    <mergeCell ref="O29:O30"/>
    <mergeCell ref="P29:P30"/>
    <mergeCell ref="J31:J32"/>
    <mergeCell ref="K31:K32"/>
    <mergeCell ref="I31:I32"/>
    <mergeCell ref="O31:O32"/>
    <mergeCell ref="P31:P32"/>
    <mergeCell ref="L29:L30"/>
    <mergeCell ref="L31:L32"/>
    <mergeCell ref="N29:N30"/>
    <mergeCell ref="N31:N32"/>
    <mergeCell ref="M29:M30"/>
    <mergeCell ref="M31:M32"/>
    <mergeCell ref="M33:M34"/>
    <mergeCell ref="M35:M36"/>
    <mergeCell ref="J25:J26"/>
    <mergeCell ref="K25:K26"/>
    <mergeCell ref="I25:I26"/>
    <mergeCell ref="O25:O26"/>
    <mergeCell ref="P25:P26"/>
    <mergeCell ref="J27:J28"/>
    <mergeCell ref="K27:K28"/>
    <mergeCell ref="I27:I28"/>
    <mergeCell ref="O27:O28"/>
    <mergeCell ref="P27:P28"/>
    <mergeCell ref="L27:L28"/>
    <mergeCell ref="N27:N28"/>
    <mergeCell ref="J21:J22"/>
    <mergeCell ref="K21:K22"/>
    <mergeCell ref="I21:I22"/>
    <mergeCell ref="O21:O22"/>
    <mergeCell ref="P21:P22"/>
    <mergeCell ref="J23:J24"/>
    <mergeCell ref="K23:K24"/>
    <mergeCell ref="I23:I24"/>
    <mergeCell ref="O23:O24"/>
    <mergeCell ref="P23:P24"/>
    <mergeCell ref="L21:L22"/>
    <mergeCell ref="L23:L24"/>
    <mergeCell ref="N21:N22"/>
    <mergeCell ref="N23:N24"/>
    <mergeCell ref="M27:M28"/>
    <mergeCell ref="L25:L26"/>
    <mergeCell ref="M25:M26"/>
    <mergeCell ref="N25:N26"/>
    <mergeCell ref="M21:M22"/>
    <mergeCell ref="M23:M24"/>
    <mergeCell ref="J17:J18"/>
    <mergeCell ref="K17:K18"/>
    <mergeCell ref="I17:I18"/>
    <mergeCell ref="O17:O18"/>
    <mergeCell ref="P17:P18"/>
    <mergeCell ref="J19:J20"/>
    <mergeCell ref="K19:K20"/>
    <mergeCell ref="I19:I20"/>
    <mergeCell ref="O19:O20"/>
    <mergeCell ref="P19:P20"/>
    <mergeCell ref="L19:L20"/>
    <mergeCell ref="J13:J14"/>
    <mergeCell ref="K13:K14"/>
    <mergeCell ref="I13:I14"/>
    <mergeCell ref="O13:O14"/>
    <mergeCell ref="P13:P14"/>
    <mergeCell ref="J15:J16"/>
    <mergeCell ref="K15:K16"/>
    <mergeCell ref="I15:I16"/>
    <mergeCell ref="O15:O16"/>
    <mergeCell ref="P15:P16"/>
    <mergeCell ref="M15:M16"/>
    <mergeCell ref="M17:M18"/>
    <mergeCell ref="M19:M20"/>
    <mergeCell ref="B241:B242"/>
    <mergeCell ref="C241:C242"/>
    <mergeCell ref="D241:D242"/>
    <mergeCell ref="B243:B244"/>
    <mergeCell ref="C243:C244"/>
    <mergeCell ref="D243:D244"/>
    <mergeCell ref="B237:B238"/>
    <mergeCell ref="C237:C238"/>
    <mergeCell ref="D237:D238"/>
    <mergeCell ref="B239:B240"/>
    <mergeCell ref="C239:C240"/>
    <mergeCell ref="D239:D240"/>
    <mergeCell ref="B233:B234"/>
    <mergeCell ref="C233:C234"/>
    <mergeCell ref="D233:D234"/>
    <mergeCell ref="B235:B236"/>
    <mergeCell ref="C235:C236"/>
    <mergeCell ref="D235:D236"/>
    <mergeCell ref="B229:B230"/>
    <mergeCell ref="C229:C230"/>
    <mergeCell ref="D229:D230"/>
    <mergeCell ref="B225:B226"/>
    <mergeCell ref="C225:C226"/>
    <mergeCell ref="D225:D226"/>
    <mergeCell ref="B223:B224"/>
    <mergeCell ref="C223:C224"/>
    <mergeCell ref="D223:D224"/>
    <mergeCell ref="B219:B220"/>
    <mergeCell ref="C219:C220"/>
    <mergeCell ref="D219:D220"/>
    <mergeCell ref="B221:B222"/>
    <mergeCell ref="C221:C222"/>
    <mergeCell ref="D221:D222"/>
    <mergeCell ref="C227:C228"/>
    <mergeCell ref="D227:D228"/>
    <mergeCell ref="B217:B218"/>
    <mergeCell ref="C217:C218"/>
    <mergeCell ref="D217:D218"/>
    <mergeCell ref="B213:B214"/>
    <mergeCell ref="C213:C214"/>
    <mergeCell ref="D213:D214"/>
    <mergeCell ref="B215:B216"/>
    <mergeCell ref="C215:C216"/>
    <mergeCell ref="D215:D216"/>
    <mergeCell ref="B211:B212"/>
    <mergeCell ref="C211:C212"/>
    <mergeCell ref="D211:D212"/>
    <mergeCell ref="B207:B208"/>
    <mergeCell ref="C207:C208"/>
    <mergeCell ref="D207:D208"/>
    <mergeCell ref="B209:B210"/>
    <mergeCell ref="C209:C210"/>
    <mergeCell ref="D209:D210"/>
    <mergeCell ref="B205:B206"/>
    <mergeCell ref="C205:C206"/>
    <mergeCell ref="D205:D206"/>
    <mergeCell ref="B201:B202"/>
    <mergeCell ref="C201:C202"/>
    <mergeCell ref="D201:D202"/>
    <mergeCell ref="B203:B204"/>
    <mergeCell ref="C203:C204"/>
    <mergeCell ref="D203:D204"/>
    <mergeCell ref="B199:B200"/>
    <mergeCell ref="C199:C200"/>
    <mergeCell ref="D199:D200"/>
    <mergeCell ref="B197:B198"/>
    <mergeCell ref="C197:C198"/>
    <mergeCell ref="D197:D198"/>
    <mergeCell ref="B193:B194"/>
    <mergeCell ref="C193:C194"/>
    <mergeCell ref="D193:D194"/>
    <mergeCell ref="B195:B196"/>
    <mergeCell ref="C195:C196"/>
    <mergeCell ref="D195:D196"/>
    <mergeCell ref="B189:B190"/>
    <mergeCell ref="C189:C190"/>
    <mergeCell ref="D189:D190"/>
    <mergeCell ref="B191:B192"/>
    <mergeCell ref="C191:C192"/>
    <mergeCell ref="D191:D192"/>
    <mergeCell ref="B185:B186"/>
    <mergeCell ref="C185:C186"/>
    <mergeCell ref="D185:D186"/>
    <mergeCell ref="B187:B188"/>
    <mergeCell ref="C187:C188"/>
    <mergeCell ref="D187:D188"/>
    <mergeCell ref="B181:B182"/>
    <mergeCell ref="C181:C182"/>
    <mergeCell ref="D181:D182"/>
    <mergeCell ref="B183:B184"/>
    <mergeCell ref="C183:C184"/>
    <mergeCell ref="D183:D184"/>
    <mergeCell ref="B177:B178"/>
    <mergeCell ref="C177:C178"/>
    <mergeCell ref="D177:D178"/>
    <mergeCell ref="B179:B180"/>
    <mergeCell ref="C179:C180"/>
    <mergeCell ref="D179:D180"/>
    <mergeCell ref="B173:B174"/>
    <mergeCell ref="C173:C174"/>
    <mergeCell ref="D173:D174"/>
    <mergeCell ref="B175:B176"/>
    <mergeCell ref="C175:C176"/>
    <mergeCell ref="D175:D176"/>
    <mergeCell ref="B169:B170"/>
    <mergeCell ref="C169:C170"/>
    <mergeCell ref="D169:D170"/>
    <mergeCell ref="B171:B172"/>
    <mergeCell ref="C171:C172"/>
    <mergeCell ref="D171:D172"/>
    <mergeCell ref="B165:B166"/>
    <mergeCell ref="C165:C166"/>
    <mergeCell ref="D165:D166"/>
    <mergeCell ref="B167:B168"/>
    <mergeCell ref="C167:C168"/>
    <mergeCell ref="D167:D168"/>
    <mergeCell ref="B163:B164"/>
    <mergeCell ref="C163:C164"/>
    <mergeCell ref="D163:D164"/>
    <mergeCell ref="B159:B160"/>
    <mergeCell ref="C159:C160"/>
    <mergeCell ref="D159:D160"/>
    <mergeCell ref="B161:B162"/>
    <mergeCell ref="C161:C162"/>
    <mergeCell ref="D161:D162"/>
    <mergeCell ref="B155:B156"/>
    <mergeCell ref="C155:C156"/>
    <mergeCell ref="D155:D156"/>
    <mergeCell ref="B157:B158"/>
    <mergeCell ref="C157:C158"/>
    <mergeCell ref="D157:D158"/>
    <mergeCell ref="B151:B152"/>
    <mergeCell ref="C151:C152"/>
    <mergeCell ref="D151:D152"/>
    <mergeCell ref="B153:B154"/>
    <mergeCell ref="C153:C154"/>
    <mergeCell ref="D153:D154"/>
    <mergeCell ref="B149:B150"/>
    <mergeCell ref="C149:C150"/>
    <mergeCell ref="D149:D150"/>
    <mergeCell ref="B147:B148"/>
    <mergeCell ref="C147:C148"/>
    <mergeCell ref="D147:D148"/>
    <mergeCell ref="B143:B144"/>
    <mergeCell ref="C143:C144"/>
    <mergeCell ref="D143:D144"/>
    <mergeCell ref="B145:B146"/>
    <mergeCell ref="C145:C146"/>
    <mergeCell ref="D145:D146"/>
    <mergeCell ref="B139:B140"/>
    <mergeCell ref="C139:C140"/>
    <mergeCell ref="D139:D140"/>
    <mergeCell ref="B141:B142"/>
    <mergeCell ref="C141:C142"/>
    <mergeCell ref="D141:D142"/>
    <mergeCell ref="B135:B136"/>
    <mergeCell ref="C135:C136"/>
    <mergeCell ref="D135:D136"/>
    <mergeCell ref="B137:B138"/>
    <mergeCell ref="C137:C138"/>
    <mergeCell ref="D137:D138"/>
    <mergeCell ref="B131:B132"/>
    <mergeCell ref="C131:C132"/>
    <mergeCell ref="D131:D132"/>
    <mergeCell ref="B133:B134"/>
    <mergeCell ref="C133:C134"/>
    <mergeCell ref="D133:D134"/>
    <mergeCell ref="B129:B130"/>
    <mergeCell ref="C129:C130"/>
    <mergeCell ref="D129:D130"/>
    <mergeCell ref="B125:B126"/>
    <mergeCell ref="C125:C126"/>
    <mergeCell ref="D125:D126"/>
    <mergeCell ref="B127:B128"/>
    <mergeCell ref="C127:C128"/>
    <mergeCell ref="D127:D128"/>
    <mergeCell ref="B121:B122"/>
    <mergeCell ref="C121:C122"/>
    <mergeCell ref="D121:D122"/>
    <mergeCell ref="B123:B124"/>
    <mergeCell ref="C123:C124"/>
    <mergeCell ref="D123:D124"/>
    <mergeCell ref="B119:B120"/>
    <mergeCell ref="C119:C120"/>
    <mergeCell ref="D119:D120"/>
    <mergeCell ref="B117:B118"/>
    <mergeCell ref="C117:C118"/>
    <mergeCell ref="D117:D118"/>
    <mergeCell ref="B113:B114"/>
    <mergeCell ref="C113:C114"/>
    <mergeCell ref="D113:D114"/>
    <mergeCell ref="B115:B116"/>
    <mergeCell ref="C115:C116"/>
    <mergeCell ref="D115:D116"/>
    <mergeCell ref="B109:B110"/>
    <mergeCell ref="C109:C110"/>
    <mergeCell ref="D109:D110"/>
    <mergeCell ref="B111:B112"/>
    <mergeCell ref="C111:C112"/>
    <mergeCell ref="D111:D112"/>
    <mergeCell ref="B107:B108"/>
    <mergeCell ref="C107:C108"/>
    <mergeCell ref="D107:D108"/>
    <mergeCell ref="B103:B104"/>
    <mergeCell ref="C103:C104"/>
    <mergeCell ref="D103:D104"/>
    <mergeCell ref="B105:B106"/>
    <mergeCell ref="C105:C106"/>
    <mergeCell ref="D105:D106"/>
    <mergeCell ref="B101:B102"/>
    <mergeCell ref="C101:C102"/>
    <mergeCell ref="D101:D102"/>
    <mergeCell ref="B97:B98"/>
    <mergeCell ref="C97:C98"/>
    <mergeCell ref="D97:D98"/>
    <mergeCell ref="B99:B100"/>
    <mergeCell ref="C99:C100"/>
    <mergeCell ref="D99:D100"/>
    <mergeCell ref="B93:B94"/>
    <mergeCell ref="C93:C94"/>
    <mergeCell ref="D93:D94"/>
    <mergeCell ref="B95:B96"/>
    <mergeCell ref="C95:C96"/>
    <mergeCell ref="D95:D96"/>
    <mergeCell ref="B89:B90"/>
    <mergeCell ref="C89:C90"/>
    <mergeCell ref="D89:D90"/>
    <mergeCell ref="B91:B92"/>
    <mergeCell ref="C91:C92"/>
    <mergeCell ref="D91:D92"/>
    <mergeCell ref="B87:B88"/>
    <mergeCell ref="C87:C88"/>
    <mergeCell ref="D87:D88"/>
    <mergeCell ref="B83:B84"/>
    <mergeCell ref="C83:C84"/>
    <mergeCell ref="D83:D84"/>
    <mergeCell ref="B85:B86"/>
    <mergeCell ref="C85:C86"/>
    <mergeCell ref="D85:D86"/>
    <mergeCell ref="B79:B80"/>
    <mergeCell ref="C79:C80"/>
    <mergeCell ref="D79:D80"/>
    <mergeCell ref="B81:B82"/>
    <mergeCell ref="C81:C82"/>
    <mergeCell ref="D81:D82"/>
    <mergeCell ref="B77:B78"/>
    <mergeCell ref="C77:C78"/>
    <mergeCell ref="D77:D78"/>
    <mergeCell ref="B73:B74"/>
    <mergeCell ref="C73:C74"/>
    <mergeCell ref="D73:D74"/>
    <mergeCell ref="B75:B76"/>
    <mergeCell ref="C75:C76"/>
    <mergeCell ref="D75:D76"/>
    <mergeCell ref="B71:B72"/>
    <mergeCell ref="C71:C72"/>
    <mergeCell ref="D71:D72"/>
    <mergeCell ref="B67:B68"/>
    <mergeCell ref="C67:C68"/>
    <mergeCell ref="D67:D68"/>
    <mergeCell ref="B69:B70"/>
    <mergeCell ref="C69:C70"/>
    <mergeCell ref="D69:D70"/>
    <mergeCell ref="B65:B66"/>
    <mergeCell ref="C65:C66"/>
    <mergeCell ref="D65:D66"/>
    <mergeCell ref="B61:B62"/>
    <mergeCell ref="C61:C62"/>
    <mergeCell ref="D61:D62"/>
    <mergeCell ref="B63:B64"/>
    <mergeCell ref="C63:C64"/>
    <mergeCell ref="D63:D64"/>
    <mergeCell ref="B59:B60"/>
    <mergeCell ref="C59:C60"/>
    <mergeCell ref="D59:D60"/>
    <mergeCell ref="B55:B56"/>
    <mergeCell ref="C55:C56"/>
    <mergeCell ref="D55:D56"/>
    <mergeCell ref="B57:B58"/>
    <mergeCell ref="C57:C58"/>
    <mergeCell ref="D57:D58"/>
    <mergeCell ref="B51:B52"/>
    <mergeCell ref="C51:C52"/>
    <mergeCell ref="D51:D52"/>
    <mergeCell ref="B53:B54"/>
    <mergeCell ref="C53:C54"/>
    <mergeCell ref="D53:D54"/>
    <mergeCell ref="B47:B48"/>
    <mergeCell ref="C47:C48"/>
    <mergeCell ref="D47:D48"/>
    <mergeCell ref="B49:B50"/>
    <mergeCell ref="C49:C50"/>
    <mergeCell ref="D49:D50"/>
    <mergeCell ref="B43:B44"/>
    <mergeCell ref="C43:C44"/>
    <mergeCell ref="D43:D44"/>
    <mergeCell ref="B45:B46"/>
    <mergeCell ref="C45:C46"/>
    <mergeCell ref="D45:D46"/>
    <mergeCell ref="D37:D38"/>
    <mergeCell ref="B33:B34"/>
    <mergeCell ref="C33:C34"/>
    <mergeCell ref="D33:D34"/>
    <mergeCell ref="B35:B36"/>
    <mergeCell ref="C35:C36"/>
    <mergeCell ref="D35:D36"/>
    <mergeCell ref="D19:D20"/>
    <mergeCell ref="B21:B22"/>
    <mergeCell ref="C21:C22"/>
    <mergeCell ref="D21:D22"/>
    <mergeCell ref="B29:B30"/>
    <mergeCell ref="C29:C30"/>
    <mergeCell ref="D29:D30"/>
    <mergeCell ref="B31:B32"/>
    <mergeCell ref="C31:C32"/>
    <mergeCell ref="D31:D32"/>
    <mergeCell ref="B25:B26"/>
    <mergeCell ref="C25:C26"/>
    <mergeCell ref="D25:D26"/>
    <mergeCell ref="B27:B28"/>
    <mergeCell ref="C27:C28"/>
    <mergeCell ref="D27:D28"/>
    <mergeCell ref="L225:L226"/>
    <mergeCell ref="B2:F2"/>
    <mergeCell ref="B3:F3"/>
    <mergeCell ref="B4:F4"/>
    <mergeCell ref="L13:L14"/>
    <mergeCell ref="L15:L16"/>
    <mergeCell ref="B15:B16"/>
    <mergeCell ref="C15:C16"/>
    <mergeCell ref="D15:D16"/>
    <mergeCell ref="B17:B18"/>
    <mergeCell ref="C17:C18"/>
    <mergeCell ref="D17:D18"/>
    <mergeCell ref="B13:B14"/>
    <mergeCell ref="C13:C14"/>
    <mergeCell ref="D13:D14"/>
    <mergeCell ref="B11:B12"/>
    <mergeCell ref="C11:C12"/>
    <mergeCell ref="D11:D12"/>
    <mergeCell ref="L17:L18"/>
    <mergeCell ref="B23:B24"/>
    <mergeCell ref="C23:C24"/>
    <mergeCell ref="D23:D24"/>
    <mergeCell ref="B19:B20"/>
    <mergeCell ref="C19:C20"/>
    <mergeCell ref="B39:B40"/>
    <mergeCell ref="C39:C40"/>
    <mergeCell ref="D39:D40"/>
    <mergeCell ref="B41:B42"/>
    <mergeCell ref="C41:C42"/>
    <mergeCell ref="D41:D42"/>
    <mergeCell ref="B37:B38"/>
    <mergeCell ref="C37:C38"/>
    <mergeCell ref="Y13:Y14"/>
    <mergeCell ref="Y15:Y16"/>
    <mergeCell ref="Y17:Y18"/>
    <mergeCell ref="Y19:Y20"/>
    <mergeCell ref="Y21:Y22"/>
    <mergeCell ref="Y23:Y24"/>
    <mergeCell ref="Y25:Y26"/>
    <mergeCell ref="Y27:Y28"/>
    <mergeCell ref="Y29:Y30"/>
    <mergeCell ref="Y31:Y32"/>
    <mergeCell ref="Y33:Y34"/>
    <mergeCell ref="Y35:Y36"/>
    <mergeCell ref="Y37:Y38"/>
    <mergeCell ref="Y39:Y40"/>
    <mergeCell ref="Y41:Y42"/>
    <mergeCell ref="Y43:Y44"/>
    <mergeCell ref="Y45:Y46"/>
    <mergeCell ref="Y47:Y48"/>
    <mergeCell ref="Y49:Y50"/>
    <mergeCell ref="Y51:Y52"/>
    <mergeCell ref="Y53:Y54"/>
    <mergeCell ref="Y55:Y56"/>
    <mergeCell ref="Y57:Y58"/>
    <mergeCell ref="Y59:Y60"/>
    <mergeCell ref="Y61:Y62"/>
    <mergeCell ref="Y63:Y64"/>
    <mergeCell ref="Y65:Y66"/>
    <mergeCell ref="Y67:Y68"/>
    <mergeCell ref="Y69:Y70"/>
    <mergeCell ref="Y71:Y72"/>
    <mergeCell ref="Y73:Y74"/>
    <mergeCell ref="Y75:Y76"/>
    <mergeCell ref="Y77:Y78"/>
    <mergeCell ref="Y79:Y80"/>
    <mergeCell ref="Y81:Y82"/>
    <mergeCell ref="Y83:Y84"/>
    <mergeCell ref="Y85:Y86"/>
    <mergeCell ref="Y87:Y88"/>
    <mergeCell ref="Y89:Y90"/>
    <mergeCell ref="Y91:Y92"/>
    <mergeCell ref="Y93:Y94"/>
    <mergeCell ref="Y95:Y96"/>
    <mergeCell ref="Y97:Y98"/>
    <mergeCell ref="Y99:Y100"/>
    <mergeCell ref="Y101:Y102"/>
    <mergeCell ref="Y103:Y104"/>
    <mergeCell ref="Y105:Y106"/>
    <mergeCell ref="Y107:Y108"/>
    <mergeCell ref="Y109:Y110"/>
    <mergeCell ref="Y111:Y112"/>
    <mergeCell ref="Y113:Y114"/>
    <mergeCell ref="Y115:Y116"/>
    <mergeCell ref="Y117:Y118"/>
    <mergeCell ref="Y119:Y120"/>
    <mergeCell ref="Y121:Y122"/>
    <mergeCell ref="Y123:Y124"/>
    <mergeCell ref="Y125:Y126"/>
    <mergeCell ref="Y127:Y128"/>
    <mergeCell ref="Y129:Y130"/>
    <mergeCell ref="Y131:Y132"/>
    <mergeCell ref="Y133:Y134"/>
    <mergeCell ref="Y135:Y136"/>
    <mergeCell ref="Y137:Y138"/>
    <mergeCell ref="Y139:Y140"/>
    <mergeCell ref="Y141:Y142"/>
    <mergeCell ref="Y143:Y144"/>
    <mergeCell ref="Y145:Y146"/>
    <mergeCell ref="Y147:Y148"/>
    <mergeCell ref="Y149:Y150"/>
    <mergeCell ref="Y151:Y152"/>
    <mergeCell ref="Y153:Y154"/>
    <mergeCell ref="Y155:Y156"/>
    <mergeCell ref="Y157:Y158"/>
    <mergeCell ref="Y159:Y160"/>
    <mergeCell ref="Y161:Y162"/>
    <mergeCell ref="Y163:Y164"/>
    <mergeCell ref="Y165:Y166"/>
    <mergeCell ref="Y167:Y168"/>
    <mergeCell ref="Y169:Y170"/>
    <mergeCell ref="Y171:Y172"/>
    <mergeCell ref="Y173:Y174"/>
    <mergeCell ref="Y175:Y176"/>
    <mergeCell ref="Y177:Y178"/>
    <mergeCell ref="Y179:Y180"/>
    <mergeCell ref="Y181:Y182"/>
    <mergeCell ref="Y183:Y184"/>
    <mergeCell ref="Y185:Y186"/>
    <mergeCell ref="Y187:Y188"/>
    <mergeCell ref="Y189:Y190"/>
    <mergeCell ref="Y191:Y192"/>
    <mergeCell ref="Y193:Y194"/>
    <mergeCell ref="Y195:Y196"/>
    <mergeCell ref="Y197:Y198"/>
    <mergeCell ref="Y199:Y200"/>
    <mergeCell ref="Y201:Y202"/>
    <mergeCell ref="Y203:Y204"/>
    <mergeCell ref="Y205:Y206"/>
    <mergeCell ref="Y207:Y208"/>
    <mergeCell ref="Y209:Y210"/>
    <mergeCell ref="Y211:Y212"/>
    <mergeCell ref="Y213:Y214"/>
    <mergeCell ref="Y215:Y216"/>
    <mergeCell ref="Y217:Y218"/>
    <mergeCell ref="Y219:Y220"/>
    <mergeCell ref="Y221:Y222"/>
    <mergeCell ref="Y223:Y224"/>
    <mergeCell ref="Y225:Y226"/>
    <mergeCell ref="Y227:Y228"/>
    <mergeCell ref="Y229:Y230"/>
    <mergeCell ref="Y231:Y232"/>
    <mergeCell ref="Y233:Y234"/>
    <mergeCell ref="Y235:Y236"/>
    <mergeCell ref="Y237:Y238"/>
    <mergeCell ref="Y239:Y240"/>
    <mergeCell ref="Y241:Y242"/>
    <mergeCell ref="Y243:Y244"/>
    <mergeCell ref="Y245:Y246"/>
    <mergeCell ref="Y247:Y248"/>
    <mergeCell ref="Y249:Y250"/>
    <mergeCell ref="Y251:Y252"/>
    <mergeCell ref="Y253:Y254"/>
    <mergeCell ref="Y255:Y256"/>
    <mergeCell ref="Y257:Y258"/>
    <mergeCell ref="Y259:Y260"/>
    <mergeCell ref="Y261:Y262"/>
    <mergeCell ref="Y263:Y264"/>
    <mergeCell ref="Y265:Y266"/>
    <mergeCell ref="Y267:Y268"/>
    <mergeCell ref="Y269:Y270"/>
    <mergeCell ref="Y271:Y272"/>
    <mergeCell ref="Y273:Y274"/>
    <mergeCell ref="Y275:Y276"/>
    <mergeCell ref="Y277:Y278"/>
    <mergeCell ref="Y279:Y280"/>
    <mergeCell ref="Y281:Y282"/>
    <mergeCell ref="Y283:Y284"/>
    <mergeCell ref="Y285:Y286"/>
    <mergeCell ref="Y287:Y288"/>
    <mergeCell ref="Y289:Y290"/>
    <mergeCell ref="Y291:Y292"/>
    <mergeCell ref="Y293:Y294"/>
    <mergeCell ref="Y295:Y296"/>
    <mergeCell ref="Y297:Y298"/>
    <mergeCell ref="Y299:Y300"/>
    <mergeCell ref="Y301:Y302"/>
    <mergeCell ref="Y303:Y304"/>
    <mergeCell ref="Y311:Y312"/>
    <mergeCell ref="Y313:Y314"/>
    <mergeCell ref="Y305:Y306"/>
    <mergeCell ref="Y307:Y308"/>
    <mergeCell ref="Y309:Y310"/>
    <mergeCell ref="Y315:Y316"/>
    <mergeCell ref="Y317:Y318"/>
    <mergeCell ref="Y319:Y320"/>
    <mergeCell ref="Y321:Y322"/>
    <mergeCell ref="Y323:Y324"/>
    <mergeCell ref="Y325:Y326"/>
    <mergeCell ref="Y327:Y328"/>
    <mergeCell ref="Y329:Y330"/>
    <mergeCell ref="Y331:Y332"/>
    <mergeCell ref="Y333:Y334"/>
    <mergeCell ref="Y335:Y336"/>
    <mergeCell ref="Y337:Y338"/>
    <mergeCell ref="Y339:Y340"/>
    <mergeCell ref="Y341:Y342"/>
    <mergeCell ref="Y343:Y344"/>
    <mergeCell ref="Y345:Y346"/>
    <mergeCell ref="Y347:Y348"/>
    <mergeCell ref="Y349:Y350"/>
    <mergeCell ref="Y353:Y354"/>
    <mergeCell ref="Y357:Y358"/>
    <mergeCell ref="Y359:Y360"/>
    <mergeCell ref="Y365:Y366"/>
    <mergeCell ref="Y369:Y370"/>
    <mergeCell ref="Y371:Y372"/>
    <mergeCell ref="Y373:Y374"/>
    <mergeCell ref="Y375:Y376"/>
    <mergeCell ref="Y377:Y378"/>
    <mergeCell ref="Y379:Y380"/>
    <mergeCell ref="Y381:Y382"/>
    <mergeCell ref="Y383:Y384"/>
    <mergeCell ref="Y385:Y386"/>
    <mergeCell ref="Y387:Y388"/>
    <mergeCell ref="Y389:Y390"/>
    <mergeCell ref="Y391:Y392"/>
    <mergeCell ref="Y393:Y394"/>
    <mergeCell ref="Y395:Y396"/>
    <mergeCell ref="Y443:Y444"/>
    <mergeCell ref="Y445:Y446"/>
    <mergeCell ref="Y447:Y448"/>
    <mergeCell ref="Y449:Y450"/>
    <mergeCell ref="Y451:Y452"/>
    <mergeCell ref="Y453:Y454"/>
    <mergeCell ref="Y489:Y490"/>
    <mergeCell ref="Y491:Y492"/>
    <mergeCell ref="Y493:Y494"/>
    <mergeCell ref="Y495:Y496"/>
    <mergeCell ref="Y497:Y498"/>
    <mergeCell ref="Y397:Y398"/>
    <mergeCell ref="Y399:Y400"/>
    <mergeCell ref="Y401:Y402"/>
    <mergeCell ref="Y403:Y404"/>
    <mergeCell ref="Y405:Y406"/>
    <mergeCell ref="Y407:Y408"/>
    <mergeCell ref="Y409:Y410"/>
    <mergeCell ref="Y411:Y412"/>
    <mergeCell ref="Y413:Y414"/>
    <mergeCell ref="Y415:Y416"/>
    <mergeCell ref="Y417:Y418"/>
    <mergeCell ref="Y419:Y420"/>
    <mergeCell ref="Y421:Y422"/>
    <mergeCell ref="Y423:Y424"/>
    <mergeCell ref="Y425:Y426"/>
    <mergeCell ref="Y427:Y428"/>
    <mergeCell ref="Y429:Y430"/>
    <mergeCell ref="K367:K368"/>
    <mergeCell ref="J367:J368"/>
    <mergeCell ref="L367:L368"/>
    <mergeCell ref="N367:N368"/>
    <mergeCell ref="O367:O368"/>
    <mergeCell ref="P367:P368"/>
    <mergeCell ref="Y499:Y500"/>
    <mergeCell ref="Y501:Y502"/>
    <mergeCell ref="Y503:Y504"/>
    <mergeCell ref="Y455:Y456"/>
    <mergeCell ref="Y457:Y458"/>
    <mergeCell ref="Y459:Y460"/>
    <mergeCell ref="Y461:Y462"/>
    <mergeCell ref="Y463:Y464"/>
    <mergeCell ref="Y465:Y466"/>
    <mergeCell ref="Y467:Y468"/>
    <mergeCell ref="Y469:Y470"/>
    <mergeCell ref="Y471:Y472"/>
    <mergeCell ref="Y473:Y474"/>
    <mergeCell ref="Y475:Y476"/>
    <mergeCell ref="Y477:Y478"/>
    <mergeCell ref="Y479:Y480"/>
    <mergeCell ref="Y481:Y482"/>
    <mergeCell ref="Y483:Y484"/>
    <mergeCell ref="Y485:Y486"/>
    <mergeCell ref="Y487:Y488"/>
    <mergeCell ref="Y431:Y432"/>
    <mergeCell ref="Y433:Y434"/>
    <mergeCell ref="Y435:Y436"/>
    <mergeCell ref="Y437:Y438"/>
    <mergeCell ref="Y439:Y440"/>
    <mergeCell ref="Y441:Y442"/>
    <mergeCell ref="AC13:AC14"/>
    <mergeCell ref="AD13:AD14"/>
    <mergeCell ref="AC15:AC16"/>
    <mergeCell ref="AD15:AD16"/>
    <mergeCell ref="AC17:AC18"/>
    <mergeCell ref="AD17:AD18"/>
    <mergeCell ref="AC19:AC20"/>
    <mergeCell ref="AD19:AD20"/>
    <mergeCell ref="AC21:AC22"/>
    <mergeCell ref="AD21:AD22"/>
    <mergeCell ref="AC23:AC24"/>
    <mergeCell ref="AD23:AD24"/>
    <mergeCell ref="AC25:AC26"/>
    <mergeCell ref="AD25:AD26"/>
    <mergeCell ref="AC27:AC28"/>
    <mergeCell ref="AD27:AD28"/>
    <mergeCell ref="AC29:AC30"/>
    <mergeCell ref="AD29:AD30"/>
    <mergeCell ref="AC31:AC32"/>
    <mergeCell ref="AD31:AD32"/>
    <mergeCell ref="AC33:AC34"/>
    <mergeCell ref="AD33:AD34"/>
    <mergeCell ref="AC35:AC36"/>
    <mergeCell ref="AD35:AD36"/>
    <mergeCell ref="AC37:AC38"/>
    <mergeCell ref="AD37:AD38"/>
    <mergeCell ref="AC39:AC40"/>
    <mergeCell ref="AD39:AD40"/>
    <mergeCell ref="AC41:AC42"/>
    <mergeCell ref="AD41:AD42"/>
    <mergeCell ref="AC43:AC44"/>
    <mergeCell ref="AD43:AD44"/>
    <mergeCell ref="AC45:AC46"/>
    <mergeCell ref="AD45:AD46"/>
    <mergeCell ref="AC47:AC48"/>
    <mergeCell ref="AD47:AD48"/>
    <mergeCell ref="AC49:AC50"/>
    <mergeCell ref="AD49:AD50"/>
    <mergeCell ref="AC51:AC52"/>
    <mergeCell ref="AD51:AD52"/>
    <mergeCell ref="AC53:AC54"/>
    <mergeCell ref="AD53:AD54"/>
    <mergeCell ref="AC55:AC56"/>
    <mergeCell ref="AD55:AD56"/>
    <mergeCell ref="AC57:AC58"/>
    <mergeCell ref="AD57:AD58"/>
    <mergeCell ref="AC59:AC60"/>
    <mergeCell ref="AD59:AD60"/>
    <mergeCell ref="AC61:AC62"/>
    <mergeCell ref="AD61:AD62"/>
    <mergeCell ref="AC63:AC64"/>
    <mergeCell ref="AD63:AD64"/>
    <mergeCell ref="AC65:AC66"/>
    <mergeCell ref="AD65:AD66"/>
    <mergeCell ref="AC67:AC68"/>
    <mergeCell ref="AD67:AD68"/>
    <mergeCell ref="AC69:AC70"/>
    <mergeCell ref="AD69:AD70"/>
    <mergeCell ref="AC71:AC72"/>
    <mergeCell ref="AD71:AD72"/>
    <mergeCell ref="AC73:AC74"/>
    <mergeCell ref="AD73:AD74"/>
    <mergeCell ref="AC75:AC76"/>
    <mergeCell ref="AD75:AD76"/>
    <mergeCell ref="AC77:AC78"/>
    <mergeCell ref="AD77:AD78"/>
    <mergeCell ref="AC79:AC80"/>
    <mergeCell ref="AD79:AD80"/>
    <mergeCell ref="AC81:AC82"/>
    <mergeCell ref="AD81:AD82"/>
    <mergeCell ref="AC83:AC84"/>
    <mergeCell ref="AD83:AD84"/>
    <mergeCell ref="AC85:AC86"/>
    <mergeCell ref="AD85:AD86"/>
    <mergeCell ref="AC87:AC88"/>
    <mergeCell ref="AD87:AD88"/>
    <mergeCell ref="AC89:AC90"/>
    <mergeCell ref="AD89:AD90"/>
    <mergeCell ref="AC91:AC92"/>
    <mergeCell ref="AD91:AD92"/>
    <mergeCell ref="AC93:AC94"/>
    <mergeCell ref="AD93:AD94"/>
    <mergeCell ref="AC95:AC96"/>
    <mergeCell ref="AD95:AD96"/>
    <mergeCell ref="AC97:AC98"/>
    <mergeCell ref="AD97:AD98"/>
    <mergeCell ref="AC99:AC100"/>
    <mergeCell ref="AD99:AD100"/>
    <mergeCell ref="AC101:AC102"/>
    <mergeCell ref="AD101:AD102"/>
    <mergeCell ref="AC103:AC104"/>
    <mergeCell ref="AD103:AD104"/>
    <mergeCell ref="AC105:AC106"/>
    <mergeCell ref="AD105:AD106"/>
    <mergeCell ref="AC107:AC108"/>
    <mergeCell ref="AD107:AD108"/>
    <mergeCell ref="AC109:AC110"/>
    <mergeCell ref="AD109:AD110"/>
    <mergeCell ref="AC111:AC112"/>
    <mergeCell ref="AD111:AD112"/>
    <mergeCell ref="AC113:AC114"/>
    <mergeCell ref="AD113:AD114"/>
    <mergeCell ref="AC115:AC116"/>
    <mergeCell ref="AD115:AD116"/>
    <mergeCell ref="AC117:AC118"/>
    <mergeCell ref="AD117:AD118"/>
    <mergeCell ref="AC119:AC120"/>
    <mergeCell ref="AD119:AD120"/>
    <mergeCell ref="AC121:AC122"/>
    <mergeCell ref="AD121:AD122"/>
    <mergeCell ref="AC123:AC124"/>
    <mergeCell ref="AD123:AD124"/>
    <mergeCell ref="AC125:AC126"/>
    <mergeCell ref="AD125:AD126"/>
    <mergeCell ref="AC127:AC128"/>
    <mergeCell ref="AD127:AD128"/>
    <mergeCell ref="AC129:AC130"/>
    <mergeCell ref="AD129:AD130"/>
    <mergeCell ref="AC131:AC132"/>
    <mergeCell ref="AD131:AD132"/>
    <mergeCell ref="AC133:AC134"/>
    <mergeCell ref="AD133:AD134"/>
    <mergeCell ref="AC135:AC136"/>
    <mergeCell ref="AD135:AD136"/>
    <mergeCell ref="AC137:AC138"/>
    <mergeCell ref="AD137:AD138"/>
    <mergeCell ref="AC139:AC140"/>
    <mergeCell ref="AD139:AD140"/>
    <mergeCell ref="AC141:AC142"/>
    <mergeCell ref="AD141:AD142"/>
    <mergeCell ref="AC143:AC144"/>
    <mergeCell ref="AD143:AD144"/>
    <mergeCell ref="AC145:AC146"/>
    <mergeCell ref="AD145:AD146"/>
    <mergeCell ref="AC147:AC148"/>
    <mergeCell ref="AD147:AD148"/>
    <mergeCell ref="AC149:AC150"/>
    <mergeCell ref="AD149:AD150"/>
    <mergeCell ref="AC151:AC152"/>
    <mergeCell ref="AD151:AD152"/>
    <mergeCell ref="AC153:AC154"/>
    <mergeCell ref="AD153:AD154"/>
    <mergeCell ref="AC155:AC156"/>
    <mergeCell ref="AD155:AD156"/>
    <mergeCell ref="AC157:AC158"/>
    <mergeCell ref="AD157:AD158"/>
    <mergeCell ref="AC159:AC160"/>
    <mergeCell ref="AD159:AD160"/>
    <mergeCell ref="AC161:AC162"/>
    <mergeCell ref="AD161:AD162"/>
    <mergeCell ref="AC163:AC164"/>
    <mergeCell ref="AD163:AD164"/>
    <mergeCell ref="AC165:AC166"/>
    <mergeCell ref="AD165:AD166"/>
    <mergeCell ref="AC167:AC168"/>
    <mergeCell ref="AD167:AD168"/>
    <mergeCell ref="AC169:AC170"/>
    <mergeCell ref="AD169:AD170"/>
    <mergeCell ref="AC171:AC172"/>
    <mergeCell ref="AD171:AD172"/>
    <mergeCell ref="AC173:AC174"/>
    <mergeCell ref="AD173:AD174"/>
    <mergeCell ref="AC175:AC176"/>
    <mergeCell ref="AD175:AD176"/>
    <mergeCell ref="AC177:AC178"/>
    <mergeCell ref="AD177:AD178"/>
    <mergeCell ref="AC179:AC180"/>
    <mergeCell ref="AD179:AD180"/>
    <mergeCell ref="AC181:AC182"/>
    <mergeCell ref="AD181:AD182"/>
    <mergeCell ref="AC183:AC184"/>
    <mergeCell ref="AD183:AD184"/>
    <mergeCell ref="AC185:AC186"/>
    <mergeCell ref="AD185:AD186"/>
    <mergeCell ref="AC187:AC188"/>
    <mergeCell ref="AD187:AD188"/>
    <mergeCell ref="AC189:AC190"/>
    <mergeCell ref="AD189:AD190"/>
    <mergeCell ref="AC191:AC192"/>
    <mergeCell ref="AD191:AD192"/>
    <mergeCell ref="AC193:AC194"/>
    <mergeCell ref="AD193:AD194"/>
    <mergeCell ref="AC195:AC196"/>
    <mergeCell ref="AD195:AD196"/>
    <mergeCell ref="AC197:AC198"/>
    <mergeCell ref="AD197:AD198"/>
    <mergeCell ref="AC199:AC200"/>
    <mergeCell ref="AD199:AD200"/>
    <mergeCell ref="AC201:AC202"/>
    <mergeCell ref="AD201:AD202"/>
    <mergeCell ref="AC203:AC204"/>
    <mergeCell ref="AD203:AD204"/>
    <mergeCell ref="AC205:AC206"/>
    <mergeCell ref="AD205:AD206"/>
    <mergeCell ref="AC207:AC208"/>
    <mergeCell ref="AD207:AD208"/>
    <mergeCell ref="AC209:AC210"/>
    <mergeCell ref="AD209:AD210"/>
    <mergeCell ref="AC211:AC212"/>
    <mergeCell ref="AD211:AD212"/>
    <mergeCell ref="AC213:AC214"/>
    <mergeCell ref="AD213:AD214"/>
    <mergeCell ref="AC215:AC216"/>
    <mergeCell ref="AD215:AD216"/>
    <mergeCell ref="AC217:AC218"/>
    <mergeCell ref="AD217:AD218"/>
    <mergeCell ref="AC219:AC220"/>
    <mergeCell ref="AD219:AD220"/>
    <mergeCell ref="AC221:AC222"/>
    <mergeCell ref="AD221:AD222"/>
    <mergeCell ref="AC223:AC224"/>
    <mergeCell ref="AD223:AD224"/>
    <mergeCell ref="AC225:AC226"/>
    <mergeCell ref="AD225:AD226"/>
    <mergeCell ref="AC227:AC228"/>
    <mergeCell ref="AD227:AD228"/>
    <mergeCell ref="AC229:AC230"/>
    <mergeCell ref="AD229:AD230"/>
    <mergeCell ref="AC231:AC232"/>
    <mergeCell ref="AD231:AD232"/>
    <mergeCell ref="AC233:AC234"/>
    <mergeCell ref="AD233:AD234"/>
    <mergeCell ref="AC235:AC236"/>
    <mergeCell ref="AD235:AD236"/>
    <mergeCell ref="AC237:AC238"/>
    <mergeCell ref="AD237:AD238"/>
    <mergeCell ref="AC239:AC240"/>
    <mergeCell ref="AD239:AD240"/>
    <mergeCell ref="AC241:AC242"/>
    <mergeCell ref="AD241:AD242"/>
    <mergeCell ref="AC243:AC244"/>
    <mergeCell ref="AD243:AD244"/>
    <mergeCell ref="AC245:AC246"/>
    <mergeCell ref="AD245:AD246"/>
    <mergeCell ref="AC247:AC248"/>
    <mergeCell ref="AD247:AD248"/>
    <mergeCell ref="AC249:AC250"/>
    <mergeCell ref="AD249:AD250"/>
    <mergeCell ref="AC251:AC252"/>
    <mergeCell ref="AD251:AD252"/>
    <mergeCell ref="AC253:AC254"/>
    <mergeCell ref="AD253:AD254"/>
    <mergeCell ref="AC255:AC256"/>
    <mergeCell ref="AD255:AD256"/>
    <mergeCell ref="AC257:AC258"/>
    <mergeCell ref="AD257:AD258"/>
    <mergeCell ref="AC259:AC260"/>
    <mergeCell ref="AD259:AD260"/>
    <mergeCell ref="AC261:AC262"/>
    <mergeCell ref="AD261:AD262"/>
    <mergeCell ref="AC263:AC264"/>
    <mergeCell ref="AD263:AD264"/>
    <mergeCell ref="AC265:AC266"/>
    <mergeCell ref="AD265:AD266"/>
    <mergeCell ref="AC267:AC268"/>
    <mergeCell ref="AD267:AD268"/>
    <mergeCell ref="AC269:AC270"/>
    <mergeCell ref="AD269:AD270"/>
    <mergeCell ref="AC271:AC272"/>
    <mergeCell ref="AD271:AD272"/>
    <mergeCell ref="AC273:AC274"/>
    <mergeCell ref="AD273:AD274"/>
    <mergeCell ref="AC275:AC276"/>
    <mergeCell ref="AD275:AD276"/>
    <mergeCell ref="AC277:AC278"/>
    <mergeCell ref="AD277:AD278"/>
    <mergeCell ref="AC279:AC280"/>
    <mergeCell ref="AD279:AD280"/>
    <mergeCell ref="AC281:AC282"/>
    <mergeCell ref="AD281:AD282"/>
    <mergeCell ref="AC283:AC284"/>
    <mergeCell ref="AD283:AD284"/>
    <mergeCell ref="AC285:AC286"/>
    <mergeCell ref="AD285:AD286"/>
    <mergeCell ref="AC287:AC288"/>
    <mergeCell ref="AD287:AD288"/>
    <mergeCell ref="AC289:AC290"/>
    <mergeCell ref="AD289:AD290"/>
    <mergeCell ref="AC291:AC292"/>
    <mergeCell ref="AD291:AD292"/>
    <mergeCell ref="AC293:AC294"/>
    <mergeCell ref="AD293:AD294"/>
    <mergeCell ref="AC295:AC296"/>
    <mergeCell ref="AD295:AD296"/>
    <mergeCell ref="AC297:AC298"/>
    <mergeCell ref="AD297:AD298"/>
    <mergeCell ref="AC299:AC300"/>
    <mergeCell ref="AD299:AD300"/>
    <mergeCell ref="AC301:AC302"/>
    <mergeCell ref="AD301:AD302"/>
    <mergeCell ref="AC303:AC304"/>
    <mergeCell ref="AD303:AD304"/>
    <mergeCell ref="AC305:AC306"/>
    <mergeCell ref="AD305:AD306"/>
    <mergeCell ref="AC307:AC308"/>
    <mergeCell ref="AD307:AD308"/>
    <mergeCell ref="AC309:AC310"/>
    <mergeCell ref="AD309:AD310"/>
    <mergeCell ref="AC311:AC312"/>
    <mergeCell ref="AD311:AD312"/>
    <mergeCell ref="AC313:AC314"/>
    <mergeCell ref="AD313:AD314"/>
    <mergeCell ref="AC315:AC316"/>
    <mergeCell ref="AD315:AD316"/>
    <mergeCell ref="AC317:AC318"/>
    <mergeCell ref="AD317:AD318"/>
    <mergeCell ref="AC319:AC320"/>
    <mergeCell ref="AD319:AD320"/>
    <mergeCell ref="AC321:AC322"/>
    <mergeCell ref="AD321:AD322"/>
    <mergeCell ref="AC323:AC324"/>
    <mergeCell ref="AD323:AD324"/>
    <mergeCell ref="AC325:AC326"/>
    <mergeCell ref="AD325:AD326"/>
    <mergeCell ref="AC327:AC328"/>
    <mergeCell ref="AD327:AD328"/>
    <mergeCell ref="AC329:AC330"/>
    <mergeCell ref="AD329:AD330"/>
    <mergeCell ref="AC331:AC332"/>
    <mergeCell ref="AD331:AD332"/>
    <mergeCell ref="AC333:AC334"/>
    <mergeCell ref="AD333:AD334"/>
    <mergeCell ref="AC335:AC336"/>
    <mergeCell ref="AD335:AD336"/>
    <mergeCell ref="AC337:AC338"/>
    <mergeCell ref="AD337:AD338"/>
    <mergeCell ref="AC339:AC340"/>
    <mergeCell ref="AD339:AD340"/>
    <mergeCell ref="AC341:AC342"/>
    <mergeCell ref="AD341:AD342"/>
    <mergeCell ref="AC343:AC344"/>
    <mergeCell ref="AD343:AD344"/>
    <mergeCell ref="AC345:AC346"/>
    <mergeCell ref="AD345:AD346"/>
    <mergeCell ref="AC347:AC348"/>
    <mergeCell ref="AD347:AD348"/>
    <mergeCell ref="AC349:AC350"/>
    <mergeCell ref="AD349:AD350"/>
    <mergeCell ref="AC351:AC352"/>
    <mergeCell ref="AD351:AD352"/>
    <mergeCell ref="AC353:AC354"/>
    <mergeCell ref="AD353:AD354"/>
    <mergeCell ref="AC355:AC356"/>
    <mergeCell ref="AD355:AD356"/>
    <mergeCell ref="AC357:AC358"/>
    <mergeCell ref="AD357:AD358"/>
    <mergeCell ref="AC359:AC360"/>
    <mergeCell ref="AD359:AD360"/>
    <mergeCell ref="AC361:AC362"/>
    <mergeCell ref="AD361:AD362"/>
    <mergeCell ref="AC363:AC364"/>
    <mergeCell ref="AD363:AD364"/>
    <mergeCell ref="AC365:AC366"/>
    <mergeCell ref="AD365:AD366"/>
    <mergeCell ref="AC367:AC368"/>
    <mergeCell ref="AD367:AD368"/>
    <mergeCell ref="AC369:AC370"/>
    <mergeCell ref="AD369:AD370"/>
    <mergeCell ref="AC371:AC372"/>
    <mergeCell ref="AD371:AD372"/>
    <mergeCell ref="AC373:AC374"/>
    <mergeCell ref="AD373:AD374"/>
    <mergeCell ref="AC375:AC376"/>
    <mergeCell ref="AD375:AD376"/>
    <mergeCell ref="AC377:AC378"/>
    <mergeCell ref="AD377:AD378"/>
    <mergeCell ref="AC379:AC380"/>
    <mergeCell ref="AD379:AD380"/>
    <mergeCell ref="AC381:AC382"/>
    <mergeCell ref="AD381:AD382"/>
    <mergeCell ref="AC383:AC384"/>
    <mergeCell ref="AD383:AD384"/>
    <mergeCell ref="AC385:AC386"/>
    <mergeCell ref="AD385:AD386"/>
    <mergeCell ref="AC387:AC388"/>
    <mergeCell ref="AD387:AD388"/>
    <mergeCell ref="AC389:AC390"/>
    <mergeCell ref="AD389:AD390"/>
    <mergeCell ref="AC391:AC392"/>
    <mergeCell ref="AD391:AD392"/>
    <mergeCell ref="AC393:AC394"/>
    <mergeCell ref="AD393:AD394"/>
    <mergeCell ref="AC395:AC396"/>
    <mergeCell ref="AD395:AD396"/>
    <mergeCell ref="AC397:AC398"/>
    <mergeCell ref="AD397:AD398"/>
    <mergeCell ref="AC399:AC400"/>
    <mergeCell ref="AD399:AD400"/>
    <mergeCell ref="AC401:AC402"/>
    <mergeCell ref="AD401:AD402"/>
    <mergeCell ref="AC403:AC404"/>
    <mergeCell ref="AD403:AD404"/>
    <mergeCell ref="AC405:AC406"/>
    <mergeCell ref="AD405:AD406"/>
    <mergeCell ref="AC407:AC408"/>
    <mergeCell ref="AD407:AD408"/>
    <mergeCell ref="AC409:AC410"/>
    <mergeCell ref="AD409:AD410"/>
    <mergeCell ref="AC411:AC412"/>
    <mergeCell ref="AD411:AD412"/>
    <mergeCell ref="AC413:AC414"/>
    <mergeCell ref="AD413:AD414"/>
    <mergeCell ref="AC415:AC416"/>
    <mergeCell ref="AD415:AD416"/>
    <mergeCell ref="AC417:AC418"/>
    <mergeCell ref="AD417:AD418"/>
    <mergeCell ref="AC419:AC420"/>
    <mergeCell ref="AD419:AD420"/>
    <mergeCell ref="AC421:AC422"/>
    <mergeCell ref="AD421:AD422"/>
    <mergeCell ref="AC423:AC424"/>
    <mergeCell ref="AD423:AD424"/>
    <mergeCell ref="AC425:AC426"/>
    <mergeCell ref="AD425:AD426"/>
    <mergeCell ref="AC427:AC428"/>
    <mergeCell ref="AD427:AD428"/>
    <mergeCell ref="AC429:AC430"/>
    <mergeCell ref="AD429:AD430"/>
    <mergeCell ref="AC431:AC432"/>
    <mergeCell ref="AD431:AD432"/>
    <mergeCell ref="AC433:AC434"/>
    <mergeCell ref="AD433:AD434"/>
    <mergeCell ref="AC435:AC436"/>
    <mergeCell ref="AD435:AD436"/>
    <mergeCell ref="AC437:AC438"/>
    <mergeCell ref="AD437:AD438"/>
    <mergeCell ref="AC439:AC440"/>
    <mergeCell ref="AD439:AD440"/>
    <mergeCell ref="AC441:AC442"/>
    <mergeCell ref="AD441:AD442"/>
    <mergeCell ref="AC443:AC444"/>
    <mergeCell ref="AD443:AD444"/>
    <mergeCell ref="AC445:AC446"/>
    <mergeCell ref="AD445:AD446"/>
    <mergeCell ref="AC447:AC448"/>
    <mergeCell ref="AD447:AD448"/>
    <mergeCell ref="AC449:AC450"/>
    <mergeCell ref="AD449:AD450"/>
    <mergeCell ref="AC451:AC452"/>
    <mergeCell ref="AD451:AD452"/>
    <mergeCell ref="AC453:AC454"/>
    <mergeCell ref="AD453:AD454"/>
    <mergeCell ref="AC455:AC456"/>
    <mergeCell ref="AD455:AD456"/>
    <mergeCell ref="AC457:AC458"/>
    <mergeCell ref="AD457:AD458"/>
    <mergeCell ref="AC459:AC460"/>
    <mergeCell ref="AD459:AD460"/>
    <mergeCell ref="AC461:AC462"/>
    <mergeCell ref="AD461:AD462"/>
    <mergeCell ref="AC463:AC464"/>
    <mergeCell ref="AD463:AD464"/>
    <mergeCell ref="AC465:AC466"/>
    <mergeCell ref="AD465:AD466"/>
    <mergeCell ref="AC467:AC468"/>
    <mergeCell ref="AD467:AD468"/>
    <mergeCell ref="AC469:AC470"/>
    <mergeCell ref="AD469:AD470"/>
    <mergeCell ref="AC471:AC472"/>
    <mergeCell ref="AD471:AD472"/>
    <mergeCell ref="AC473:AC474"/>
    <mergeCell ref="AD473:AD474"/>
    <mergeCell ref="AC475:AC476"/>
    <mergeCell ref="AD475:AD476"/>
    <mergeCell ref="AC477:AC478"/>
    <mergeCell ref="AD477:AD478"/>
    <mergeCell ref="AC479:AC480"/>
    <mergeCell ref="AD479:AD480"/>
    <mergeCell ref="AC499:AC500"/>
    <mergeCell ref="AD499:AD500"/>
    <mergeCell ref="AC501:AC502"/>
    <mergeCell ref="AD501:AD502"/>
    <mergeCell ref="AC503:AC504"/>
    <mergeCell ref="AD503:AD504"/>
    <mergeCell ref="AC481:AC482"/>
    <mergeCell ref="AD481:AD482"/>
    <mergeCell ref="AC483:AC484"/>
    <mergeCell ref="AD483:AD484"/>
    <mergeCell ref="AC485:AC486"/>
    <mergeCell ref="AD485:AD486"/>
    <mergeCell ref="AC487:AC488"/>
    <mergeCell ref="AD487:AD488"/>
    <mergeCell ref="AC489:AC490"/>
    <mergeCell ref="AD489:AD490"/>
    <mergeCell ref="AC491:AC492"/>
    <mergeCell ref="AD491:AD492"/>
    <mergeCell ref="AC493:AC494"/>
    <mergeCell ref="AD493:AD494"/>
    <mergeCell ref="AC495:AC496"/>
    <mergeCell ref="AD495:AD496"/>
    <mergeCell ref="AC497:AC498"/>
    <mergeCell ref="AD497:AD498"/>
  </mergeCells>
  <pageMargins left="0.7" right="0.7" top="0.75" bottom="0.75" header="0.3" footer="0.3"/>
  <pageSetup scale="3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8E1F-A155-4684-8E18-4904B1EF7E35}">
  <sheetPr codeName="Sheet4">
    <pageSetUpPr fitToPage="1"/>
  </sheetPr>
  <dimension ref="B7:O174"/>
  <sheetViews>
    <sheetView view="pageBreakPreview" zoomScale="70" zoomScaleNormal="100" zoomScaleSheetLayoutView="70" workbookViewId="0">
      <selection activeCell="M21" sqref="M21"/>
    </sheetView>
  </sheetViews>
  <sheetFormatPr defaultColWidth="9" defaultRowHeight="15.6"/>
  <cols>
    <col min="1" max="1" width="6.77734375" style="60" customWidth="1"/>
    <col min="2" max="4" width="9.109375" style="60" bestFit="1" customWidth="1"/>
    <col min="5" max="5" width="8.77734375" style="60" customWidth="1"/>
    <col min="6" max="6" width="9.6640625" style="60" customWidth="1"/>
    <col min="7" max="8" width="9.109375" style="60" bestFit="1" customWidth="1"/>
    <col min="9" max="9" width="8" style="60" customWidth="1"/>
    <col min="10" max="10" width="9.109375" style="60" bestFit="1" customWidth="1"/>
    <col min="11" max="11" width="7.88671875" style="60" customWidth="1"/>
    <col min="12" max="12" width="9.109375" style="60" bestFit="1" customWidth="1"/>
    <col min="13" max="13" width="10.77734375" style="60" bestFit="1" customWidth="1"/>
    <col min="14" max="15" width="9.109375" style="60" bestFit="1" customWidth="1"/>
    <col min="16" max="256" width="9" style="60"/>
    <col min="257" max="257" width="6.77734375" style="60" customWidth="1"/>
    <col min="258" max="260" width="9.109375" style="60" bestFit="1" customWidth="1"/>
    <col min="261" max="261" width="8.77734375" style="60" customWidth="1"/>
    <col min="262" max="262" width="9.6640625" style="60" customWidth="1"/>
    <col min="263" max="264" width="9.109375" style="60" bestFit="1" customWidth="1"/>
    <col min="265" max="265" width="8" style="60" customWidth="1"/>
    <col min="266" max="266" width="9.109375" style="60" bestFit="1" customWidth="1"/>
    <col min="267" max="267" width="7" style="60" bestFit="1" customWidth="1"/>
    <col min="268" max="268" width="9.109375" style="60" bestFit="1" customWidth="1"/>
    <col min="269" max="269" width="10.77734375" style="60" bestFit="1" customWidth="1"/>
    <col min="270" max="271" width="9.109375" style="60" bestFit="1" customWidth="1"/>
    <col min="272" max="512" width="9" style="60"/>
    <col min="513" max="513" width="6.77734375" style="60" customWidth="1"/>
    <col min="514" max="516" width="9.109375" style="60" bestFit="1" customWidth="1"/>
    <col min="517" max="517" width="8.77734375" style="60" customWidth="1"/>
    <col min="518" max="518" width="9.6640625" style="60" customWidth="1"/>
    <col min="519" max="520" width="9.109375" style="60" bestFit="1" customWidth="1"/>
    <col min="521" max="521" width="8" style="60" customWidth="1"/>
    <col min="522" max="522" width="9.109375" style="60" bestFit="1" customWidth="1"/>
    <col min="523" max="523" width="7" style="60" bestFit="1" customWidth="1"/>
    <col min="524" max="524" width="9.109375" style="60" bestFit="1" customWidth="1"/>
    <col min="525" max="525" width="10.77734375" style="60" bestFit="1" customWidth="1"/>
    <col min="526" max="527" width="9.109375" style="60" bestFit="1" customWidth="1"/>
    <col min="528" max="768" width="9" style="60"/>
    <col min="769" max="769" width="6.77734375" style="60" customWidth="1"/>
    <col min="770" max="772" width="9.109375" style="60" bestFit="1" customWidth="1"/>
    <col min="773" max="773" width="8.77734375" style="60" customWidth="1"/>
    <col min="774" max="774" width="9.6640625" style="60" customWidth="1"/>
    <col min="775" max="776" width="9.109375" style="60" bestFit="1" customWidth="1"/>
    <col min="777" max="777" width="8" style="60" customWidth="1"/>
    <col min="778" max="778" width="9.109375" style="60" bestFit="1" customWidth="1"/>
    <col min="779" max="779" width="7" style="60" bestFit="1" customWidth="1"/>
    <col min="780" max="780" width="9.109375" style="60" bestFit="1" customWidth="1"/>
    <col min="781" max="781" width="10.77734375" style="60" bestFit="1" customWidth="1"/>
    <col min="782" max="783" width="9.109375" style="60" bestFit="1" customWidth="1"/>
    <col min="784" max="1024" width="9" style="60"/>
    <col min="1025" max="1025" width="6.77734375" style="60" customWidth="1"/>
    <col min="1026" max="1028" width="9.109375" style="60" bestFit="1" customWidth="1"/>
    <col min="1029" max="1029" width="8.77734375" style="60" customWidth="1"/>
    <col min="1030" max="1030" width="9.6640625" style="60" customWidth="1"/>
    <col min="1031" max="1032" width="9.109375" style="60" bestFit="1" customWidth="1"/>
    <col min="1033" max="1033" width="8" style="60" customWidth="1"/>
    <col min="1034" max="1034" width="9.109375" style="60" bestFit="1" customWidth="1"/>
    <col min="1035" max="1035" width="7" style="60" bestFit="1" customWidth="1"/>
    <col min="1036" max="1036" width="9.109375" style="60" bestFit="1" customWidth="1"/>
    <col min="1037" max="1037" width="10.77734375" style="60" bestFit="1" customWidth="1"/>
    <col min="1038" max="1039" width="9.109375" style="60" bestFit="1" customWidth="1"/>
    <col min="1040" max="1280" width="9" style="60"/>
    <col min="1281" max="1281" width="6.77734375" style="60" customWidth="1"/>
    <col min="1282" max="1284" width="9.109375" style="60" bestFit="1" customWidth="1"/>
    <col min="1285" max="1285" width="8.77734375" style="60" customWidth="1"/>
    <col min="1286" max="1286" width="9.6640625" style="60" customWidth="1"/>
    <col min="1287" max="1288" width="9.109375" style="60" bestFit="1" customWidth="1"/>
    <col min="1289" max="1289" width="8" style="60" customWidth="1"/>
    <col min="1290" max="1290" width="9.109375" style="60" bestFit="1" customWidth="1"/>
    <col min="1291" max="1291" width="7" style="60" bestFit="1" customWidth="1"/>
    <col min="1292" max="1292" width="9.109375" style="60" bestFit="1" customWidth="1"/>
    <col min="1293" max="1293" width="10.77734375" style="60" bestFit="1" customWidth="1"/>
    <col min="1294" max="1295" width="9.109375" style="60" bestFit="1" customWidth="1"/>
    <col min="1296" max="1536" width="9" style="60"/>
    <col min="1537" max="1537" width="6.77734375" style="60" customWidth="1"/>
    <col min="1538" max="1540" width="9.109375" style="60" bestFit="1" customWidth="1"/>
    <col min="1541" max="1541" width="8.77734375" style="60" customWidth="1"/>
    <col min="1542" max="1542" width="9.6640625" style="60" customWidth="1"/>
    <col min="1543" max="1544" width="9.109375" style="60" bestFit="1" customWidth="1"/>
    <col min="1545" max="1545" width="8" style="60" customWidth="1"/>
    <col min="1546" max="1546" width="9.109375" style="60" bestFit="1" customWidth="1"/>
    <col min="1547" max="1547" width="7" style="60" bestFit="1" customWidth="1"/>
    <col min="1548" max="1548" width="9.109375" style="60" bestFit="1" customWidth="1"/>
    <col min="1549" max="1549" width="10.77734375" style="60" bestFit="1" customWidth="1"/>
    <col min="1550" max="1551" width="9.109375" style="60" bestFit="1" customWidth="1"/>
    <col min="1552" max="1792" width="9" style="60"/>
    <col min="1793" max="1793" width="6.77734375" style="60" customWidth="1"/>
    <col min="1794" max="1796" width="9.109375" style="60" bestFit="1" customWidth="1"/>
    <col min="1797" max="1797" width="8.77734375" style="60" customWidth="1"/>
    <col min="1798" max="1798" width="9.6640625" style="60" customWidth="1"/>
    <col min="1799" max="1800" width="9.109375" style="60" bestFit="1" customWidth="1"/>
    <col min="1801" max="1801" width="8" style="60" customWidth="1"/>
    <col min="1802" max="1802" width="9.109375" style="60" bestFit="1" customWidth="1"/>
    <col min="1803" max="1803" width="7" style="60" bestFit="1" customWidth="1"/>
    <col min="1804" max="1804" width="9.109375" style="60" bestFit="1" customWidth="1"/>
    <col min="1805" max="1805" width="10.77734375" style="60" bestFit="1" customWidth="1"/>
    <col min="1806" max="1807" width="9.109375" style="60" bestFit="1" customWidth="1"/>
    <col min="1808" max="2048" width="9" style="60"/>
    <col min="2049" max="2049" width="6.77734375" style="60" customWidth="1"/>
    <col min="2050" max="2052" width="9.109375" style="60" bestFit="1" customWidth="1"/>
    <col min="2053" max="2053" width="8.77734375" style="60" customWidth="1"/>
    <col min="2054" max="2054" width="9.6640625" style="60" customWidth="1"/>
    <col min="2055" max="2056" width="9.109375" style="60" bestFit="1" customWidth="1"/>
    <col min="2057" max="2057" width="8" style="60" customWidth="1"/>
    <col min="2058" max="2058" width="9.109375" style="60" bestFit="1" customWidth="1"/>
    <col min="2059" max="2059" width="7" style="60" bestFit="1" customWidth="1"/>
    <col min="2060" max="2060" width="9.109375" style="60" bestFit="1" customWidth="1"/>
    <col min="2061" max="2061" width="10.77734375" style="60" bestFit="1" customWidth="1"/>
    <col min="2062" max="2063" width="9.109375" style="60" bestFit="1" customWidth="1"/>
    <col min="2064" max="2304" width="9" style="60"/>
    <col min="2305" max="2305" width="6.77734375" style="60" customWidth="1"/>
    <col min="2306" max="2308" width="9.109375" style="60" bestFit="1" customWidth="1"/>
    <col min="2309" max="2309" width="8.77734375" style="60" customWidth="1"/>
    <col min="2310" max="2310" width="9.6640625" style="60" customWidth="1"/>
    <col min="2311" max="2312" width="9.109375" style="60" bestFit="1" customWidth="1"/>
    <col min="2313" max="2313" width="8" style="60" customWidth="1"/>
    <col min="2314" max="2314" width="9.109375" style="60" bestFit="1" customWidth="1"/>
    <col min="2315" max="2315" width="7" style="60" bestFit="1" customWidth="1"/>
    <col min="2316" max="2316" width="9.109375" style="60" bestFit="1" customWidth="1"/>
    <col min="2317" max="2317" width="10.77734375" style="60" bestFit="1" customWidth="1"/>
    <col min="2318" max="2319" width="9.109375" style="60" bestFit="1" customWidth="1"/>
    <col min="2320" max="2560" width="9" style="60"/>
    <col min="2561" max="2561" width="6.77734375" style="60" customWidth="1"/>
    <col min="2562" max="2564" width="9.109375" style="60" bestFit="1" customWidth="1"/>
    <col min="2565" max="2565" width="8.77734375" style="60" customWidth="1"/>
    <col min="2566" max="2566" width="9.6640625" style="60" customWidth="1"/>
    <col min="2567" max="2568" width="9.109375" style="60" bestFit="1" customWidth="1"/>
    <col min="2569" max="2569" width="8" style="60" customWidth="1"/>
    <col min="2570" max="2570" width="9.109375" style="60" bestFit="1" customWidth="1"/>
    <col min="2571" max="2571" width="7" style="60" bestFit="1" customWidth="1"/>
    <col min="2572" max="2572" width="9.109375" style="60" bestFit="1" customWidth="1"/>
    <col min="2573" max="2573" width="10.77734375" style="60" bestFit="1" customWidth="1"/>
    <col min="2574" max="2575" width="9.109375" style="60" bestFit="1" customWidth="1"/>
    <col min="2576" max="2816" width="9" style="60"/>
    <col min="2817" max="2817" width="6.77734375" style="60" customWidth="1"/>
    <col min="2818" max="2820" width="9.109375" style="60" bestFit="1" customWidth="1"/>
    <col min="2821" max="2821" width="8.77734375" style="60" customWidth="1"/>
    <col min="2822" max="2822" width="9.6640625" style="60" customWidth="1"/>
    <col min="2823" max="2824" width="9.109375" style="60" bestFit="1" customWidth="1"/>
    <col min="2825" max="2825" width="8" style="60" customWidth="1"/>
    <col min="2826" max="2826" width="9.109375" style="60" bestFit="1" customWidth="1"/>
    <col min="2827" max="2827" width="7" style="60" bestFit="1" customWidth="1"/>
    <col min="2828" max="2828" width="9.109375" style="60" bestFit="1" customWidth="1"/>
    <col min="2829" max="2829" width="10.77734375" style="60" bestFit="1" customWidth="1"/>
    <col min="2830" max="2831" width="9.109375" style="60" bestFit="1" customWidth="1"/>
    <col min="2832" max="3072" width="9" style="60"/>
    <col min="3073" max="3073" width="6.77734375" style="60" customWidth="1"/>
    <col min="3074" max="3076" width="9.109375" style="60" bestFit="1" customWidth="1"/>
    <col min="3077" max="3077" width="8.77734375" style="60" customWidth="1"/>
    <col min="3078" max="3078" width="9.6640625" style="60" customWidth="1"/>
    <col min="3079" max="3080" width="9.109375" style="60" bestFit="1" customWidth="1"/>
    <col min="3081" max="3081" width="8" style="60" customWidth="1"/>
    <col min="3082" max="3082" width="9.109375" style="60" bestFit="1" customWidth="1"/>
    <col min="3083" max="3083" width="7" style="60" bestFit="1" customWidth="1"/>
    <col min="3084" max="3084" width="9.109375" style="60" bestFit="1" customWidth="1"/>
    <col min="3085" max="3085" width="10.77734375" style="60" bestFit="1" customWidth="1"/>
    <col min="3086" max="3087" width="9.109375" style="60" bestFit="1" customWidth="1"/>
    <col min="3088" max="3328" width="9" style="60"/>
    <col min="3329" max="3329" width="6.77734375" style="60" customWidth="1"/>
    <col min="3330" max="3332" width="9.109375" style="60" bestFit="1" customWidth="1"/>
    <col min="3333" max="3333" width="8.77734375" style="60" customWidth="1"/>
    <col min="3334" max="3334" width="9.6640625" style="60" customWidth="1"/>
    <col min="3335" max="3336" width="9.109375" style="60" bestFit="1" customWidth="1"/>
    <col min="3337" max="3337" width="8" style="60" customWidth="1"/>
    <col min="3338" max="3338" width="9.109375" style="60" bestFit="1" customWidth="1"/>
    <col min="3339" max="3339" width="7" style="60" bestFit="1" customWidth="1"/>
    <col min="3340" max="3340" width="9.109375" style="60" bestFit="1" customWidth="1"/>
    <col min="3341" max="3341" width="10.77734375" style="60" bestFit="1" customWidth="1"/>
    <col min="3342" max="3343" width="9.109375" style="60" bestFit="1" customWidth="1"/>
    <col min="3344" max="3584" width="9" style="60"/>
    <col min="3585" max="3585" width="6.77734375" style="60" customWidth="1"/>
    <col min="3586" max="3588" width="9.109375" style="60" bestFit="1" customWidth="1"/>
    <col min="3589" max="3589" width="8.77734375" style="60" customWidth="1"/>
    <col min="3590" max="3590" width="9.6640625" style="60" customWidth="1"/>
    <col min="3591" max="3592" width="9.109375" style="60" bestFit="1" customWidth="1"/>
    <col min="3593" max="3593" width="8" style="60" customWidth="1"/>
    <col min="3594" max="3594" width="9.109375" style="60" bestFit="1" customWidth="1"/>
    <col min="3595" max="3595" width="7" style="60" bestFit="1" customWidth="1"/>
    <col min="3596" max="3596" width="9.109375" style="60" bestFit="1" customWidth="1"/>
    <col min="3597" max="3597" width="10.77734375" style="60" bestFit="1" customWidth="1"/>
    <col min="3598" max="3599" width="9.109375" style="60" bestFit="1" customWidth="1"/>
    <col min="3600" max="3840" width="9" style="60"/>
    <col min="3841" max="3841" width="6.77734375" style="60" customWidth="1"/>
    <col min="3842" max="3844" width="9.109375" style="60" bestFit="1" customWidth="1"/>
    <col min="3845" max="3845" width="8.77734375" style="60" customWidth="1"/>
    <col min="3846" max="3846" width="9.6640625" style="60" customWidth="1"/>
    <col min="3847" max="3848" width="9.109375" style="60" bestFit="1" customWidth="1"/>
    <col min="3849" max="3849" width="8" style="60" customWidth="1"/>
    <col min="3850" max="3850" width="9.109375" style="60" bestFit="1" customWidth="1"/>
    <col min="3851" max="3851" width="7" style="60" bestFit="1" customWidth="1"/>
    <col min="3852" max="3852" width="9.109375" style="60" bestFit="1" customWidth="1"/>
    <col min="3853" max="3853" width="10.77734375" style="60" bestFit="1" customWidth="1"/>
    <col min="3854" max="3855" width="9.109375" style="60" bestFit="1" customWidth="1"/>
    <col min="3856" max="4096" width="9" style="60"/>
    <col min="4097" max="4097" width="6.77734375" style="60" customWidth="1"/>
    <col min="4098" max="4100" width="9.109375" style="60" bestFit="1" customWidth="1"/>
    <col min="4101" max="4101" width="8.77734375" style="60" customWidth="1"/>
    <col min="4102" max="4102" width="9.6640625" style="60" customWidth="1"/>
    <col min="4103" max="4104" width="9.109375" style="60" bestFit="1" customWidth="1"/>
    <col min="4105" max="4105" width="8" style="60" customWidth="1"/>
    <col min="4106" max="4106" width="9.109375" style="60" bestFit="1" customWidth="1"/>
    <col min="4107" max="4107" width="7" style="60" bestFit="1" customWidth="1"/>
    <col min="4108" max="4108" width="9.109375" style="60" bestFit="1" customWidth="1"/>
    <col min="4109" max="4109" width="10.77734375" style="60" bestFit="1" customWidth="1"/>
    <col min="4110" max="4111" width="9.109375" style="60" bestFit="1" customWidth="1"/>
    <col min="4112" max="4352" width="9" style="60"/>
    <col min="4353" max="4353" width="6.77734375" style="60" customWidth="1"/>
    <col min="4354" max="4356" width="9.109375" style="60" bestFit="1" customWidth="1"/>
    <col min="4357" max="4357" width="8.77734375" style="60" customWidth="1"/>
    <col min="4358" max="4358" width="9.6640625" style="60" customWidth="1"/>
    <col min="4359" max="4360" width="9.109375" style="60" bestFit="1" customWidth="1"/>
    <col min="4361" max="4361" width="8" style="60" customWidth="1"/>
    <col min="4362" max="4362" width="9.109375" style="60" bestFit="1" customWidth="1"/>
    <col min="4363" max="4363" width="7" style="60" bestFit="1" customWidth="1"/>
    <col min="4364" max="4364" width="9.109375" style="60" bestFit="1" customWidth="1"/>
    <col min="4365" max="4365" width="10.77734375" style="60" bestFit="1" customWidth="1"/>
    <col min="4366" max="4367" width="9.109375" style="60" bestFit="1" customWidth="1"/>
    <col min="4368" max="4608" width="9" style="60"/>
    <col min="4609" max="4609" width="6.77734375" style="60" customWidth="1"/>
    <col min="4610" max="4612" width="9.109375" style="60" bestFit="1" customWidth="1"/>
    <col min="4613" max="4613" width="8.77734375" style="60" customWidth="1"/>
    <col min="4614" max="4614" width="9.6640625" style="60" customWidth="1"/>
    <col min="4615" max="4616" width="9.109375" style="60" bestFit="1" customWidth="1"/>
    <col min="4617" max="4617" width="8" style="60" customWidth="1"/>
    <col min="4618" max="4618" width="9.109375" style="60" bestFit="1" customWidth="1"/>
    <col min="4619" max="4619" width="7" style="60" bestFit="1" customWidth="1"/>
    <col min="4620" max="4620" width="9.109375" style="60" bestFit="1" customWidth="1"/>
    <col min="4621" max="4621" width="10.77734375" style="60" bestFit="1" customWidth="1"/>
    <col min="4622" max="4623" width="9.109375" style="60" bestFit="1" customWidth="1"/>
    <col min="4624" max="4864" width="9" style="60"/>
    <col min="4865" max="4865" width="6.77734375" style="60" customWidth="1"/>
    <col min="4866" max="4868" width="9.109375" style="60" bestFit="1" customWidth="1"/>
    <col min="4869" max="4869" width="8.77734375" style="60" customWidth="1"/>
    <col min="4870" max="4870" width="9.6640625" style="60" customWidth="1"/>
    <col min="4871" max="4872" width="9.109375" style="60" bestFit="1" customWidth="1"/>
    <col min="4873" max="4873" width="8" style="60" customWidth="1"/>
    <col min="4874" max="4874" width="9.109375" style="60" bestFit="1" customWidth="1"/>
    <col min="4875" max="4875" width="7" style="60" bestFit="1" customWidth="1"/>
    <col min="4876" max="4876" width="9.109375" style="60" bestFit="1" customWidth="1"/>
    <col min="4877" max="4877" width="10.77734375" style="60" bestFit="1" customWidth="1"/>
    <col min="4878" max="4879" width="9.109375" style="60" bestFit="1" customWidth="1"/>
    <col min="4880" max="5120" width="9" style="60"/>
    <col min="5121" max="5121" width="6.77734375" style="60" customWidth="1"/>
    <col min="5122" max="5124" width="9.109375" style="60" bestFit="1" customWidth="1"/>
    <col min="5125" max="5125" width="8.77734375" style="60" customWidth="1"/>
    <col min="5126" max="5126" width="9.6640625" style="60" customWidth="1"/>
    <col min="5127" max="5128" width="9.109375" style="60" bestFit="1" customWidth="1"/>
    <col min="5129" max="5129" width="8" style="60" customWidth="1"/>
    <col min="5130" max="5130" width="9.109375" style="60" bestFit="1" customWidth="1"/>
    <col min="5131" max="5131" width="7" style="60" bestFit="1" customWidth="1"/>
    <col min="5132" max="5132" width="9.109375" style="60" bestFit="1" customWidth="1"/>
    <col min="5133" max="5133" width="10.77734375" style="60" bestFit="1" customWidth="1"/>
    <col min="5134" max="5135" width="9.109375" style="60" bestFit="1" customWidth="1"/>
    <col min="5136" max="5376" width="9" style="60"/>
    <col min="5377" max="5377" width="6.77734375" style="60" customWidth="1"/>
    <col min="5378" max="5380" width="9.109375" style="60" bestFit="1" customWidth="1"/>
    <col min="5381" max="5381" width="8.77734375" style="60" customWidth="1"/>
    <col min="5382" max="5382" width="9.6640625" style="60" customWidth="1"/>
    <col min="5383" max="5384" width="9.109375" style="60" bestFit="1" customWidth="1"/>
    <col min="5385" max="5385" width="8" style="60" customWidth="1"/>
    <col min="5386" max="5386" width="9.109375" style="60" bestFit="1" customWidth="1"/>
    <col min="5387" max="5387" width="7" style="60" bestFit="1" customWidth="1"/>
    <col min="5388" max="5388" width="9.109375" style="60" bestFit="1" customWidth="1"/>
    <col min="5389" max="5389" width="10.77734375" style="60" bestFit="1" customWidth="1"/>
    <col min="5390" max="5391" width="9.109375" style="60" bestFit="1" customWidth="1"/>
    <col min="5392" max="5632" width="9" style="60"/>
    <col min="5633" max="5633" width="6.77734375" style="60" customWidth="1"/>
    <col min="5634" max="5636" width="9.109375" style="60" bestFit="1" customWidth="1"/>
    <col min="5637" max="5637" width="8.77734375" style="60" customWidth="1"/>
    <col min="5638" max="5638" width="9.6640625" style="60" customWidth="1"/>
    <col min="5639" max="5640" width="9.109375" style="60" bestFit="1" customWidth="1"/>
    <col min="5641" max="5641" width="8" style="60" customWidth="1"/>
    <col min="5642" max="5642" width="9.109375" style="60" bestFit="1" customWidth="1"/>
    <col min="5643" max="5643" width="7" style="60" bestFit="1" customWidth="1"/>
    <col min="5644" max="5644" width="9.109375" style="60" bestFit="1" customWidth="1"/>
    <col min="5645" max="5645" width="10.77734375" style="60" bestFit="1" customWidth="1"/>
    <col min="5646" max="5647" width="9.109375" style="60" bestFit="1" customWidth="1"/>
    <col min="5648" max="5888" width="9" style="60"/>
    <col min="5889" max="5889" width="6.77734375" style="60" customWidth="1"/>
    <col min="5890" max="5892" width="9.109375" style="60" bestFit="1" customWidth="1"/>
    <col min="5893" max="5893" width="8.77734375" style="60" customWidth="1"/>
    <col min="5894" max="5894" width="9.6640625" style="60" customWidth="1"/>
    <col min="5895" max="5896" width="9.109375" style="60" bestFit="1" customWidth="1"/>
    <col min="5897" max="5897" width="8" style="60" customWidth="1"/>
    <col min="5898" max="5898" width="9.109375" style="60" bestFit="1" customWidth="1"/>
    <col min="5899" max="5899" width="7" style="60" bestFit="1" customWidth="1"/>
    <col min="5900" max="5900" width="9.109375" style="60" bestFit="1" customWidth="1"/>
    <col min="5901" max="5901" width="10.77734375" style="60" bestFit="1" customWidth="1"/>
    <col min="5902" max="5903" width="9.109375" style="60" bestFit="1" customWidth="1"/>
    <col min="5904" max="6144" width="9" style="60"/>
    <col min="6145" max="6145" width="6.77734375" style="60" customWidth="1"/>
    <col min="6146" max="6148" width="9.109375" style="60" bestFit="1" customWidth="1"/>
    <col min="6149" max="6149" width="8.77734375" style="60" customWidth="1"/>
    <col min="6150" max="6150" width="9.6640625" style="60" customWidth="1"/>
    <col min="6151" max="6152" width="9.109375" style="60" bestFit="1" customWidth="1"/>
    <col min="6153" max="6153" width="8" style="60" customWidth="1"/>
    <col min="6154" max="6154" width="9.109375" style="60" bestFit="1" customWidth="1"/>
    <col min="6155" max="6155" width="7" style="60" bestFit="1" customWidth="1"/>
    <col min="6156" max="6156" width="9.109375" style="60" bestFit="1" customWidth="1"/>
    <col min="6157" max="6157" width="10.77734375" style="60" bestFit="1" customWidth="1"/>
    <col min="6158" max="6159" width="9.109375" style="60" bestFit="1" customWidth="1"/>
    <col min="6160" max="6400" width="9" style="60"/>
    <col min="6401" max="6401" width="6.77734375" style="60" customWidth="1"/>
    <col min="6402" max="6404" width="9.109375" style="60" bestFit="1" customWidth="1"/>
    <col min="6405" max="6405" width="8.77734375" style="60" customWidth="1"/>
    <col min="6406" max="6406" width="9.6640625" style="60" customWidth="1"/>
    <col min="6407" max="6408" width="9.109375" style="60" bestFit="1" customWidth="1"/>
    <col min="6409" max="6409" width="8" style="60" customWidth="1"/>
    <col min="6410" max="6410" width="9.109375" style="60" bestFit="1" customWidth="1"/>
    <col min="6411" max="6411" width="7" style="60" bestFit="1" customWidth="1"/>
    <col min="6412" max="6412" width="9.109375" style="60" bestFit="1" customWidth="1"/>
    <col min="6413" max="6413" width="10.77734375" style="60" bestFit="1" customWidth="1"/>
    <col min="6414" max="6415" width="9.109375" style="60" bestFit="1" customWidth="1"/>
    <col min="6416" max="6656" width="9" style="60"/>
    <col min="6657" max="6657" width="6.77734375" style="60" customWidth="1"/>
    <col min="6658" max="6660" width="9.109375" style="60" bestFit="1" customWidth="1"/>
    <col min="6661" max="6661" width="8.77734375" style="60" customWidth="1"/>
    <col min="6662" max="6662" width="9.6640625" style="60" customWidth="1"/>
    <col min="6663" max="6664" width="9.109375" style="60" bestFit="1" customWidth="1"/>
    <col min="6665" max="6665" width="8" style="60" customWidth="1"/>
    <col min="6666" max="6666" width="9.109375" style="60" bestFit="1" customWidth="1"/>
    <col min="6667" max="6667" width="7" style="60" bestFit="1" customWidth="1"/>
    <col min="6668" max="6668" width="9.109375" style="60" bestFit="1" customWidth="1"/>
    <col min="6669" max="6669" width="10.77734375" style="60" bestFit="1" customWidth="1"/>
    <col min="6670" max="6671" width="9.109375" style="60" bestFit="1" customWidth="1"/>
    <col min="6672" max="6912" width="9" style="60"/>
    <col min="6913" max="6913" width="6.77734375" style="60" customWidth="1"/>
    <col min="6914" max="6916" width="9.109375" style="60" bestFit="1" customWidth="1"/>
    <col min="6917" max="6917" width="8.77734375" style="60" customWidth="1"/>
    <col min="6918" max="6918" width="9.6640625" style="60" customWidth="1"/>
    <col min="6919" max="6920" width="9.109375" style="60" bestFit="1" customWidth="1"/>
    <col min="6921" max="6921" width="8" style="60" customWidth="1"/>
    <col min="6922" max="6922" width="9.109375" style="60" bestFit="1" customWidth="1"/>
    <col min="6923" max="6923" width="7" style="60" bestFit="1" customWidth="1"/>
    <col min="6924" max="6924" width="9.109375" style="60" bestFit="1" customWidth="1"/>
    <col min="6925" max="6925" width="10.77734375" style="60" bestFit="1" customWidth="1"/>
    <col min="6926" max="6927" width="9.109375" style="60" bestFit="1" customWidth="1"/>
    <col min="6928" max="7168" width="9" style="60"/>
    <col min="7169" max="7169" width="6.77734375" style="60" customWidth="1"/>
    <col min="7170" max="7172" width="9.109375" style="60" bestFit="1" customWidth="1"/>
    <col min="7173" max="7173" width="8.77734375" style="60" customWidth="1"/>
    <col min="7174" max="7174" width="9.6640625" style="60" customWidth="1"/>
    <col min="7175" max="7176" width="9.109375" style="60" bestFit="1" customWidth="1"/>
    <col min="7177" max="7177" width="8" style="60" customWidth="1"/>
    <col min="7178" max="7178" width="9.109375" style="60" bestFit="1" customWidth="1"/>
    <col min="7179" max="7179" width="7" style="60" bestFit="1" customWidth="1"/>
    <col min="7180" max="7180" width="9.109375" style="60" bestFit="1" customWidth="1"/>
    <col min="7181" max="7181" width="10.77734375" style="60" bestFit="1" customWidth="1"/>
    <col min="7182" max="7183" width="9.109375" style="60" bestFit="1" customWidth="1"/>
    <col min="7184" max="7424" width="9" style="60"/>
    <col min="7425" max="7425" width="6.77734375" style="60" customWidth="1"/>
    <col min="7426" max="7428" width="9.109375" style="60" bestFit="1" customWidth="1"/>
    <col min="7429" max="7429" width="8.77734375" style="60" customWidth="1"/>
    <col min="7430" max="7430" width="9.6640625" style="60" customWidth="1"/>
    <col min="7431" max="7432" width="9.109375" style="60" bestFit="1" customWidth="1"/>
    <col min="7433" max="7433" width="8" style="60" customWidth="1"/>
    <col min="7434" max="7434" width="9.109375" style="60" bestFit="1" customWidth="1"/>
    <col min="7435" max="7435" width="7" style="60" bestFit="1" customWidth="1"/>
    <col min="7436" max="7436" width="9.109375" style="60" bestFit="1" customWidth="1"/>
    <col min="7437" max="7437" width="10.77734375" style="60" bestFit="1" customWidth="1"/>
    <col min="7438" max="7439" width="9.109375" style="60" bestFit="1" customWidth="1"/>
    <col min="7440" max="7680" width="9" style="60"/>
    <col min="7681" max="7681" width="6.77734375" style="60" customWidth="1"/>
    <col min="7682" max="7684" width="9.109375" style="60" bestFit="1" customWidth="1"/>
    <col min="7685" max="7685" width="8.77734375" style="60" customWidth="1"/>
    <col min="7686" max="7686" width="9.6640625" style="60" customWidth="1"/>
    <col min="7687" max="7688" width="9.109375" style="60" bestFit="1" customWidth="1"/>
    <col min="7689" max="7689" width="8" style="60" customWidth="1"/>
    <col min="7690" max="7690" width="9.109375" style="60" bestFit="1" customWidth="1"/>
    <col min="7691" max="7691" width="7" style="60" bestFit="1" customWidth="1"/>
    <col min="7692" max="7692" width="9.109375" style="60" bestFit="1" customWidth="1"/>
    <col min="7693" max="7693" width="10.77734375" style="60" bestFit="1" customWidth="1"/>
    <col min="7694" max="7695" width="9.109375" style="60" bestFit="1" customWidth="1"/>
    <col min="7696" max="7936" width="9" style="60"/>
    <col min="7937" max="7937" width="6.77734375" style="60" customWidth="1"/>
    <col min="7938" max="7940" width="9.109375" style="60" bestFit="1" customWidth="1"/>
    <col min="7941" max="7941" width="8.77734375" style="60" customWidth="1"/>
    <col min="7942" max="7942" width="9.6640625" style="60" customWidth="1"/>
    <col min="7943" max="7944" width="9.109375" style="60" bestFit="1" customWidth="1"/>
    <col min="7945" max="7945" width="8" style="60" customWidth="1"/>
    <col min="7946" max="7946" width="9.109375" style="60" bestFit="1" customWidth="1"/>
    <col min="7947" max="7947" width="7" style="60" bestFit="1" customWidth="1"/>
    <col min="7948" max="7948" width="9.109375" style="60" bestFit="1" customWidth="1"/>
    <col min="7949" max="7949" width="10.77734375" style="60" bestFit="1" customWidth="1"/>
    <col min="7950" max="7951" width="9.109375" style="60" bestFit="1" customWidth="1"/>
    <col min="7952" max="8192" width="9" style="60"/>
    <col min="8193" max="8193" width="6.77734375" style="60" customWidth="1"/>
    <col min="8194" max="8196" width="9.109375" style="60" bestFit="1" customWidth="1"/>
    <col min="8197" max="8197" width="8.77734375" style="60" customWidth="1"/>
    <col min="8198" max="8198" width="9.6640625" style="60" customWidth="1"/>
    <col min="8199" max="8200" width="9.109375" style="60" bestFit="1" customWidth="1"/>
    <col min="8201" max="8201" width="8" style="60" customWidth="1"/>
    <col min="8202" max="8202" width="9.109375" style="60" bestFit="1" customWidth="1"/>
    <col min="8203" max="8203" width="7" style="60" bestFit="1" customWidth="1"/>
    <col min="8204" max="8204" width="9.109375" style="60" bestFit="1" customWidth="1"/>
    <col min="8205" max="8205" width="10.77734375" style="60" bestFit="1" customWidth="1"/>
    <col min="8206" max="8207" width="9.109375" style="60" bestFit="1" customWidth="1"/>
    <col min="8208" max="8448" width="9" style="60"/>
    <col min="8449" max="8449" width="6.77734375" style="60" customWidth="1"/>
    <col min="8450" max="8452" width="9.109375" style="60" bestFit="1" customWidth="1"/>
    <col min="8453" max="8453" width="8.77734375" style="60" customWidth="1"/>
    <col min="8454" max="8454" width="9.6640625" style="60" customWidth="1"/>
    <col min="8455" max="8456" width="9.109375" style="60" bestFit="1" customWidth="1"/>
    <col min="8457" max="8457" width="8" style="60" customWidth="1"/>
    <col min="8458" max="8458" width="9.109375" style="60" bestFit="1" customWidth="1"/>
    <col min="8459" max="8459" width="7" style="60" bestFit="1" customWidth="1"/>
    <col min="8460" max="8460" width="9.109375" style="60" bestFit="1" customWidth="1"/>
    <col min="8461" max="8461" width="10.77734375" style="60" bestFit="1" customWidth="1"/>
    <col min="8462" max="8463" width="9.109375" style="60" bestFit="1" customWidth="1"/>
    <col min="8464" max="8704" width="9" style="60"/>
    <col min="8705" max="8705" width="6.77734375" style="60" customWidth="1"/>
    <col min="8706" max="8708" width="9.109375" style="60" bestFit="1" customWidth="1"/>
    <col min="8709" max="8709" width="8.77734375" style="60" customWidth="1"/>
    <col min="8710" max="8710" width="9.6640625" style="60" customWidth="1"/>
    <col min="8711" max="8712" width="9.109375" style="60" bestFit="1" customWidth="1"/>
    <col min="8713" max="8713" width="8" style="60" customWidth="1"/>
    <col min="8714" max="8714" width="9.109375" style="60" bestFit="1" customWidth="1"/>
    <col min="8715" max="8715" width="7" style="60" bestFit="1" customWidth="1"/>
    <col min="8716" max="8716" width="9.109375" style="60" bestFit="1" customWidth="1"/>
    <col min="8717" max="8717" width="10.77734375" style="60" bestFit="1" customWidth="1"/>
    <col min="8718" max="8719" width="9.109375" style="60" bestFit="1" customWidth="1"/>
    <col min="8720" max="8960" width="9" style="60"/>
    <col min="8961" max="8961" width="6.77734375" style="60" customWidth="1"/>
    <col min="8962" max="8964" width="9.109375" style="60" bestFit="1" customWidth="1"/>
    <col min="8965" max="8965" width="8.77734375" style="60" customWidth="1"/>
    <col min="8966" max="8966" width="9.6640625" style="60" customWidth="1"/>
    <col min="8967" max="8968" width="9.109375" style="60" bestFit="1" customWidth="1"/>
    <col min="8969" max="8969" width="8" style="60" customWidth="1"/>
    <col min="8970" max="8970" width="9.109375" style="60" bestFit="1" customWidth="1"/>
    <col min="8971" max="8971" width="7" style="60" bestFit="1" customWidth="1"/>
    <col min="8972" max="8972" width="9.109375" style="60" bestFit="1" customWidth="1"/>
    <col min="8973" max="8973" width="10.77734375" style="60" bestFit="1" customWidth="1"/>
    <col min="8974" max="8975" width="9.109375" style="60" bestFit="1" customWidth="1"/>
    <col min="8976" max="9216" width="9" style="60"/>
    <col min="9217" max="9217" width="6.77734375" style="60" customWidth="1"/>
    <col min="9218" max="9220" width="9.109375" style="60" bestFit="1" customWidth="1"/>
    <col min="9221" max="9221" width="8.77734375" style="60" customWidth="1"/>
    <col min="9222" max="9222" width="9.6640625" style="60" customWidth="1"/>
    <col min="9223" max="9224" width="9.109375" style="60" bestFit="1" customWidth="1"/>
    <col min="9225" max="9225" width="8" style="60" customWidth="1"/>
    <col min="9226" max="9226" width="9.109375" style="60" bestFit="1" customWidth="1"/>
    <col min="9227" max="9227" width="7" style="60" bestFit="1" customWidth="1"/>
    <col min="9228" max="9228" width="9.109375" style="60" bestFit="1" customWidth="1"/>
    <col min="9229" max="9229" width="10.77734375" style="60" bestFit="1" customWidth="1"/>
    <col min="9230" max="9231" width="9.109375" style="60" bestFit="1" customWidth="1"/>
    <col min="9232" max="9472" width="9" style="60"/>
    <col min="9473" max="9473" width="6.77734375" style="60" customWidth="1"/>
    <col min="9474" max="9476" width="9.109375" style="60" bestFit="1" customWidth="1"/>
    <col min="9477" max="9477" width="8.77734375" style="60" customWidth="1"/>
    <col min="9478" max="9478" width="9.6640625" style="60" customWidth="1"/>
    <col min="9479" max="9480" width="9.109375" style="60" bestFit="1" customWidth="1"/>
    <col min="9481" max="9481" width="8" style="60" customWidth="1"/>
    <col min="9482" max="9482" width="9.109375" style="60" bestFit="1" customWidth="1"/>
    <col min="9483" max="9483" width="7" style="60" bestFit="1" customWidth="1"/>
    <col min="9484" max="9484" width="9.109375" style="60" bestFit="1" customWidth="1"/>
    <col min="9485" max="9485" width="10.77734375" style="60" bestFit="1" customWidth="1"/>
    <col min="9486" max="9487" width="9.109375" style="60" bestFit="1" customWidth="1"/>
    <col min="9488" max="9728" width="9" style="60"/>
    <col min="9729" max="9729" width="6.77734375" style="60" customWidth="1"/>
    <col min="9730" max="9732" width="9.109375" style="60" bestFit="1" customWidth="1"/>
    <col min="9733" max="9733" width="8.77734375" style="60" customWidth="1"/>
    <col min="9734" max="9734" width="9.6640625" style="60" customWidth="1"/>
    <col min="9735" max="9736" width="9.109375" style="60" bestFit="1" customWidth="1"/>
    <col min="9737" max="9737" width="8" style="60" customWidth="1"/>
    <col min="9738" max="9738" width="9.109375" style="60" bestFit="1" customWidth="1"/>
    <col min="9739" max="9739" width="7" style="60" bestFit="1" customWidth="1"/>
    <col min="9740" max="9740" width="9.109375" style="60" bestFit="1" customWidth="1"/>
    <col min="9741" max="9741" width="10.77734375" style="60" bestFit="1" customWidth="1"/>
    <col min="9742" max="9743" width="9.109375" style="60" bestFit="1" customWidth="1"/>
    <col min="9744" max="9984" width="9" style="60"/>
    <col min="9985" max="9985" width="6.77734375" style="60" customWidth="1"/>
    <col min="9986" max="9988" width="9.109375" style="60" bestFit="1" customWidth="1"/>
    <col min="9989" max="9989" width="8.77734375" style="60" customWidth="1"/>
    <col min="9990" max="9990" width="9.6640625" style="60" customWidth="1"/>
    <col min="9991" max="9992" width="9.109375" style="60" bestFit="1" customWidth="1"/>
    <col min="9993" max="9993" width="8" style="60" customWidth="1"/>
    <col min="9994" max="9994" width="9.109375" style="60" bestFit="1" customWidth="1"/>
    <col min="9995" max="9995" width="7" style="60" bestFit="1" customWidth="1"/>
    <col min="9996" max="9996" width="9.109375" style="60" bestFit="1" customWidth="1"/>
    <col min="9997" max="9997" width="10.77734375" style="60" bestFit="1" customWidth="1"/>
    <col min="9998" max="9999" width="9.109375" style="60" bestFit="1" customWidth="1"/>
    <col min="10000" max="10240" width="9" style="60"/>
    <col min="10241" max="10241" width="6.77734375" style="60" customWidth="1"/>
    <col min="10242" max="10244" width="9.109375" style="60" bestFit="1" customWidth="1"/>
    <col min="10245" max="10245" width="8.77734375" style="60" customWidth="1"/>
    <col min="10246" max="10246" width="9.6640625" style="60" customWidth="1"/>
    <col min="10247" max="10248" width="9.109375" style="60" bestFit="1" customWidth="1"/>
    <col min="10249" max="10249" width="8" style="60" customWidth="1"/>
    <col min="10250" max="10250" width="9.109375" style="60" bestFit="1" customWidth="1"/>
    <col min="10251" max="10251" width="7" style="60" bestFit="1" customWidth="1"/>
    <col min="10252" max="10252" width="9.109375" style="60" bestFit="1" customWidth="1"/>
    <col min="10253" max="10253" width="10.77734375" style="60" bestFit="1" customWidth="1"/>
    <col min="10254" max="10255" width="9.109375" style="60" bestFit="1" customWidth="1"/>
    <col min="10256" max="10496" width="9" style="60"/>
    <col min="10497" max="10497" width="6.77734375" style="60" customWidth="1"/>
    <col min="10498" max="10500" width="9.109375" style="60" bestFit="1" customWidth="1"/>
    <col min="10501" max="10501" width="8.77734375" style="60" customWidth="1"/>
    <col min="10502" max="10502" width="9.6640625" style="60" customWidth="1"/>
    <col min="10503" max="10504" width="9.109375" style="60" bestFit="1" customWidth="1"/>
    <col min="10505" max="10505" width="8" style="60" customWidth="1"/>
    <col min="10506" max="10506" width="9.109375" style="60" bestFit="1" customWidth="1"/>
    <col min="10507" max="10507" width="7" style="60" bestFit="1" customWidth="1"/>
    <col min="10508" max="10508" width="9.109375" style="60" bestFit="1" customWidth="1"/>
    <col min="10509" max="10509" width="10.77734375" style="60" bestFit="1" customWidth="1"/>
    <col min="10510" max="10511" width="9.109375" style="60" bestFit="1" customWidth="1"/>
    <col min="10512" max="10752" width="9" style="60"/>
    <col min="10753" max="10753" width="6.77734375" style="60" customWidth="1"/>
    <col min="10754" max="10756" width="9.109375" style="60" bestFit="1" customWidth="1"/>
    <col min="10757" max="10757" width="8.77734375" style="60" customWidth="1"/>
    <col min="10758" max="10758" width="9.6640625" style="60" customWidth="1"/>
    <col min="10759" max="10760" width="9.109375" style="60" bestFit="1" customWidth="1"/>
    <col min="10761" max="10761" width="8" style="60" customWidth="1"/>
    <col min="10762" max="10762" width="9.109375" style="60" bestFit="1" customWidth="1"/>
    <col min="10763" max="10763" width="7" style="60" bestFit="1" customWidth="1"/>
    <col min="10764" max="10764" width="9.109375" style="60" bestFit="1" customWidth="1"/>
    <col min="10765" max="10765" width="10.77734375" style="60" bestFit="1" customWidth="1"/>
    <col min="10766" max="10767" width="9.109375" style="60" bestFit="1" customWidth="1"/>
    <col min="10768" max="11008" width="9" style="60"/>
    <col min="11009" max="11009" width="6.77734375" style="60" customWidth="1"/>
    <col min="11010" max="11012" width="9.109375" style="60" bestFit="1" customWidth="1"/>
    <col min="11013" max="11013" width="8.77734375" style="60" customWidth="1"/>
    <col min="11014" max="11014" width="9.6640625" style="60" customWidth="1"/>
    <col min="11015" max="11016" width="9.109375" style="60" bestFit="1" customWidth="1"/>
    <col min="11017" max="11017" width="8" style="60" customWidth="1"/>
    <col min="11018" max="11018" width="9.109375" style="60" bestFit="1" customWidth="1"/>
    <col min="11019" max="11019" width="7" style="60" bestFit="1" customWidth="1"/>
    <col min="11020" max="11020" width="9.109375" style="60" bestFit="1" customWidth="1"/>
    <col min="11021" max="11021" width="10.77734375" style="60" bestFit="1" customWidth="1"/>
    <col min="11022" max="11023" width="9.109375" style="60" bestFit="1" customWidth="1"/>
    <col min="11024" max="11264" width="9" style="60"/>
    <col min="11265" max="11265" width="6.77734375" style="60" customWidth="1"/>
    <col min="11266" max="11268" width="9.109375" style="60" bestFit="1" customWidth="1"/>
    <col min="11269" max="11269" width="8.77734375" style="60" customWidth="1"/>
    <col min="11270" max="11270" width="9.6640625" style="60" customWidth="1"/>
    <col min="11271" max="11272" width="9.109375" style="60" bestFit="1" customWidth="1"/>
    <col min="11273" max="11273" width="8" style="60" customWidth="1"/>
    <col min="11274" max="11274" width="9.109375" style="60" bestFit="1" customWidth="1"/>
    <col min="11275" max="11275" width="7" style="60" bestFit="1" customWidth="1"/>
    <col min="11276" max="11276" width="9.109375" style="60" bestFit="1" customWidth="1"/>
    <col min="11277" max="11277" width="10.77734375" style="60" bestFit="1" customWidth="1"/>
    <col min="11278" max="11279" width="9.109375" style="60" bestFit="1" customWidth="1"/>
    <col min="11280" max="11520" width="9" style="60"/>
    <col min="11521" max="11521" width="6.77734375" style="60" customWidth="1"/>
    <col min="11522" max="11524" width="9.109375" style="60" bestFit="1" customWidth="1"/>
    <col min="11525" max="11525" width="8.77734375" style="60" customWidth="1"/>
    <col min="11526" max="11526" width="9.6640625" style="60" customWidth="1"/>
    <col min="11527" max="11528" width="9.109375" style="60" bestFit="1" customWidth="1"/>
    <col min="11529" max="11529" width="8" style="60" customWidth="1"/>
    <col min="11530" max="11530" width="9.109375" style="60" bestFit="1" customWidth="1"/>
    <col min="11531" max="11531" width="7" style="60" bestFit="1" customWidth="1"/>
    <col min="11532" max="11532" width="9.109375" style="60" bestFit="1" customWidth="1"/>
    <col min="11533" max="11533" width="10.77734375" style="60" bestFit="1" customWidth="1"/>
    <col min="11534" max="11535" width="9.109375" style="60" bestFit="1" customWidth="1"/>
    <col min="11536" max="11776" width="9" style="60"/>
    <col min="11777" max="11777" width="6.77734375" style="60" customWidth="1"/>
    <col min="11778" max="11780" width="9.109375" style="60" bestFit="1" customWidth="1"/>
    <col min="11781" max="11781" width="8.77734375" style="60" customWidth="1"/>
    <col min="11782" max="11782" width="9.6640625" style="60" customWidth="1"/>
    <col min="11783" max="11784" width="9.109375" style="60" bestFit="1" customWidth="1"/>
    <col min="11785" max="11785" width="8" style="60" customWidth="1"/>
    <col min="11786" max="11786" width="9.109375" style="60" bestFit="1" customWidth="1"/>
    <col min="11787" max="11787" width="7" style="60" bestFit="1" customWidth="1"/>
    <col min="11788" max="11788" width="9.109375" style="60" bestFit="1" customWidth="1"/>
    <col min="11789" max="11789" width="10.77734375" style="60" bestFit="1" customWidth="1"/>
    <col min="11790" max="11791" width="9.109375" style="60" bestFit="1" customWidth="1"/>
    <col min="11792" max="12032" width="9" style="60"/>
    <col min="12033" max="12033" width="6.77734375" style="60" customWidth="1"/>
    <col min="12034" max="12036" width="9.109375" style="60" bestFit="1" customWidth="1"/>
    <col min="12037" max="12037" width="8.77734375" style="60" customWidth="1"/>
    <col min="12038" max="12038" width="9.6640625" style="60" customWidth="1"/>
    <col min="12039" max="12040" width="9.109375" style="60" bestFit="1" customWidth="1"/>
    <col min="12041" max="12041" width="8" style="60" customWidth="1"/>
    <col min="12042" max="12042" width="9.109375" style="60" bestFit="1" customWidth="1"/>
    <col min="12043" max="12043" width="7" style="60" bestFit="1" customWidth="1"/>
    <col min="12044" max="12044" width="9.109375" style="60" bestFit="1" customWidth="1"/>
    <col min="12045" max="12045" width="10.77734375" style="60" bestFit="1" customWidth="1"/>
    <col min="12046" max="12047" width="9.109375" style="60" bestFit="1" customWidth="1"/>
    <col min="12048" max="12288" width="9" style="60"/>
    <col min="12289" max="12289" width="6.77734375" style="60" customWidth="1"/>
    <col min="12290" max="12292" width="9.109375" style="60" bestFit="1" customWidth="1"/>
    <col min="12293" max="12293" width="8.77734375" style="60" customWidth="1"/>
    <col min="12294" max="12294" width="9.6640625" style="60" customWidth="1"/>
    <col min="12295" max="12296" width="9.109375" style="60" bestFit="1" customWidth="1"/>
    <col min="12297" max="12297" width="8" style="60" customWidth="1"/>
    <col min="12298" max="12298" width="9.109375" style="60" bestFit="1" customWidth="1"/>
    <col min="12299" max="12299" width="7" style="60" bestFit="1" customWidth="1"/>
    <col min="12300" max="12300" width="9.109375" style="60" bestFit="1" customWidth="1"/>
    <col min="12301" max="12301" width="10.77734375" style="60" bestFit="1" customWidth="1"/>
    <col min="12302" max="12303" width="9.109375" style="60" bestFit="1" customWidth="1"/>
    <col min="12304" max="12544" width="9" style="60"/>
    <col min="12545" max="12545" width="6.77734375" style="60" customWidth="1"/>
    <col min="12546" max="12548" width="9.109375" style="60" bestFit="1" customWidth="1"/>
    <col min="12549" max="12549" width="8.77734375" style="60" customWidth="1"/>
    <col min="12550" max="12550" width="9.6640625" style="60" customWidth="1"/>
    <col min="12551" max="12552" width="9.109375" style="60" bestFit="1" customWidth="1"/>
    <col min="12553" max="12553" width="8" style="60" customWidth="1"/>
    <col min="12554" max="12554" width="9.109375" style="60" bestFit="1" customWidth="1"/>
    <col min="12555" max="12555" width="7" style="60" bestFit="1" customWidth="1"/>
    <col min="12556" max="12556" width="9.109375" style="60" bestFit="1" customWidth="1"/>
    <col min="12557" max="12557" width="10.77734375" style="60" bestFit="1" customWidth="1"/>
    <col min="12558" max="12559" width="9.109375" style="60" bestFit="1" customWidth="1"/>
    <col min="12560" max="12800" width="9" style="60"/>
    <col min="12801" max="12801" width="6.77734375" style="60" customWidth="1"/>
    <col min="12802" max="12804" width="9.109375" style="60" bestFit="1" customWidth="1"/>
    <col min="12805" max="12805" width="8.77734375" style="60" customWidth="1"/>
    <col min="12806" max="12806" width="9.6640625" style="60" customWidth="1"/>
    <col min="12807" max="12808" width="9.109375" style="60" bestFit="1" customWidth="1"/>
    <col min="12809" max="12809" width="8" style="60" customWidth="1"/>
    <col min="12810" max="12810" width="9.109375" style="60" bestFit="1" customWidth="1"/>
    <col min="12811" max="12811" width="7" style="60" bestFit="1" customWidth="1"/>
    <col min="12812" max="12812" width="9.109375" style="60" bestFit="1" customWidth="1"/>
    <col min="12813" max="12813" width="10.77734375" style="60" bestFit="1" customWidth="1"/>
    <col min="12814" max="12815" width="9.109375" style="60" bestFit="1" customWidth="1"/>
    <col min="12816" max="13056" width="9" style="60"/>
    <col min="13057" max="13057" width="6.77734375" style="60" customWidth="1"/>
    <col min="13058" max="13060" width="9.109375" style="60" bestFit="1" customWidth="1"/>
    <col min="13061" max="13061" width="8.77734375" style="60" customWidth="1"/>
    <col min="13062" max="13062" width="9.6640625" style="60" customWidth="1"/>
    <col min="13063" max="13064" width="9.109375" style="60" bestFit="1" customWidth="1"/>
    <col min="13065" max="13065" width="8" style="60" customWidth="1"/>
    <col min="13066" max="13066" width="9.109375" style="60" bestFit="1" customWidth="1"/>
    <col min="13067" max="13067" width="7" style="60" bestFit="1" customWidth="1"/>
    <col min="13068" max="13068" width="9.109375" style="60" bestFit="1" customWidth="1"/>
    <col min="13069" max="13069" width="10.77734375" style="60" bestFit="1" customWidth="1"/>
    <col min="13070" max="13071" width="9.109375" style="60" bestFit="1" customWidth="1"/>
    <col min="13072" max="13312" width="9" style="60"/>
    <col min="13313" max="13313" width="6.77734375" style="60" customWidth="1"/>
    <col min="13314" max="13316" width="9.109375" style="60" bestFit="1" customWidth="1"/>
    <col min="13317" max="13317" width="8.77734375" style="60" customWidth="1"/>
    <col min="13318" max="13318" width="9.6640625" style="60" customWidth="1"/>
    <col min="13319" max="13320" width="9.109375" style="60" bestFit="1" customWidth="1"/>
    <col min="13321" max="13321" width="8" style="60" customWidth="1"/>
    <col min="13322" max="13322" width="9.109375" style="60" bestFit="1" customWidth="1"/>
    <col min="13323" max="13323" width="7" style="60" bestFit="1" customWidth="1"/>
    <col min="13324" max="13324" width="9.109375" style="60" bestFit="1" customWidth="1"/>
    <col min="13325" max="13325" width="10.77734375" style="60" bestFit="1" customWidth="1"/>
    <col min="13326" max="13327" width="9.109375" style="60" bestFit="1" customWidth="1"/>
    <col min="13328" max="13568" width="9" style="60"/>
    <col min="13569" max="13569" width="6.77734375" style="60" customWidth="1"/>
    <col min="13570" max="13572" width="9.109375" style="60" bestFit="1" customWidth="1"/>
    <col min="13573" max="13573" width="8.77734375" style="60" customWidth="1"/>
    <col min="13574" max="13574" width="9.6640625" style="60" customWidth="1"/>
    <col min="13575" max="13576" width="9.109375" style="60" bestFit="1" customWidth="1"/>
    <col min="13577" max="13577" width="8" style="60" customWidth="1"/>
    <col min="13578" max="13578" width="9.109375" style="60" bestFit="1" customWidth="1"/>
    <col min="13579" max="13579" width="7" style="60" bestFit="1" customWidth="1"/>
    <col min="13580" max="13580" width="9.109375" style="60" bestFit="1" customWidth="1"/>
    <col min="13581" max="13581" width="10.77734375" style="60" bestFit="1" customWidth="1"/>
    <col min="13582" max="13583" width="9.109375" style="60" bestFit="1" customWidth="1"/>
    <col min="13584" max="13824" width="9" style="60"/>
    <col min="13825" max="13825" width="6.77734375" style="60" customWidth="1"/>
    <col min="13826" max="13828" width="9.109375" style="60" bestFit="1" customWidth="1"/>
    <col min="13829" max="13829" width="8.77734375" style="60" customWidth="1"/>
    <col min="13830" max="13830" width="9.6640625" style="60" customWidth="1"/>
    <col min="13831" max="13832" width="9.109375" style="60" bestFit="1" customWidth="1"/>
    <col min="13833" max="13833" width="8" style="60" customWidth="1"/>
    <col min="13834" max="13834" width="9.109375" style="60" bestFit="1" customWidth="1"/>
    <col min="13835" max="13835" width="7" style="60" bestFit="1" customWidth="1"/>
    <col min="13836" max="13836" width="9.109375" style="60" bestFit="1" customWidth="1"/>
    <col min="13837" max="13837" width="10.77734375" style="60" bestFit="1" customWidth="1"/>
    <col min="13838" max="13839" width="9.109375" style="60" bestFit="1" customWidth="1"/>
    <col min="13840" max="14080" width="9" style="60"/>
    <col min="14081" max="14081" width="6.77734375" style="60" customWidth="1"/>
    <col min="14082" max="14084" width="9.109375" style="60" bestFit="1" customWidth="1"/>
    <col min="14085" max="14085" width="8.77734375" style="60" customWidth="1"/>
    <col min="14086" max="14086" width="9.6640625" style="60" customWidth="1"/>
    <col min="14087" max="14088" width="9.109375" style="60" bestFit="1" customWidth="1"/>
    <col min="14089" max="14089" width="8" style="60" customWidth="1"/>
    <col min="14090" max="14090" width="9.109375" style="60" bestFit="1" customWidth="1"/>
    <col min="14091" max="14091" width="7" style="60" bestFit="1" customWidth="1"/>
    <col min="14092" max="14092" width="9.109375" style="60" bestFit="1" customWidth="1"/>
    <col min="14093" max="14093" width="10.77734375" style="60" bestFit="1" customWidth="1"/>
    <col min="14094" max="14095" width="9.109375" style="60" bestFit="1" customWidth="1"/>
    <col min="14096" max="14336" width="9" style="60"/>
    <col min="14337" max="14337" width="6.77734375" style="60" customWidth="1"/>
    <col min="14338" max="14340" width="9.109375" style="60" bestFit="1" customWidth="1"/>
    <col min="14341" max="14341" width="8.77734375" style="60" customWidth="1"/>
    <col min="14342" max="14342" width="9.6640625" style="60" customWidth="1"/>
    <col min="14343" max="14344" width="9.109375" style="60" bestFit="1" customWidth="1"/>
    <col min="14345" max="14345" width="8" style="60" customWidth="1"/>
    <col min="14346" max="14346" width="9.109375" style="60" bestFit="1" customWidth="1"/>
    <col min="14347" max="14347" width="7" style="60" bestFit="1" customWidth="1"/>
    <col min="14348" max="14348" width="9.109375" style="60" bestFit="1" customWidth="1"/>
    <col min="14349" max="14349" width="10.77734375" style="60" bestFit="1" customWidth="1"/>
    <col min="14350" max="14351" width="9.109375" style="60" bestFit="1" customWidth="1"/>
    <col min="14352" max="14592" width="9" style="60"/>
    <col min="14593" max="14593" width="6.77734375" style="60" customWidth="1"/>
    <col min="14594" max="14596" width="9.109375" style="60" bestFit="1" customWidth="1"/>
    <col min="14597" max="14597" width="8.77734375" style="60" customWidth="1"/>
    <col min="14598" max="14598" width="9.6640625" style="60" customWidth="1"/>
    <col min="14599" max="14600" width="9.109375" style="60" bestFit="1" customWidth="1"/>
    <col min="14601" max="14601" width="8" style="60" customWidth="1"/>
    <col min="14602" max="14602" width="9.109375" style="60" bestFit="1" customWidth="1"/>
    <col min="14603" max="14603" width="7" style="60" bestFit="1" customWidth="1"/>
    <col min="14604" max="14604" width="9.109375" style="60" bestFit="1" customWidth="1"/>
    <col min="14605" max="14605" width="10.77734375" style="60" bestFit="1" customWidth="1"/>
    <col min="14606" max="14607" width="9.109375" style="60" bestFit="1" customWidth="1"/>
    <col min="14608" max="14848" width="9" style="60"/>
    <col min="14849" max="14849" width="6.77734375" style="60" customWidth="1"/>
    <col min="14850" max="14852" width="9.109375" style="60" bestFit="1" customWidth="1"/>
    <col min="14853" max="14853" width="8.77734375" style="60" customWidth="1"/>
    <col min="14854" max="14854" width="9.6640625" style="60" customWidth="1"/>
    <col min="14855" max="14856" width="9.109375" style="60" bestFit="1" customWidth="1"/>
    <col min="14857" max="14857" width="8" style="60" customWidth="1"/>
    <col min="14858" max="14858" width="9.109375" style="60" bestFit="1" customWidth="1"/>
    <col min="14859" max="14859" width="7" style="60" bestFit="1" customWidth="1"/>
    <col min="14860" max="14860" width="9.109375" style="60" bestFit="1" customWidth="1"/>
    <col min="14861" max="14861" width="10.77734375" style="60" bestFit="1" customWidth="1"/>
    <col min="14862" max="14863" width="9.109375" style="60" bestFit="1" customWidth="1"/>
    <col min="14864" max="15104" width="9" style="60"/>
    <col min="15105" max="15105" width="6.77734375" style="60" customWidth="1"/>
    <col min="15106" max="15108" width="9.109375" style="60" bestFit="1" customWidth="1"/>
    <col min="15109" max="15109" width="8.77734375" style="60" customWidth="1"/>
    <col min="15110" max="15110" width="9.6640625" style="60" customWidth="1"/>
    <col min="15111" max="15112" width="9.109375" style="60" bestFit="1" customWidth="1"/>
    <col min="15113" max="15113" width="8" style="60" customWidth="1"/>
    <col min="15114" max="15114" width="9.109375" style="60" bestFit="1" customWidth="1"/>
    <col min="15115" max="15115" width="7" style="60" bestFit="1" customWidth="1"/>
    <col min="15116" max="15116" width="9.109375" style="60" bestFit="1" customWidth="1"/>
    <col min="15117" max="15117" width="10.77734375" style="60" bestFit="1" customWidth="1"/>
    <col min="15118" max="15119" width="9.109375" style="60" bestFit="1" customWidth="1"/>
    <col min="15120" max="15360" width="9" style="60"/>
    <col min="15361" max="15361" width="6.77734375" style="60" customWidth="1"/>
    <col min="15362" max="15364" width="9.109375" style="60" bestFit="1" customWidth="1"/>
    <col min="15365" max="15365" width="8.77734375" style="60" customWidth="1"/>
    <col min="15366" max="15366" width="9.6640625" style="60" customWidth="1"/>
    <col min="15367" max="15368" width="9.109375" style="60" bestFit="1" customWidth="1"/>
    <col min="15369" max="15369" width="8" style="60" customWidth="1"/>
    <col min="15370" max="15370" width="9.109375" style="60" bestFit="1" customWidth="1"/>
    <col min="15371" max="15371" width="7" style="60" bestFit="1" customWidth="1"/>
    <col min="15372" max="15372" width="9.109375" style="60" bestFit="1" customWidth="1"/>
    <col min="15373" max="15373" width="10.77734375" style="60" bestFit="1" customWidth="1"/>
    <col min="15374" max="15375" width="9.109375" style="60" bestFit="1" customWidth="1"/>
    <col min="15376" max="15616" width="9" style="60"/>
    <col min="15617" max="15617" width="6.77734375" style="60" customWidth="1"/>
    <col min="15618" max="15620" width="9.109375" style="60" bestFit="1" customWidth="1"/>
    <col min="15621" max="15621" width="8.77734375" style="60" customWidth="1"/>
    <col min="15622" max="15622" width="9.6640625" style="60" customWidth="1"/>
    <col min="15623" max="15624" width="9.109375" style="60" bestFit="1" customWidth="1"/>
    <col min="15625" max="15625" width="8" style="60" customWidth="1"/>
    <col min="15626" max="15626" width="9.109375" style="60" bestFit="1" customWidth="1"/>
    <col min="15627" max="15627" width="7" style="60" bestFit="1" customWidth="1"/>
    <col min="15628" max="15628" width="9.109375" style="60" bestFit="1" customWidth="1"/>
    <col min="15629" max="15629" width="10.77734375" style="60" bestFit="1" customWidth="1"/>
    <col min="15630" max="15631" width="9.109375" style="60" bestFit="1" customWidth="1"/>
    <col min="15632" max="15872" width="9" style="60"/>
    <col min="15873" max="15873" width="6.77734375" style="60" customWidth="1"/>
    <col min="15874" max="15876" width="9.109375" style="60" bestFit="1" customWidth="1"/>
    <col min="15877" max="15877" width="8.77734375" style="60" customWidth="1"/>
    <col min="15878" max="15878" width="9.6640625" style="60" customWidth="1"/>
    <col min="15879" max="15880" width="9.109375" style="60" bestFit="1" customWidth="1"/>
    <col min="15881" max="15881" width="8" style="60" customWidth="1"/>
    <col min="15882" max="15882" width="9.109375" style="60" bestFit="1" customWidth="1"/>
    <col min="15883" max="15883" width="7" style="60" bestFit="1" customWidth="1"/>
    <col min="15884" max="15884" width="9.109375" style="60" bestFit="1" customWidth="1"/>
    <col min="15885" max="15885" width="10.77734375" style="60" bestFit="1" customWidth="1"/>
    <col min="15886" max="15887" width="9.109375" style="60" bestFit="1" customWidth="1"/>
    <col min="15888" max="16128" width="9" style="60"/>
    <col min="16129" max="16129" width="6.77734375" style="60" customWidth="1"/>
    <col min="16130" max="16132" width="9.109375" style="60" bestFit="1" customWidth="1"/>
    <col min="16133" max="16133" width="8.77734375" style="60" customWidth="1"/>
    <col min="16134" max="16134" width="9.6640625" style="60" customWidth="1"/>
    <col min="16135" max="16136" width="9.109375" style="60" bestFit="1" customWidth="1"/>
    <col min="16137" max="16137" width="8" style="60" customWidth="1"/>
    <col min="16138" max="16138" width="9.109375" style="60" bestFit="1" customWidth="1"/>
    <col min="16139" max="16139" width="7" style="60" bestFit="1" customWidth="1"/>
    <col min="16140" max="16140" width="9.109375" style="60" bestFit="1" customWidth="1"/>
    <col min="16141" max="16141" width="10.77734375" style="60" bestFit="1" customWidth="1"/>
    <col min="16142" max="16143" width="9.109375" style="60" bestFit="1" customWidth="1"/>
    <col min="16144" max="16384" width="9" style="60"/>
  </cols>
  <sheetData>
    <row r="7" spans="2:15">
      <c r="B7" s="63"/>
      <c r="D7" s="64"/>
      <c r="E7" s="64"/>
      <c r="G7" s="64"/>
    </row>
    <row r="8" spans="2:15">
      <c r="B8" s="63"/>
      <c r="D8" s="64"/>
      <c r="E8" s="64"/>
      <c r="G8" s="64"/>
    </row>
    <row r="9" spans="2:15">
      <c r="B9" s="63" t="s">
        <v>273</v>
      </c>
      <c r="C9" s="60" t="s">
        <v>274</v>
      </c>
      <c r="D9" s="64" t="s">
        <v>275</v>
      </c>
      <c r="E9" s="64"/>
      <c r="F9" s="60" t="s">
        <v>276</v>
      </c>
      <c r="G9" s="64" t="s">
        <v>277</v>
      </c>
    </row>
    <row r="10" spans="2:15">
      <c r="C10" s="60" t="s">
        <v>278</v>
      </c>
      <c r="D10" s="64" t="s">
        <v>279</v>
      </c>
      <c r="E10" s="64"/>
      <c r="F10" s="60" t="s">
        <v>280</v>
      </c>
      <c r="G10" s="64" t="s">
        <v>281</v>
      </c>
    </row>
    <row r="11" spans="2:15">
      <c r="C11" s="60" t="s">
        <v>282</v>
      </c>
      <c r="D11" s="64" t="s">
        <v>283</v>
      </c>
      <c r="E11" s="64"/>
      <c r="F11" s="60" t="s">
        <v>284</v>
      </c>
      <c r="G11" s="64" t="s">
        <v>285</v>
      </c>
    </row>
    <row r="12" spans="2:15">
      <c r="C12" s="60" t="s">
        <v>286</v>
      </c>
      <c r="D12" s="64" t="s">
        <v>287</v>
      </c>
      <c r="E12" s="64"/>
    </row>
    <row r="13" spans="2:15" hidden="1"/>
    <row r="15" spans="2:15">
      <c r="B15" s="65" t="s">
        <v>272</v>
      </c>
      <c r="C15" s="66" t="s">
        <v>289</v>
      </c>
      <c r="D15" s="66" t="s">
        <v>290</v>
      </c>
      <c r="E15" s="66" t="s">
        <v>291</v>
      </c>
      <c r="F15" s="66" t="s">
        <v>292</v>
      </c>
      <c r="G15" s="66" t="s">
        <v>293</v>
      </c>
      <c r="H15" s="67" t="s">
        <v>294</v>
      </c>
      <c r="I15" s="65" t="s">
        <v>272</v>
      </c>
      <c r="J15" s="66" t="s">
        <v>289</v>
      </c>
      <c r="K15" s="66" t="s">
        <v>290</v>
      </c>
      <c r="L15" s="66" t="s">
        <v>291</v>
      </c>
      <c r="M15" s="66" t="s">
        <v>292</v>
      </c>
      <c r="N15" s="66" t="s">
        <v>293</v>
      </c>
      <c r="O15" s="68" t="s">
        <v>294</v>
      </c>
    </row>
    <row r="16" spans="2:15">
      <c r="B16" s="183">
        <v>0.3</v>
      </c>
      <c r="C16" s="69">
        <v>1.9461677913273561E-2</v>
      </c>
      <c r="D16" s="70">
        <v>0.3</v>
      </c>
      <c r="E16" s="186">
        <v>0.03</v>
      </c>
      <c r="F16" s="70">
        <v>0.1</v>
      </c>
      <c r="G16" s="71">
        <f>0.129/(F16+0.129)</f>
        <v>0.5633187772925764</v>
      </c>
      <c r="H16" s="72">
        <f>G16*D16</f>
        <v>0.16899563318777291</v>
      </c>
      <c r="I16" s="183">
        <v>0.6</v>
      </c>
      <c r="J16" s="69">
        <v>0.16749945432746938</v>
      </c>
      <c r="K16" s="70">
        <v>0.35</v>
      </c>
      <c r="L16" s="186">
        <v>0.15</v>
      </c>
      <c r="M16" s="70">
        <v>0.4285714285714286</v>
      </c>
      <c r="N16" s="71">
        <f t="shared" ref="N16:N79" si="0">0.129/(M16+0.129)</f>
        <v>0.23136049192928515</v>
      </c>
      <c r="O16" s="73">
        <f t="shared" ref="O16:O79" si="1">N16*K16</f>
        <v>8.09761721752498E-2</v>
      </c>
    </row>
    <row r="17" spans="2:15">
      <c r="B17" s="184"/>
      <c r="C17" s="69">
        <v>2.0169605211803231E-2</v>
      </c>
      <c r="D17" s="70">
        <v>0.32</v>
      </c>
      <c r="E17" s="187"/>
      <c r="F17" s="70">
        <v>9.375E-2</v>
      </c>
      <c r="G17" s="71">
        <f>0.129/(F17+0.129)</f>
        <v>0.57912457912457915</v>
      </c>
      <c r="H17" s="72">
        <f t="shared" ref="H17:H80" si="2">G17*D17</f>
        <v>0.18531986531986533</v>
      </c>
      <c r="I17" s="184"/>
      <c r="J17" s="69">
        <v>0.17163586618186771</v>
      </c>
      <c r="K17" s="70">
        <v>0.36</v>
      </c>
      <c r="L17" s="187"/>
      <c r="M17" s="70">
        <v>0.41666666666666669</v>
      </c>
      <c r="N17" s="71">
        <f t="shared" si="0"/>
        <v>0.23640806353084909</v>
      </c>
      <c r="O17" s="73">
        <f t="shared" si="1"/>
        <v>8.5106902871105672E-2</v>
      </c>
    </row>
    <row r="18" spans="2:15">
      <c r="B18" s="184"/>
      <c r="C18" s="69">
        <v>2.085351389094893E-2</v>
      </c>
      <c r="D18" s="70">
        <v>0.34</v>
      </c>
      <c r="E18" s="187"/>
      <c r="F18" s="70">
        <v>8.8235294117647051E-2</v>
      </c>
      <c r="G18" s="71">
        <f t="shared" ref="G18:G80" si="3">0.129/(F18+0.129)</f>
        <v>0.59382615759545088</v>
      </c>
      <c r="H18" s="72">
        <f t="shared" si="2"/>
        <v>0.20190089358245331</v>
      </c>
      <c r="I18" s="184"/>
      <c r="J18" s="69">
        <v>0.17962315351869312</v>
      </c>
      <c r="K18" s="70">
        <v>0.38</v>
      </c>
      <c r="L18" s="187"/>
      <c r="M18" s="70">
        <v>0.39473684210526316</v>
      </c>
      <c r="N18" s="71">
        <f t="shared" si="0"/>
        <v>0.24630690382876094</v>
      </c>
      <c r="O18" s="73">
        <f t="shared" si="1"/>
        <v>9.3596623454929154E-2</v>
      </c>
    </row>
    <row r="19" spans="2:15">
      <c r="B19" s="184"/>
      <c r="C19" s="69">
        <v>2.1515694476358413E-2</v>
      </c>
      <c r="D19" s="70">
        <v>0.36</v>
      </c>
      <c r="E19" s="187"/>
      <c r="F19" s="70">
        <v>8.3333333333333329E-2</v>
      </c>
      <c r="G19" s="71">
        <f t="shared" si="3"/>
        <v>0.6075353218210362</v>
      </c>
      <c r="H19" s="72">
        <f t="shared" si="2"/>
        <v>0.21871271585557303</v>
      </c>
      <c r="I19" s="184"/>
      <c r="J19" s="69">
        <v>0.18727008303517143</v>
      </c>
      <c r="K19" s="70">
        <v>0.4</v>
      </c>
      <c r="L19" s="187"/>
      <c r="M19" s="70">
        <v>0.37499999999999994</v>
      </c>
      <c r="N19" s="71">
        <f t="shared" si="0"/>
        <v>0.25595238095238093</v>
      </c>
      <c r="O19" s="73">
        <f t="shared" si="1"/>
        <v>0.10238095238095238</v>
      </c>
    </row>
    <row r="20" spans="2:15">
      <c r="B20" s="184"/>
      <c r="C20" s="69">
        <v>2.2158095044475277E-2</v>
      </c>
      <c r="D20" s="70">
        <v>0.38</v>
      </c>
      <c r="E20" s="187"/>
      <c r="F20" s="70">
        <v>7.8947368421052627E-2</v>
      </c>
      <c r="G20" s="71">
        <f t="shared" si="3"/>
        <v>0.62034927866362943</v>
      </c>
      <c r="H20" s="72">
        <f t="shared" si="2"/>
        <v>0.2357327258921792</v>
      </c>
      <c r="I20" s="184"/>
      <c r="J20" s="69">
        <v>0.19461677913273562</v>
      </c>
      <c r="K20" s="70">
        <v>0.42</v>
      </c>
      <c r="L20" s="187"/>
      <c r="M20" s="70">
        <v>0.35714285714285715</v>
      </c>
      <c r="N20" s="71">
        <f t="shared" si="0"/>
        <v>0.26535409932412579</v>
      </c>
      <c r="O20" s="73">
        <f t="shared" si="1"/>
        <v>0.11144872171613283</v>
      </c>
    </row>
    <row r="21" spans="2:15">
      <c r="B21" s="185"/>
      <c r="C21" s="74">
        <v>2.2782388882643539E-2</v>
      </c>
      <c r="D21" s="75">
        <v>0.4</v>
      </c>
      <c r="E21" s="188"/>
      <c r="F21" s="75">
        <v>7.4999999999999997E-2</v>
      </c>
      <c r="G21" s="76">
        <f t="shared" si="3"/>
        <v>0.63235294117647056</v>
      </c>
      <c r="H21" s="77">
        <f t="shared" si="2"/>
        <v>0.25294117647058822</v>
      </c>
      <c r="I21" s="184"/>
      <c r="J21" s="69">
        <v>0.20169605211803232</v>
      </c>
      <c r="K21" s="70">
        <v>0.44</v>
      </c>
      <c r="L21" s="187"/>
      <c r="M21" s="70">
        <v>0.34090909090909088</v>
      </c>
      <c r="N21" s="71">
        <f t="shared" si="0"/>
        <v>0.27452118398142777</v>
      </c>
      <c r="O21" s="73">
        <f t="shared" si="1"/>
        <v>0.12078932095182822</v>
      </c>
    </row>
    <row r="22" spans="2:15">
      <c r="B22" s="183">
        <v>0.3</v>
      </c>
      <c r="C22" s="69">
        <v>2.5463834872226136E-2</v>
      </c>
      <c r="D22" s="70">
        <v>0.3</v>
      </c>
      <c r="E22" s="186">
        <v>0.04</v>
      </c>
      <c r="F22" s="70">
        <v>0.13333333333333333</v>
      </c>
      <c r="G22" s="71">
        <f t="shared" si="3"/>
        <v>0.49174078780177899</v>
      </c>
      <c r="H22" s="72">
        <f t="shared" si="2"/>
        <v>0.14752223634053369</v>
      </c>
      <c r="I22" s="184"/>
      <c r="J22" s="69">
        <v>0.2085351389094893</v>
      </c>
      <c r="K22" s="70">
        <v>0.46</v>
      </c>
      <c r="L22" s="187"/>
      <c r="M22" s="70">
        <v>0.32608695652173908</v>
      </c>
      <c r="N22" s="71">
        <f t="shared" si="0"/>
        <v>0.28346231011751222</v>
      </c>
      <c r="O22" s="73">
        <f t="shared" si="1"/>
        <v>0.13039266265405564</v>
      </c>
    </row>
    <row r="23" spans="2:15">
      <c r="B23" s="184"/>
      <c r="C23" s="69">
        <v>2.6425070278052239E-2</v>
      </c>
      <c r="D23" s="70">
        <v>0.32</v>
      </c>
      <c r="E23" s="187"/>
      <c r="F23" s="70">
        <v>0.125</v>
      </c>
      <c r="G23" s="71">
        <f t="shared" si="3"/>
        <v>0.50787401574803148</v>
      </c>
      <c r="H23" s="72">
        <f t="shared" si="2"/>
        <v>0.16251968503937009</v>
      </c>
      <c r="I23" s="184"/>
      <c r="J23" s="69">
        <v>0.21515694476358413</v>
      </c>
      <c r="K23" s="70">
        <v>0.48</v>
      </c>
      <c r="L23" s="187"/>
      <c r="M23" s="70">
        <v>0.3125</v>
      </c>
      <c r="N23" s="71">
        <f t="shared" si="0"/>
        <v>0.29218573046432617</v>
      </c>
      <c r="O23" s="73">
        <f t="shared" si="1"/>
        <v>0.14024915062287654</v>
      </c>
    </row>
    <row r="24" spans="2:15">
      <c r="B24" s="184"/>
      <c r="C24" s="69">
        <v>2.7352546353127706E-2</v>
      </c>
      <c r="D24" s="70">
        <v>0.34</v>
      </c>
      <c r="E24" s="187"/>
      <c r="F24" s="70">
        <v>0.11764705882352941</v>
      </c>
      <c r="G24" s="71">
        <f t="shared" si="3"/>
        <v>0.52301454805628433</v>
      </c>
      <c r="H24" s="72">
        <f t="shared" si="2"/>
        <v>0.17782494633913667</v>
      </c>
      <c r="I24" s="184"/>
      <c r="J24" s="69">
        <v>0.22158095044475279</v>
      </c>
      <c r="K24" s="70">
        <v>0.5</v>
      </c>
      <c r="L24" s="187"/>
      <c r="M24" s="70">
        <v>0.3</v>
      </c>
      <c r="N24" s="71">
        <f t="shared" si="0"/>
        <v>0.30069930069930073</v>
      </c>
      <c r="O24" s="73">
        <f t="shared" si="1"/>
        <v>0.15034965034965037</v>
      </c>
    </row>
    <row r="25" spans="2:15">
      <c r="B25" s="184"/>
      <c r="C25" s="69">
        <v>2.8249588400541339E-2</v>
      </c>
      <c r="D25" s="70">
        <v>0.36</v>
      </c>
      <c r="E25" s="187"/>
      <c r="F25" s="70">
        <v>0.11111111111111112</v>
      </c>
      <c r="G25" s="71">
        <f t="shared" si="3"/>
        <v>0.53725127255900051</v>
      </c>
      <c r="H25" s="72">
        <f t="shared" si="2"/>
        <v>0.19341045812124019</v>
      </c>
      <c r="I25" s="185"/>
      <c r="J25" s="74">
        <v>0.22782388882643542</v>
      </c>
      <c r="K25" s="75">
        <v>0.52</v>
      </c>
      <c r="L25" s="188"/>
      <c r="M25" s="75">
        <v>0.28846153846153844</v>
      </c>
      <c r="N25" s="76">
        <f t="shared" si="0"/>
        <v>0.30901050304035382</v>
      </c>
      <c r="O25" s="78">
        <f t="shared" si="1"/>
        <v>0.16068546158098398</v>
      </c>
    </row>
    <row r="26" spans="2:15">
      <c r="B26" s="184"/>
      <c r="C26" s="69">
        <v>2.9119009213913853E-2</v>
      </c>
      <c r="D26" s="70">
        <v>0.38</v>
      </c>
      <c r="E26" s="187"/>
      <c r="F26" s="70">
        <v>0.10526315789473684</v>
      </c>
      <c r="G26" s="71">
        <f t="shared" si="3"/>
        <v>0.55066277241069428</v>
      </c>
      <c r="H26" s="72">
        <f t="shared" si="2"/>
        <v>0.20925185351606382</v>
      </c>
      <c r="I26" s="183">
        <v>0.6</v>
      </c>
      <c r="J26" s="69">
        <v>0.23423321301642941</v>
      </c>
      <c r="K26" s="70">
        <v>0.42</v>
      </c>
      <c r="L26" s="186">
        <v>0.2</v>
      </c>
      <c r="M26" s="70">
        <v>0.47619047619047622</v>
      </c>
      <c r="N26" s="71">
        <f t="shared" si="0"/>
        <v>0.21315603115902115</v>
      </c>
      <c r="O26" s="73">
        <f t="shared" si="1"/>
        <v>8.9525533086788886E-2</v>
      </c>
    </row>
    <row r="27" spans="2:15">
      <c r="B27" s="185"/>
      <c r="C27" s="74">
        <v>2.9963213285627423E-2</v>
      </c>
      <c r="D27" s="75">
        <v>0.4</v>
      </c>
      <c r="E27" s="188"/>
      <c r="F27" s="75">
        <v>9.9999999999999992E-2</v>
      </c>
      <c r="G27" s="76">
        <f t="shared" si="3"/>
        <v>0.56331877729257651</v>
      </c>
      <c r="H27" s="77">
        <f t="shared" si="2"/>
        <v>0.22532751091703063</v>
      </c>
      <c r="I27" s="184"/>
      <c r="J27" s="69">
        <v>0.24464861201323007</v>
      </c>
      <c r="K27" s="70">
        <v>0.44</v>
      </c>
      <c r="L27" s="187"/>
      <c r="M27" s="70">
        <v>0.45454545454545459</v>
      </c>
      <c r="N27" s="71">
        <f t="shared" si="0"/>
        <v>0.22106247078984265</v>
      </c>
      <c r="O27" s="73">
        <f t="shared" si="1"/>
        <v>9.7267487147530765E-2</v>
      </c>
    </row>
    <row r="28" spans="2:15">
      <c r="B28" s="183">
        <v>0.3</v>
      </c>
      <c r="C28" s="69">
        <v>3.1211680505861903E-2</v>
      </c>
      <c r="D28" s="70">
        <v>0.3</v>
      </c>
      <c r="E28" s="186">
        <v>0.05</v>
      </c>
      <c r="F28" s="70">
        <v>0.16666666666666669</v>
      </c>
      <c r="G28" s="71">
        <f t="shared" si="3"/>
        <v>0.43630214205186019</v>
      </c>
      <c r="H28" s="72">
        <f t="shared" si="2"/>
        <v>0.13089064261555805</v>
      </c>
      <c r="I28" s="184"/>
      <c r="J28" s="69">
        <v>0.25463834872226138</v>
      </c>
      <c r="K28" s="70">
        <v>0.46</v>
      </c>
      <c r="L28" s="187"/>
      <c r="M28" s="70">
        <v>0.43478260869565216</v>
      </c>
      <c r="N28" s="71">
        <f t="shared" si="0"/>
        <v>0.22881159867355599</v>
      </c>
      <c r="O28" s="73">
        <f t="shared" si="1"/>
        <v>0.10525333538983576</v>
      </c>
    </row>
    <row r="29" spans="2:15">
      <c r="B29" s="184"/>
      <c r="C29" s="69">
        <v>3.2436129855455943E-2</v>
      </c>
      <c r="D29" s="70">
        <v>0.32</v>
      </c>
      <c r="E29" s="187"/>
      <c r="F29" s="70">
        <v>0.15625</v>
      </c>
      <c r="G29" s="71">
        <f t="shared" si="3"/>
        <v>0.45223488168273446</v>
      </c>
      <c r="H29" s="72">
        <f t="shared" si="2"/>
        <v>0.14471516213847502</v>
      </c>
      <c r="I29" s="184"/>
      <c r="J29" s="69">
        <v>0.26425070278052237</v>
      </c>
      <c r="K29" s="70">
        <v>0.48</v>
      </c>
      <c r="L29" s="187"/>
      <c r="M29" s="70">
        <v>0.41666666666666669</v>
      </c>
      <c r="N29" s="71">
        <f t="shared" si="0"/>
        <v>0.23640806353084909</v>
      </c>
      <c r="O29" s="73">
        <f t="shared" si="1"/>
        <v>0.11347587049480756</v>
      </c>
    </row>
    <row r="30" spans="2:15">
      <c r="B30" s="184"/>
      <c r="C30" s="69">
        <v>3.3616008686338718E-2</v>
      </c>
      <c r="D30" s="70">
        <v>0.34</v>
      </c>
      <c r="E30" s="187"/>
      <c r="F30" s="70">
        <v>0.14705882352941177</v>
      </c>
      <c r="G30" s="71">
        <f t="shared" si="3"/>
        <v>0.46729171105902401</v>
      </c>
      <c r="H30" s="72">
        <f t="shared" si="2"/>
        <v>0.15887918176006818</v>
      </c>
      <c r="I30" s="184"/>
      <c r="J30" s="69">
        <v>0.2735254635312771</v>
      </c>
      <c r="K30" s="70">
        <v>0.5</v>
      </c>
      <c r="L30" s="187"/>
      <c r="M30" s="70">
        <v>0.4</v>
      </c>
      <c r="N30" s="71">
        <f t="shared" si="0"/>
        <v>0.24385633270321361</v>
      </c>
      <c r="O30" s="73">
        <f t="shared" si="1"/>
        <v>0.1219281663516068</v>
      </c>
    </row>
    <row r="31" spans="2:15">
      <c r="B31" s="184"/>
      <c r="C31" s="69">
        <v>3.4755856484914888E-2</v>
      </c>
      <c r="D31" s="70">
        <v>0.36</v>
      </c>
      <c r="E31" s="187"/>
      <c r="F31" s="70">
        <v>0.1388888888888889</v>
      </c>
      <c r="G31" s="71">
        <f t="shared" si="3"/>
        <v>0.48154292824554129</v>
      </c>
      <c r="H31" s="72">
        <f t="shared" si="2"/>
        <v>0.17335545416839485</v>
      </c>
      <c r="I31" s="184"/>
      <c r="J31" s="69">
        <v>0.28249588400541342</v>
      </c>
      <c r="K31" s="70">
        <v>0.52</v>
      </c>
      <c r="L31" s="187"/>
      <c r="M31" s="70">
        <v>0.38461538461538464</v>
      </c>
      <c r="N31" s="71">
        <f t="shared" si="0"/>
        <v>0.25116070091358395</v>
      </c>
      <c r="O31" s="73">
        <f t="shared" si="1"/>
        <v>0.13060356447506366</v>
      </c>
    </row>
    <row r="32" spans="2:15">
      <c r="B32" s="184"/>
      <c r="C32" s="69">
        <v>3.5859490793930693E-2</v>
      </c>
      <c r="D32" s="70">
        <v>0.38</v>
      </c>
      <c r="E32" s="187"/>
      <c r="F32" s="70">
        <v>0.13157894736842105</v>
      </c>
      <c r="G32" s="71">
        <f t="shared" si="3"/>
        <v>0.49505150474651594</v>
      </c>
      <c r="H32" s="72">
        <f t="shared" si="2"/>
        <v>0.18811957180367606</v>
      </c>
      <c r="I32" s="184"/>
      <c r="J32" s="69">
        <v>0.29119009213913855</v>
      </c>
      <c r="K32" s="70">
        <v>0.54</v>
      </c>
      <c r="L32" s="187"/>
      <c r="M32" s="70">
        <v>0.37037037037037035</v>
      </c>
      <c r="N32" s="71">
        <f t="shared" si="0"/>
        <v>0.25832529852406738</v>
      </c>
      <c r="O32" s="73">
        <f t="shared" si="1"/>
        <v>0.13949566120299639</v>
      </c>
    </row>
    <row r="33" spans="2:15">
      <c r="B33" s="184"/>
      <c r="C33" s="69">
        <v>3.6930158407458807E-2</v>
      </c>
      <c r="D33" s="70">
        <v>0.4</v>
      </c>
      <c r="E33" s="187"/>
      <c r="F33" s="70">
        <v>0.125</v>
      </c>
      <c r="G33" s="71">
        <f t="shared" si="3"/>
        <v>0.50787401574803148</v>
      </c>
      <c r="H33" s="72">
        <f t="shared" si="2"/>
        <v>0.20314960629921261</v>
      </c>
      <c r="I33" s="185"/>
      <c r="J33" s="74">
        <v>0.29963213285627427</v>
      </c>
      <c r="K33" s="75">
        <v>0.56000000000000005</v>
      </c>
      <c r="L33" s="188"/>
      <c r="M33" s="75">
        <v>0.35714285714285715</v>
      </c>
      <c r="N33" s="76">
        <f t="shared" si="0"/>
        <v>0.26535409932412579</v>
      </c>
      <c r="O33" s="78">
        <f t="shared" si="1"/>
        <v>0.14859829562151045</v>
      </c>
    </row>
    <row r="34" spans="2:15">
      <c r="B34" s="184"/>
      <c r="C34" s="69">
        <v>3.7970648137739239E-2</v>
      </c>
      <c r="D34" s="70">
        <v>0.42</v>
      </c>
      <c r="E34" s="187"/>
      <c r="F34" s="70">
        <v>0.11904761904761905</v>
      </c>
      <c r="G34" s="71">
        <f t="shared" si="3"/>
        <v>0.52006143213668643</v>
      </c>
      <c r="H34" s="72">
        <f t="shared" si="2"/>
        <v>0.21842580149740828</v>
      </c>
      <c r="I34" s="183">
        <v>0.8</v>
      </c>
      <c r="J34" s="69">
        <v>0.31231095068857256</v>
      </c>
      <c r="K34" s="70">
        <v>0.42</v>
      </c>
      <c r="L34" s="186">
        <v>0.2</v>
      </c>
      <c r="M34" s="70">
        <v>0.47619047619047622</v>
      </c>
      <c r="N34" s="71">
        <f t="shared" si="0"/>
        <v>0.21315603115902115</v>
      </c>
      <c r="O34" s="73">
        <f t="shared" si="1"/>
        <v>8.9525533086788886E-2</v>
      </c>
    </row>
    <row r="35" spans="2:15">
      <c r="B35" s="184"/>
      <c r="C35" s="69">
        <v>3.8983376457151581E-2</v>
      </c>
      <c r="D35" s="70">
        <v>0.44</v>
      </c>
      <c r="E35" s="187"/>
      <c r="F35" s="70">
        <v>0.11363636363636365</v>
      </c>
      <c r="G35" s="71">
        <f t="shared" si="3"/>
        <v>0.53165979767703253</v>
      </c>
      <c r="H35" s="72">
        <f t="shared" si="2"/>
        <v>0.23393031097789432</v>
      </c>
      <c r="I35" s="184"/>
      <c r="J35" s="69">
        <v>0.32619814935097347</v>
      </c>
      <c r="K35" s="70">
        <v>0.44</v>
      </c>
      <c r="L35" s="187"/>
      <c r="M35" s="70">
        <v>0.45454545454545459</v>
      </c>
      <c r="N35" s="71">
        <f t="shared" si="0"/>
        <v>0.22106247078984265</v>
      </c>
      <c r="O35" s="73">
        <f t="shared" si="1"/>
        <v>9.7267487147530765E-2</v>
      </c>
    </row>
    <row r="36" spans="2:15">
      <c r="B36" s="184"/>
      <c r="C36" s="69">
        <v>3.9970453587618943E-2</v>
      </c>
      <c r="D36" s="70">
        <v>0.46</v>
      </c>
      <c r="E36" s="187"/>
      <c r="F36" s="70">
        <v>0.10869565217391304</v>
      </c>
      <c r="G36" s="71">
        <f t="shared" si="3"/>
        <v>0.54271081031644419</v>
      </c>
      <c r="H36" s="72">
        <f t="shared" si="2"/>
        <v>0.24964697274556433</v>
      </c>
      <c r="I36" s="184"/>
      <c r="J36" s="69">
        <v>0.33951779829634854</v>
      </c>
      <c r="K36" s="70">
        <v>0.46</v>
      </c>
      <c r="L36" s="187"/>
      <c r="M36" s="70">
        <v>0.43478260869565216</v>
      </c>
      <c r="N36" s="71">
        <f t="shared" si="0"/>
        <v>0.22881159867355599</v>
      </c>
      <c r="O36" s="73">
        <f t="shared" si="1"/>
        <v>0.10525333538983576</v>
      </c>
    </row>
    <row r="37" spans="2:15">
      <c r="B37" s="185"/>
      <c r="C37" s="74">
        <v>4.0933735231468919E-2</v>
      </c>
      <c r="D37" s="75">
        <v>0.48</v>
      </c>
      <c r="E37" s="188"/>
      <c r="F37" s="75">
        <v>0.10416666666666667</v>
      </c>
      <c r="G37" s="76">
        <f t="shared" si="3"/>
        <v>0.55325232308791994</v>
      </c>
      <c r="H37" s="77">
        <f t="shared" si="2"/>
        <v>0.26556111508220154</v>
      </c>
      <c r="I37" s="184"/>
      <c r="J37" s="69">
        <v>0.35233427037402987</v>
      </c>
      <c r="K37" s="70">
        <v>0.48</v>
      </c>
      <c r="L37" s="187"/>
      <c r="M37" s="70">
        <v>0.41666666666666669</v>
      </c>
      <c r="N37" s="71">
        <f t="shared" si="0"/>
        <v>0.23640806353084909</v>
      </c>
      <c r="O37" s="73">
        <f t="shared" si="1"/>
        <v>0.11347587049480756</v>
      </c>
    </row>
    <row r="38" spans="2:15">
      <c r="B38" s="183">
        <v>0.4</v>
      </c>
      <c r="C38" s="69">
        <v>4.1615574007815875E-2</v>
      </c>
      <c r="D38" s="70">
        <v>0.3</v>
      </c>
      <c r="E38" s="186">
        <v>0.05</v>
      </c>
      <c r="F38" s="70">
        <v>0.16666666666666669</v>
      </c>
      <c r="G38" s="71">
        <f t="shared" si="3"/>
        <v>0.43630214205186019</v>
      </c>
      <c r="H38" s="72">
        <f t="shared" si="2"/>
        <v>0.13089064261555805</v>
      </c>
      <c r="I38" s="184"/>
      <c r="J38" s="69">
        <v>0.36470061804170284</v>
      </c>
      <c r="K38" s="70">
        <v>0.5</v>
      </c>
      <c r="L38" s="187"/>
      <c r="M38" s="70">
        <v>0.4</v>
      </c>
      <c r="N38" s="71">
        <f t="shared" si="0"/>
        <v>0.24385633270321361</v>
      </c>
      <c r="O38" s="73">
        <f t="shared" si="1"/>
        <v>0.1219281663516068</v>
      </c>
    </row>
    <row r="39" spans="2:15">
      <c r="B39" s="184"/>
      <c r="C39" s="69">
        <v>4.3248173140607922E-2</v>
      </c>
      <c r="D39" s="70">
        <v>0.32</v>
      </c>
      <c r="E39" s="187"/>
      <c r="F39" s="70">
        <v>0.15625</v>
      </c>
      <c r="G39" s="71">
        <f t="shared" si="3"/>
        <v>0.45223488168273446</v>
      </c>
      <c r="H39" s="72">
        <f t="shared" si="2"/>
        <v>0.14471516213847502</v>
      </c>
      <c r="I39" s="185"/>
      <c r="J39" s="74">
        <v>0.3766611786738846</v>
      </c>
      <c r="K39" s="75">
        <v>0.52</v>
      </c>
      <c r="L39" s="188"/>
      <c r="M39" s="75">
        <v>0.38461538461538464</v>
      </c>
      <c r="N39" s="76">
        <f t="shared" si="0"/>
        <v>0.25116070091358395</v>
      </c>
      <c r="O39" s="78">
        <f t="shared" si="1"/>
        <v>0.13060356447506366</v>
      </c>
    </row>
    <row r="40" spans="2:15">
      <c r="B40" s="184"/>
      <c r="C40" s="69">
        <v>4.48213449151183E-2</v>
      </c>
      <c r="D40" s="70">
        <v>0.34</v>
      </c>
      <c r="E40" s="187"/>
      <c r="F40" s="70">
        <v>0.14705882352941177</v>
      </c>
      <c r="G40" s="71">
        <f t="shared" si="3"/>
        <v>0.46729171105902401</v>
      </c>
      <c r="H40" s="72">
        <f t="shared" si="2"/>
        <v>0.15887918176006818</v>
      </c>
      <c r="I40" s="183">
        <v>0.8</v>
      </c>
      <c r="J40" s="69">
        <v>0.38141303595970605</v>
      </c>
      <c r="K40" s="70">
        <v>0.46</v>
      </c>
      <c r="L40" s="186">
        <v>0.25</v>
      </c>
      <c r="M40" s="70">
        <v>0.54347826086956519</v>
      </c>
      <c r="N40" s="71">
        <f t="shared" si="0"/>
        <v>0.19182776233270835</v>
      </c>
      <c r="O40" s="73">
        <f t="shared" si="1"/>
        <v>8.8240770673045837E-2</v>
      </c>
    </row>
    <row r="41" spans="2:15">
      <c r="B41" s="184"/>
      <c r="C41" s="69">
        <v>4.6341141979886515E-2</v>
      </c>
      <c r="D41" s="70">
        <v>0.36</v>
      </c>
      <c r="E41" s="187"/>
      <c r="F41" s="70">
        <v>0.1388888888888889</v>
      </c>
      <c r="G41" s="71">
        <f t="shared" si="3"/>
        <v>0.48154292824554129</v>
      </c>
      <c r="H41" s="72">
        <f t="shared" si="2"/>
        <v>0.17335545416839485</v>
      </c>
      <c r="I41" s="184"/>
      <c r="J41" s="69">
        <v>0.39916256337487366</v>
      </c>
      <c r="K41" s="70">
        <v>0.48</v>
      </c>
      <c r="L41" s="187"/>
      <c r="M41" s="70">
        <v>0.52083333333333337</v>
      </c>
      <c r="N41" s="71">
        <f t="shared" si="0"/>
        <v>0.19851243908694535</v>
      </c>
      <c r="O41" s="73">
        <f t="shared" si="1"/>
        <v>9.5285970761733771E-2</v>
      </c>
    </row>
    <row r="42" spans="2:15">
      <c r="B42" s="184"/>
      <c r="C42" s="69">
        <v>4.7812654391907593E-2</v>
      </c>
      <c r="D42" s="70">
        <v>0.38</v>
      </c>
      <c r="E42" s="187"/>
      <c r="F42" s="70">
        <v>0.13157894736842105</v>
      </c>
      <c r="G42" s="71">
        <f t="shared" si="3"/>
        <v>0.49505150474651594</v>
      </c>
      <c r="H42" s="72">
        <f t="shared" si="2"/>
        <v>0.18811957180367606</v>
      </c>
      <c r="I42" s="184"/>
      <c r="J42" s="69">
        <v>0.4161557400781587</v>
      </c>
      <c r="K42" s="70">
        <v>0.5</v>
      </c>
      <c r="L42" s="187"/>
      <c r="M42" s="70">
        <v>0.5</v>
      </c>
      <c r="N42" s="71">
        <f t="shared" si="0"/>
        <v>0.20508744038155804</v>
      </c>
      <c r="O42" s="73">
        <f t="shared" si="1"/>
        <v>0.10254372019077902</v>
      </c>
    </row>
    <row r="43" spans="2:15">
      <c r="B43" s="184"/>
      <c r="C43" s="69">
        <v>4.9240211209945074E-2</v>
      </c>
      <c r="D43" s="70">
        <v>0.4</v>
      </c>
      <c r="E43" s="187"/>
      <c r="F43" s="70">
        <v>0.125</v>
      </c>
      <c r="G43" s="71">
        <f t="shared" si="3"/>
        <v>0.50787401574803148</v>
      </c>
      <c r="H43" s="72">
        <f t="shared" si="2"/>
        <v>0.20314960629921261</v>
      </c>
      <c r="I43" s="184"/>
      <c r="J43" s="69">
        <v>0.43248173140607921</v>
      </c>
      <c r="K43" s="70">
        <v>0.52</v>
      </c>
      <c r="L43" s="187"/>
      <c r="M43" s="70">
        <v>0.48076923076923073</v>
      </c>
      <c r="N43" s="71">
        <f t="shared" si="0"/>
        <v>0.21155544342121865</v>
      </c>
      <c r="O43" s="73">
        <f t="shared" si="1"/>
        <v>0.1100088305790337</v>
      </c>
    </row>
    <row r="44" spans="2:15">
      <c r="B44" s="184"/>
      <c r="C44" s="69">
        <v>5.0627530850318986E-2</v>
      </c>
      <c r="D44" s="70">
        <v>0.42</v>
      </c>
      <c r="E44" s="187"/>
      <c r="F44" s="70">
        <v>0.11904761904761905</v>
      </c>
      <c r="G44" s="71">
        <f t="shared" si="3"/>
        <v>0.52006143213668643</v>
      </c>
      <c r="H44" s="72">
        <f t="shared" si="2"/>
        <v>0.21842580149740828</v>
      </c>
      <c r="I44" s="184"/>
      <c r="J44" s="69">
        <v>0.44821344915118294</v>
      </c>
      <c r="K44" s="70">
        <v>0.54</v>
      </c>
      <c r="L44" s="187"/>
      <c r="M44" s="70">
        <v>0.46296296296296291</v>
      </c>
      <c r="N44" s="71">
        <f t="shared" si="0"/>
        <v>0.21791903897891512</v>
      </c>
      <c r="O44" s="73">
        <f t="shared" si="1"/>
        <v>0.11767628104861418</v>
      </c>
    </row>
    <row r="45" spans="2:15">
      <c r="B45" s="184"/>
      <c r="C45" s="69">
        <v>5.197783527620211E-2</v>
      </c>
      <c r="D45" s="70">
        <v>0.44</v>
      </c>
      <c r="E45" s="187"/>
      <c r="F45" s="70">
        <v>0.11363636363636365</v>
      </c>
      <c r="G45" s="71">
        <f t="shared" si="3"/>
        <v>0.53165979767703253</v>
      </c>
      <c r="H45" s="72">
        <f t="shared" si="2"/>
        <v>0.23393031097789432</v>
      </c>
      <c r="I45" s="185"/>
      <c r="J45" s="74">
        <v>0.46341141979886513</v>
      </c>
      <c r="K45" s="75">
        <v>0.56000000000000005</v>
      </c>
      <c r="L45" s="188"/>
      <c r="M45" s="75">
        <v>0.4464285714285714</v>
      </c>
      <c r="N45" s="76">
        <f t="shared" si="0"/>
        <v>0.22418073485600795</v>
      </c>
      <c r="O45" s="78">
        <f t="shared" si="1"/>
        <v>0.12554121151936445</v>
      </c>
    </row>
    <row r="46" spans="2:15">
      <c r="B46" s="184"/>
      <c r="C46" s="69">
        <v>5.3293938116825264E-2</v>
      </c>
      <c r="D46" s="70">
        <v>0.46</v>
      </c>
      <c r="E46" s="187"/>
      <c r="F46" s="70">
        <v>0.10869565217391304</v>
      </c>
      <c r="G46" s="71">
        <f t="shared" si="3"/>
        <v>0.54271081031644419</v>
      </c>
      <c r="H46" s="72">
        <f t="shared" si="2"/>
        <v>0.24964697274556433</v>
      </c>
      <c r="I46" s="183">
        <v>0.8</v>
      </c>
      <c r="J46" s="69">
        <v>0.46846642603285893</v>
      </c>
      <c r="K46" s="70">
        <v>0.52</v>
      </c>
      <c r="L46" s="186">
        <v>0.3</v>
      </c>
      <c r="M46" s="70">
        <v>0.57692307692307687</v>
      </c>
      <c r="N46" s="71">
        <f t="shared" si="0"/>
        <v>0.18273945733899968</v>
      </c>
      <c r="O46" s="73">
        <f t="shared" si="1"/>
        <v>9.5024517816279838E-2</v>
      </c>
    </row>
    <row r="47" spans="2:15">
      <c r="B47" s="184"/>
      <c r="C47" s="69">
        <v>5.4578313641958566E-2</v>
      </c>
      <c r="D47" s="70">
        <v>0.48</v>
      </c>
      <c r="E47" s="187"/>
      <c r="F47" s="70">
        <v>0.10416666666666667</v>
      </c>
      <c r="G47" s="71">
        <f t="shared" si="3"/>
        <v>0.55325232308791994</v>
      </c>
      <c r="H47" s="72">
        <f t="shared" si="2"/>
        <v>0.26556111508220154</v>
      </c>
      <c r="I47" s="184"/>
      <c r="J47" s="69">
        <v>0.48929722402646025</v>
      </c>
      <c r="K47" s="70">
        <v>0.54</v>
      </c>
      <c r="L47" s="187"/>
      <c r="M47" s="70">
        <v>0.55555555555555547</v>
      </c>
      <c r="N47" s="71">
        <f t="shared" si="0"/>
        <v>0.18844343450738518</v>
      </c>
      <c r="O47" s="73">
        <f t="shared" si="1"/>
        <v>0.101759454633988</v>
      </c>
    </row>
    <row r="48" spans="2:15">
      <c r="B48" s="185"/>
      <c r="C48" s="74">
        <v>5.5833151442489792E-2</v>
      </c>
      <c r="D48" s="75">
        <v>0.5</v>
      </c>
      <c r="E48" s="188"/>
      <c r="F48" s="75">
        <v>0.1</v>
      </c>
      <c r="G48" s="76">
        <f t="shared" si="3"/>
        <v>0.5633187772925764</v>
      </c>
      <c r="H48" s="77">
        <f t="shared" si="2"/>
        <v>0.2816593886462882</v>
      </c>
      <c r="I48" s="184"/>
      <c r="J48" s="69">
        <v>0.50927669744452286</v>
      </c>
      <c r="K48" s="70">
        <v>0.56000000000000005</v>
      </c>
      <c r="L48" s="187"/>
      <c r="M48" s="70">
        <v>0.5357142857142857</v>
      </c>
      <c r="N48" s="71">
        <f t="shared" si="0"/>
        <v>0.19406834300451323</v>
      </c>
      <c r="O48" s="73">
        <f t="shared" si="1"/>
        <v>0.10867827208252742</v>
      </c>
    </row>
    <row r="49" spans="2:15">
      <c r="B49" s="183">
        <v>0.4</v>
      </c>
      <c r="C49" s="69">
        <v>5.8261803610942228E-2</v>
      </c>
      <c r="D49" s="70">
        <v>0.32</v>
      </c>
      <c r="E49" s="186">
        <v>7.0000000000000007E-2</v>
      </c>
      <c r="F49" s="70">
        <v>0.21875000000000003</v>
      </c>
      <c r="G49" s="71">
        <f t="shared" si="3"/>
        <v>0.37095614665708126</v>
      </c>
      <c r="H49" s="72">
        <f t="shared" si="2"/>
        <v>0.11870596693026601</v>
      </c>
      <c r="I49" s="184"/>
      <c r="J49" s="69">
        <v>0.52850140556104475</v>
      </c>
      <c r="K49" s="70">
        <v>0.57999999999999996</v>
      </c>
      <c r="L49" s="187"/>
      <c r="M49" s="70">
        <v>0.51724137931034486</v>
      </c>
      <c r="N49" s="71">
        <f t="shared" si="0"/>
        <v>0.19961581559148392</v>
      </c>
      <c r="O49" s="73">
        <f t="shared" si="1"/>
        <v>0.11577717304306066</v>
      </c>
    </row>
    <row r="50" spans="2:15">
      <c r="B50" s="184"/>
      <c r="C50" s="69">
        <v>6.0547442396851094E-2</v>
      </c>
      <c r="D50" s="70">
        <v>0.34</v>
      </c>
      <c r="E50" s="187"/>
      <c r="F50" s="70">
        <v>0.20588235294117649</v>
      </c>
      <c r="G50" s="71">
        <f t="shared" si="3"/>
        <v>0.38520990690321444</v>
      </c>
      <c r="H50" s="72">
        <f t="shared" si="2"/>
        <v>0.13097136834709291</v>
      </c>
      <c r="I50" s="185"/>
      <c r="J50" s="74">
        <v>0.5470509270625542</v>
      </c>
      <c r="K50" s="75">
        <v>0.6</v>
      </c>
      <c r="L50" s="188"/>
      <c r="M50" s="75">
        <v>0.5</v>
      </c>
      <c r="N50" s="76">
        <f t="shared" si="0"/>
        <v>0.20508744038155804</v>
      </c>
      <c r="O50" s="78">
        <f t="shared" si="1"/>
        <v>0.12305246422893482</v>
      </c>
    </row>
    <row r="51" spans="2:15">
      <c r="B51" s="184"/>
      <c r="C51" s="69">
        <v>6.2749882881165606E-2</v>
      </c>
      <c r="D51" s="70">
        <v>0.36</v>
      </c>
      <c r="E51" s="187"/>
      <c r="F51" s="70">
        <v>0.19444444444444448</v>
      </c>
      <c r="G51" s="71">
        <f t="shared" si="3"/>
        <v>0.39883201648917893</v>
      </c>
      <c r="H51" s="72">
        <f t="shared" si="2"/>
        <v>0.1435795259361044</v>
      </c>
      <c r="I51" s="189">
        <v>1</v>
      </c>
      <c r="J51" s="69">
        <v>0.49938688809379045</v>
      </c>
      <c r="K51" s="70">
        <v>0.56000000000000005</v>
      </c>
      <c r="L51" s="186">
        <v>0.2</v>
      </c>
      <c r="M51" s="70">
        <v>0.35714285714285715</v>
      </c>
      <c r="N51" s="71">
        <f t="shared" si="0"/>
        <v>0.26535409932412579</v>
      </c>
      <c r="O51" s="73">
        <f t="shared" si="1"/>
        <v>0.14859829562151045</v>
      </c>
    </row>
    <row r="52" spans="2:15">
      <c r="B52" s="184"/>
      <c r="C52" s="69">
        <v>6.4877598771841127E-2</v>
      </c>
      <c r="D52" s="70">
        <v>0.38</v>
      </c>
      <c r="E52" s="187"/>
      <c r="F52" s="70">
        <v>0.18421052631578949</v>
      </c>
      <c r="G52" s="71">
        <f t="shared" si="3"/>
        <v>0.41186355234414385</v>
      </c>
      <c r="H52" s="72">
        <f t="shared" si="2"/>
        <v>0.15650814989077466</v>
      </c>
      <c r="I52" s="190"/>
      <c r="J52" s="69">
        <v>0.51307125431074385</v>
      </c>
      <c r="K52" s="70">
        <v>0.57999999999999996</v>
      </c>
      <c r="L52" s="187"/>
      <c r="M52" s="70">
        <v>0.34482758620689657</v>
      </c>
      <c r="N52" s="71">
        <f t="shared" si="0"/>
        <v>0.27225092788006694</v>
      </c>
      <c r="O52" s="73">
        <f t="shared" si="1"/>
        <v>0.15790553817043881</v>
      </c>
    </row>
    <row r="53" spans="2:15">
      <c r="B53" s="184"/>
      <c r="C53" s="69">
        <v>6.693771614867064E-2</v>
      </c>
      <c r="D53" s="70">
        <v>0.4</v>
      </c>
      <c r="E53" s="187"/>
      <c r="F53" s="70">
        <v>0.17500000000000002</v>
      </c>
      <c r="G53" s="71">
        <f t="shared" si="3"/>
        <v>0.42434210526315785</v>
      </c>
      <c r="H53" s="72">
        <f t="shared" si="2"/>
        <v>0.16973684210526316</v>
      </c>
      <c r="I53" s="190"/>
      <c r="J53" s="69">
        <v>0.52639999999999998</v>
      </c>
      <c r="K53" s="70">
        <v>0.6</v>
      </c>
      <c r="L53" s="187"/>
      <c r="M53" s="70">
        <v>0.33333333333333337</v>
      </c>
      <c r="N53" s="71">
        <f t="shared" si="0"/>
        <v>0.27901946647440518</v>
      </c>
      <c r="O53" s="73">
        <f t="shared" si="1"/>
        <v>0.16741167988464309</v>
      </c>
    </row>
    <row r="54" spans="2:15">
      <c r="B54" s="184"/>
      <c r="C54" s="69">
        <v>6.8936295693923108E-2</v>
      </c>
      <c r="D54" s="70">
        <v>0.42</v>
      </c>
      <c r="E54" s="187"/>
      <c r="F54" s="70">
        <v>0.16666666666666669</v>
      </c>
      <c r="G54" s="71">
        <f t="shared" si="3"/>
        <v>0.43630214205186019</v>
      </c>
      <c r="H54" s="72">
        <f t="shared" si="2"/>
        <v>0.18324689966178126</v>
      </c>
      <c r="I54" s="190"/>
      <c r="J54" s="69">
        <v>0.53939948832011331</v>
      </c>
      <c r="K54" s="70">
        <v>0.62</v>
      </c>
      <c r="L54" s="187"/>
      <c r="M54" s="70">
        <v>0.32258064516129037</v>
      </c>
      <c r="N54" s="71">
        <f t="shared" si="0"/>
        <v>0.28566326166154721</v>
      </c>
      <c r="O54" s="73">
        <f t="shared" si="1"/>
        <v>0.17711122223015927</v>
      </c>
    </row>
    <row r="55" spans="2:15">
      <c r="B55" s="184"/>
      <c r="C55" s="69">
        <v>7.0878543190446591E-2</v>
      </c>
      <c r="D55" s="70">
        <v>0.44</v>
      </c>
      <c r="E55" s="187"/>
      <c r="F55" s="70">
        <v>0.15909090909090912</v>
      </c>
      <c r="G55" s="71">
        <f t="shared" si="3"/>
        <v>0.44777532344588195</v>
      </c>
      <c r="H55" s="72">
        <f t="shared" si="2"/>
        <v>0.19702114231618806</v>
      </c>
      <c r="I55" s="190"/>
      <c r="J55" s="69">
        <v>0.55209297767676779</v>
      </c>
      <c r="K55" s="70">
        <v>0.64</v>
      </c>
      <c r="L55" s="187"/>
      <c r="M55" s="70">
        <v>0.3125</v>
      </c>
      <c r="N55" s="71">
        <f t="shared" si="0"/>
        <v>0.29218573046432617</v>
      </c>
      <c r="O55" s="73">
        <f t="shared" si="1"/>
        <v>0.18699886749716876</v>
      </c>
    </row>
    <row r="56" spans="2:15">
      <c r="B56" s="184"/>
      <c r="C56" s="69">
        <v>7.2768969386682952E-2</v>
      </c>
      <c r="D56" s="70">
        <v>0.46</v>
      </c>
      <c r="E56" s="187"/>
      <c r="F56" s="70">
        <v>0.15217391304347827</v>
      </c>
      <c r="G56" s="71">
        <f t="shared" si="3"/>
        <v>0.45879078398020717</v>
      </c>
      <c r="H56" s="72">
        <f t="shared" si="2"/>
        <v>0.21104376063089531</v>
      </c>
      <c r="I56" s="191"/>
      <c r="J56" s="74">
        <v>0.56450111071635645</v>
      </c>
      <c r="K56" s="75">
        <v>0.66</v>
      </c>
      <c r="L56" s="188"/>
      <c r="M56" s="75">
        <v>0.30303030303030304</v>
      </c>
      <c r="N56" s="76">
        <f t="shared" si="0"/>
        <v>0.29859016623413059</v>
      </c>
      <c r="O56" s="78">
        <f t="shared" si="1"/>
        <v>0.19706950971452619</v>
      </c>
    </row>
    <row r="57" spans="2:15">
      <c r="B57" s="184"/>
      <c r="C57" s="69">
        <v>7.4611513363555357E-2</v>
      </c>
      <c r="D57" s="70">
        <v>0.48</v>
      </c>
      <c r="E57" s="187"/>
      <c r="F57" s="70">
        <v>0.14583333333333334</v>
      </c>
      <c r="G57" s="71">
        <f t="shared" si="3"/>
        <v>0.46937537901758636</v>
      </c>
      <c r="H57" s="72">
        <f t="shared" si="2"/>
        <v>0.22530018192844145</v>
      </c>
      <c r="I57" s="189">
        <v>1</v>
      </c>
      <c r="J57" s="69">
        <v>0.57926427474858144</v>
      </c>
      <c r="K57" s="70">
        <v>0.56000000000000005</v>
      </c>
      <c r="L57" s="186">
        <v>0.25</v>
      </c>
      <c r="M57" s="70">
        <v>0.4464285714285714</v>
      </c>
      <c r="N57" s="71">
        <f t="shared" si="0"/>
        <v>0.22418073485600795</v>
      </c>
      <c r="O57" s="73">
        <f t="shared" si="1"/>
        <v>0.12554121151936445</v>
      </c>
    </row>
    <row r="58" spans="2:15">
      <c r="B58" s="185"/>
      <c r="C58" s="74">
        <v>7.6409639098742002E-2</v>
      </c>
      <c r="D58" s="75">
        <v>0.5</v>
      </c>
      <c r="E58" s="188"/>
      <c r="F58" s="75">
        <v>0.14000000000000001</v>
      </c>
      <c r="G58" s="76">
        <f t="shared" si="3"/>
        <v>0.4795539033457249</v>
      </c>
      <c r="H58" s="77">
        <f t="shared" si="2"/>
        <v>0.23977695167286245</v>
      </c>
      <c r="I58" s="190"/>
      <c r="J58" s="69">
        <v>0.59765817989884484</v>
      </c>
      <c r="K58" s="70">
        <v>0.57999999999999996</v>
      </c>
      <c r="L58" s="187"/>
      <c r="M58" s="70">
        <v>0.43103448275862072</v>
      </c>
      <c r="N58" s="71">
        <f t="shared" si="0"/>
        <v>0.23034295917739053</v>
      </c>
      <c r="O58" s="73">
        <f t="shared" si="1"/>
        <v>0.13359891632288651</v>
      </c>
    </row>
    <row r="59" spans="2:15">
      <c r="B59" s="183">
        <v>0.4</v>
      </c>
      <c r="C59" s="69">
        <v>8.154953733774338E-2</v>
      </c>
      <c r="D59" s="70">
        <v>0.34</v>
      </c>
      <c r="E59" s="186">
        <v>0.1</v>
      </c>
      <c r="F59" s="70">
        <v>0.29411764705882354</v>
      </c>
      <c r="G59" s="71">
        <f t="shared" si="3"/>
        <v>0.30487974419574587</v>
      </c>
      <c r="H59" s="72">
        <f t="shared" si="2"/>
        <v>0.1036591130265536</v>
      </c>
      <c r="I59" s="190"/>
      <c r="J59" s="69">
        <v>0.61550264012431333</v>
      </c>
      <c r="K59" s="70">
        <v>0.6</v>
      </c>
      <c r="L59" s="187"/>
      <c r="M59" s="70">
        <v>0.41666666666666669</v>
      </c>
      <c r="N59" s="71">
        <f t="shared" si="0"/>
        <v>0.23640806353084909</v>
      </c>
      <c r="O59" s="73">
        <f t="shared" si="1"/>
        <v>0.14184483811850945</v>
      </c>
    </row>
    <row r="60" spans="2:15">
      <c r="B60" s="184"/>
      <c r="C60" s="69">
        <v>8.4879449574087135E-2</v>
      </c>
      <c r="D60" s="70">
        <v>0.36</v>
      </c>
      <c r="E60" s="187"/>
      <c r="F60" s="70">
        <v>0.27777777777777779</v>
      </c>
      <c r="G60" s="71">
        <f t="shared" si="3"/>
        <v>0.31712646817809342</v>
      </c>
      <c r="H60" s="72">
        <f t="shared" si="2"/>
        <v>0.11416552854411363</v>
      </c>
      <c r="I60" s="190"/>
      <c r="J60" s="69">
        <v>0.63284413562898734</v>
      </c>
      <c r="K60" s="70">
        <v>0.62</v>
      </c>
      <c r="L60" s="187"/>
      <c r="M60" s="70">
        <v>0.40322580645161293</v>
      </c>
      <c r="N60" s="71">
        <f t="shared" si="0"/>
        <v>0.24237832595914902</v>
      </c>
      <c r="O60" s="73">
        <f t="shared" si="1"/>
        <v>0.15027456209467238</v>
      </c>
    </row>
    <row r="61" spans="2:15">
      <c r="B61" s="184"/>
      <c r="C61" s="69">
        <v>8.8083567593507481E-2</v>
      </c>
      <c r="D61" s="70">
        <v>0.38</v>
      </c>
      <c r="E61" s="187"/>
      <c r="F61" s="70">
        <v>0.26315789473684209</v>
      </c>
      <c r="G61" s="71">
        <f t="shared" si="3"/>
        <v>0.32894913434438333</v>
      </c>
      <c r="H61" s="72">
        <f t="shared" si="2"/>
        <v>0.12500067105086568</v>
      </c>
      <c r="I61" s="190"/>
      <c r="J61" s="69">
        <v>0.64972294095252625</v>
      </c>
      <c r="K61" s="70">
        <v>0.64</v>
      </c>
      <c r="L61" s="187"/>
      <c r="M61" s="70">
        <v>0.390625</v>
      </c>
      <c r="N61" s="71">
        <f t="shared" si="0"/>
        <v>0.24825595381284582</v>
      </c>
      <c r="O61" s="73">
        <f t="shared" si="1"/>
        <v>0.15888381044022132</v>
      </c>
    </row>
    <row r="62" spans="2:15">
      <c r="B62" s="184"/>
      <c r="C62" s="69">
        <v>9.117515451042571E-2</v>
      </c>
      <c r="D62" s="70">
        <v>0.4</v>
      </c>
      <c r="E62" s="187"/>
      <c r="F62" s="70">
        <v>0.25</v>
      </c>
      <c r="G62" s="71">
        <f t="shared" si="3"/>
        <v>0.34036939313984171</v>
      </c>
      <c r="H62" s="72">
        <f t="shared" si="2"/>
        <v>0.1361477572559367</v>
      </c>
      <c r="I62" s="191"/>
      <c r="J62" s="74">
        <v>0.66617422646031577</v>
      </c>
      <c r="K62" s="75">
        <v>0.66</v>
      </c>
      <c r="L62" s="188"/>
      <c r="M62" s="75">
        <v>0.37878787878787878</v>
      </c>
      <c r="N62" s="76">
        <f t="shared" si="0"/>
        <v>0.2540430864713254</v>
      </c>
      <c r="O62" s="78">
        <f t="shared" si="1"/>
        <v>0.16766843707107476</v>
      </c>
    </row>
    <row r="63" spans="2:15">
      <c r="B63" s="184"/>
      <c r="C63" s="69">
        <v>9.416529466847115E-2</v>
      </c>
      <c r="D63" s="70">
        <v>0.42</v>
      </c>
      <c r="E63" s="187"/>
      <c r="F63" s="70">
        <v>0.23809523809523811</v>
      </c>
      <c r="G63" s="71">
        <f t="shared" si="3"/>
        <v>0.3514074458425217</v>
      </c>
      <c r="H63" s="72">
        <f t="shared" si="2"/>
        <v>0.14759112725385912</v>
      </c>
      <c r="I63" s="189">
        <v>1</v>
      </c>
      <c r="J63" s="69">
        <v>0.68381365882819267</v>
      </c>
      <c r="K63" s="70">
        <v>0.6</v>
      </c>
      <c r="L63" s="186">
        <v>0.3</v>
      </c>
      <c r="M63" s="70">
        <v>0.5</v>
      </c>
      <c r="N63" s="71">
        <f t="shared" si="0"/>
        <v>0.20508744038155804</v>
      </c>
      <c r="O63" s="73">
        <f t="shared" si="1"/>
        <v>0.12305246422893482</v>
      </c>
    </row>
    <row r="64" spans="2:15">
      <c r="B64" s="184"/>
      <c r="C64" s="69">
        <v>9.7063364046379524E-2</v>
      </c>
      <c r="D64" s="70">
        <v>0.44</v>
      </c>
      <c r="E64" s="187"/>
      <c r="F64" s="70">
        <v>0.22727272727272729</v>
      </c>
      <c r="G64" s="71">
        <f t="shared" si="3"/>
        <v>0.3620821638173003</v>
      </c>
      <c r="H64" s="72">
        <f t="shared" si="2"/>
        <v>0.15931615207961214</v>
      </c>
      <c r="I64" s="190"/>
      <c r="J64" s="69">
        <v>0.70623971001353358</v>
      </c>
      <c r="K64" s="70">
        <v>0.62</v>
      </c>
      <c r="L64" s="187"/>
      <c r="M64" s="70">
        <v>0.48387096774193544</v>
      </c>
      <c r="N64" s="71">
        <f t="shared" si="0"/>
        <v>0.21048476235591346</v>
      </c>
      <c r="O64" s="73">
        <f t="shared" si="1"/>
        <v>0.13050055266066635</v>
      </c>
    </row>
    <row r="65" spans="2:15">
      <c r="B65" s="184"/>
      <c r="C65" s="69">
        <v>9.9877377618758104E-2</v>
      </c>
      <c r="D65" s="70">
        <v>0.46</v>
      </c>
      <c r="E65" s="187"/>
      <c r="F65" s="70">
        <v>0.21739130434782608</v>
      </c>
      <c r="G65" s="71">
        <f t="shared" si="3"/>
        <v>0.37241119618426011</v>
      </c>
      <c r="H65" s="72">
        <f t="shared" si="2"/>
        <v>0.17130915024475965</v>
      </c>
      <c r="I65" s="190"/>
      <c r="J65" s="69">
        <v>0.72797523034784639</v>
      </c>
      <c r="K65" s="70">
        <v>0.64</v>
      </c>
      <c r="L65" s="187"/>
      <c r="M65" s="70">
        <v>0.46875</v>
      </c>
      <c r="N65" s="71">
        <f t="shared" si="0"/>
        <v>0.21580928481806777</v>
      </c>
      <c r="O65" s="73">
        <f t="shared" si="1"/>
        <v>0.13811794228356339</v>
      </c>
    </row>
    <row r="66" spans="2:15">
      <c r="B66" s="185"/>
      <c r="C66" s="74">
        <v>0.10261425086214877</v>
      </c>
      <c r="D66" s="75">
        <v>0.48</v>
      </c>
      <c r="E66" s="188"/>
      <c r="F66" s="75">
        <v>0.20833333333333334</v>
      </c>
      <c r="G66" s="76">
        <f t="shared" si="3"/>
        <v>0.38241106719367585</v>
      </c>
      <c r="H66" s="77">
        <f t="shared" si="2"/>
        <v>0.1835573122529644</v>
      </c>
      <c r="I66" s="191"/>
      <c r="J66" s="74">
        <v>0.74908033214068559</v>
      </c>
      <c r="K66" s="75">
        <v>0.66</v>
      </c>
      <c r="L66" s="188"/>
      <c r="M66" s="75">
        <v>0.45454545454545453</v>
      </c>
      <c r="N66" s="76">
        <f t="shared" si="0"/>
        <v>0.22106247078984265</v>
      </c>
      <c r="O66" s="78">
        <f t="shared" si="1"/>
        <v>0.14590123072129615</v>
      </c>
    </row>
    <row r="67" spans="2:15">
      <c r="B67" s="183">
        <v>0.6</v>
      </c>
      <c r="C67" s="69">
        <v>0.10631781478566987</v>
      </c>
      <c r="D67" s="70">
        <v>0.44</v>
      </c>
      <c r="E67" s="186">
        <v>7.0000000000000007E-2</v>
      </c>
      <c r="F67" s="70">
        <v>0.15909090909090912</v>
      </c>
      <c r="G67" s="71">
        <f t="shared" si="3"/>
        <v>0.44777532344588195</v>
      </c>
      <c r="H67" s="72">
        <f t="shared" si="2"/>
        <v>0.19702114231618806</v>
      </c>
      <c r="I67" s="189">
        <v>1</v>
      </c>
      <c r="J67" s="69">
        <v>0.75684302996063857</v>
      </c>
      <c r="K67" s="70">
        <v>0.62</v>
      </c>
      <c r="L67" s="186">
        <v>0.35</v>
      </c>
      <c r="M67" s="70">
        <v>0.56451612903225801</v>
      </c>
      <c r="N67" s="71">
        <f t="shared" si="0"/>
        <v>0.18600865156518909</v>
      </c>
      <c r="O67" s="73">
        <f t="shared" si="1"/>
        <v>0.11532536397041723</v>
      </c>
    </row>
    <row r="68" spans="2:15">
      <c r="B68" s="184"/>
      <c r="C68" s="69">
        <v>0.10915345408002443</v>
      </c>
      <c r="D68" s="70">
        <v>0.46</v>
      </c>
      <c r="E68" s="187"/>
      <c r="F68" s="70">
        <v>0.15217391304347827</v>
      </c>
      <c r="G68" s="71">
        <f t="shared" si="3"/>
        <v>0.45879078398020717</v>
      </c>
      <c r="H68" s="72">
        <f t="shared" si="2"/>
        <v>0.21104376063089531</v>
      </c>
      <c r="I68" s="190"/>
      <c r="J68" s="69">
        <v>0.78437353601457005</v>
      </c>
      <c r="K68" s="70">
        <v>0.64</v>
      </c>
      <c r="L68" s="187"/>
      <c r="M68" s="70">
        <v>0.546875</v>
      </c>
      <c r="N68" s="71">
        <f t="shared" si="0"/>
        <v>0.19086369520991309</v>
      </c>
      <c r="O68" s="73">
        <f t="shared" si="1"/>
        <v>0.12215276493434438</v>
      </c>
    </row>
    <row r="69" spans="2:15">
      <c r="B69" s="184"/>
      <c r="C69" s="69">
        <v>0.11191727004533303</v>
      </c>
      <c r="D69" s="70">
        <v>0.48</v>
      </c>
      <c r="E69" s="187"/>
      <c r="F69" s="70">
        <v>0.14583333333333334</v>
      </c>
      <c r="G69" s="71">
        <f t="shared" si="3"/>
        <v>0.46937537901758636</v>
      </c>
      <c r="H69" s="72">
        <f t="shared" si="2"/>
        <v>0.22530018192844145</v>
      </c>
      <c r="I69" s="190"/>
      <c r="J69" s="69">
        <v>0.81096998464801395</v>
      </c>
      <c r="K69" s="70">
        <v>0.66</v>
      </c>
      <c r="L69" s="187"/>
      <c r="M69" s="70">
        <v>0.53030303030303028</v>
      </c>
      <c r="N69" s="71">
        <f t="shared" si="0"/>
        <v>0.19566116652111964</v>
      </c>
      <c r="O69" s="73">
        <f t="shared" si="1"/>
        <v>0.12913636990393898</v>
      </c>
    </row>
    <row r="70" spans="2:15">
      <c r="B70" s="184"/>
      <c r="C70" s="69">
        <v>0.11461445864811298</v>
      </c>
      <c r="D70" s="70">
        <v>0.5</v>
      </c>
      <c r="E70" s="187"/>
      <c r="F70" s="70">
        <v>0.14000000000000001</v>
      </c>
      <c r="G70" s="71">
        <f t="shared" si="3"/>
        <v>0.4795539033457249</v>
      </c>
      <c r="H70" s="72">
        <f t="shared" si="2"/>
        <v>0.23977695167286245</v>
      </c>
      <c r="I70" s="191"/>
      <c r="J70" s="74">
        <v>0.83672145185838287</v>
      </c>
      <c r="K70" s="75">
        <v>0.68</v>
      </c>
      <c r="L70" s="188"/>
      <c r="M70" s="75">
        <v>0.51470588235294112</v>
      </c>
      <c r="N70" s="76">
        <f t="shared" si="0"/>
        <v>0.2004020835237138</v>
      </c>
      <c r="O70" s="78">
        <f t="shared" si="1"/>
        <v>0.1362734167961254</v>
      </c>
    </row>
    <row r="71" spans="2:15">
      <c r="B71" s="185"/>
      <c r="C71" s="74">
        <v>0.11724961802922856</v>
      </c>
      <c r="D71" s="75">
        <v>0.52</v>
      </c>
      <c r="E71" s="188"/>
      <c r="F71" s="75">
        <v>0.13461538461538464</v>
      </c>
      <c r="G71" s="76">
        <f t="shared" si="3"/>
        <v>0.48934928508899911</v>
      </c>
      <c r="H71" s="77">
        <f t="shared" si="2"/>
        <v>0.25446162824627955</v>
      </c>
      <c r="I71" s="189">
        <v>1.2</v>
      </c>
      <c r="J71" s="69">
        <v>0.82057639059383125</v>
      </c>
      <c r="K71" s="70">
        <v>0.6</v>
      </c>
      <c r="L71" s="186">
        <v>0.3</v>
      </c>
      <c r="M71" s="70">
        <v>0.5</v>
      </c>
      <c r="N71" s="71">
        <f t="shared" si="0"/>
        <v>0.20508744038155804</v>
      </c>
      <c r="O71" s="73">
        <f t="shared" si="1"/>
        <v>0.12305246422893482</v>
      </c>
    </row>
    <row r="72" spans="2:15">
      <c r="B72" s="183">
        <v>0.6</v>
      </c>
      <c r="C72" s="69">
        <v>0.1171166065082147</v>
      </c>
      <c r="D72" s="70">
        <v>0.32</v>
      </c>
      <c r="E72" s="186">
        <v>0.1</v>
      </c>
      <c r="F72" s="70">
        <v>0.3125</v>
      </c>
      <c r="G72" s="71">
        <f t="shared" si="3"/>
        <v>0.29218573046432617</v>
      </c>
      <c r="H72" s="72">
        <f t="shared" si="2"/>
        <v>9.3499433748584382E-2</v>
      </c>
      <c r="I72" s="190"/>
      <c r="J72" s="69">
        <v>0.84748765201624021</v>
      </c>
      <c r="K72" s="70">
        <v>0.62</v>
      </c>
      <c r="L72" s="187"/>
      <c r="M72" s="70">
        <v>0.48387096774193544</v>
      </c>
      <c r="N72" s="71">
        <f t="shared" si="0"/>
        <v>0.21048476235591346</v>
      </c>
      <c r="O72" s="73">
        <f t="shared" si="1"/>
        <v>0.13050055266066635</v>
      </c>
    </row>
    <row r="73" spans="2:15">
      <c r="B73" s="184"/>
      <c r="C73" s="69">
        <v>0.12232430600661506</v>
      </c>
      <c r="D73" s="70">
        <v>0.34</v>
      </c>
      <c r="E73" s="187"/>
      <c r="F73" s="70">
        <v>0.29411764705882354</v>
      </c>
      <c r="G73" s="71">
        <f t="shared" si="3"/>
        <v>0.30487974419574587</v>
      </c>
      <c r="H73" s="72">
        <f t="shared" si="2"/>
        <v>0.1036591130265536</v>
      </c>
      <c r="I73" s="190"/>
      <c r="J73" s="69">
        <v>0.87357027641741569</v>
      </c>
      <c r="K73" s="70">
        <v>0.64</v>
      </c>
      <c r="L73" s="187"/>
      <c r="M73" s="70">
        <v>0.46875</v>
      </c>
      <c r="N73" s="71">
        <f t="shared" si="0"/>
        <v>0.21580928481806777</v>
      </c>
      <c r="O73" s="73">
        <f t="shared" si="1"/>
        <v>0.13811794228356339</v>
      </c>
    </row>
    <row r="74" spans="2:15">
      <c r="B74" s="184"/>
      <c r="C74" s="69">
        <v>0.12731917436113069</v>
      </c>
      <c r="D74" s="70">
        <v>0.36</v>
      </c>
      <c r="E74" s="187"/>
      <c r="F74" s="70">
        <v>0.27777777777777779</v>
      </c>
      <c r="G74" s="71">
        <f t="shared" si="3"/>
        <v>0.31712646817809342</v>
      </c>
      <c r="H74" s="72">
        <f t="shared" si="2"/>
        <v>0.11416552854411363</v>
      </c>
      <c r="I74" s="190"/>
      <c r="J74" s="69">
        <v>0.89889639856882275</v>
      </c>
      <c r="K74" s="70">
        <v>0.66</v>
      </c>
      <c r="L74" s="187"/>
      <c r="M74" s="70">
        <v>0.45454545454545453</v>
      </c>
      <c r="N74" s="71">
        <f t="shared" si="0"/>
        <v>0.22106247078984265</v>
      </c>
      <c r="O74" s="73">
        <f t="shared" si="1"/>
        <v>0.14590123072129615</v>
      </c>
    </row>
    <row r="75" spans="2:15">
      <c r="B75" s="184"/>
      <c r="C75" s="69">
        <v>0.13212535139026121</v>
      </c>
      <c r="D75" s="70">
        <v>0.38</v>
      </c>
      <c r="E75" s="187"/>
      <c r="F75" s="70">
        <v>0.26315789473684209</v>
      </c>
      <c r="G75" s="71">
        <f t="shared" si="3"/>
        <v>0.32894913434438333</v>
      </c>
      <c r="H75" s="72">
        <f t="shared" si="2"/>
        <v>0.12500067105086568</v>
      </c>
      <c r="I75" s="190"/>
      <c r="J75" s="69">
        <v>0.923528257759339</v>
      </c>
      <c r="K75" s="70">
        <v>0.68</v>
      </c>
      <c r="L75" s="187"/>
      <c r="M75" s="70">
        <v>0.44117647058823523</v>
      </c>
      <c r="N75" s="71">
        <f t="shared" si="0"/>
        <v>0.22624574435159395</v>
      </c>
      <c r="O75" s="73">
        <f t="shared" si="1"/>
        <v>0.1538471061590839</v>
      </c>
    </row>
    <row r="76" spans="2:15">
      <c r="B76" s="184"/>
      <c r="C76" s="69">
        <v>0.13676273176563855</v>
      </c>
      <c r="D76" s="70">
        <v>0.4</v>
      </c>
      <c r="E76" s="187"/>
      <c r="F76" s="70">
        <v>0.25</v>
      </c>
      <c r="G76" s="71">
        <f t="shared" si="3"/>
        <v>0.34036939313984171</v>
      </c>
      <c r="H76" s="72">
        <f t="shared" si="2"/>
        <v>0.1361477572559367</v>
      </c>
      <c r="I76" s="190"/>
      <c r="J76" s="69">
        <v>0.94751999999999992</v>
      </c>
      <c r="K76" s="70">
        <v>0.7</v>
      </c>
      <c r="L76" s="187"/>
      <c r="M76" s="70">
        <v>0.4285714285714286</v>
      </c>
      <c r="N76" s="71">
        <f t="shared" si="0"/>
        <v>0.23136049192928515</v>
      </c>
      <c r="O76" s="73">
        <f t="shared" si="1"/>
        <v>0.1619523443504996</v>
      </c>
    </row>
    <row r="77" spans="2:15">
      <c r="B77" s="184"/>
      <c r="C77" s="69">
        <v>0.14124794200270671</v>
      </c>
      <c r="D77" s="70">
        <v>0.42</v>
      </c>
      <c r="E77" s="187"/>
      <c r="F77" s="70">
        <v>0.23809523809523811</v>
      </c>
      <c r="G77" s="71">
        <f t="shared" si="3"/>
        <v>0.3514074458425217</v>
      </c>
      <c r="H77" s="72">
        <f t="shared" si="2"/>
        <v>0.14759112725385912</v>
      </c>
      <c r="I77" s="191"/>
      <c r="J77" s="74">
        <v>0.97091907897620389</v>
      </c>
      <c r="K77" s="75">
        <v>0.72</v>
      </c>
      <c r="L77" s="188"/>
      <c r="M77" s="75">
        <v>0.41666666666666669</v>
      </c>
      <c r="N77" s="76">
        <f t="shared" si="0"/>
        <v>0.23640806353084909</v>
      </c>
      <c r="O77" s="78">
        <f t="shared" si="1"/>
        <v>0.17021380574221134</v>
      </c>
    </row>
    <row r="78" spans="2:15">
      <c r="B78" s="184"/>
      <c r="C78" s="69">
        <v>0.14559504606956927</v>
      </c>
      <c r="D78" s="70">
        <v>0.44</v>
      </c>
      <c r="E78" s="187"/>
      <c r="F78" s="70">
        <v>0.22727272727272729</v>
      </c>
      <c r="G78" s="71">
        <f t="shared" si="3"/>
        <v>0.3620821638173003</v>
      </c>
      <c r="H78" s="72">
        <f t="shared" si="2"/>
        <v>0.15931615207961214</v>
      </c>
      <c r="I78" s="189">
        <v>1.2</v>
      </c>
      <c r="J78" s="69">
        <v>0.97316398157761663</v>
      </c>
      <c r="K78" s="70">
        <v>0.66</v>
      </c>
      <c r="L78" s="186">
        <v>0.35</v>
      </c>
      <c r="M78" s="70">
        <v>0.53030303030303028</v>
      </c>
      <c r="N78" s="71">
        <f t="shared" si="0"/>
        <v>0.19566116652111964</v>
      </c>
      <c r="O78" s="73">
        <f t="shared" si="1"/>
        <v>0.12913636990393898</v>
      </c>
    </row>
    <row r="79" spans="2:15">
      <c r="B79" s="184"/>
      <c r="C79" s="69">
        <v>0.14981606642813713</v>
      </c>
      <c r="D79" s="70">
        <v>0.46</v>
      </c>
      <c r="E79" s="187"/>
      <c r="F79" s="70">
        <v>0.21739130434782608</v>
      </c>
      <c r="G79" s="71">
        <f t="shared" si="3"/>
        <v>0.37241119618426011</v>
      </c>
      <c r="H79" s="72">
        <f t="shared" si="2"/>
        <v>0.17130915024475965</v>
      </c>
      <c r="I79" s="190"/>
      <c r="J79" s="69">
        <v>1.0040657422300594</v>
      </c>
      <c r="K79" s="70">
        <v>0.68</v>
      </c>
      <c r="L79" s="187"/>
      <c r="M79" s="70">
        <v>0.51470588235294112</v>
      </c>
      <c r="N79" s="71">
        <f t="shared" si="0"/>
        <v>0.2004020835237138</v>
      </c>
      <c r="O79" s="73">
        <f t="shared" si="1"/>
        <v>0.1362734167961254</v>
      </c>
    </row>
    <row r="80" spans="2:15">
      <c r="B80" s="184"/>
      <c r="C80" s="69">
        <v>0.15392137629322317</v>
      </c>
      <c r="D80" s="70">
        <v>0.48</v>
      </c>
      <c r="E80" s="187"/>
      <c r="F80" s="70">
        <v>0.20833333333333334</v>
      </c>
      <c r="G80" s="71">
        <f t="shared" si="3"/>
        <v>0.38241106719367585</v>
      </c>
      <c r="H80" s="72">
        <f t="shared" si="2"/>
        <v>0.1835573122529644</v>
      </c>
      <c r="I80" s="190"/>
      <c r="J80" s="69">
        <v>1.0340444354088463</v>
      </c>
      <c r="K80" s="70">
        <v>0.7</v>
      </c>
      <c r="L80" s="187"/>
      <c r="M80" s="70">
        <v>0.5</v>
      </c>
      <c r="N80" s="71">
        <f t="shared" ref="N80:N86" si="4">0.129/(M80+0.129)</f>
        <v>0.20508744038155804</v>
      </c>
      <c r="O80" s="73">
        <f t="shared" ref="O80:O86" si="5">N80*K80</f>
        <v>0.14356120826709062</v>
      </c>
    </row>
    <row r="81" spans="2:15">
      <c r="B81" s="184"/>
      <c r="C81" s="69">
        <v>0.15792</v>
      </c>
      <c r="D81" s="70">
        <v>0.5</v>
      </c>
      <c r="E81" s="187"/>
      <c r="F81" s="70">
        <v>0.2</v>
      </c>
      <c r="G81" s="71">
        <f>0.129/(F81+0.129)</f>
        <v>0.39209726443768994</v>
      </c>
      <c r="H81" s="72">
        <f>G81*D81</f>
        <v>0.19604863221884497</v>
      </c>
      <c r="I81" s="191"/>
      <c r="J81" s="74">
        <v>1.0631781478566986</v>
      </c>
      <c r="K81" s="75">
        <v>0.72</v>
      </c>
      <c r="L81" s="188"/>
      <c r="M81" s="75">
        <v>0.4861111111111111</v>
      </c>
      <c r="N81" s="76">
        <f t="shared" si="4"/>
        <v>0.20971820809248554</v>
      </c>
      <c r="O81" s="78">
        <f t="shared" si="5"/>
        <v>0.15099710982658959</v>
      </c>
    </row>
    <row r="82" spans="2:15">
      <c r="B82" s="185"/>
      <c r="C82" s="74">
        <v>0.16181984649603398</v>
      </c>
      <c r="D82" s="75">
        <v>0.52</v>
      </c>
      <c r="E82" s="188"/>
      <c r="F82" s="75">
        <v>0.19230769230769232</v>
      </c>
      <c r="G82" s="76">
        <f>0.129/(F82+0.129)</f>
        <v>0.40148431888915492</v>
      </c>
      <c r="H82" s="77">
        <f>G82*D82</f>
        <v>0.20877184582236058</v>
      </c>
      <c r="I82" s="189">
        <v>1.2</v>
      </c>
      <c r="J82" s="69">
        <v>1.0570028111220897</v>
      </c>
      <c r="K82" s="70">
        <v>0.68</v>
      </c>
      <c r="L82" s="186">
        <v>0.4</v>
      </c>
      <c r="M82" s="70">
        <v>0.58823529411764708</v>
      </c>
      <c r="N82" s="71">
        <f t="shared" si="4"/>
        <v>0.17985729516935947</v>
      </c>
      <c r="O82" s="73">
        <f t="shared" si="5"/>
        <v>0.12230296071516444</v>
      </c>
    </row>
    <row r="83" spans="2:15">
      <c r="I83" s="190"/>
      <c r="J83" s="69">
        <v>1.0941018541251082</v>
      </c>
      <c r="K83" s="70">
        <v>0.7</v>
      </c>
      <c r="L83" s="187"/>
      <c r="M83" s="70">
        <v>0.57142857142857151</v>
      </c>
      <c r="N83" s="71">
        <f t="shared" si="4"/>
        <v>0.18417295533346928</v>
      </c>
      <c r="O83" s="73">
        <f t="shared" si="5"/>
        <v>0.12892106873342848</v>
      </c>
    </row>
    <row r="84" spans="2:15">
      <c r="I84" s="190"/>
      <c r="J84" s="69">
        <v>1.1299835360216537</v>
      </c>
      <c r="K84" s="70">
        <v>0.72</v>
      </c>
      <c r="L84" s="187"/>
      <c r="M84" s="70">
        <v>0.55555555555555558</v>
      </c>
      <c r="N84" s="71">
        <f t="shared" si="4"/>
        <v>0.18844343450738515</v>
      </c>
      <c r="O84" s="73">
        <f t="shared" si="5"/>
        <v>0.13567927284531731</v>
      </c>
    </row>
    <row r="85" spans="2:15">
      <c r="I85" s="190"/>
      <c r="J85" s="69">
        <v>1.1647603685565542</v>
      </c>
      <c r="K85" s="70">
        <v>0.74</v>
      </c>
      <c r="L85" s="187"/>
      <c r="M85" s="70">
        <v>0.54054054054054057</v>
      </c>
      <c r="N85" s="71">
        <f t="shared" si="4"/>
        <v>0.19266943850159449</v>
      </c>
      <c r="O85" s="73">
        <f t="shared" si="5"/>
        <v>0.14257538449117993</v>
      </c>
    </row>
    <row r="86" spans="2:15">
      <c r="I86" s="191"/>
      <c r="J86" s="74">
        <v>1.1985285314250971</v>
      </c>
      <c r="K86" s="75">
        <v>0.76</v>
      </c>
      <c r="L86" s="188"/>
      <c r="M86" s="75">
        <v>0.52631578947368418</v>
      </c>
      <c r="N86" s="76">
        <f t="shared" si="4"/>
        <v>0.19685165850132522</v>
      </c>
      <c r="O86" s="78">
        <f t="shared" si="5"/>
        <v>0.14960726046100717</v>
      </c>
    </row>
    <row r="101" spans="2:8" hidden="1">
      <c r="B101" s="60">
        <v>0.8</v>
      </c>
      <c r="C101" s="72">
        <v>0.31231095068857256</v>
      </c>
      <c r="D101" s="79">
        <v>0.42</v>
      </c>
      <c r="E101" s="79">
        <v>0.2</v>
      </c>
      <c r="F101" s="79">
        <v>0.47619047619047622</v>
      </c>
      <c r="G101" s="80">
        <v>0.20249694834164722</v>
      </c>
      <c r="H101" s="72">
        <v>8.5048718303491824E-2</v>
      </c>
    </row>
    <row r="102" spans="2:8" hidden="1">
      <c r="B102" s="60">
        <v>0.8</v>
      </c>
      <c r="C102" s="72">
        <v>0.32619814935097347</v>
      </c>
      <c r="D102" s="79">
        <v>0.44</v>
      </c>
      <c r="E102" s="79">
        <v>0.2</v>
      </c>
      <c r="F102" s="79">
        <v>0.45454545454545459</v>
      </c>
      <c r="G102" s="80">
        <v>0.20816956661385277</v>
      </c>
      <c r="H102" s="72">
        <v>9.1594609310095221E-2</v>
      </c>
    </row>
    <row r="103" spans="2:8" hidden="1">
      <c r="B103" s="60">
        <v>0.8</v>
      </c>
      <c r="C103" s="72">
        <v>0.33951779829634854</v>
      </c>
      <c r="D103" s="79">
        <v>0.46</v>
      </c>
      <c r="E103" s="79">
        <v>0.2</v>
      </c>
      <c r="F103" s="79">
        <v>0.43478260869565216</v>
      </c>
      <c r="G103" s="80">
        <v>0.21396705645075209</v>
      </c>
      <c r="H103" s="72">
        <v>9.8424845967345964E-2</v>
      </c>
    </row>
    <row r="104" spans="2:8" hidden="1">
      <c r="B104" s="60">
        <v>0.8</v>
      </c>
      <c r="C104" s="72">
        <v>0.35233427037402987</v>
      </c>
      <c r="D104" s="79">
        <v>0.48</v>
      </c>
      <c r="E104" s="79">
        <v>0.2</v>
      </c>
      <c r="F104" s="79">
        <v>0.41666666666666669</v>
      </c>
      <c r="G104" s="80">
        <v>0.22026151593578835</v>
      </c>
      <c r="H104" s="72">
        <v>0.10572552764917841</v>
      </c>
    </row>
    <row r="105" spans="2:8" hidden="1">
      <c r="B105" s="60">
        <v>0.8</v>
      </c>
      <c r="C105" s="72">
        <v>0.36470061804170284</v>
      </c>
      <c r="D105" s="79">
        <v>0.5</v>
      </c>
      <c r="E105" s="79">
        <v>0.2</v>
      </c>
      <c r="F105" s="79">
        <v>0.4</v>
      </c>
      <c r="G105" s="80">
        <v>0.22720640000000336</v>
      </c>
      <c r="H105" s="72">
        <v>0.11360320000000168</v>
      </c>
    </row>
    <row r="106" spans="2:8" hidden="1">
      <c r="B106" s="60">
        <v>0.8</v>
      </c>
      <c r="C106" s="72">
        <v>0.3766611786738846</v>
      </c>
      <c r="D106" s="79">
        <v>0.52</v>
      </c>
      <c r="E106" s="79">
        <v>0.2</v>
      </c>
      <c r="F106" s="79">
        <v>0.38461538461538464</v>
      </c>
      <c r="G106" s="80">
        <v>0.2348102098922904</v>
      </c>
      <c r="H106" s="72">
        <v>0.12210130914399102</v>
      </c>
    </row>
    <row r="107" spans="2:8" hidden="1">
      <c r="B107" s="60">
        <v>0.8</v>
      </c>
      <c r="C107" s="72">
        <v>0.38141303595970605</v>
      </c>
      <c r="D107" s="79">
        <v>0.46</v>
      </c>
      <c r="E107" s="79">
        <v>0.25</v>
      </c>
      <c r="F107" s="79">
        <v>0.54347826086956519</v>
      </c>
      <c r="G107" s="80">
        <v>0.18314008370819379</v>
      </c>
      <c r="H107" s="72">
        <v>8.4244438505769154E-2</v>
      </c>
    </row>
    <row r="108" spans="2:8" hidden="1">
      <c r="B108" s="60">
        <v>0.8</v>
      </c>
      <c r="C108" s="72">
        <v>0.39916256337487366</v>
      </c>
      <c r="D108" s="79">
        <v>0.48</v>
      </c>
      <c r="E108" s="79">
        <v>0.25</v>
      </c>
      <c r="F108" s="79">
        <v>0.52083333333333337</v>
      </c>
      <c r="G108" s="80">
        <v>0.19037554377444166</v>
      </c>
      <c r="H108" s="72">
        <v>9.1380261011731995E-2</v>
      </c>
    </row>
    <row r="109" spans="2:8" hidden="1">
      <c r="B109" s="60">
        <v>0.8</v>
      </c>
      <c r="C109" s="72">
        <v>0.4161557400781587</v>
      </c>
      <c r="D109" s="79">
        <v>0.5</v>
      </c>
      <c r="E109" s="79">
        <v>0.25</v>
      </c>
      <c r="F109" s="79">
        <v>0.5</v>
      </c>
      <c r="G109" s="80">
        <v>0.19630000000000147</v>
      </c>
      <c r="H109" s="72">
        <v>9.8150000000000737E-2</v>
      </c>
    </row>
    <row r="110" spans="2:8" hidden="1">
      <c r="B110" s="60">
        <v>0.8</v>
      </c>
      <c r="C110" s="72">
        <v>0.43248173140607921</v>
      </c>
      <c r="D110" s="79">
        <v>0.52</v>
      </c>
      <c r="E110" s="79">
        <v>0.25</v>
      </c>
      <c r="F110" s="79">
        <v>0.48076923076923073</v>
      </c>
      <c r="G110" s="80">
        <v>0.20132530938962678</v>
      </c>
      <c r="H110" s="72">
        <v>0.10468916088260594</v>
      </c>
    </row>
    <row r="111" spans="2:8" hidden="1">
      <c r="B111" s="60">
        <v>0.8</v>
      </c>
      <c r="C111" s="72">
        <v>0.44821344915118294</v>
      </c>
      <c r="D111" s="79">
        <v>0.54</v>
      </c>
      <c r="E111" s="79">
        <v>0.25</v>
      </c>
      <c r="F111" s="79">
        <v>0.46296296296296291</v>
      </c>
      <c r="G111" s="80">
        <v>0.2059153680680168</v>
      </c>
      <c r="H111" s="72">
        <v>0.11119429875672908</v>
      </c>
    </row>
    <row r="112" spans="2:8" hidden="1">
      <c r="B112" s="60">
        <v>0.8</v>
      </c>
      <c r="C112" s="72">
        <v>0.46341141979886513</v>
      </c>
      <c r="D112" s="79">
        <v>0.56000000000000005</v>
      </c>
      <c r="E112" s="79">
        <v>0.25</v>
      </c>
      <c r="F112" s="79">
        <v>0.4464285714285714</v>
      </c>
      <c r="G112" s="80">
        <v>0.21044696888518932</v>
      </c>
      <c r="H112" s="72">
        <v>0.11785030257570603</v>
      </c>
    </row>
    <row r="113" spans="2:8" hidden="1">
      <c r="B113" s="60">
        <v>0.8</v>
      </c>
      <c r="C113" s="72">
        <v>0.46846642603285893</v>
      </c>
      <c r="D113" s="79">
        <v>0.52</v>
      </c>
      <c r="E113" s="79">
        <v>0.3</v>
      </c>
      <c r="F113" s="79">
        <v>0.57692307692307687</v>
      </c>
      <c r="G113" s="80">
        <v>0.17167406054910894</v>
      </c>
      <c r="H113" s="72">
        <v>8.9270511485536649E-2</v>
      </c>
    </row>
    <row r="114" spans="2:8" hidden="1">
      <c r="B114" s="60">
        <v>0.8</v>
      </c>
      <c r="C114" s="72">
        <v>0.48929722402646025</v>
      </c>
      <c r="D114" s="79">
        <v>0.54</v>
      </c>
      <c r="E114" s="79">
        <v>0.3</v>
      </c>
      <c r="F114" s="79">
        <v>0.55555555555555547</v>
      </c>
      <c r="G114" s="80">
        <v>0.17900295536099509</v>
      </c>
      <c r="H114" s="72">
        <v>9.6661595894937349E-2</v>
      </c>
    </row>
    <row r="115" spans="2:8" hidden="1">
      <c r="B115" s="60">
        <v>0.8</v>
      </c>
      <c r="C115" s="72">
        <v>0.50927669744452286</v>
      </c>
      <c r="D115" s="79">
        <v>0.56000000000000005</v>
      </c>
      <c r="E115" s="79">
        <v>0.3</v>
      </c>
      <c r="F115" s="79">
        <v>0.5357142857142857</v>
      </c>
      <c r="G115" s="80">
        <v>0.18571181066635112</v>
      </c>
      <c r="H115" s="72">
        <v>0.10399861397315664</v>
      </c>
    </row>
    <row r="116" spans="2:8" hidden="1">
      <c r="B116" s="60">
        <v>0.8</v>
      </c>
      <c r="C116" s="72">
        <v>0.52850140556104475</v>
      </c>
      <c r="D116" s="79">
        <v>0.57999999999999996</v>
      </c>
      <c r="E116" s="79">
        <v>0.3</v>
      </c>
      <c r="F116" s="79">
        <v>0.51724137931034486</v>
      </c>
      <c r="G116" s="80">
        <v>0.19144531882535598</v>
      </c>
      <c r="H116" s="72">
        <v>0.11103828491870646</v>
      </c>
    </row>
    <row r="117" spans="2:8" hidden="1">
      <c r="B117" s="81">
        <v>0.8</v>
      </c>
      <c r="C117" s="77">
        <v>0.5470509270625542</v>
      </c>
      <c r="D117" s="82">
        <v>0.6</v>
      </c>
      <c r="E117" s="82">
        <v>0.3</v>
      </c>
      <c r="F117" s="82">
        <v>0.5</v>
      </c>
      <c r="G117" s="83">
        <v>0.19630000000000147</v>
      </c>
      <c r="H117" s="77">
        <v>0.11778000000000088</v>
      </c>
    </row>
    <row r="118" spans="2:8" hidden="1">
      <c r="B118" s="84">
        <v>1</v>
      </c>
      <c r="C118" s="72">
        <v>0.49938688809379045</v>
      </c>
      <c r="D118" s="79">
        <v>0.56000000000000005</v>
      </c>
      <c r="E118" s="79">
        <v>0.2</v>
      </c>
      <c r="F118" s="79">
        <v>0.35714285714285715</v>
      </c>
      <c r="G118" s="80">
        <v>0.25165148046307073</v>
      </c>
      <c r="H118" s="72">
        <v>0.14092482905931963</v>
      </c>
    </row>
    <row r="119" spans="2:8" hidden="1">
      <c r="B119" s="84">
        <v>1</v>
      </c>
      <c r="C119" s="72">
        <v>0.51307125431074385</v>
      </c>
      <c r="D119" s="79">
        <v>0.57999999999999996</v>
      </c>
      <c r="E119" s="79">
        <v>0.2</v>
      </c>
      <c r="F119" s="79">
        <v>0.34482758620689657</v>
      </c>
      <c r="G119" s="80">
        <v>0.26064296488065852</v>
      </c>
      <c r="H119" s="72">
        <v>0.15117291963078194</v>
      </c>
    </row>
    <row r="120" spans="2:8" hidden="1">
      <c r="B120" s="84">
        <v>1</v>
      </c>
      <c r="C120" s="72">
        <v>0.52639999999999998</v>
      </c>
      <c r="D120" s="79">
        <v>0.6</v>
      </c>
      <c r="E120" s="79">
        <v>0.2</v>
      </c>
      <c r="F120" s="79">
        <v>0.33333333333333337</v>
      </c>
      <c r="G120" s="80">
        <v>0.26984581618655601</v>
      </c>
      <c r="H120" s="72">
        <v>0.16190748971193361</v>
      </c>
    </row>
    <row r="121" spans="2:8" hidden="1">
      <c r="B121" s="84">
        <v>1</v>
      </c>
      <c r="C121" s="72">
        <v>0.53939948832011331</v>
      </c>
      <c r="D121" s="79">
        <v>0.62</v>
      </c>
      <c r="E121" s="79">
        <v>0.2</v>
      </c>
      <c r="F121" s="79">
        <v>0.32258064516129037</v>
      </c>
      <c r="G121" s="80">
        <v>0.27914635638519569</v>
      </c>
      <c r="H121" s="72">
        <v>0.17307074095882133</v>
      </c>
    </row>
    <row r="122" spans="2:8" hidden="1">
      <c r="B122" s="84">
        <v>1</v>
      </c>
      <c r="C122" s="72">
        <v>0.55209297767676779</v>
      </c>
      <c r="D122" s="79">
        <v>0.64</v>
      </c>
      <c r="E122" s="79">
        <v>0.2</v>
      </c>
      <c r="F122" s="79">
        <v>0.3125</v>
      </c>
      <c r="G122" s="80">
        <v>0.28844719014167786</v>
      </c>
      <c r="H122" s="72">
        <v>0.18460620169067382</v>
      </c>
    </row>
    <row r="123" spans="2:8" hidden="1">
      <c r="B123" s="84">
        <v>1</v>
      </c>
      <c r="C123" s="72">
        <v>0.56450111071635645</v>
      </c>
      <c r="D123" s="79">
        <v>0.66</v>
      </c>
      <c r="E123" s="79">
        <v>0.2</v>
      </c>
      <c r="F123" s="79">
        <v>0.30303030303030304</v>
      </c>
      <c r="G123" s="80">
        <v>0.29766815039483219</v>
      </c>
      <c r="H123" s="72">
        <v>0.19646097926058925</v>
      </c>
    </row>
    <row r="124" spans="2:8" hidden="1">
      <c r="B124" s="84">
        <v>1</v>
      </c>
      <c r="C124" s="72">
        <v>0.57926427474858144</v>
      </c>
      <c r="D124" s="79">
        <v>0.56000000000000005</v>
      </c>
      <c r="E124" s="79">
        <v>0.25</v>
      </c>
      <c r="F124" s="79">
        <v>0.4464285714285714</v>
      </c>
      <c r="G124" s="80">
        <v>0.21044696888518932</v>
      </c>
      <c r="H124" s="72">
        <v>0.11785030257570603</v>
      </c>
    </row>
    <row r="125" spans="2:8" hidden="1">
      <c r="B125" s="84">
        <v>1</v>
      </c>
      <c r="C125" s="72">
        <v>0.59765817989884484</v>
      </c>
      <c r="D125" s="79">
        <v>0.57999999999999996</v>
      </c>
      <c r="E125" s="79">
        <v>0.25</v>
      </c>
      <c r="F125" s="79">
        <v>0.43103448275862072</v>
      </c>
      <c r="G125" s="80">
        <v>0.21517861485015666</v>
      </c>
      <c r="H125" s="72">
        <v>0.12480359661309086</v>
      </c>
    </row>
    <row r="126" spans="2:8" hidden="1">
      <c r="B126" s="84">
        <v>1</v>
      </c>
      <c r="C126" s="72">
        <v>0.61550264012431333</v>
      </c>
      <c r="D126" s="79">
        <v>0.6</v>
      </c>
      <c r="E126" s="79">
        <v>0.25</v>
      </c>
      <c r="F126" s="79">
        <v>0.41666666666666669</v>
      </c>
      <c r="G126" s="80">
        <v>0.22026151593578835</v>
      </c>
      <c r="H126" s="72">
        <v>0.132156909561473</v>
      </c>
    </row>
    <row r="127" spans="2:8" hidden="1">
      <c r="B127" s="84">
        <v>1</v>
      </c>
      <c r="C127" s="72">
        <v>0.63284413562898734</v>
      </c>
      <c r="D127" s="79">
        <v>0.62</v>
      </c>
      <c r="E127" s="79">
        <v>0.25</v>
      </c>
      <c r="F127" s="79">
        <v>0.40322580645161293</v>
      </c>
      <c r="G127" s="80">
        <v>0.22576343810676502</v>
      </c>
      <c r="H127" s="72">
        <v>0.13997333162619433</v>
      </c>
    </row>
    <row r="128" spans="2:8" hidden="1">
      <c r="B128" s="84">
        <v>1</v>
      </c>
      <c r="C128" s="72">
        <v>0.64972294095252625</v>
      </c>
      <c r="D128" s="79">
        <v>0.64</v>
      </c>
      <c r="E128" s="79">
        <v>0.25</v>
      </c>
      <c r="F128" s="79">
        <v>0.390625</v>
      </c>
      <c r="G128" s="80">
        <v>0.23169315018710912</v>
      </c>
      <c r="H128" s="72">
        <v>0.14828361611974983</v>
      </c>
    </row>
    <row r="129" spans="2:8" hidden="1">
      <c r="B129" s="84">
        <v>1</v>
      </c>
      <c r="C129" s="72">
        <v>0.66617422646031577</v>
      </c>
      <c r="D129" s="79">
        <v>0.66</v>
      </c>
      <c r="E129" s="79">
        <v>0.25</v>
      </c>
      <c r="F129" s="79">
        <v>0.37878787878787878</v>
      </c>
      <c r="G129" s="80">
        <v>0.23802104480564057</v>
      </c>
      <c r="H129" s="72">
        <v>0.15709388957172279</v>
      </c>
    </row>
    <row r="130" spans="2:8" hidden="1">
      <c r="B130" s="84">
        <v>1</v>
      </c>
      <c r="C130" s="72">
        <v>0.68381365882819267</v>
      </c>
      <c r="D130" s="79">
        <v>0.6</v>
      </c>
      <c r="E130" s="79">
        <v>0.3</v>
      </c>
      <c r="F130" s="79">
        <v>0.5</v>
      </c>
      <c r="G130" s="80">
        <v>0.19630000000000147</v>
      </c>
      <c r="H130" s="72">
        <v>0.11778000000000088</v>
      </c>
    </row>
    <row r="131" spans="2:8" hidden="1">
      <c r="B131" s="84">
        <v>1</v>
      </c>
      <c r="C131" s="72">
        <v>0.70623971001353358</v>
      </c>
      <c r="D131" s="79">
        <v>0.62</v>
      </c>
      <c r="E131" s="79">
        <v>0.3</v>
      </c>
      <c r="F131" s="79">
        <v>0.48387096774193544</v>
      </c>
      <c r="G131" s="80">
        <v>0.20052979933679516</v>
      </c>
      <c r="H131" s="72">
        <v>0.12432847558881299</v>
      </c>
    </row>
    <row r="132" spans="2:8" hidden="1">
      <c r="B132" s="84">
        <v>1</v>
      </c>
      <c r="C132" s="72">
        <v>0.72797523034784639</v>
      </c>
      <c r="D132" s="79">
        <v>0.64</v>
      </c>
      <c r="E132" s="79">
        <v>0.3</v>
      </c>
      <c r="F132" s="79">
        <v>0.46875</v>
      </c>
      <c r="G132" s="80">
        <v>0.20440804883316255</v>
      </c>
      <c r="H132" s="72">
        <v>0.13082115125322402</v>
      </c>
    </row>
    <row r="133" spans="2:8" hidden="1">
      <c r="B133" s="84">
        <v>1</v>
      </c>
      <c r="C133" s="72">
        <v>0.74908033214068559</v>
      </c>
      <c r="D133" s="79">
        <v>0.66</v>
      </c>
      <c r="E133" s="79">
        <v>0.3</v>
      </c>
      <c r="F133" s="79">
        <v>0.45454545454545453</v>
      </c>
      <c r="G133" s="80">
        <v>0.20816956661384967</v>
      </c>
      <c r="H133" s="72">
        <v>0.13739191396514078</v>
      </c>
    </row>
    <row r="134" spans="2:8" hidden="1">
      <c r="B134" s="84">
        <v>1</v>
      </c>
      <c r="C134" s="72">
        <v>0.75684302996063857</v>
      </c>
      <c r="D134" s="79">
        <v>0.62</v>
      </c>
      <c r="E134" s="79">
        <v>0.35</v>
      </c>
      <c r="F134" s="79">
        <v>0.56451612903225801</v>
      </c>
      <c r="G134" s="80">
        <v>0.17588954794021183</v>
      </c>
      <c r="H134" s="72">
        <v>0.10905151972293134</v>
      </c>
    </row>
    <row r="135" spans="2:8" hidden="1">
      <c r="B135" s="84">
        <v>1</v>
      </c>
      <c r="C135" s="72">
        <v>0.78437353601457005</v>
      </c>
      <c r="D135" s="79">
        <v>0.64</v>
      </c>
      <c r="E135" s="79">
        <v>0.35</v>
      </c>
      <c r="F135" s="79">
        <v>0.546875</v>
      </c>
      <c r="G135" s="80">
        <v>0.18199025856024753</v>
      </c>
      <c r="H135" s="72">
        <v>0.11647376547855842</v>
      </c>
    </row>
    <row r="136" spans="2:8" hidden="1">
      <c r="B136" s="84">
        <v>1</v>
      </c>
      <c r="C136" s="72">
        <v>0.81096998464801395</v>
      </c>
      <c r="D136" s="79">
        <v>0.66</v>
      </c>
      <c r="E136" s="79">
        <v>0.35</v>
      </c>
      <c r="F136" s="79">
        <v>0.53030303030303028</v>
      </c>
      <c r="G136" s="80">
        <v>0.18745038085882615</v>
      </c>
      <c r="H136" s="72">
        <v>0.12371725136682526</v>
      </c>
    </row>
    <row r="137" spans="2:8" hidden="1">
      <c r="B137" s="85">
        <v>1</v>
      </c>
      <c r="C137" s="77">
        <v>0.83672145185838287</v>
      </c>
      <c r="D137" s="82">
        <v>0.68</v>
      </c>
      <c r="E137" s="82">
        <v>0.35</v>
      </c>
      <c r="F137" s="82">
        <v>0.51470588235294112</v>
      </c>
      <c r="G137" s="83">
        <v>0.19218754479971056</v>
      </c>
      <c r="H137" s="77">
        <v>0.13068753046380319</v>
      </c>
    </row>
    <row r="138" spans="2:8" hidden="1">
      <c r="B138" s="84">
        <v>1.2</v>
      </c>
      <c r="C138" s="72">
        <v>0.82057639059383125</v>
      </c>
      <c r="D138" s="79">
        <v>0.6</v>
      </c>
      <c r="E138" s="79">
        <v>0.3</v>
      </c>
      <c r="F138" s="79">
        <v>0.5</v>
      </c>
      <c r="G138" s="80">
        <v>0.19630000000000147</v>
      </c>
      <c r="H138" s="72">
        <v>0.11778000000000088</v>
      </c>
    </row>
    <row r="139" spans="2:8" hidden="1">
      <c r="B139" s="84">
        <v>1.2</v>
      </c>
      <c r="C139" s="72">
        <v>0.84748765201624021</v>
      </c>
      <c r="D139" s="79">
        <v>0.62</v>
      </c>
      <c r="E139" s="79">
        <v>0.3</v>
      </c>
      <c r="F139" s="79">
        <v>0.48387096774193544</v>
      </c>
      <c r="G139" s="80">
        <v>0.20052979933679516</v>
      </c>
      <c r="H139" s="72">
        <v>0.12432847558881299</v>
      </c>
    </row>
    <row r="140" spans="2:8" hidden="1">
      <c r="B140" s="84">
        <v>1.2</v>
      </c>
      <c r="C140" s="72">
        <v>0.87357027641741569</v>
      </c>
      <c r="D140" s="79">
        <v>0.64</v>
      </c>
      <c r="E140" s="79">
        <v>0.3</v>
      </c>
      <c r="F140" s="79">
        <v>0.46875</v>
      </c>
      <c r="G140" s="80">
        <v>0.20440804883316255</v>
      </c>
      <c r="H140" s="72">
        <v>0.13082115125322402</v>
      </c>
    </row>
    <row r="141" spans="2:8" hidden="1">
      <c r="B141" s="84">
        <v>1.2</v>
      </c>
      <c r="C141" s="72">
        <v>0.89889639856882275</v>
      </c>
      <c r="D141" s="79">
        <v>0.66</v>
      </c>
      <c r="E141" s="79">
        <v>0.3</v>
      </c>
      <c r="F141" s="79">
        <v>0.45454545454545453</v>
      </c>
      <c r="G141" s="80">
        <v>0.20816956661384967</v>
      </c>
      <c r="H141" s="72">
        <v>0.13739191396514078</v>
      </c>
    </row>
    <row r="142" spans="2:8" hidden="1">
      <c r="B142" s="84">
        <v>1.2</v>
      </c>
      <c r="C142" s="72">
        <v>0.923528257759339</v>
      </c>
      <c r="D142" s="79">
        <v>0.68</v>
      </c>
      <c r="E142" s="79">
        <v>0.3</v>
      </c>
      <c r="F142" s="79">
        <v>0.44117647058823523</v>
      </c>
      <c r="G142" s="80">
        <v>0.2119924915502065</v>
      </c>
      <c r="H142" s="72">
        <v>0.14415489425414044</v>
      </c>
    </row>
    <row r="143" spans="2:8" hidden="1">
      <c r="B143" s="84">
        <v>1.2</v>
      </c>
      <c r="C143" s="72">
        <v>0.94751999999999992</v>
      </c>
      <c r="D143" s="79">
        <v>0.7</v>
      </c>
      <c r="E143" s="79">
        <v>0.3</v>
      </c>
      <c r="F143" s="79">
        <v>0.4285714285714286</v>
      </c>
      <c r="G143" s="80">
        <v>0.21599864682232561</v>
      </c>
      <c r="H143" s="72">
        <v>0.15119905277562792</v>
      </c>
    </row>
    <row r="144" spans="2:8" hidden="1">
      <c r="B144" s="84">
        <v>1.2</v>
      </c>
      <c r="C144" s="72">
        <v>0.97091907897620389</v>
      </c>
      <c r="D144" s="79">
        <v>0.72</v>
      </c>
      <c r="E144" s="79">
        <v>0.3</v>
      </c>
      <c r="F144" s="79">
        <v>0.41666666666666669</v>
      </c>
      <c r="G144" s="80">
        <v>0.22026151593578835</v>
      </c>
      <c r="H144" s="72">
        <v>0.1585882914737676</v>
      </c>
    </row>
    <row r="145" spans="2:8" hidden="1">
      <c r="B145" s="84">
        <v>1.2</v>
      </c>
      <c r="C145" s="72">
        <v>0.97316398157761663</v>
      </c>
      <c r="D145" s="79">
        <v>0.66</v>
      </c>
      <c r="E145" s="79">
        <v>0.35</v>
      </c>
      <c r="F145" s="79">
        <v>0.53030303030303028</v>
      </c>
      <c r="G145" s="80">
        <v>0.18745038085882615</v>
      </c>
      <c r="H145" s="72">
        <v>0.12371725136682526</v>
      </c>
    </row>
    <row r="146" spans="2:8" hidden="1">
      <c r="B146" s="84">
        <v>1.2</v>
      </c>
      <c r="C146" s="72">
        <v>1.0040657422300594</v>
      </c>
      <c r="D146" s="79">
        <v>0.68</v>
      </c>
      <c r="E146" s="79">
        <v>0.35</v>
      </c>
      <c r="F146" s="79">
        <v>0.51470588235294112</v>
      </c>
      <c r="G146" s="80">
        <v>0.19218754479971056</v>
      </c>
      <c r="H146" s="72">
        <v>0.13068753046380319</v>
      </c>
    </row>
    <row r="147" spans="2:8" hidden="1">
      <c r="B147" s="84">
        <v>1.2</v>
      </c>
      <c r="C147" s="72">
        <v>1.0340444354088463</v>
      </c>
      <c r="D147" s="79">
        <v>0.7</v>
      </c>
      <c r="E147" s="79">
        <v>0.35</v>
      </c>
      <c r="F147" s="79">
        <v>0.5</v>
      </c>
      <c r="G147" s="80">
        <v>0.19630000000000147</v>
      </c>
      <c r="H147" s="72">
        <v>0.13741000000000103</v>
      </c>
    </row>
    <row r="148" spans="2:8" hidden="1">
      <c r="B148" s="84">
        <v>1.2</v>
      </c>
      <c r="C148" s="72">
        <v>1.0631781478566986</v>
      </c>
      <c r="D148" s="79">
        <v>0.72</v>
      </c>
      <c r="E148" s="79">
        <v>0.35</v>
      </c>
      <c r="F148" s="79">
        <v>0.4861111111111111</v>
      </c>
      <c r="G148" s="80">
        <v>0.1999531763678648</v>
      </c>
      <c r="H148" s="72">
        <v>0.14396628698486266</v>
      </c>
    </row>
    <row r="149" spans="2:8" hidden="1">
      <c r="B149" s="84">
        <v>1.2</v>
      </c>
      <c r="C149" s="72">
        <v>1.0570028111220897</v>
      </c>
      <c r="D149" s="79">
        <v>0.68</v>
      </c>
      <c r="E149" s="79">
        <v>0.4</v>
      </c>
      <c r="F149" s="79">
        <v>0.58823529411764708</v>
      </c>
      <c r="G149" s="80">
        <v>0.16814798053606395</v>
      </c>
      <c r="H149" s="72">
        <v>0.11434062676452349</v>
      </c>
    </row>
    <row r="150" spans="2:8" hidden="1">
      <c r="B150" s="84">
        <v>1.2</v>
      </c>
      <c r="C150" s="72">
        <v>1.0941018541251082</v>
      </c>
      <c r="D150" s="79">
        <v>0.7</v>
      </c>
      <c r="E150" s="79">
        <v>0.4</v>
      </c>
      <c r="F150" s="79">
        <v>0.57142857142857151</v>
      </c>
      <c r="G150" s="80">
        <v>0.17351387262109763</v>
      </c>
      <c r="H150" s="72">
        <v>0.12145971083476834</v>
      </c>
    </row>
    <row r="151" spans="2:8" hidden="1">
      <c r="B151" s="84">
        <v>1.2</v>
      </c>
      <c r="C151" s="72">
        <v>1.1299835360216537</v>
      </c>
      <c r="D151" s="79">
        <v>0.72</v>
      </c>
      <c r="E151" s="79">
        <v>0.4</v>
      </c>
      <c r="F151" s="79">
        <v>0.55555555555555558</v>
      </c>
      <c r="G151" s="80">
        <v>0.17900295536098709</v>
      </c>
      <c r="H151" s="72">
        <v>0.12888212785991071</v>
      </c>
    </row>
    <row r="152" spans="2:8" hidden="1">
      <c r="B152" s="84">
        <v>1.2</v>
      </c>
      <c r="C152" s="72">
        <v>1.1647603685565542</v>
      </c>
      <c r="D152" s="79">
        <v>0.74</v>
      </c>
      <c r="E152" s="79">
        <v>0.4</v>
      </c>
      <c r="F152" s="79">
        <v>0.54054054054054057</v>
      </c>
      <c r="G152" s="80">
        <v>0.18412307503141956</v>
      </c>
      <c r="H152" s="72">
        <v>0.13625107552325047</v>
      </c>
    </row>
    <row r="153" spans="2:8" hidden="1">
      <c r="B153" s="85">
        <v>1.2</v>
      </c>
      <c r="C153" s="77">
        <v>1.1985285314250971</v>
      </c>
      <c r="D153" s="82">
        <v>0.76</v>
      </c>
      <c r="E153" s="82">
        <v>0.4</v>
      </c>
      <c r="F153" s="82">
        <v>0.52631578947368418</v>
      </c>
      <c r="G153" s="83">
        <v>0.18870057129124151</v>
      </c>
      <c r="H153" s="77">
        <v>0.14341243418134356</v>
      </c>
    </row>
    <row r="171" spans="5:9">
      <c r="I171" s="81"/>
    </row>
    <row r="174" spans="5:9">
      <c r="E174" s="60" t="s">
        <v>295</v>
      </c>
    </row>
  </sheetData>
  <mergeCells count="40">
    <mergeCell ref="I82:I86"/>
    <mergeCell ref="L82:L86"/>
    <mergeCell ref="B67:B71"/>
    <mergeCell ref="E67:E71"/>
    <mergeCell ref="I67:I70"/>
    <mergeCell ref="L67:L70"/>
    <mergeCell ref="I71:I77"/>
    <mergeCell ref="L71:L77"/>
    <mergeCell ref="B72:B82"/>
    <mergeCell ref="E72:E82"/>
    <mergeCell ref="I78:I81"/>
    <mergeCell ref="L78:L81"/>
    <mergeCell ref="I46:I50"/>
    <mergeCell ref="L46:L50"/>
    <mergeCell ref="B49:B58"/>
    <mergeCell ref="E49:E58"/>
    <mergeCell ref="I51:I56"/>
    <mergeCell ref="L51:L56"/>
    <mergeCell ref="I57:I62"/>
    <mergeCell ref="L57:L62"/>
    <mergeCell ref="B59:B66"/>
    <mergeCell ref="E59:E66"/>
    <mergeCell ref="I63:I66"/>
    <mergeCell ref="L63:L66"/>
    <mergeCell ref="B16:B21"/>
    <mergeCell ref="E16:E21"/>
    <mergeCell ref="I16:I25"/>
    <mergeCell ref="L16:L25"/>
    <mergeCell ref="B22:B27"/>
    <mergeCell ref="E22:E27"/>
    <mergeCell ref="I26:I33"/>
    <mergeCell ref="L26:L33"/>
    <mergeCell ref="B28:B37"/>
    <mergeCell ref="E28:E37"/>
    <mergeCell ref="I34:I39"/>
    <mergeCell ref="L34:L39"/>
    <mergeCell ref="B38:B48"/>
    <mergeCell ref="E38:E48"/>
    <mergeCell ref="I40:I45"/>
    <mergeCell ref="L40:L45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49" firstPageNumber="5" orientation="portrait" useFirstPageNumber="1" r:id="rId1"/>
  <headerFooter>
    <oddHeader>&amp;C&amp;"Times New Roman,標準"&amp;14
&amp;"Times New Roman,太字"&amp;16Table 5.2 Crump de-Gruyter Gate for Offtake Structures</oddHeader>
    <oddFooter>&amp;C&amp;"Times New Roman,標準"&amp;14V-&amp;P</oddFooter>
  </headerFooter>
  <drawing r:id="rId2"/>
  <legacyDrawing r:id="rId3"/>
  <oleObjects>
    <mc:AlternateContent xmlns:mc="http://schemas.openxmlformats.org/markup-compatibility/2006">
      <mc:Choice Requires="x14">
        <oleObject progId="Equation.3" shapeId="4097" r:id="rId4">
          <objectPr defaultSize="0" autoPict="0" r:id="rId5">
            <anchor moveWithCells="1">
              <from>
                <xdr:col>1</xdr:col>
                <xdr:colOff>457200</xdr:colOff>
                <xdr:row>4</xdr:row>
                <xdr:rowOff>83820</xdr:rowOff>
              </from>
              <to>
                <xdr:col>7</xdr:col>
                <xdr:colOff>449580</xdr:colOff>
                <xdr:row>6</xdr:row>
                <xdr:rowOff>137160</xdr:rowOff>
              </to>
            </anchor>
          </objectPr>
        </oleObject>
      </mc:Choice>
      <mc:Fallback>
        <oleObject progId="Equation.3" shapeId="4097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GateStructure</vt:lpstr>
      <vt:lpstr>For Report (2)</vt:lpstr>
      <vt:lpstr>'For Report (2)'!Print_Area</vt:lpstr>
      <vt:lpstr>GateStructure!Print_Area</vt:lpstr>
      <vt:lpstr>'For Report (2)'!Print_Titles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Heri Purnama</cp:lastModifiedBy>
  <cp:lastPrinted>2024-08-28T12:21:47Z</cp:lastPrinted>
  <dcterms:created xsi:type="dcterms:W3CDTF">2024-08-27T01:30:50Z</dcterms:created>
  <dcterms:modified xsi:type="dcterms:W3CDTF">2024-09-10T03:18:52Z</dcterms:modified>
</cp:coreProperties>
</file>