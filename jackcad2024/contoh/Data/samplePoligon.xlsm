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jackcad2024\contoh\Data\"/>
    </mc:Choice>
  </mc:AlternateContent>
  <bookViews>
    <workbookView xWindow="-28920" yWindow="-120" windowWidth="29040" windowHeight="15840"/>
  </bookViews>
  <sheets>
    <sheet name="sample poligon" sheetId="159" r:id="rId1"/>
  </sheets>
  <externalReferences>
    <externalReference r:id="rId2"/>
  </externalReferences>
  <definedNames>
    <definedName name="_1">#N/A</definedName>
    <definedName name="_a">#REF!</definedName>
    <definedName name="a">#REF!</definedName>
    <definedName name="AAA">#REF!</definedName>
    <definedName name="b">#REF!</definedName>
    <definedName name="Bagi">2</definedName>
    <definedName name="Bendung">1</definedName>
    <definedName name="GHHHH">#REF!</definedName>
    <definedName name="h">#REF!</definedName>
    <definedName name="H24_Formula">IF(ISBLANK(#REF!),"Tidak Ada",#REF!)</definedName>
    <definedName name="JJJ">#REF!</definedName>
    <definedName name="jrk">#REF!</definedName>
    <definedName name="m">#REF!</definedName>
    <definedName name="_xlnm.Print_Area" localSheetId="0">#REF!</definedName>
    <definedName name="_xlnm.Print_Area">#REF!</definedName>
    <definedName name="Q">#N/A</definedName>
    <definedName name="ttr">#REF!</definedName>
  </definedNames>
  <calcPr calcId="162913"/>
</workbook>
</file>

<file path=xl/calcChain.xml><?xml version="1.0" encoding="utf-8"?>
<calcChain xmlns="http://schemas.openxmlformats.org/spreadsheetml/2006/main">
  <c r="V312" i="159" l="1"/>
  <c r="V246" i="159"/>
  <c r="V97" i="159"/>
  <c r="V94" i="159"/>
  <c r="V14" i="159"/>
  <c r="U14" i="159"/>
  <c r="T14" i="159"/>
  <c r="S14" i="159"/>
  <c r="V410" i="159"/>
  <c r="V409" i="159"/>
  <c r="R409" i="159"/>
  <c r="V408" i="159"/>
  <c r="R408" i="159"/>
  <c r="V407" i="159"/>
  <c r="R407" i="159"/>
  <c r="V406" i="159"/>
  <c r="R406" i="159"/>
  <c r="V405" i="159"/>
  <c r="R405" i="159"/>
  <c r="V404" i="159"/>
  <c r="R404" i="159"/>
  <c r="V403" i="159"/>
  <c r="R403" i="159"/>
  <c r="V402" i="159"/>
  <c r="R402" i="159"/>
  <c r="V401" i="159"/>
  <c r="R401" i="159"/>
  <c r="V400" i="159"/>
  <c r="R400" i="159"/>
  <c r="V399" i="159"/>
  <c r="R399" i="159"/>
  <c r="V398" i="159"/>
  <c r="R398" i="159"/>
  <c r="V397" i="159"/>
  <c r="R397" i="159"/>
  <c r="V396" i="159"/>
  <c r="R396" i="159"/>
  <c r="V395" i="159"/>
  <c r="R395" i="159"/>
  <c r="V394" i="159"/>
  <c r="R394" i="159"/>
  <c r="V393" i="159"/>
  <c r="R393" i="159"/>
  <c r="V392" i="159"/>
  <c r="R392" i="159"/>
  <c r="V391" i="159"/>
  <c r="R391" i="159"/>
  <c r="V390" i="159"/>
  <c r="R390" i="159"/>
  <c r="V389" i="159"/>
  <c r="R389" i="159"/>
  <c r="V388" i="159"/>
  <c r="R388" i="159"/>
  <c r="V387" i="159"/>
  <c r="R387" i="159"/>
  <c r="V386" i="159"/>
  <c r="R386" i="159"/>
  <c r="V385" i="159"/>
  <c r="R385" i="159"/>
  <c r="V384" i="159"/>
  <c r="R384" i="159"/>
  <c r="V383" i="159"/>
  <c r="R383" i="159"/>
  <c r="V382" i="159"/>
  <c r="R382" i="159"/>
  <c r="V381" i="159"/>
  <c r="R381" i="159"/>
  <c r="V380" i="159"/>
  <c r="R380" i="159"/>
  <c r="V379" i="159"/>
  <c r="R379" i="159"/>
  <c r="V378" i="159"/>
  <c r="R378" i="159"/>
  <c r="V377" i="159"/>
  <c r="R377" i="159"/>
  <c r="V376" i="159"/>
  <c r="R376" i="159"/>
  <c r="V375" i="159"/>
  <c r="R375" i="159"/>
  <c r="V374" i="159"/>
  <c r="R374" i="159"/>
  <c r="V373" i="159"/>
  <c r="R373" i="159"/>
  <c r="V372" i="159"/>
  <c r="R372" i="159"/>
  <c r="V371" i="159"/>
  <c r="R371" i="159"/>
  <c r="V370" i="159"/>
  <c r="R370" i="159"/>
  <c r="V369" i="159"/>
  <c r="R369" i="159"/>
  <c r="V368" i="159"/>
  <c r="R368" i="159"/>
  <c r="V367" i="159"/>
  <c r="R367" i="159"/>
  <c r="V366" i="159"/>
  <c r="R366" i="159"/>
  <c r="V365" i="159"/>
  <c r="R365" i="159"/>
  <c r="V364" i="159"/>
  <c r="R364" i="159"/>
  <c r="V363" i="159"/>
  <c r="R363" i="159"/>
  <c r="V362" i="159"/>
  <c r="R362" i="159"/>
  <c r="V361" i="159"/>
  <c r="R361" i="159"/>
  <c r="V360" i="159"/>
  <c r="R360" i="159"/>
  <c r="V359" i="159"/>
  <c r="R359" i="159"/>
  <c r="V358" i="159"/>
  <c r="R358" i="159"/>
  <c r="V357" i="159"/>
  <c r="R357" i="159"/>
  <c r="V356" i="159"/>
  <c r="R356" i="159"/>
  <c r="V355" i="159"/>
  <c r="R355" i="159"/>
  <c r="V354" i="159"/>
  <c r="R354" i="159"/>
  <c r="V353" i="159"/>
  <c r="R353" i="159"/>
  <c r="V352" i="159"/>
  <c r="R352" i="159"/>
  <c r="V351" i="159"/>
  <c r="R351" i="159"/>
  <c r="V350" i="159"/>
  <c r="R350" i="159"/>
  <c r="V349" i="159"/>
  <c r="R349" i="159"/>
  <c r="V348" i="159"/>
  <c r="R348" i="159"/>
  <c r="V347" i="159"/>
  <c r="R347" i="159"/>
  <c r="V346" i="159"/>
  <c r="R346" i="159"/>
  <c r="V345" i="159"/>
  <c r="R345" i="159"/>
  <c r="V344" i="159"/>
  <c r="R344" i="159"/>
  <c r="V343" i="159"/>
  <c r="R343" i="159"/>
  <c r="V342" i="159"/>
  <c r="R342" i="159"/>
  <c r="V341" i="159"/>
  <c r="R341" i="159"/>
  <c r="V340" i="159"/>
  <c r="R340" i="159"/>
  <c r="V339" i="159"/>
  <c r="R339" i="159"/>
  <c r="V338" i="159"/>
  <c r="R338" i="159"/>
  <c r="V337" i="159"/>
  <c r="R337" i="159"/>
  <c r="V336" i="159"/>
  <c r="R336" i="159"/>
  <c r="V335" i="159"/>
  <c r="R335" i="159"/>
  <c r="V334" i="159"/>
  <c r="R334" i="159"/>
  <c r="V333" i="159"/>
  <c r="R333" i="159"/>
  <c r="V332" i="159"/>
  <c r="R332" i="159"/>
  <c r="V331" i="159"/>
  <c r="R331" i="159"/>
  <c r="V330" i="159"/>
  <c r="R330" i="159"/>
  <c r="V329" i="159"/>
  <c r="R329" i="159"/>
  <c r="V328" i="159"/>
  <c r="R328" i="159"/>
  <c r="V327" i="159"/>
  <c r="R327" i="159"/>
  <c r="V326" i="159"/>
  <c r="R326" i="159"/>
  <c r="V325" i="159"/>
  <c r="R325" i="159"/>
  <c r="V324" i="159"/>
  <c r="R324" i="159"/>
  <c r="V323" i="159"/>
  <c r="R323" i="159"/>
  <c r="V322" i="159"/>
  <c r="R322" i="159"/>
  <c r="V321" i="159"/>
  <c r="R321" i="159"/>
  <c r="V320" i="159"/>
  <c r="R320" i="159"/>
  <c r="V319" i="159"/>
  <c r="R319" i="159"/>
  <c r="V318" i="159"/>
  <c r="R318" i="159"/>
  <c r="V317" i="159"/>
  <c r="R317" i="159"/>
  <c r="V316" i="159"/>
  <c r="R316" i="159"/>
  <c r="V315" i="159"/>
  <c r="R315" i="159"/>
  <c r="V314" i="159"/>
  <c r="R314" i="159"/>
  <c r="V313" i="159"/>
  <c r="R313" i="159"/>
  <c r="V310" i="159"/>
  <c r="V309" i="159"/>
  <c r="R309" i="159"/>
  <c r="V308" i="159"/>
  <c r="R308" i="159"/>
  <c r="V307" i="159"/>
  <c r="R307" i="159"/>
  <c r="V306" i="159"/>
  <c r="R306" i="159"/>
  <c r="V305" i="159"/>
  <c r="R305" i="159"/>
  <c r="V304" i="159"/>
  <c r="R304" i="159"/>
  <c r="V303" i="159"/>
  <c r="R303" i="159"/>
  <c r="V302" i="159"/>
  <c r="R302" i="159"/>
  <c r="V301" i="159"/>
  <c r="R301" i="159"/>
  <c r="V300" i="159"/>
  <c r="R300" i="159"/>
  <c r="V299" i="159"/>
  <c r="R299" i="159"/>
  <c r="V298" i="159"/>
  <c r="R298" i="159"/>
  <c r="V297" i="159"/>
  <c r="R297" i="159"/>
  <c r="V296" i="159"/>
  <c r="R296" i="159"/>
  <c r="V295" i="159"/>
  <c r="R295" i="159"/>
  <c r="V294" i="159"/>
  <c r="R294" i="159"/>
  <c r="V293" i="159"/>
  <c r="R293" i="159"/>
  <c r="V292" i="159"/>
  <c r="R292" i="159"/>
  <c r="V291" i="159"/>
  <c r="R291" i="159"/>
  <c r="V290" i="159"/>
  <c r="R290" i="159"/>
  <c r="V289" i="159"/>
  <c r="R289" i="159"/>
  <c r="V288" i="159"/>
  <c r="R288" i="159"/>
  <c r="V287" i="159"/>
  <c r="R287" i="159"/>
  <c r="V286" i="159"/>
  <c r="R286" i="159"/>
  <c r="V285" i="159"/>
  <c r="R285" i="159"/>
  <c r="V284" i="159"/>
  <c r="R284" i="159"/>
  <c r="V283" i="159"/>
  <c r="R283" i="159"/>
  <c r="V282" i="159"/>
  <c r="R282" i="159"/>
  <c r="V281" i="159"/>
  <c r="R281" i="159"/>
  <c r="V280" i="159"/>
  <c r="R280" i="159"/>
  <c r="V279" i="159"/>
  <c r="R279" i="159"/>
  <c r="V278" i="159"/>
  <c r="R278" i="159"/>
  <c r="V277" i="159"/>
  <c r="R277" i="159"/>
  <c r="V276" i="159"/>
  <c r="R276" i="159"/>
  <c r="V275" i="159"/>
  <c r="R275" i="159"/>
  <c r="V274" i="159"/>
  <c r="R274" i="159"/>
  <c r="V273" i="159"/>
  <c r="R273" i="159"/>
  <c r="V272" i="159"/>
  <c r="R272" i="159"/>
  <c r="V271" i="159"/>
  <c r="R271" i="159"/>
  <c r="V270" i="159"/>
  <c r="R270" i="159"/>
  <c r="V269" i="159"/>
  <c r="R269" i="159"/>
  <c r="V268" i="159"/>
  <c r="R268" i="159"/>
  <c r="V267" i="159"/>
  <c r="R267" i="159"/>
  <c r="V266" i="159"/>
  <c r="R266" i="159"/>
  <c r="V265" i="159"/>
  <c r="R265" i="159"/>
  <c r="V264" i="159"/>
  <c r="R264" i="159"/>
  <c r="V263" i="159"/>
  <c r="R263" i="159"/>
  <c r="V262" i="159"/>
  <c r="R262" i="159"/>
  <c r="V261" i="159"/>
  <c r="R261" i="159"/>
  <c r="V260" i="159"/>
  <c r="R260" i="159"/>
  <c r="V259" i="159"/>
  <c r="R259" i="159"/>
  <c r="V258" i="159"/>
  <c r="R258" i="159"/>
  <c r="V257" i="159"/>
  <c r="R257" i="159"/>
  <c r="V256" i="159"/>
  <c r="R256" i="159"/>
  <c r="V255" i="159"/>
  <c r="R255" i="159"/>
  <c r="V254" i="159"/>
  <c r="R254" i="159"/>
  <c r="V253" i="159"/>
  <c r="R253" i="159"/>
  <c r="V252" i="159"/>
  <c r="R252" i="159"/>
  <c r="V251" i="159"/>
  <c r="R251" i="159"/>
  <c r="V250" i="159"/>
  <c r="R250" i="159"/>
  <c r="V249" i="159"/>
  <c r="R249" i="159"/>
  <c r="V248" i="159"/>
  <c r="R248" i="159"/>
  <c r="V247" i="159"/>
  <c r="R247" i="159"/>
  <c r="V244" i="159"/>
  <c r="V243" i="159"/>
  <c r="R243" i="159"/>
  <c r="V242" i="159"/>
  <c r="R242" i="159"/>
  <c r="V241" i="159"/>
  <c r="R241" i="159"/>
  <c r="V240" i="159"/>
  <c r="R240" i="159"/>
  <c r="V239" i="159"/>
  <c r="R239" i="159"/>
  <c r="V238" i="159"/>
  <c r="R238" i="159"/>
  <c r="V237" i="159"/>
  <c r="R237" i="159"/>
  <c r="V236" i="159"/>
  <c r="R236" i="159"/>
  <c r="V235" i="159"/>
  <c r="R235" i="159"/>
  <c r="V234" i="159"/>
  <c r="R234" i="159"/>
  <c r="V233" i="159"/>
  <c r="R233" i="159"/>
  <c r="V232" i="159"/>
  <c r="R232" i="159"/>
  <c r="V231" i="159"/>
  <c r="R231" i="159"/>
  <c r="V230" i="159"/>
  <c r="R230" i="159"/>
  <c r="V229" i="159"/>
  <c r="R229" i="159"/>
  <c r="V228" i="159"/>
  <c r="R228" i="159"/>
  <c r="V227" i="159"/>
  <c r="R227" i="159"/>
  <c r="V226" i="159"/>
  <c r="R226" i="159"/>
  <c r="V225" i="159"/>
  <c r="R225" i="159"/>
  <c r="V224" i="159"/>
  <c r="R224" i="159"/>
  <c r="V223" i="159"/>
  <c r="R223" i="159"/>
  <c r="V222" i="159"/>
  <c r="R222" i="159"/>
  <c r="V221" i="159"/>
  <c r="R221" i="159"/>
  <c r="V220" i="159"/>
  <c r="R220" i="159"/>
  <c r="V219" i="159"/>
  <c r="R219" i="159"/>
  <c r="V218" i="159"/>
  <c r="R218" i="159"/>
  <c r="V217" i="159"/>
  <c r="R217" i="159"/>
  <c r="V216" i="159"/>
  <c r="R216" i="159"/>
  <c r="V215" i="159"/>
  <c r="R215" i="159"/>
  <c r="V214" i="159"/>
  <c r="R214" i="159"/>
  <c r="V213" i="159"/>
  <c r="R213" i="159"/>
  <c r="V212" i="159"/>
  <c r="R212" i="159"/>
  <c r="V211" i="159"/>
  <c r="R211" i="159"/>
  <c r="V210" i="159"/>
  <c r="R210" i="159"/>
  <c r="V209" i="159"/>
  <c r="R209" i="159"/>
  <c r="V208" i="159"/>
  <c r="R208" i="159"/>
  <c r="V207" i="159"/>
  <c r="R207" i="159"/>
  <c r="V206" i="159"/>
  <c r="R206" i="159"/>
  <c r="V205" i="159"/>
  <c r="R205" i="159"/>
  <c r="V204" i="159"/>
  <c r="R204" i="159"/>
  <c r="V203" i="159"/>
  <c r="R203" i="159"/>
  <c r="V202" i="159"/>
  <c r="R202" i="159"/>
  <c r="V201" i="159"/>
  <c r="R201" i="159"/>
  <c r="V200" i="159"/>
  <c r="R200" i="159"/>
  <c r="V199" i="159"/>
  <c r="R199" i="159"/>
  <c r="V198" i="159"/>
  <c r="R198" i="159"/>
  <c r="V197" i="159"/>
  <c r="R197" i="159"/>
  <c r="V196" i="159"/>
  <c r="R196" i="159"/>
  <c r="V195" i="159"/>
  <c r="R195" i="159"/>
  <c r="V194" i="159"/>
  <c r="R194" i="159"/>
  <c r="V193" i="159"/>
  <c r="R193" i="159"/>
  <c r="V192" i="159"/>
  <c r="R192" i="159"/>
  <c r="V191" i="159"/>
  <c r="R191" i="159"/>
  <c r="V190" i="159"/>
  <c r="R190" i="159"/>
  <c r="V189" i="159"/>
  <c r="R189" i="159"/>
  <c r="V188" i="159"/>
  <c r="R188" i="159"/>
  <c r="V187" i="159"/>
  <c r="R187" i="159"/>
  <c r="V186" i="159"/>
  <c r="R186" i="159"/>
  <c r="V185" i="159"/>
  <c r="R185" i="159"/>
  <c r="V184" i="159"/>
  <c r="R184" i="159"/>
  <c r="V183" i="159"/>
  <c r="R183" i="159"/>
  <c r="V182" i="159"/>
  <c r="R182" i="159"/>
  <c r="V181" i="159"/>
  <c r="R181" i="159"/>
  <c r="V180" i="159"/>
  <c r="R180" i="159"/>
  <c r="V179" i="159"/>
  <c r="R179" i="159"/>
  <c r="V178" i="159"/>
  <c r="R178" i="159"/>
  <c r="V177" i="159"/>
  <c r="R177" i="159"/>
  <c r="V176" i="159"/>
  <c r="R176" i="159"/>
  <c r="V175" i="159"/>
  <c r="R175" i="159"/>
  <c r="V174" i="159"/>
  <c r="R174" i="159"/>
  <c r="V173" i="159"/>
  <c r="R173" i="159"/>
  <c r="V172" i="159"/>
  <c r="R172" i="159"/>
  <c r="V171" i="159"/>
  <c r="R171" i="159"/>
  <c r="V170" i="159"/>
  <c r="R170" i="159"/>
  <c r="V169" i="159"/>
  <c r="R169" i="159"/>
  <c r="V168" i="159"/>
  <c r="R168" i="159"/>
  <c r="V167" i="159"/>
  <c r="R167" i="159"/>
  <c r="V166" i="159"/>
  <c r="R166" i="159"/>
  <c r="V165" i="159"/>
  <c r="R165" i="159"/>
  <c r="V164" i="159"/>
  <c r="R164" i="159"/>
  <c r="V163" i="159"/>
  <c r="R163" i="159"/>
  <c r="V162" i="159"/>
  <c r="R162" i="159"/>
  <c r="V161" i="159"/>
  <c r="R161" i="159"/>
  <c r="V160" i="159"/>
  <c r="R160" i="159"/>
  <c r="V159" i="159"/>
  <c r="R159" i="159"/>
  <c r="V158" i="159"/>
  <c r="R158" i="159"/>
  <c r="V157" i="159"/>
  <c r="R157" i="159"/>
  <c r="V156" i="159"/>
  <c r="R156" i="159"/>
  <c r="V155" i="159"/>
  <c r="R155" i="159"/>
  <c r="V154" i="159"/>
  <c r="R154" i="159"/>
  <c r="V153" i="159"/>
  <c r="R153" i="159"/>
  <c r="V152" i="159"/>
  <c r="R152" i="159"/>
  <c r="V151" i="159"/>
  <c r="R151" i="159"/>
  <c r="V150" i="159"/>
  <c r="R150" i="159"/>
  <c r="V149" i="159"/>
  <c r="R149" i="159"/>
  <c r="V148" i="159"/>
  <c r="R148" i="159"/>
  <c r="V147" i="159"/>
  <c r="R147" i="159"/>
  <c r="V146" i="159"/>
  <c r="R146" i="159"/>
  <c r="V145" i="159"/>
  <c r="R145" i="159"/>
  <c r="V144" i="159"/>
  <c r="R144" i="159"/>
  <c r="V143" i="159"/>
  <c r="R143" i="159"/>
  <c r="V142" i="159"/>
  <c r="R142" i="159"/>
  <c r="V141" i="159"/>
  <c r="R141" i="159"/>
  <c r="V140" i="159"/>
  <c r="R140" i="159"/>
  <c r="V139" i="159"/>
  <c r="R139" i="159"/>
  <c r="V138" i="159"/>
  <c r="R138" i="159"/>
  <c r="V137" i="159"/>
  <c r="R137" i="159"/>
  <c r="V136" i="159"/>
  <c r="R136" i="159"/>
  <c r="V135" i="159"/>
  <c r="R135" i="159"/>
  <c r="V134" i="159"/>
  <c r="R134" i="159"/>
  <c r="V133" i="159"/>
  <c r="R133" i="159"/>
  <c r="V132" i="159"/>
  <c r="R132" i="159"/>
  <c r="V131" i="159"/>
  <c r="R131" i="159"/>
  <c r="V130" i="159"/>
  <c r="R130" i="159"/>
  <c r="V129" i="159"/>
  <c r="R129" i="159"/>
  <c r="V128" i="159"/>
  <c r="R128" i="159"/>
  <c r="V127" i="159"/>
  <c r="R127" i="159"/>
  <c r="V126" i="159"/>
  <c r="R126" i="159"/>
  <c r="V125" i="159"/>
  <c r="R125" i="159"/>
  <c r="V124" i="159"/>
  <c r="R124" i="159"/>
  <c r="V123" i="159"/>
  <c r="R123" i="159"/>
  <c r="V122" i="159"/>
  <c r="R122" i="159"/>
  <c r="V121" i="159"/>
  <c r="R121" i="159"/>
  <c r="V120" i="159"/>
  <c r="R120" i="159"/>
  <c r="V119" i="159"/>
  <c r="R119" i="159"/>
  <c r="V118" i="159"/>
  <c r="R118" i="159"/>
  <c r="V117" i="159"/>
  <c r="R117" i="159"/>
  <c r="V116" i="159"/>
  <c r="R116" i="159"/>
  <c r="V115" i="159"/>
  <c r="R115" i="159"/>
  <c r="V114" i="159"/>
  <c r="R114" i="159"/>
  <c r="V113" i="159"/>
  <c r="R113" i="159"/>
  <c r="V112" i="159"/>
  <c r="R112" i="159"/>
  <c r="V111" i="159"/>
  <c r="R111" i="159"/>
  <c r="V110" i="159"/>
  <c r="R110" i="159"/>
  <c r="V109" i="159"/>
  <c r="R109" i="159"/>
  <c r="V108" i="159"/>
  <c r="R108" i="159"/>
  <c r="V107" i="159"/>
  <c r="R107" i="159"/>
  <c r="V106" i="159"/>
  <c r="R106" i="159"/>
  <c r="V105" i="159"/>
  <c r="R105" i="159"/>
  <c r="V104" i="159"/>
  <c r="R104" i="159"/>
  <c r="V103" i="159"/>
  <c r="R103" i="159"/>
  <c r="V102" i="159"/>
  <c r="R102" i="159"/>
  <c r="V101" i="159"/>
  <c r="R101" i="159"/>
  <c r="V100" i="159"/>
  <c r="R100" i="159"/>
  <c r="V99" i="159"/>
  <c r="R99" i="159"/>
  <c r="V98" i="159"/>
  <c r="R98" i="159"/>
  <c r="V95" i="159"/>
  <c r="V92" i="159"/>
  <c r="V91" i="159"/>
  <c r="R91" i="159"/>
  <c r="V90" i="159"/>
  <c r="R90" i="159"/>
  <c r="V89" i="159"/>
  <c r="R89" i="159"/>
  <c r="V88" i="159"/>
  <c r="R88" i="159"/>
  <c r="V87" i="159"/>
  <c r="R87" i="159"/>
  <c r="V86" i="159"/>
  <c r="R86" i="159"/>
  <c r="V85" i="159"/>
  <c r="R85" i="159"/>
  <c r="V84" i="159"/>
  <c r="R84" i="159"/>
  <c r="V83" i="159"/>
  <c r="R83" i="159"/>
  <c r="V82" i="159"/>
  <c r="R82" i="159"/>
  <c r="V81" i="159"/>
  <c r="R81" i="159"/>
  <c r="V80" i="159"/>
  <c r="R80" i="159"/>
  <c r="V79" i="159"/>
  <c r="R79" i="159"/>
  <c r="V78" i="159"/>
  <c r="R78" i="159"/>
  <c r="V77" i="159"/>
  <c r="R77" i="159"/>
  <c r="V76" i="159"/>
  <c r="R76" i="159"/>
  <c r="V75" i="159"/>
  <c r="R75" i="159"/>
  <c r="V74" i="159"/>
  <c r="R74" i="159"/>
  <c r="V73" i="159"/>
  <c r="R73" i="159"/>
  <c r="V72" i="159"/>
  <c r="R72" i="159"/>
  <c r="V71" i="159"/>
  <c r="R71" i="159"/>
  <c r="V70" i="159"/>
  <c r="R70" i="159"/>
  <c r="V69" i="159"/>
  <c r="R69" i="159"/>
  <c r="V68" i="159"/>
  <c r="R68" i="159"/>
  <c r="V67" i="159"/>
  <c r="R67" i="159"/>
  <c r="V66" i="159"/>
  <c r="R66" i="159"/>
  <c r="V65" i="159"/>
  <c r="R65" i="159"/>
  <c r="V64" i="159"/>
  <c r="R64" i="159"/>
  <c r="V63" i="159"/>
  <c r="R63" i="159"/>
  <c r="V62" i="159"/>
  <c r="R62" i="159"/>
  <c r="V61" i="159"/>
  <c r="R61" i="159"/>
  <c r="V60" i="159"/>
  <c r="R60" i="159"/>
  <c r="V59" i="159"/>
  <c r="R59" i="159"/>
  <c r="V58" i="159"/>
  <c r="R58" i="159"/>
  <c r="V57" i="159"/>
  <c r="R57" i="159"/>
  <c r="V56" i="159"/>
  <c r="R56" i="159"/>
  <c r="V55" i="159"/>
  <c r="R55" i="159"/>
  <c r="V54" i="159"/>
  <c r="R54" i="159"/>
  <c r="V53" i="159"/>
  <c r="R53" i="159"/>
  <c r="V52" i="159"/>
  <c r="R52" i="159"/>
  <c r="V51" i="159"/>
  <c r="R51" i="159"/>
  <c r="V50" i="159"/>
  <c r="R50" i="159"/>
  <c r="V49" i="159"/>
  <c r="R49" i="159"/>
  <c r="V48" i="159"/>
  <c r="R48" i="159"/>
  <c r="V47" i="159"/>
  <c r="R47" i="159"/>
  <c r="V46" i="159"/>
  <c r="R46" i="159"/>
  <c r="V45" i="159"/>
  <c r="R45" i="159"/>
  <c r="V44" i="159"/>
  <c r="R44" i="159"/>
  <c r="V43" i="159"/>
  <c r="R43" i="159"/>
  <c r="V42" i="159"/>
  <c r="R42" i="159"/>
  <c r="V41" i="159"/>
  <c r="R41" i="159"/>
  <c r="V40" i="159"/>
  <c r="R40" i="159"/>
  <c r="V39" i="159"/>
  <c r="R39" i="159"/>
  <c r="V38" i="159"/>
  <c r="R38" i="159"/>
  <c r="V37" i="159"/>
  <c r="R37" i="159"/>
  <c r="V36" i="159"/>
  <c r="R36" i="159"/>
  <c r="V35" i="159"/>
  <c r="R35" i="159"/>
  <c r="V34" i="159"/>
  <c r="R34" i="159"/>
  <c r="V33" i="159"/>
  <c r="R33" i="159"/>
  <c r="V32" i="159"/>
  <c r="R32" i="159"/>
  <c r="V31" i="159"/>
  <c r="R31" i="159"/>
  <c r="V30" i="159"/>
  <c r="R30" i="159"/>
  <c r="V29" i="159"/>
  <c r="R29" i="159"/>
  <c r="V28" i="159"/>
  <c r="R28" i="159"/>
  <c r="V27" i="159"/>
  <c r="R27" i="159"/>
  <c r="V26" i="159"/>
  <c r="R26" i="159"/>
  <c r="V25" i="159"/>
  <c r="R25" i="159"/>
  <c r="V24" i="159"/>
  <c r="R24" i="159"/>
  <c r="V23" i="159"/>
  <c r="R23" i="159"/>
  <c r="V22" i="159"/>
  <c r="R22" i="159"/>
  <c r="V21" i="159"/>
  <c r="R21" i="159"/>
  <c r="V20" i="159"/>
  <c r="R20" i="159"/>
  <c r="V19" i="159"/>
  <c r="R19" i="159"/>
  <c r="V18" i="159"/>
  <c r="R18" i="159"/>
  <c r="V17" i="159"/>
  <c r="R17" i="159"/>
  <c r="V16" i="159"/>
  <c r="R16" i="159"/>
  <c r="V15" i="159"/>
  <c r="R15" i="159"/>
  <c r="E417" i="159"/>
  <c r="R6" i="159"/>
  <c r="R5" i="159"/>
  <c r="L410" i="159"/>
  <c r="L402" i="159"/>
  <c r="L394" i="159"/>
  <c r="L386" i="159"/>
  <c r="L378" i="159"/>
  <c r="L370" i="159"/>
  <c r="L362" i="159"/>
  <c r="L354" i="159"/>
  <c r="L346" i="159"/>
  <c r="L338" i="159"/>
  <c r="L330" i="159"/>
  <c r="L322" i="159"/>
  <c r="L314" i="159"/>
  <c r="L304" i="159"/>
  <c r="L296" i="159"/>
  <c r="L288" i="159"/>
  <c r="L280" i="159"/>
  <c r="L272" i="159"/>
  <c r="L264" i="159"/>
  <c r="L256" i="159"/>
  <c r="L248" i="159"/>
  <c r="L238" i="159"/>
  <c r="L230" i="159"/>
  <c r="L222" i="159"/>
  <c r="L214" i="159"/>
  <c r="L206" i="159"/>
  <c r="L198" i="159"/>
  <c r="L190" i="159"/>
  <c r="L182" i="159"/>
  <c r="L174" i="159"/>
  <c r="L166" i="159"/>
  <c r="L158" i="159"/>
  <c r="L150" i="159"/>
  <c r="L142" i="159"/>
  <c r="L134" i="159"/>
  <c r="L126" i="159"/>
  <c r="L118" i="159"/>
  <c r="L110" i="159"/>
  <c r="L102" i="159"/>
  <c r="L90" i="159"/>
  <c r="L82" i="159"/>
  <c r="L74" i="159"/>
  <c r="L66" i="159"/>
  <c r="L58" i="159"/>
  <c r="L50" i="159"/>
  <c r="L42" i="159"/>
  <c r="L34" i="159"/>
  <c r="L26" i="159"/>
  <c r="L18" i="159"/>
  <c r="L409" i="159"/>
  <c r="L401" i="159"/>
  <c r="L385" i="159"/>
  <c r="L369" i="159"/>
  <c r="L353" i="159"/>
  <c r="L337" i="159"/>
  <c r="L313" i="159"/>
  <c r="L287" i="159"/>
  <c r="L271" i="159"/>
  <c r="L255" i="159"/>
  <c r="L237" i="159"/>
  <c r="L221" i="159"/>
  <c r="L197" i="159"/>
  <c r="L181" i="159"/>
  <c r="L165" i="159"/>
  <c r="L149" i="159"/>
  <c r="L125" i="159"/>
  <c r="L101" i="159"/>
  <c r="L81" i="159"/>
  <c r="L49" i="159"/>
  <c r="L25" i="159"/>
  <c r="L372" i="159"/>
  <c r="L332" i="159"/>
  <c r="L282" i="159"/>
  <c r="L232" i="159"/>
  <c r="L176" i="159"/>
  <c r="L120" i="159"/>
  <c r="L60" i="159"/>
  <c r="L329" i="159"/>
  <c r="L205" i="159"/>
  <c r="L141" i="159"/>
  <c r="L109" i="159"/>
  <c r="L65" i="159"/>
  <c r="L33" i="159"/>
  <c r="L316" i="159"/>
  <c r="L224" i="159"/>
  <c r="L168" i="159"/>
  <c r="L112" i="159"/>
  <c r="L36" i="159"/>
  <c r="S10" i="159"/>
  <c r="L408" i="159"/>
  <c r="L400" i="159"/>
  <c r="L392" i="159"/>
  <c r="L384" i="159"/>
  <c r="L376" i="159"/>
  <c r="L368" i="159"/>
  <c r="L360" i="159"/>
  <c r="L352" i="159"/>
  <c r="L344" i="159"/>
  <c r="L336" i="159"/>
  <c r="L328" i="159"/>
  <c r="L320" i="159"/>
  <c r="L310" i="159"/>
  <c r="L302" i="159"/>
  <c r="L294" i="159"/>
  <c r="L286" i="159"/>
  <c r="L278" i="159"/>
  <c r="L270" i="159"/>
  <c r="L262" i="159"/>
  <c r="L254" i="159"/>
  <c r="L244" i="159"/>
  <c r="L236" i="159"/>
  <c r="L228" i="159"/>
  <c r="L220" i="159"/>
  <c r="L212" i="159"/>
  <c r="L204" i="159"/>
  <c r="L196" i="159"/>
  <c r="L188" i="159"/>
  <c r="L180" i="159"/>
  <c r="L172" i="159"/>
  <c r="L164" i="159"/>
  <c r="L156" i="159"/>
  <c r="L148" i="159"/>
  <c r="L140" i="159"/>
  <c r="L132" i="159"/>
  <c r="L124" i="159"/>
  <c r="L116" i="159"/>
  <c r="L108" i="159"/>
  <c r="L100" i="159"/>
  <c r="L88" i="159"/>
  <c r="L80" i="159"/>
  <c r="L72" i="159"/>
  <c r="L64" i="159"/>
  <c r="L56" i="159"/>
  <c r="L48" i="159"/>
  <c r="L40" i="159"/>
  <c r="L32" i="159"/>
  <c r="L24" i="159"/>
  <c r="L16" i="159"/>
  <c r="L396" i="159"/>
  <c r="L324" i="159"/>
  <c r="L266" i="159"/>
  <c r="L208" i="159"/>
  <c r="L160" i="159"/>
  <c r="L92" i="159"/>
  <c r="L28" i="159"/>
  <c r="L312" i="159"/>
  <c r="L407" i="159"/>
  <c r="L399" i="159"/>
  <c r="L391" i="159"/>
  <c r="L383" i="159"/>
  <c r="L375" i="159"/>
  <c r="L367" i="159"/>
  <c r="L359" i="159"/>
  <c r="L351" i="159"/>
  <c r="L343" i="159"/>
  <c r="L335" i="159"/>
  <c r="L327" i="159"/>
  <c r="L319" i="159"/>
  <c r="L309" i="159"/>
  <c r="L301" i="159"/>
  <c r="L293" i="159"/>
  <c r="L285" i="159"/>
  <c r="L277" i="159"/>
  <c r="L269" i="159"/>
  <c r="L261" i="159"/>
  <c r="L253" i="159"/>
  <c r="L243" i="159"/>
  <c r="L235" i="159"/>
  <c r="L227" i="159"/>
  <c r="L219" i="159"/>
  <c r="L211" i="159"/>
  <c r="L203" i="159"/>
  <c r="L195" i="159"/>
  <c r="L187" i="159"/>
  <c r="L179" i="159"/>
  <c r="L171" i="159"/>
  <c r="L163" i="159"/>
  <c r="L155" i="159"/>
  <c r="L147" i="159"/>
  <c r="L139" i="159"/>
  <c r="L131" i="159"/>
  <c r="L123" i="159"/>
  <c r="L115" i="159"/>
  <c r="L107" i="159"/>
  <c r="L99" i="159"/>
  <c r="L87" i="159"/>
  <c r="L79" i="159"/>
  <c r="L71" i="159"/>
  <c r="L63" i="159"/>
  <c r="L55" i="159"/>
  <c r="L47" i="159"/>
  <c r="L39" i="159"/>
  <c r="L31" i="159"/>
  <c r="L23" i="159"/>
  <c r="L15" i="159"/>
  <c r="L94" i="159"/>
  <c r="L364" i="159"/>
  <c r="L298" i="159"/>
  <c r="L250" i="159"/>
  <c r="L192" i="159"/>
  <c r="L128" i="159"/>
  <c r="L68" i="159"/>
  <c r="L20" i="159"/>
  <c r="L246" i="159"/>
  <c r="L406" i="159"/>
  <c r="L398" i="159"/>
  <c r="L390" i="159"/>
  <c r="L382" i="159"/>
  <c r="L374" i="159"/>
  <c r="L366" i="159"/>
  <c r="L358" i="159"/>
  <c r="L350" i="159"/>
  <c r="L342" i="159"/>
  <c r="L334" i="159"/>
  <c r="L326" i="159"/>
  <c r="L318" i="159"/>
  <c r="L308" i="159"/>
  <c r="L300" i="159"/>
  <c r="L292" i="159"/>
  <c r="L284" i="159"/>
  <c r="L276" i="159"/>
  <c r="L268" i="159"/>
  <c r="L260" i="159"/>
  <c r="L252" i="159"/>
  <c r="L242" i="159"/>
  <c r="L234" i="159"/>
  <c r="L226" i="159"/>
  <c r="L218" i="159"/>
  <c r="L210" i="159"/>
  <c r="L202" i="159"/>
  <c r="L194" i="159"/>
  <c r="L186" i="159"/>
  <c r="L178" i="159"/>
  <c r="L170" i="159"/>
  <c r="L162" i="159"/>
  <c r="L154" i="159"/>
  <c r="L146" i="159"/>
  <c r="L138" i="159"/>
  <c r="L130" i="159"/>
  <c r="L122" i="159"/>
  <c r="L114" i="159"/>
  <c r="L106" i="159"/>
  <c r="L98" i="159"/>
  <c r="L86" i="159"/>
  <c r="L78" i="159"/>
  <c r="L70" i="159"/>
  <c r="L62" i="159"/>
  <c r="L54" i="159"/>
  <c r="L46" i="159"/>
  <c r="L38" i="159"/>
  <c r="L30" i="159"/>
  <c r="L22" i="159"/>
  <c r="S7" i="159"/>
  <c r="L380" i="159"/>
  <c r="L348" i="159"/>
  <c r="L290" i="159"/>
  <c r="L240" i="159"/>
  <c r="L184" i="159"/>
  <c r="L136" i="159"/>
  <c r="L84" i="159"/>
  <c r="L44" i="159"/>
  <c r="L97" i="159"/>
  <c r="L405" i="159"/>
  <c r="L397" i="159"/>
  <c r="L389" i="159"/>
  <c r="L381" i="159"/>
  <c r="L373" i="159"/>
  <c r="L365" i="159"/>
  <c r="L357" i="159"/>
  <c r="L349" i="159"/>
  <c r="L341" i="159"/>
  <c r="L333" i="159"/>
  <c r="L325" i="159"/>
  <c r="L317" i="159"/>
  <c r="L307" i="159"/>
  <c r="L299" i="159"/>
  <c r="L291" i="159"/>
  <c r="L283" i="159"/>
  <c r="L275" i="159"/>
  <c r="L267" i="159"/>
  <c r="L259" i="159"/>
  <c r="L251" i="159"/>
  <c r="L241" i="159"/>
  <c r="L233" i="159"/>
  <c r="L225" i="159"/>
  <c r="L217" i="159"/>
  <c r="L209" i="159"/>
  <c r="L201" i="159"/>
  <c r="L193" i="159"/>
  <c r="L185" i="159"/>
  <c r="L177" i="159"/>
  <c r="L169" i="159"/>
  <c r="L161" i="159"/>
  <c r="L153" i="159"/>
  <c r="L145" i="159"/>
  <c r="L137" i="159"/>
  <c r="L129" i="159"/>
  <c r="L121" i="159"/>
  <c r="L113" i="159"/>
  <c r="L105" i="159"/>
  <c r="L95" i="159"/>
  <c r="L85" i="159"/>
  <c r="L77" i="159"/>
  <c r="L69" i="159"/>
  <c r="L61" i="159"/>
  <c r="L53" i="159"/>
  <c r="L45" i="159"/>
  <c r="L37" i="159"/>
  <c r="L29" i="159"/>
  <c r="L21" i="159"/>
  <c r="L404" i="159"/>
  <c r="L340" i="159"/>
  <c r="L274" i="159"/>
  <c r="L216" i="159"/>
  <c r="L152" i="159"/>
  <c r="L76" i="159"/>
  <c r="L14" i="159"/>
  <c r="L403" i="159"/>
  <c r="L395" i="159"/>
  <c r="L387" i="159"/>
  <c r="L379" i="159"/>
  <c r="L371" i="159"/>
  <c r="L363" i="159"/>
  <c r="L355" i="159"/>
  <c r="L347" i="159"/>
  <c r="L339" i="159"/>
  <c r="L331" i="159"/>
  <c r="L323" i="159"/>
  <c r="L315" i="159"/>
  <c r="L305" i="159"/>
  <c r="L297" i="159"/>
  <c r="L289" i="159"/>
  <c r="L281" i="159"/>
  <c r="L273" i="159"/>
  <c r="L265" i="159"/>
  <c r="L257" i="159"/>
  <c r="L249" i="159"/>
  <c r="L239" i="159"/>
  <c r="L231" i="159"/>
  <c r="L223" i="159"/>
  <c r="L215" i="159"/>
  <c r="L207" i="159"/>
  <c r="L199" i="159"/>
  <c r="L191" i="159"/>
  <c r="L183" i="159"/>
  <c r="L175" i="159"/>
  <c r="L167" i="159"/>
  <c r="L159" i="159"/>
  <c r="L151" i="159"/>
  <c r="L143" i="159"/>
  <c r="L135" i="159"/>
  <c r="L127" i="159"/>
  <c r="L119" i="159"/>
  <c r="L111" i="159"/>
  <c r="L103" i="159"/>
  <c r="L91" i="159"/>
  <c r="L83" i="159"/>
  <c r="L75" i="159"/>
  <c r="L67" i="159"/>
  <c r="L59" i="159"/>
  <c r="L51" i="159"/>
  <c r="L43" i="159"/>
  <c r="L35" i="159"/>
  <c r="L27" i="159"/>
  <c r="L19" i="159"/>
  <c r="L393" i="159"/>
  <c r="L377" i="159"/>
  <c r="L361" i="159"/>
  <c r="L345" i="159"/>
  <c r="L321" i="159"/>
  <c r="L303" i="159"/>
  <c r="L295" i="159"/>
  <c r="L279" i="159"/>
  <c r="L263" i="159"/>
  <c r="L247" i="159"/>
  <c r="L229" i="159"/>
  <c r="L213" i="159"/>
  <c r="L189" i="159"/>
  <c r="L173" i="159"/>
  <c r="L157" i="159"/>
  <c r="L133" i="159"/>
  <c r="L117" i="159"/>
  <c r="L89" i="159"/>
  <c r="L73" i="159"/>
  <c r="L57" i="159"/>
  <c r="L41" i="159"/>
  <c r="L17" i="159"/>
  <c r="L388" i="159"/>
  <c r="L356" i="159"/>
  <c r="L306" i="159"/>
  <c r="L258" i="159"/>
  <c r="L200" i="159"/>
  <c r="L144" i="159"/>
  <c r="L104" i="159"/>
  <c r="L52" i="159"/>
  <c r="I14" i="159" l="1"/>
  <c r="J14" i="159"/>
  <c r="L413" i="159"/>
  <c r="T416" i="159" s="1"/>
  <c r="Q52" i="159"/>
  <c r="Q17" i="159"/>
  <c r="Q173" i="159"/>
  <c r="Q303" i="159"/>
  <c r="Q35" i="159"/>
  <c r="Q103" i="159"/>
  <c r="Q167" i="159"/>
  <c r="Q231" i="159"/>
  <c r="Q297" i="159"/>
  <c r="Q363" i="159"/>
  <c r="Q216" i="159"/>
  <c r="Q53" i="159"/>
  <c r="Q121" i="159"/>
  <c r="Q185" i="159"/>
  <c r="Q251" i="159"/>
  <c r="Q317" i="159"/>
  <c r="Q381" i="159"/>
  <c r="Q240" i="159"/>
  <c r="Q54" i="159"/>
  <c r="Q122" i="159"/>
  <c r="Q186" i="159"/>
  <c r="Q252" i="159"/>
  <c r="Q318" i="159"/>
  <c r="Q382" i="159"/>
  <c r="Q250" i="159"/>
  <c r="Q55" i="159"/>
  <c r="Q123" i="159"/>
  <c r="Q187" i="159"/>
  <c r="Q253" i="159"/>
  <c r="Q319" i="159"/>
  <c r="Q383" i="159"/>
  <c r="Q266" i="159"/>
  <c r="Q56" i="159"/>
  <c r="Q124" i="159"/>
  <c r="Q188" i="159"/>
  <c r="Q254" i="159"/>
  <c r="Q320" i="159"/>
  <c r="Q384" i="159"/>
  <c r="Q316" i="159"/>
  <c r="Q120" i="159"/>
  <c r="Q81" i="159"/>
  <c r="Q237" i="159"/>
  <c r="Q385" i="159"/>
  <c r="Q58" i="159"/>
  <c r="Q126" i="159"/>
  <c r="Q190" i="159"/>
  <c r="Q256" i="159"/>
  <c r="Q322" i="159"/>
  <c r="Q386" i="159"/>
  <c r="Q388" i="159"/>
  <c r="Q152" i="159"/>
  <c r="Q373" i="159"/>
  <c r="Q242" i="159"/>
  <c r="Q115" i="159"/>
  <c r="Q208" i="159"/>
  <c r="Q376" i="159"/>
  <c r="Q50" i="159"/>
  <c r="Q378" i="159"/>
  <c r="Q104" i="159"/>
  <c r="Q41" i="159"/>
  <c r="Q189" i="159"/>
  <c r="Q321" i="159"/>
  <c r="Q43" i="159"/>
  <c r="Q111" i="159"/>
  <c r="Q175" i="159"/>
  <c r="Q239" i="159"/>
  <c r="Q305" i="159"/>
  <c r="Q371" i="159"/>
  <c r="Q274" i="159"/>
  <c r="Q61" i="159"/>
  <c r="Q129" i="159"/>
  <c r="Q193" i="159"/>
  <c r="Q259" i="159"/>
  <c r="Q325" i="159"/>
  <c r="Q389" i="159"/>
  <c r="Q290" i="159"/>
  <c r="Q62" i="159"/>
  <c r="Q130" i="159"/>
  <c r="Q194" i="159"/>
  <c r="Q260" i="159"/>
  <c r="Q326" i="159"/>
  <c r="Q390" i="159"/>
  <c r="Q298" i="159"/>
  <c r="Q63" i="159"/>
  <c r="Q131" i="159"/>
  <c r="Q195" i="159"/>
  <c r="Q261" i="159"/>
  <c r="Q327" i="159"/>
  <c r="Q391" i="159"/>
  <c r="Q324" i="159"/>
  <c r="Q64" i="159"/>
  <c r="Q132" i="159"/>
  <c r="Q196" i="159"/>
  <c r="Q262" i="159"/>
  <c r="Q328" i="159"/>
  <c r="Q392" i="159"/>
  <c r="Q33" i="159"/>
  <c r="Q176" i="159"/>
  <c r="Q101" i="159"/>
  <c r="Q255" i="159"/>
  <c r="Q401" i="159"/>
  <c r="Q66" i="159"/>
  <c r="Q134" i="159"/>
  <c r="Q198" i="159"/>
  <c r="Q264" i="159"/>
  <c r="Q330" i="159"/>
  <c r="Q394" i="159"/>
  <c r="Q27" i="159"/>
  <c r="Q223" i="159"/>
  <c r="Q113" i="159"/>
  <c r="Q184" i="159"/>
  <c r="Q374" i="159"/>
  <c r="Q243" i="159"/>
  <c r="Q180" i="159"/>
  <c r="Q49" i="159"/>
  <c r="Q248" i="159"/>
  <c r="Q144" i="159"/>
  <c r="Q57" i="159"/>
  <c r="Q213" i="159"/>
  <c r="Q345" i="159"/>
  <c r="Q51" i="159"/>
  <c r="Q119" i="159"/>
  <c r="Q183" i="159"/>
  <c r="Q249" i="159"/>
  <c r="Q315" i="159"/>
  <c r="Q379" i="159"/>
  <c r="Q340" i="159"/>
  <c r="Q69" i="159"/>
  <c r="Q137" i="159"/>
  <c r="Q201" i="159"/>
  <c r="Q267" i="159"/>
  <c r="Q333" i="159"/>
  <c r="Q397" i="159"/>
  <c r="Q348" i="159"/>
  <c r="Q70" i="159"/>
  <c r="Q138" i="159"/>
  <c r="Q202" i="159"/>
  <c r="Q268" i="159"/>
  <c r="Q334" i="159"/>
  <c r="Q398" i="159"/>
  <c r="Q364" i="159"/>
  <c r="Q71" i="159"/>
  <c r="Q139" i="159"/>
  <c r="Q203" i="159"/>
  <c r="Q269" i="159"/>
  <c r="Q335" i="159"/>
  <c r="Q399" i="159"/>
  <c r="Q396" i="159"/>
  <c r="Q72" i="159"/>
  <c r="Q140" i="159"/>
  <c r="Q204" i="159"/>
  <c r="Q270" i="159"/>
  <c r="Q336" i="159"/>
  <c r="Q400" i="159"/>
  <c r="Q65" i="159"/>
  <c r="Q232" i="159"/>
  <c r="Q125" i="159"/>
  <c r="Q271" i="159"/>
  <c r="Q409" i="159"/>
  <c r="Q74" i="159"/>
  <c r="Q142" i="159"/>
  <c r="Q206" i="159"/>
  <c r="Q272" i="159"/>
  <c r="Q338" i="159"/>
  <c r="Q402" i="159"/>
  <c r="Q308" i="159"/>
  <c r="Q48" i="159"/>
  <c r="Q224" i="159"/>
  <c r="Q118" i="159"/>
  <c r="Q200" i="159"/>
  <c r="Q73" i="159"/>
  <c r="Q229" i="159"/>
  <c r="Q361" i="159"/>
  <c r="Q59" i="159"/>
  <c r="Q127" i="159"/>
  <c r="Q191" i="159"/>
  <c r="Q257" i="159"/>
  <c r="Q323" i="159"/>
  <c r="Q387" i="159"/>
  <c r="Q404" i="159"/>
  <c r="Q77" i="159"/>
  <c r="Q145" i="159"/>
  <c r="Q209" i="159"/>
  <c r="Q275" i="159"/>
  <c r="Q341" i="159"/>
  <c r="Q405" i="159"/>
  <c r="Q380" i="159"/>
  <c r="Q78" i="159"/>
  <c r="Q146" i="159"/>
  <c r="Q210" i="159"/>
  <c r="Q276" i="159"/>
  <c r="Q342" i="159"/>
  <c r="Q406" i="159"/>
  <c r="Q15" i="159"/>
  <c r="Q79" i="159"/>
  <c r="Q147" i="159"/>
  <c r="Q211" i="159"/>
  <c r="Q277" i="159"/>
  <c r="Q343" i="159"/>
  <c r="Q407" i="159"/>
  <c r="Q16" i="159"/>
  <c r="Q80" i="159"/>
  <c r="Q148" i="159"/>
  <c r="Q212" i="159"/>
  <c r="Q278" i="159"/>
  <c r="Q344" i="159"/>
  <c r="Q408" i="159"/>
  <c r="Q109" i="159"/>
  <c r="Q282" i="159"/>
  <c r="Q149" i="159"/>
  <c r="Q287" i="159"/>
  <c r="Q18" i="159"/>
  <c r="Q82" i="159"/>
  <c r="Q150" i="159"/>
  <c r="Q214" i="159"/>
  <c r="Q280" i="159"/>
  <c r="Q346" i="159"/>
  <c r="Q410" i="159"/>
  <c r="Q91" i="159"/>
  <c r="Q159" i="159"/>
  <c r="Q355" i="159"/>
  <c r="Q241" i="159"/>
  <c r="Q178" i="159"/>
  <c r="Q179" i="159"/>
  <c r="Q116" i="159"/>
  <c r="Q369" i="159"/>
  <c r="Q258" i="159"/>
  <c r="Q89" i="159"/>
  <c r="Q247" i="159"/>
  <c r="Q377" i="159"/>
  <c r="Q67" i="159"/>
  <c r="Q135" i="159"/>
  <c r="Q199" i="159"/>
  <c r="Q265" i="159"/>
  <c r="Q331" i="159"/>
  <c r="Q395" i="159"/>
  <c r="Q21" i="159"/>
  <c r="Q85" i="159"/>
  <c r="Q153" i="159"/>
  <c r="Q217" i="159"/>
  <c r="Q283" i="159"/>
  <c r="Q349" i="159"/>
  <c r="Q44" i="159"/>
  <c r="Q22" i="159"/>
  <c r="Q86" i="159"/>
  <c r="Q154" i="159"/>
  <c r="Q218" i="159"/>
  <c r="Q284" i="159"/>
  <c r="Q350" i="159"/>
  <c r="Q20" i="159"/>
  <c r="Q23" i="159"/>
  <c r="Q87" i="159"/>
  <c r="Q155" i="159"/>
  <c r="Q219" i="159"/>
  <c r="Q285" i="159"/>
  <c r="Q351" i="159"/>
  <c r="Q28" i="159"/>
  <c r="Q24" i="159"/>
  <c r="Q88" i="159"/>
  <c r="Q156" i="159"/>
  <c r="Q220" i="159"/>
  <c r="Q286" i="159"/>
  <c r="Q352" i="159"/>
  <c r="Q36" i="159"/>
  <c r="Q141" i="159"/>
  <c r="Q332" i="159"/>
  <c r="Q165" i="159"/>
  <c r="Q313" i="159"/>
  <c r="Q26" i="159"/>
  <c r="Q90" i="159"/>
  <c r="Q158" i="159"/>
  <c r="Q222" i="159"/>
  <c r="Q288" i="159"/>
  <c r="Q354" i="159"/>
  <c r="Q157" i="159"/>
  <c r="Q45" i="159"/>
  <c r="Q307" i="159"/>
  <c r="Q114" i="159"/>
  <c r="Q47" i="159"/>
  <c r="Q375" i="159"/>
  <c r="Q310" i="159"/>
  <c r="Q221" i="159"/>
  <c r="Q314" i="159"/>
  <c r="Q306" i="159"/>
  <c r="Q117" i="159"/>
  <c r="Q263" i="159"/>
  <c r="Q393" i="159"/>
  <c r="Q75" i="159"/>
  <c r="Q143" i="159"/>
  <c r="Q207" i="159"/>
  <c r="Q273" i="159"/>
  <c r="Q339" i="159"/>
  <c r="Q403" i="159"/>
  <c r="Q29" i="159"/>
  <c r="Q95" i="159"/>
  <c r="Q161" i="159"/>
  <c r="Q225" i="159"/>
  <c r="Q291" i="159"/>
  <c r="Q357" i="159"/>
  <c r="Q84" i="159"/>
  <c r="Q30" i="159"/>
  <c r="Q98" i="159"/>
  <c r="Q162" i="159"/>
  <c r="Q226" i="159"/>
  <c r="Q292" i="159"/>
  <c r="Q358" i="159"/>
  <c r="Q68" i="159"/>
  <c r="Q31" i="159"/>
  <c r="Q99" i="159"/>
  <c r="Q163" i="159"/>
  <c r="Q227" i="159"/>
  <c r="Q293" i="159"/>
  <c r="Q359" i="159"/>
  <c r="Q92" i="159"/>
  <c r="Q32" i="159"/>
  <c r="Q100" i="159"/>
  <c r="Q164" i="159"/>
  <c r="Q228" i="159"/>
  <c r="Q294" i="159"/>
  <c r="Q360" i="159"/>
  <c r="Q112" i="159"/>
  <c r="Q205" i="159"/>
  <c r="Q372" i="159"/>
  <c r="Q181" i="159"/>
  <c r="Q337" i="159"/>
  <c r="Q34" i="159"/>
  <c r="Q102" i="159"/>
  <c r="Q166" i="159"/>
  <c r="Q230" i="159"/>
  <c r="Q296" i="159"/>
  <c r="Q362" i="159"/>
  <c r="I15" i="159"/>
  <c r="Q295" i="159"/>
  <c r="Q289" i="159"/>
  <c r="Q177" i="159"/>
  <c r="Q46" i="159"/>
  <c r="Q192" i="159"/>
  <c r="Q309" i="159"/>
  <c r="Q244" i="159"/>
  <c r="Q60" i="159"/>
  <c r="Q182" i="159"/>
  <c r="Q356" i="159"/>
  <c r="Q133" i="159"/>
  <c r="Q279" i="159"/>
  <c r="Q19" i="159"/>
  <c r="Q83" i="159"/>
  <c r="Q151" i="159"/>
  <c r="Q215" i="159"/>
  <c r="Q281" i="159"/>
  <c r="Q347" i="159"/>
  <c r="Q76" i="159"/>
  <c r="Q37" i="159"/>
  <c r="Q105" i="159"/>
  <c r="Q169" i="159"/>
  <c r="Q233" i="159"/>
  <c r="Q299" i="159"/>
  <c r="Q365" i="159"/>
  <c r="Q136" i="159"/>
  <c r="Q38" i="159"/>
  <c r="Q106" i="159"/>
  <c r="Q170" i="159"/>
  <c r="Q234" i="159"/>
  <c r="Q300" i="159"/>
  <c r="Q366" i="159"/>
  <c r="Q128" i="159"/>
  <c r="Q39" i="159"/>
  <c r="Q107" i="159"/>
  <c r="Q171" i="159"/>
  <c r="Q235" i="159"/>
  <c r="Q301" i="159"/>
  <c r="Q367" i="159"/>
  <c r="Q160" i="159"/>
  <c r="Q40" i="159"/>
  <c r="Q108" i="159"/>
  <c r="Q172" i="159"/>
  <c r="Q236" i="159"/>
  <c r="Q302" i="159"/>
  <c r="Q368" i="159"/>
  <c r="Q168" i="159"/>
  <c r="Q329" i="159"/>
  <c r="Q25" i="159"/>
  <c r="Q197" i="159"/>
  <c r="Q353" i="159"/>
  <c r="Q42" i="159"/>
  <c r="Q110" i="159"/>
  <c r="Q174" i="159"/>
  <c r="Q238" i="159"/>
  <c r="Q304" i="159"/>
  <c r="Q370" i="159"/>
  <c r="U42" i="159" l="1"/>
  <c r="U25" i="159"/>
  <c r="U40" i="159"/>
  <c r="U39" i="159"/>
  <c r="U38" i="159"/>
  <c r="U37" i="159"/>
  <c r="U76" i="159"/>
  <c r="U83" i="159"/>
  <c r="U19" i="159"/>
  <c r="U60" i="159"/>
  <c r="U46" i="159"/>
  <c r="U34" i="159"/>
  <c r="U32" i="159"/>
  <c r="Q413" i="159"/>
  <c r="Y6" i="159" s="1"/>
  <c r="R95" i="159" s="1"/>
  <c r="U31" i="159"/>
  <c r="U68" i="159"/>
  <c r="U30" i="159"/>
  <c r="U84" i="159"/>
  <c r="U29" i="159"/>
  <c r="U75" i="159"/>
  <c r="U47" i="159"/>
  <c r="U45" i="159"/>
  <c r="U90" i="159"/>
  <c r="U26" i="159"/>
  <c r="U36" i="159"/>
  <c r="U88" i="159"/>
  <c r="U24" i="159"/>
  <c r="U28" i="159"/>
  <c r="U87" i="159"/>
  <c r="U23" i="159"/>
  <c r="U20" i="159"/>
  <c r="U86" i="159"/>
  <c r="U22" i="159"/>
  <c r="U44" i="159"/>
  <c r="U85" i="159"/>
  <c r="U21" i="159"/>
  <c r="U67" i="159"/>
  <c r="U89" i="159"/>
  <c r="U91" i="159"/>
  <c r="U82" i="159"/>
  <c r="U18" i="159"/>
  <c r="U80" i="159"/>
  <c r="U16" i="159"/>
  <c r="U79" i="159"/>
  <c r="U15" i="159"/>
  <c r="U78" i="159"/>
  <c r="U77" i="159"/>
  <c r="U59" i="159"/>
  <c r="U73" i="159"/>
  <c r="U48" i="159"/>
  <c r="U74" i="159"/>
  <c r="U65" i="159"/>
  <c r="U72" i="159"/>
  <c r="U71" i="159"/>
  <c r="U70" i="159"/>
  <c r="U69" i="159"/>
  <c r="U51" i="159"/>
  <c r="U57" i="159"/>
  <c r="U49" i="159"/>
  <c r="U27" i="159"/>
  <c r="U66" i="159"/>
  <c r="U33" i="159"/>
  <c r="U64" i="159"/>
  <c r="U63" i="159"/>
  <c r="U62" i="159"/>
  <c r="U61" i="159"/>
  <c r="U43" i="159"/>
  <c r="U41" i="159"/>
  <c r="U50" i="159"/>
  <c r="U58" i="159"/>
  <c r="U81" i="159"/>
  <c r="U56" i="159"/>
  <c r="U55" i="159"/>
  <c r="U54" i="159"/>
  <c r="U53" i="159"/>
  <c r="U35" i="159"/>
  <c r="U17" i="159"/>
  <c r="U52" i="159"/>
  <c r="I16" i="159"/>
  <c r="R310" i="159" l="1"/>
  <c r="R410" i="159"/>
  <c r="R244" i="159"/>
  <c r="R92" i="159"/>
  <c r="U92" i="159" s="1"/>
  <c r="U94" i="159" s="1"/>
  <c r="U95" i="159" s="1"/>
  <c r="U97" i="159" s="1"/>
  <c r="U176" i="159" s="1"/>
  <c r="U137" i="159"/>
  <c r="U232" i="159"/>
  <c r="U199" i="159"/>
  <c r="U225" i="159"/>
  <c r="U122" i="159"/>
  <c r="U112" i="159"/>
  <c r="U126" i="159"/>
  <c r="U164" i="159"/>
  <c r="U100" i="159"/>
  <c r="U214" i="159"/>
  <c r="U230" i="159"/>
  <c r="U105" i="159"/>
  <c r="U160" i="159"/>
  <c r="U229" i="159"/>
  <c r="U212" i="159"/>
  <c r="U200" i="159"/>
  <c r="U108" i="159"/>
  <c r="U166" i="159"/>
  <c r="U192" i="159"/>
  <c r="U142" i="159"/>
  <c r="U242" i="159"/>
  <c r="U119" i="159"/>
  <c r="U131" i="159"/>
  <c r="U157" i="159"/>
  <c r="U133" i="159"/>
  <c r="U151" i="159"/>
  <c r="U155" i="159"/>
  <c r="U124" i="159"/>
  <c r="U177" i="159"/>
  <c r="U175" i="159"/>
  <c r="U111" i="159"/>
  <c r="U169" i="159"/>
  <c r="U205" i="159"/>
  <c r="U191" i="159"/>
  <c r="U189" i="159"/>
  <c r="U213" i="159"/>
  <c r="U211" i="159"/>
  <c r="I17" i="159"/>
  <c r="U118" i="159" l="1"/>
  <c r="U195" i="159"/>
  <c r="U179" i="159"/>
  <c r="U224" i="159"/>
  <c r="U167" i="159"/>
  <c r="U145" i="159"/>
  <c r="U139" i="159"/>
  <c r="U107" i="159"/>
  <c r="U101" i="159"/>
  <c r="U220" i="159"/>
  <c r="U134" i="159"/>
  <c r="U180" i="159"/>
  <c r="U140" i="159"/>
  <c r="U150" i="159"/>
  <c r="U152" i="159"/>
  <c r="U116" i="159"/>
  <c r="U154" i="159"/>
  <c r="U161" i="159"/>
  <c r="U121" i="159"/>
  <c r="U207" i="159"/>
  <c r="U102" i="159"/>
  <c r="U173" i="159"/>
  <c r="U196" i="159"/>
  <c r="U236" i="159"/>
  <c r="U113" i="159"/>
  <c r="U135" i="159"/>
  <c r="U222" i="159"/>
  <c r="U178" i="159"/>
  <c r="U162" i="159"/>
  <c r="U243" i="159"/>
  <c r="U120" i="159"/>
  <c r="U208" i="159"/>
  <c r="U188" i="159"/>
  <c r="U174" i="159"/>
  <c r="U138" i="159"/>
  <c r="U235" i="159"/>
  <c r="U123" i="159"/>
  <c r="R413" i="159"/>
  <c r="U219" i="159"/>
  <c r="U197" i="159"/>
  <c r="U226" i="159"/>
  <c r="U99" i="159"/>
  <c r="U163" i="159"/>
  <c r="U109" i="159"/>
  <c r="U129" i="159"/>
  <c r="U141" i="159"/>
  <c r="U244" i="159"/>
  <c r="U246" i="159" s="1"/>
  <c r="U283" i="159" s="1"/>
  <c r="U227" i="159"/>
  <c r="U190" i="159"/>
  <c r="U132" i="159"/>
  <c r="U204" i="159"/>
  <c r="U156" i="159"/>
  <c r="U170" i="159"/>
  <c r="U239" i="159"/>
  <c r="U231" i="159"/>
  <c r="U194" i="159"/>
  <c r="U209" i="159"/>
  <c r="U187" i="159"/>
  <c r="U206" i="159"/>
  <c r="U117" i="159"/>
  <c r="U201" i="159"/>
  <c r="U147" i="159"/>
  <c r="U240" i="159"/>
  <c r="U228" i="159"/>
  <c r="U125" i="159"/>
  <c r="U182" i="159"/>
  <c r="U114" i="159"/>
  <c r="U234" i="159"/>
  <c r="U184" i="159"/>
  <c r="U110" i="159"/>
  <c r="U198" i="159"/>
  <c r="U98" i="159"/>
  <c r="U237" i="159"/>
  <c r="U172" i="159"/>
  <c r="U215" i="159"/>
  <c r="U193" i="159"/>
  <c r="U217" i="159"/>
  <c r="U181" i="159"/>
  <c r="U159" i="159"/>
  <c r="U185" i="159"/>
  <c r="U238" i="159"/>
  <c r="U115" i="159"/>
  <c r="U216" i="159"/>
  <c r="U210" i="159"/>
  <c r="U223" i="159"/>
  <c r="U202" i="159"/>
  <c r="U218" i="159"/>
  <c r="U241" i="159"/>
  <c r="U130" i="159"/>
  <c r="U203" i="159"/>
  <c r="U158" i="159"/>
  <c r="U165" i="159"/>
  <c r="U221" i="159"/>
  <c r="U183" i="159"/>
  <c r="U103" i="159"/>
  <c r="U171" i="159"/>
  <c r="U149" i="159"/>
  <c r="U143" i="159"/>
  <c r="U136" i="159"/>
  <c r="U153" i="159"/>
  <c r="U233" i="159"/>
  <c r="U168" i="159"/>
  <c r="U186" i="159"/>
  <c r="U144" i="159"/>
  <c r="U148" i="159"/>
  <c r="U146" i="159"/>
  <c r="U128" i="159"/>
  <c r="U104" i="159"/>
  <c r="U106" i="159"/>
  <c r="U127" i="159"/>
  <c r="I18" i="159"/>
  <c r="U291" i="159" l="1"/>
  <c r="U259" i="159"/>
  <c r="U276" i="159"/>
  <c r="U281" i="159"/>
  <c r="U261" i="159"/>
  <c r="U269" i="159"/>
  <c r="U290" i="159"/>
  <c r="U305" i="159"/>
  <c r="U296" i="159"/>
  <c r="U253" i="159"/>
  <c r="U263" i="159"/>
  <c r="U295" i="159"/>
  <c r="U292" i="159"/>
  <c r="U248" i="159"/>
  <c r="U288" i="159"/>
  <c r="U270" i="159"/>
  <c r="U282" i="159"/>
  <c r="U272" i="159"/>
  <c r="U306" i="159"/>
  <c r="U254" i="159"/>
  <c r="U297" i="159"/>
  <c r="U256" i="159"/>
  <c r="U284" i="159"/>
  <c r="U264" i="159"/>
  <c r="U285" i="159"/>
  <c r="U287" i="159"/>
  <c r="U279" i="159"/>
  <c r="U293" i="159"/>
  <c r="U300" i="159"/>
  <c r="U251" i="159"/>
  <c r="U250" i="159"/>
  <c r="U267" i="159"/>
  <c r="U302" i="159"/>
  <c r="U275" i="159"/>
  <c r="U268" i="159"/>
  <c r="U299" i="159"/>
  <c r="U280" i="159"/>
  <c r="U252" i="159"/>
  <c r="U307" i="159"/>
  <c r="U310" i="159"/>
  <c r="U312" i="159" s="1"/>
  <c r="U343" i="159" s="1"/>
  <c r="U309" i="159"/>
  <c r="U249" i="159"/>
  <c r="U278" i="159"/>
  <c r="U289" i="159"/>
  <c r="U308" i="159"/>
  <c r="U277" i="159"/>
  <c r="U257" i="159"/>
  <c r="U265" i="159"/>
  <c r="U273" i="159"/>
  <c r="U260" i="159"/>
  <c r="U255" i="159"/>
  <c r="U258" i="159"/>
  <c r="U298" i="159"/>
  <c r="U262" i="159"/>
  <c r="U303" i="159"/>
  <c r="U274" i="159"/>
  <c r="U266" i="159"/>
  <c r="U294" i="159"/>
  <c r="U286" i="159"/>
  <c r="U301" i="159"/>
  <c r="U304" i="159"/>
  <c r="U271" i="159"/>
  <c r="U247" i="159"/>
  <c r="U323" i="159"/>
  <c r="U374" i="159"/>
  <c r="U352" i="159"/>
  <c r="U353" i="159"/>
  <c r="U387" i="159"/>
  <c r="U399" i="159"/>
  <c r="U367" i="159"/>
  <c r="U385" i="159"/>
  <c r="U355" i="159"/>
  <c r="U359" i="159"/>
  <c r="U388" i="159"/>
  <c r="U332" i="159"/>
  <c r="U338" i="159"/>
  <c r="U334" i="159"/>
  <c r="U361" i="159"/>
  <c r="U363" i="159"/>
  <c r="U325" i="159"/>
  <c r="U327" i="159"/>
  <c r="U402" i="159"/>
  <c r="U397" i="159"/>
  <c r="U333" i="159"/>
  <c r="U376" i="159"/>
  <c r="U320" i="159"/>
  <c r="U368" i="159"/>
  <c r="U369" i="159"/>
  <c r="U339" i="159"/>
  <c r="U379" i="159"/>
  <c r="U351" i="159"/>
  <c r="U403" i="159"/>
  <c r="U380" i="159"/>
  <c r="U315" i="159"/>
  <c r="U398" i="159"/>
  <c r="U346" i="159"/>
  <c r="U408" i="159"/>
  <c r="U342" i="159"/>
  <c r="U392" i="159"/>
  <c r="U345" i="159"/>
  <c r="U322" i="159"/>
  <c r="U318" i="159"/>
  <c r="U328" i="159"/>
  <c r="U340" i="159"/>
  <c r="U390" i="159"/>
  <c r="U335" i="159"/>
  <c r="U404" i="159"/>
  <c r="U364" i="159"/>
  <c r="U358" i="159"/>
  <c r="U405" i="159"/>
  <c r="U336" i="159"/>
  <c r="U329" i="159"/>
  <c r="U406" i="159"/>
  <c r="U354" i="159"/>
  <c r="U377" i="159"/>
  <c r="U395" i="159"/>
  <c r="U348" i="159"/>
  <c r="U373" i="159"/>
  <c r="U366" i="159"/>
  <c r="U394" i="159"/>
  <c r="U324" i="159"/>
  <c r="U319" i="159"/>
  <c r="U337" i="159"/>
  <c r="U407" i="159"/>
  <c r="U326" i="159"/>
  <c r="U360" i="159"/>
  <c r="U372" i="159"/>
  <c r="U349" i="159"/>
  <c r="U321" i="159"/>
  <c r="U409" i="159"/>
  <c r="U378" i="159"/>
  <c r="U370" i="159"/>
  <c r="U381" i="159"/>
  <c r="U330" i="159"/>
  <c r="U383" i="159"/>
  <c r="U357" i="159"/>
  <c r="U410" i="159"/>
  <c r="U344" i="159"/>
  <c r="U314" i="159"/>
  <c r="U331" i="159"/>
  <c r="U317" i="159"/>
  <c r="U341" i="159"/>
  <c r="U393" i="159"/>
  <c r="U362" i="159"/>
  <c r="U396" i="159"/>
  <c r="U365" i="159"/>
  <c r="U371" i="159"/>
  <c r="U350" i="159"/>
  <c r="U384" i="159"/>
  <c r="U401" i="159"/>
  <c r="U386" i="159"/>
  <c r="U356" i="159"/>
  <c r="U389" i="159"/>
  <c r="U382" i="159"/>
  <c r="U375" i="159"/>
  <c r="U391" i="159"/>
  <c r="U313" i="159"/>
  <c r="U347" i="159"/>
  <c r="U400" i="159"/>
  <c r="U316" i="159"/>
  <c r="I19" i="159"/>
  <c r="I20" i="159"/>
  <c r="I21" i="159"/>
  <c r="I22" i="159" l="1"/>
  <c r="I23" i="159" l="1"/>
  <c r="I24" i="159" l="1"/>
  <c r="I25" i="159" l="1"/>
  <c r="I26" i="159" l="1"/>
  <c r="I27" i="159" l="1"/>
  <c r="I28" i="159" l="1"/>
  <c r="I29" i="159" l="1"/>
  <c r="I30" i="159" l="1"/>
  <c r="I31" i="159" l="1"/>
  <c r="I32" i="159" l="1"/>
  <c r="I33" i="159" l="1"/>
  <c r="I34" i="159" l="1"/>
  <c r="I35" i="159"/>
  <c r="I36" i="159"/>
  <c r="I37" i="159"/>
  <c r="I38" i="159"/>
  <c r="I39" i="159"/>
  <c r="I40" i="159"/>
  <c r="I41" i="159"/>
  <c r="I42" i="159"/>
  <c r="I43" i="159"/>
  <c r="I44" i="159"/>
  <c r="I45" i="159"/>
  <c r="I46" i="159"/>
  <c r="I47" i="159"/>
  <c r="I48" i="159"/>
  <c r="I49" i="159"/>
  <c r="I50" i="159"/>
  <c r="I51" i="159"/>
  <c r="I52" i="159"/>
  <c r="I53" i="159"/>
  <c r="I54" i="159"/>
  <c r="I55" i="159"/>
  <c r="I56" i="159"/>
  <c r="I57" i="159"/>
  <c r="I58" i="159"/>
  <c r="I59" i="159"/>
  <c r="I60" i="159"/>
  <c r="I61" i="159"/>
  <c r="I62" i="159"/>
  <c r="I63" i="159"/>
  <c r="I64" i="159"/>
  <c r="I65" i="159"/>
  <c r="I66" i="159"/>
  <c r="I67" i="159"/>
  <c r="I68" i="159"/>
  <c r="I69" i="159"/>
  <c r="I70" i="159"/>
  <c r="I71" i="159"/>
  <c r="I72" i="159"/>
  <c r="I73" i="159"/>
  <c r="I74" i="159"/>
  <c r="I75" i="159"/>
  <c r="I76" i="159"/>
  <c r="I77" i="159"/>
  <c r="I78" i="159"/>
  <c r="I79" i="159"/>
  <c r="I80" i="159"/>
  <c r="I81" i="159"/>
  <c r="I82" i="159"/>
  <c r="I83" i="159"/>
  <c r="I84" i="159"/>
  <c r="I85" i="159"/>
  <c r="I86" i="159"/>
  <c r="I87" i="159"/>
  <c r="I88" i="159"/>
  <c r="I89" i="159"/>
  <c r="I90" i="159"/>
  <c r="I91" i="159"/>
  <c r="I92" i="159"/>
  <c r="I94" i="159"/>
  <c r="I95" i="159"/>
  <c r="I97" i="159"/>
  <c r="I98" i="159"/>
  <c r="I99" i="159"/>
  <c r="I100" i="159"/>
  <c r="I101" i="159"/>
  <c r="I102" i="159"/>
  <c r="I103" i="159"/>
  <c r="I104" i="159"/>
  <c r="I105" i="159"/>
  <c r="I106" i="159"/>
  <c r="I107" i="159"/>
  <c r="I108" i="159"/>
  <c r="I109" i="159"/>
  <c r="I110" i="159"/>
  <c r="I111" i="159"/>
  <c r="I112" i="159"/>
  <c r="I113" i="159"/>
  <c r="I114" i="159"/>
  <c r="I115" i="159"/>
  <c r="I116" i="159"/>
  <c r="I117" i="159"/>
  <c r="I118" i="159"/>
  <c r="I119" i="159"/>
  <c r="I120" i="159"/>
  <c r="I121" i="159"/>
  <c r="I122" i="159"/>
  <c r="I123" i="159"/>
  <c r="I124" i="159"/>
  <c r="I125" i="159"/>
  <c r="I126" i="159"/>
  <c r="I127" i="159"/>
  <c r="I128" i="159"/>
  <c r="I129" i="159"/>
  <c r="I130" i="159"/>
  <c r="I131" i="159"/>
  <c r="I132" i="159"/>
  <c r="I133" i="159"/>
  <c r="I134" i="159"/>
  <c r="I135" i="159"/>
  <c r="I136" i="159"/>
  <c r="I137" i="159"/>
  <c r="I138" i="159"/>
  <c r="I139" i="159"/>
  <c r="I140" i="159"/>
  <c r="I141" i="159"/>
  <c r="I142" i="159"/>
  <c r="I143" i="159"/>
  <c r="I144" i="159"/>
  <c r="I145" i="159"/>
  <c r="I146" i="159"/>
  <c r="I147" i="159"/>
  <c r="I148" i="159"/>
  <c r="I149" i="159"/>
  <c r="I150" i="159"/>
  <c r="I151" i="159"/>
  <c r="I152" i="159"/>
  <c r="I153" i="159"/>
  <c r="I154" i="159"/>
  <c r="I155" i="159"/>
  <c r="I156" i="159"/>
  <c r="I157" i="159"/>
  <c r="I158" i="159"/>
  <c r="I159" i="159"/>
  <c r="I160" i="159"/>
  <c r="I161" i="159"/>
  <c r="I162" i="159"/>
  <c r="I163" i="159"/>
  <c r="I164" i="159"/>
  <c r="I165" i="159"/>
  <c r="I166" i="159"/>
  <c r="I167" i="159"/>
  <c r="I168" i="159"/>
  <c r="I169" i="159"/>
  <c r="I170" i="159"/>
  <c r="I171" i="159"/>
  <c r="I172" i="159"/>
  <c r="I173" i="159"/>
  <c r="I174" i="159"/>
  <c r="I175" i="159"/>
  <c r="I176" i="159"/>
  <c r="I177" i="159"/>
  <c r="I178" i="159"/>
  <c r="I179" i="159"/>
  <c r="I180" i="159"/>
  <c r="I181" i="159"/>
  <c r="I182" i="159"/>
  <c r="I183" i="159"/>
  <c r="I184" i="159"/>
  <c r="I185" i="159"/>
  <c r="I186" i="159"/>
  <c r="I187" i="159"/>
  <c r="I188" i="159"/>
  <c r="I189" i="159"/>
  <c r="I190" i="159"/>
  <c r="I191" i="159"/>
  <c r="I192" i="159"/>
  <c r="I193" i="159"/>
  <c r="I194" i="159"/>
  <c r="I195" i="159"/>
  <c r="I196" i="159"/>
  <c r="I197" i="159"/>
  <c r="I198" i="159"/>
  <c r="I199" i="159"/>
  <c r="I200" i="159"/>
  <c r="I201" i="159"/>
  <c r="I202" i="159"/>
  <c r="I203" i="159"/>
  <c r="I204" i="159"/>
  <c r="I205" i="159"/>
  <c r="I206" i="159"/>
  <c r="I207" i="159"/>
  <c r="I208" i="159"/>
  <c r="I209" i="159"/>
  <c r="I210" i="159"/>
  <c r="I211" i="159"/>
  <c r="I212" i="159"/>
  <c r="I213" i="159"/>
  <c r="I214" i="159"/>
  <c r="I215" i="159"/>
  <c r="I216" i="159"/>
  <c r="I217" i="159"/>
  <c r="I218" i="159"/>
  <c r="I219" i="159"/>
  <c r="I220" i="159"/>
  <c r="I221" i="159"/>
  <c r="I222" i="159"/>
  <c r="I223" i="159"/>
  <c r="I224" i="159"/>
  <c r="I225" i="159"/>
  <c r="I226" i="159"/>
  <c r="I227" i="159"/>
  <c r="I228" i="159"/>
  <c r="I229" i="159"/>
  <c r="I230" i="159"/>
  <c r="I231" i="159"/>
  <c r="I232" i="159"/>
  <c r="I233" i="159"/>
  <c r="I234" i="159"/>
  <c r="I235" i="159"/>
  <c r="I236" i="159"/>
  <c r="I237" i="159"/>
  <c r="I238" i="159"/>
  <c r="I239" i="159"/>
  <c r="I240" i="159"/>
  <c r="I241" i="159"/>
  <c r="I242" i="159"/>
  <c r="I243" i="159"/>
  <c r="I244" i="159"/>
  <c r="I246" i="159"/>
  <c r="I247" i="159"/>
  <c r="I248" i="159"/>
  <c r="I249" i="159"/>
  <c r="I250" i="159"/>
  <c r="I251" i="159"/>
  <c r="I252" i="159"/>
  <c r="I253" i="159"/>
  <c r="I254" i="159"/>
  <c r="I255" i="159"/>
  <c r="I256" i="159"/>
  <c r="I257" i="159"/>
  <c r="I258" i="159"/>
  <c r="I259" i="159"/>
  <c r="I260" i="159"/>
  <c r="I261" i="159"/>
  <c r="I262" i="159"/>
  <c r="I263" i="159"/>
  <c r="I264" i="159"/>
  <c r="I265" i="159"/>
  <c r="I266" i="159"/>
  <c r="I267" i="159"/>
  <c r="I268" i="159"/>
  <c r="I269" i="159"/>
  <c r="I270" i="159"/>
  <c r="I271" i="159"/>
  <c r="I272" i="159"/>
  <c r="I273" i="159"/>
  <c r="I274" i="159"/>
  <c r="I275" i="159"/>
  <c r="I276" i="159"/>
  <c r="I277" i="159"/>
  <c r="I278" i="159"/>
  <c r="I279" i="159"/>
  <c r="I280" i="159"/>
  <c r="I281" i="159"/>
  <c r="I282" i="159"/>
  <c r="I283" i="159"/>
  <c r="I284" i="159"/>
  <c r="I285" i="159"/>
  <c r="I286" i="159"/>
  <c r="I287" i="159"/>
  <c r="I288" i="159"/>
  <c r="I289" i="159"/>
  <c r="I290" i="159"/>
  <c r="I291" i="159"/>
  <c r="I292" i="159"/>
  <c r="I293" i="159"/>
  <c r="I294" i="159"/>
  <c r="I295" i="159"/>
  <c r="I296" i="159"/>
  <c r="I297" i="159"/>
  <c r="I298" i="159"/>
  <c r="I299" i="159"/>
  <c r="I300" i="159"/>
  <c r="I301" i="159"/>
  <c r="I302" i="159"/>
  <c r="I303" i="159"/>
  <c r="I304" i="159"/>
  <c r="I305" i="159"/>
  <c r="I306" i="159"/>
  <c r="I307" i="159"/>
  <c r="I308" i="159"/>
  <c r="I309" i="159"/>
  <c r="I310" i="159"/>
  <c r="I312" i="159"/>
  <c r="I313" i="159"/>
  <c r="I314" i="159"/>
  <c r="I315" i="159"/>
  <c r="I316" i="159"/>
  <c r="I317" i="159"/>
  <c r="I318" i="159"/>
  <c r="I319" i="159"/>
  <c r="I320" i="159"/>
  <c r="I321" i="159"/>
  <c r="I322" i="159"/>
  <c r="I323" i="159"/>
  <c r="I324" i="159"/>
  <c r="I325" i="159"/>
  <c r="I326" i="159"/>
  <c r="I327" i="159"/>
  <c r="I328" i="159"/>
  <c r="I329" i="159"/>
  <c r="I330" i="159"/>
  <c r="I331" i="159"/>
  <c r="I332" i="159"/>
  <c r="I333" i="159"/>
  <c r="I334" i="159"/>
  <c r="I335" i="159"/>
  <c r="I336" i="159"/>
  <c r="I337" i="159"/>
  <c r="I338" i="159"/>
  <c r="I339" i="159"/>
  <c r="I340" i="159"/>
  <c r="I341" i="159"/>
  <c r="I342" i="159"/>
  <c r="I343" i="159"/>
  <c r="I344" i="159"/>
  <c r="I345" i="159"/>
  <c r="I346" i="159"/>
  <c r="I347" i="159"/>
  <c r="I348" i="159"/>
  <c r="I349" i="159"/>
  <c r="I350" i="159"/>
  <c r="I351" i="159"/>
  <c r="I352" i="159"/>
  <c r="I353" i="159"/>
  <c r="I354" i="159"/>
  <c r="I355" i="159"/>
  <c r="I356" i="159"/>
  <c r="I357" i="159"/>
  <c r="I358" i="159"/>
  <c r="I359" i="159"/>
  <c r="I360" i="159"/>
  <c r="I361" i="159"/>
  <c r="I362" i="159"/>
  <c r="I363" i="159"/>
  <c r="I364" i="159"/>
  <c r="I365" i="159"/>
  <c r="I366" i="159"/>
  <c r="I367" i="159"/>
  <c r="I368" i="159"/>
  <c r="I369" i="159"/>
  <c r="I370" i="159"/>
  <c r="I371" i="159"/>
  <c r="I372" i="159"/>
  <c r="I373" i="159"/>
  <c r="I374" i="159"/>
  <c r="I375" i="159"/>
  <c r="I376" i="159"/>
  <c r="I377" i="159"/>
  <c r="I378" i="159"/>
  <c r="I379" i="159"/>
  <c r="I380" i="159"/>
  <c r="I381" i="159"/>
  <c r="I382" i="159"/>
  <c r="I383" i="159"/>
  <c r="I384" i="159"/>
  <c r="I385" i="159"/>
  <c r="I386" i="159"/>
  <c r="I387" i="159"/>
  <c r="I388" i="159"/>
  <c r="I389" i="159"/>
  <c r="I390" i="159"/>
  <c r="I391" i="159"/>
  <c r="I392" i="159"/>
  <c r="I393" i="159"/>
  <c r="I394" i="159"/>
  <c r="I395" i="159"/>
  <c r="I396" i="159"/>
  <c r="I397" i="159"/>
  <c r="I398" i="159"/>
  <c r="I399" i="159"/>
  <c r="I400" i="159"/>
  <c r="I401" i="159"/>
  <c r="I402" i="159"/>
  <c r="I403" i="159"/>
  <c r="I404" i="159"/>
  <c r="I405" i="159"/>
  <c r="I406" i="159"/>
  <c r="I407" i="159"/>
  <c r="I408" i="159"/>
  <c r="I409" i="159"/>
  <c r="I410" i="159"/>
  <c r="C415" i="159"/>
  <c r="C416" i="159" l="1"/>
  <c r="C418" i="159"/>
  <c r="H152" i="159" l="1"/>
  <c r="H153" i="159"/>
  <c r="H236" i="159"/>
  <c r="H55" i="159"/>
  <c r="H140" i="159"/>
  <c r="H56" i="159"/>
  <c r="H39" i="159"/>
  <c r="H174" i="159"/>
  <c r="H169" i="159"/>
  <c r="H73" i="159"/>
  <c r="H238" i="159"/>
  <c r="H176" i="159"/>
  <c r="H341" i="159"/>
  <c r="H240" i="159"/>
  <c r="H406" i="159"/>
  <c r="H352" i="159"/>
  <c r="H237" i="159"/>
  <c r="H186" i="159"/>
  <c r="H45" i="159"/>
  <c r="H187" i="159"/>
  <c r="H177" i="159"/>
  <c r="H196" i="159"/>
  <c r="H128" i="159"/>
  <c r="H241" i="159"/>
  <c r="H409" i="159"/>
  <c r="H359" i="159"/>
  <c r="H389" i="159"/>
  <c r="H299" i="159"/>
  <c r="H211" i="159"/>
  <c r="H202" i="159"/>
  <c r="H242" i="159"/>
  <c r="H335" i="159"/>
  <c r="H133" i="159"/>
  <c r="H377" i="159"/>
  <c r="H118" i="159"/>
  <c r="H228" i="159"/>
  <c r="H216" i="159"/>
  <c r="H87" i="159"/>
  <c r="H139" i="159"/>
  <c r="H248" i="159"/>
  <c r="H398" i="159"/>
  <c r="H92" i="159"/>
  <c r="H328" i="159"/>
  <c r="H316" i="159"/>
  <c r="H68" i="159"/>
  <c r="H67" i="159"/>
  <c r="H346" i="159"/>
  <c r="H329" i="159"/>
  <c r="H379" i="159"/>
  <c r="H394" i="159"/>
  <c r="H267" i="159"/>
  <c r="H254" i="159"/>
  <c r="H272" i="159"/>
  <c r="H27" i="159"/>
  <c r="H125" i="159"/>
  <c r="H108" i="159"/>
  <c r="H43" i="159"/>
  <c r="H58" i="159"/>
  <c r="H337" i="159"/>
  <c r="H111" i="159"/>
  <c r="H307" i="159"/>
  <c r="H224" i="159"/>
  <c r="H358" i="159"/>
  <c r="H336" i="159"/>
  <c r="H221" i="159"/>
  <c r="H126" i="159"/>
  <c r="H274" i="159"/>
  <c r="H122" i="159"/>
  <c r="H324" i="159"/>
  <c r="H30" i="159"/>
  <c r="H305" i="159"/>
  <c r="H388" i="159"/>
  <c r="H162" i="159"/>
  <c r="H166" i="159"/>
  <c r="H137" i="159"/>
  <c r="H308" i="159"/>
  <c r="H195" i="159"/>
  <c r="H54" i="159"/>
  <c r="H397" i="159"/>
  <c r="H60" i="159"/>
  <c r="H117" i="159"/>
  <c r="H183" i="159"/>
  <c r="H154" i="159"/>
  <c r="H200" i="159"/>
  <c r="H170" i="159"/>
  <c r="H244" i="159"/>
  <c r="H232" i="159"/>
  <c r="H231" i="159"/>
  <c r="H285" i="159"/>
  <c r="H264" i="159"/>
  <c r="H247" i="159"/>
  <c r="H29" i="159"/>
  <c r="H344" i="159"/>
  <c r="H332" i="159"/>
  <c r="H331" i="159"/>
  <c r="H83" i="159"/>
  <c r="H82" i="159"/>
  <c r="H136" i="159"/>
  <c r="H135" i="159"/>
  <c r="H218" i="159"/>
  <c r="H286" i="159"/>
  <c r="H235" i="159"/>
  <c r="H175" i="159"/>
  <c r="H192" i="159"/>
  <c r="H271" i="159"/>
  <c r="H53" i="159"/>
  <c r="H57" i="159"/>
  <c r="H222" i="159"/>
  <c r="H160" i="159"/>
  <c r="H270" i="159"/>
  <c r="H121" i="159"/>
  <c r="H320" i="159"/>
  <c r="H205" i="159"/>
  <c r="H110" i="159"/>
  <c r="H386" i="159"/>
  <c r="H28" i="159"/>
  <c r="H16" i="159"/>
  <c r="H161" i="159"/>
  <c r="H116" i="159"/>
  <c r="H76" i="159"/>
  <c r="H225" i="159"/>
  <c r="H115" i="159"/>
  <c r="H226" i="159"/>
  <c r="H113" i="159"/>
  <c r="H21" i="159"/>
  <c r="H283" i="159"/>
  <c r="H217" i="159"/>
  <c r="H85" i="159"/>
  <c r="H261" i="159"/>
  <c r="H167" i="159"/>
  <c r="H365" i="159"/>
  <c r="H184" i="159"/>
  <c r="H130" i="159"/>
  <c r="H165" i="159"/>
  <c r="H300" i="159"/>
  <c r="H112" i="159"/>
  <c r="H203" i="159"/>
  <c r="H249" i="159"/>
  <c r="H50" i="159"/>
  <c r="H171" i="159"/>
  <c r="H263" i="159"/>
  <c r="H17" i="159"/>
  <c r="H100" i="159"/>
  <c r="H84" i="159"/>
  <c r="H347" i="159"/>
  <c r="H362" i="159"/>
  <c r="H396" i="159"/>
  <c r="H395" i="159"/>
  <c r="H156" i="159"/>
  <c r="H70" i="159"/>
  <c r="H304" i="159"/>
  <c r="H384" i="159"/>
  <c r="H72" i="159"/>
  <c r="H325" i="159"/>
  <c r="H319" i="159"/>
  <c r="H321" i="159"/>
  <c r="H91" i="159"/>
  <c r="H291" i="159"/>
  <c r="H141" i="159"/>
  <c r="H302" i="159"/>
  <c r="H189" i="159"/>
  <c r="H90" i="159"/>
  <c r="H370" i="159"/>
  <c r="H371" i="159"/>
  <c r="H349" i="159"/>
  <c r="H306" i="159"/>
  <c r="H44" i="159"/>
  <c r="H289" i="159"/>
  <c r="H372" i="159"/>
  <c r="H98" i="159"/>
  <c r="H345" i="159"/>
  <c r="H327" i="159"/>
  <c r="H373" i="159"/>
  <c r="H145" i="159"/>
  <c r="H408" i="159"/>
  <c r="H410" i="159"/>
  <c r="H243" i="159"/>
  <c r="H107" i="159"/>
  <c r="H61" i="159"/>
  <c r="H62" i="159"/>
  <c r="H114" i="159"/>
  <c r="H390" i="159"/>
  <c r="H37" i="159"/>
  <c r="H181" i="159"/>
  <c r="H262" i="159"/>
  <c r="H250" i="159"/>
  <c r="H35" i="159"/>
  <c r="H265" i="159"/>
  <c r="H280" i="159"/>
  <c r="H253" i="159"/>
  <c r="H279" i="159"/>
  <c r="H360" i="159"/>
  <c r="H348" i="159"/>
  <c r="H104" i="159"/>
  <c r="H103" i="159"/>
  <c r="H164" i="159"/>
  <c r="H172" i="159"/>
  <c r="H233" i="159"/>
  <c r="H399" i="159"/>
  <c r="H387" i="159"/>
  <c r="H157" i="159"/>
  <c r="H124" i="159"/>
  <c r="H41" i="159"/>
  <c r="H206" i="159"/>
  <c r="H23" i="159"/>
  <c r="H109" i="159"/>
  <c r="H401" i="159"/>
  <c r="H173" i="159"/>
  <c r="H269" i="159"/>
  <c r="H354" i="159"/>
  <c r="H355" i="159"/>
  <c r="H138" i="159"/>
  <c r="H309" i="159"/>
  <c r="H77" i="159"/>
  <c r="H80" i="159"/>
  <c r="H351" i="159"/>
  <c r="H209" i="159"/>
  <c r="H149" i="159"/>
  <c r="H163" i="159"/>
  <c r="H182" i="159"/>
  <c r="H292" i="159"/>
  <c r="H405" i="159"/>
  <c r="H378" i="159"/>
  <c r="H123" i="159"/>
  <c r="H318" i="159"/>
  <c r="H81" i="159"/>
  <c r="H276" i="159"/>
  <c r="H326" i="159"/>
  <c r="H374" i="159"/>
  <c r="H147" i="159"/>
  <c r="H198" i="159"/>
  <c r="H201" i="159"/>
  <c r="H155" i="159"/>
  <c r="H278" i="159"/>
  <c r="H266" i="159"/>
  <c r="H20" i="159"/>
  <c r="H102" i="159"/>
  <c r="H296" i="159"/>
  <c r="H18" i="159"/>
  <c r="H33" i="159"/>
  <c r="H376" i="159"/>
  <c r="H364" i="159"/>
  <c r="H363" i="159"/>
  <c r="H69" i="159"/>
  <c r="H188" i="159"/>
  <c r="H142" i="159"/>
  <c r="H402" i="159"/>
  <c r="H40" i="159"/>
  <c r="H284" i="159"/>
  <c r="H385" i="159"/>
  <c r="H303" i="159"/>
  <c r="H75" i="159"/>
  <c r="H275" i="159"/>
  <c r="H369" i="159"/>
  <c r="H288" i="159"/>
  <c r="H234" i="159"/>
  <c r="H338" i="159"/>
  <c r="H239" i="159"/>
  <c r="H38" i="159"/>
  <c r="H47" i="159"/>
  <c r="H223" i="159"/>
  <c r="H301" i="159"/>
  <c r="H273" i="159"/>
  <c r="H356" i="159"/>
  <c r="H78" i="159"/>
  <c r="H339" i="159"/>
  <c r="H393" i="159"/>
  <c r="H95" i="159"/>
  <c r="H375" i="159"/>
  <c r="H342" i="159"/>
  <c r="H350" i="159"/>
  <c r="H210" i="159"/>
  <c r="H86" i="159"/>
  <c r="H151" i="159"/>
  <c r="H31" i="159"/>
  <c r="H79" i="159"/>
  <c r="H131" i="159"/>
  <c r="H407" i="159"/>
  <c r="H22" i="159"/>
  <c r="H214" i="159"/>
  <c r="H197" i="159"/>
  <c r="H383" i="159"/>
  <c r="H294" i="159"/>
  <c r="H282" i="159"/>
  <c r="H281" i="159"/>
  <c r="H19" i="159"/>
  <c r="H314" i="159"/>
  <c r="H295" i="159"/>
  <c r="H49" i="159"/>
  <c r="H132" i="159"/>
  <c r="H120" i="159"/>
  <c r="H101" i="159"/>
  <c r="H204" i="159"/>
  <c r="H334" i="159"/>
  <c r="H24" i="159"/>
  <c r="H400" i="159"/>
  <c r="H88" i="159"/>
  <c r="H25" i="159"/>
  <c r="H190" i="159"/>
  <c r="H333" i="159"/>
  <c r="H89" i="159"/>
  <c r="H256" i="159"/>
  <c r="H159" i="159"/>
  <c r="H322" i="159"/>
  <c r="H207" i="159"/>
  <c r="H381" i="159"/>
  <c r="H367" i="159"/>
  <c r="H63" i="159"/>
  <c r="H382" i="159"/>
  <c r="H32" i="159"/>
  <c r="H219" i="159"/>
  <c r="H193" i="159"/>
  <c r="H212" i="159"/>
  <c r="H144" i="159"/>
  <c r="H146" i="159"/>
  <c r="H357" i="159"/>
  <c r="H168" i="159"/>
  <c r="H185" i="159"/>
  <c r="H194" i="159"/>
  <c r="H71" i="159"/>
  <c r="H251" i="159"/>
  <c r="H15" i="159"/>
  <c r="H293" i="159"/>
  <c r="H343" i="159"/>
  <c r="H391" i="159"/>
  <c r="H180" i="159"/>
  <c r="H199" i="159"/>
  <c r="H252" i="159"/>
  <c r="H317" i="159"/>
  <c r="H213" i="159"/>
  <c r="H42" i="159"/>
  <c r="H48" i="159"/>
  <c r="H36" i="159"/>
  <c r="H297" i="159"/>
  <c r="H51" i="159"/>
  <c r="H34" i="159"/>
  <c r="H313" i="159"/>
  <c r="H392" i="159"/>
  <c r="H380" i="159"/>
  <c r="H361" i="159"/>
  <c r="H259" i="159"/>
  <c r="H99" i="159"/>
  <c r="H260" i="159"/>
  <c r="H64" i="159"/>
  <c r="H310" i="159"/>
  <c r="H134" i="159"/>
  <c r="H220" i="159"/>
  <c r="H353" i="159"/>
  <c r="H290" i="159"/>
  <c r="H129" i="159"/>
  <c r="H148" i="159"/>
  <c r="H298" i="159"/>
  <c r="H158" i="159"/>
  <c r="H127" i="159"/>
  <c r="H257" i="159"/>
  <c r="H178" i="159"/>
  <c r="H150" i="159"/>
  <c r="H52" i="159"/>
  <c r="H143" i="159"/>
  <c r="H208" i="159"/>
  <c r="H340" i="159"/>
  <c r="H268" i="159"/>
  <c r="H366" i="159"/>
  <c r="H315" i="159"/>
  <c r="H403" i="159"/>
  <c r="H191" i="159"/>
  <c r="H46" i="159"/>
  <c r="H227" i="159"/>
  <c r="H215" i="159"/>
  <c r="H330" i="159"/>
  <c r="H255" i="159"/>
  <c r="H258" i="159"/>
  <c r="H323" i="159"/>
  <c r="H74" i="159"/>
  <c r="H230" i="159"/>
  <c r="H66" i="159"/>
  <c r="H287" i="159"/>
  <c r="H105" i="159"/>
  <c r="H404" i="159"/>
  <c r="H277" i="159"/>
  <c r="H106" i="159"/>
  <c r="H65" i="159"/>
  <c r="H59" i="159"/>
  <c r="H368" i="159"/>
  <c r="H179" i="159"/>
  <c r="H26" i="159"/>
  <c r="H229" i="159"/>
  <c r="H119" i="159"/>
  <c r="J15" i="159"/>
  <c r="J16" i="159"/>
  <c r="J17" i="159"/>
  <c r="M15" i="159"/>
  <c r="O15" i="159"/>
  <c r="M16" i="159"/>
  <c r="O16" i="159"/>
  <c r="J18" i="159"/>
  <c r="O17" i="159"/>
  <c r="M17" i="159"/>
  <c r="J19" i="159"/>
  <c r="O18" i="159"/>
  <c r="M18" i="159"/>
  <c r="J20" i="159"/>
  <c r="O19" i="159"/>
  <c r="M19" i="159"/>
  <c r="J21" i="159"/>
  <c r="O20" i="159"/>
  <c r="M20" i="159"/>
  <c r="J22" i="159"/>
  <c r="O21" i="159"/>
  <c r="M21" i="159"/>
  <c r="J23" i="159"/>
  <c r="O22" i="159"/>
  <c r="M22" i="159"/>
  <c r="J24" i="159"/>
  <c r="O23" i="159"/>
  <c r="M23" i="159"/>
  <c r="J25" i="159"/>
  <c r="M24" i="159"/>
  <c r="O24" i="159"/>
  <c r="J26" i="159"/>
  <c r="O25" i="159"/>
  <c r="M25" i="159"/>
  <c r="J27" i="159"/>
  <c r="O26" i="159"/>
  <c r="M26" i="159"/>
  <c r="J28" i="159"/>
  <c r="O27" i="159"/>
  <c r="M27" i="159"/>
  <c r="J29" i="159"/>
  <c r="O28" i="159"/>
  <c r="M28" i="159"/>
  <c r="J30" i="159"/>
  <c r="O29" i="159"/>
  <c r="M29" i="159"/>
  <c r="J31" i="159"/>
  <c r="O30" i="159"/>
  <c r="M30" i="159"/>
  <c r="J32" i="159"/>
  <c r="O31" i="159"/>
  <c r="M31" i="159"/>
  <c r="J33" i="159"/>
  <c r="M32" i="159"/>
  <c r="O32" i="159"/>
  <c r="J34" i="159"/>
  <c r="O33" i="159"/>
  <c r="M33" i="159"/>
  <c r="J35" i="159"/>
  <c r="O34" i="159"/>
  <c r="M34" i="159"/>
  <c r="J36" i="159"/>
  <c r="O35" i="159"/>
  <c r="M35" i="159"/>
  <c r="J37" i="159"/>
  <c r="O36" i="159"/>
  <c r="M36" i="159"/>
  <c r="J38" i="159"/>
  <c r="O37" i="159"/>
  <c r="M37" i="159"/>
  <c r="J39" i="159"/>
  <c r="O38" i="159"/>
  <c r="M38" i="159"/>
  <c r="J40" i="159"/>
  <c r="O39" i="159"/>
  <c r="M39" i="159"/>
  <c r="J41" i="159"/>
  <c r="M40" i="159"/>
  <c r="O40" i="159"/>
  <c r="J42" i="159"/>
  <c r="O41" i="159"/>
  <c r="M41" i="159"/>
  <c r="J43" i="159"/>
  <c r="O42" i="159"/>
  <c r="M42" i="159"/>
  <c r="J44" i="159"/>
  <c r="O43" i="159"/>
  <c r="M43" i="159"/>
  <c r="J45" i="159"/>
  <c r="O44" i="159"/>
  <c r="M44" i="159"/>
  <c r="J46" i="159"/>
  <c r="O45" i="159"/>
  <c r="M45" i="159"/>
  <c r="J47" i="159"/>
  <c r="O46" i="159"/>
  <c r="M46" i="159"/>
  <c r="J48" i="159"/>
  <c r="M47" i="159"/>
  <c r="O47" i="159"/>
  <c r="J49" i="159"/>
  <c r="M48" i="159"/>
  <c r="O48" i="159"/>
  <c r="J50" i="159"/>
  <c r="O49" i="159"/>
  <c r="M49" i="159"/>
  <c r="J51" i="159"/>
  <c r="O50" i="159"/>
  <c r="M50" i="159"/>
  <c r="J52" i="159"/>
  <c r="O51" i="159"/>
  <c r="M51" i="159"/>
  <c r="J53" i="159"/>
  <c r="O52" i="159"/>
  <c r="M52" i="159"/>
  <c r="J54" i="159"/>
  <c r="O53" i="159"/>
  <c r="M53" i="159"/>
  <c r="J55" i="159"/>
  <c r="O54" i="159"/>
  <c r="M54" i="159"/>
  <c r="J56" i="159"/>
  <c r="M55" i="159"/>
  <c r="O55" i="159"/>
  <c r="J57" i="159"/>
  <c r="M56" i="159"/>
  <c r="O56" i="159"/>
  <c r="J58" i="159"/>
  <c r="O57" i="159"/>
  <c r="M57" i="159"/>
  <c r="J59" i="159"/>
  <c r="O58" i="159"/>
  <c r="M58" i="159"/>
  <c r="J60" i="159"/>
  <c r="O59" i="159"/>
  <c r="M59" i="159"/>
  <c r="J61" i="159"/>
  <c r="O60" i="159"/>
  <c r="M60" i="159"/>
  <c r="J62" i="159"/>
  <c r="O61" i="159"/>
  <c r="M61" i="159"/>
  <c r="J63" i="159"/>
  <c r="O62" i="159"/>
  <c r="M62" i="159"/>
  <c r="J64" i="159"/>
  <c r="M63" i="159"/>
  <c r="O63" i="159"/>
  <c r="J65" i="159"/>
  <c r="M64" i="159"/>
  <c r="O64" i="159"/>
  <c r="J66" i="159"/>
  <c r="O65" i="159"/>
  <c r="M65" i="159"/>
  <c r="J67" i="159"/>
  <c r="O66" i="159"/>
  <c r="M66" i="159"/>
  <c r="J68" i="159"/>
  <c r="O67" i="159"/>
  <c r="M67" i="159"/>
  <c r="J69" i="159"/>
  <c r="O68" i="159"/>
  <c r="M68" i="159"/>
  <c r="J70" i="159"/>
  <c r="O69" i="159"/>
  <c r="M69" i="159"/>
  <c r="J71" i="159"/>
  <c r="O70" i="159"/>
  <c r="M70" i="159"/>
  <c r="J72" i="159"/>
  <c r="M71" i="159"/>
  <c r="O71" i="159"/>
  <c r="J73" i="159"/>
  <c r="M72" i="159"/>
  <c r="O72" i="159"/>
  <c r="J74" i="159"/>
  <c r="O73" i="159"/>
  <c r="M73" i="159"/>
  <c r="J75" i="159"/>
  <c r="O74" i="159"/>
  <c r="M74" i="159"/>
  <c r="J76" i="159"/>
  <c r="M75" i="159"/>
  <c r="O75" i="159"/>
  <c r="J77" i="159"/>
  <c r="M76" i="159"/>
  <c r="O76" i="159"/>
  <c r="J78" i="159"/>
  <c r="O77" i="159"/>
  <c r="M77" i="159"/>
  <c r="J79" i="159"/>
  <c r="O78" i="159"/>
  <c r="M78" i="159"/>
  <c r="J80" i="159"/>
  <c r="O79" i="159"/>
  <c r="M79" i="159"/>
  <c r="J81" i="159"/>
  <c r="O80" i="159"/>
  <c r="M80" i="159"/>
  <c r="J82" i="159"/>
  <c r="O81" i="159"/>
  <c r="M81" i="159"/>
  <c r="J83" i="159"/>
  <c r="O82" i="159"/>
  <c r="M82" i="159"/>
  <c r="J84" i="159"/>
  <c r="O83" i="159"/>
  <c r="M83" i="159"/>
  <c r="J85" i="159"/>
  <c r="M84" i="159"/>
  <c r="O84" i="159"/>
  <c r="J86" i="159"/>
  <c r="O85" i="159"/>
  <c r="M85" i="159"/>
  <c r="J87" i="159"/>
  <c r="O86" i="159"/>
  <c r="M86" i="159"/>
  <c r="J88" i="159"/>
  <c r="O87" i="159"/>
  <c r="M87" i="159"/>
  <c r="J89" i="159"/>
  <c r="O88" i="159"/>
  <c r="M88" i="159"/>
  <c r="J90" i="159"/>
  <c r="O89" i="159"/>
  <c r="M89" i="159"/>
  <c r="J91" i="159"/>
  <c r="O90" i="159"/>
  <c r="M90" i="159"/>
  <c r="J92" i="159"/>
  <c r="O91" i="159"/>
  <c r="M91" i="159"/>
  <c r="O92" i="159"/>
  <c r="M92" i="159"/>
  <c r="J94" i="159"/>
  <c r="J95" i="159"/>
  <c r="O95" i="159"/>
  <c r="M95" i="159"/>
  <c r="J97" i="159"/>
  <c r="J98" i="159"/>
  <c r="J99" i="159"/>
  <c r="O98" i="159"/>
  <c r="M98" i="159"/>
  <c r="J100" i="159"/>
  <c r="O99" i="159"/>
  <c r="M99" i="159"/>
  <c r="J101" i="159"/>
  <c r="O100" i="159"/>
  <c r="M100" i="159"/>
  <c r="J102" i="159"/>
  <c r="O101" i="159"/>
  <c r="M101" i="159"/>
  <c r="J103" i="159"/>
  <c r="O102" i="159"/>
  <c r="M102" i="159"/>
  <c r="J104" i="159"/>
  <c r="O103" i="159"/>
  <c r="M103" i="159"/>
  <c r="J105" i="159"/>
  <c r="M104" i="159"/>
  <c r="O104" i="159"/>
  <c r="J106" i="159"/>
  <c r="O105" i="159"/>
  <c r="M105" i="159"/>
  <c r="J107" i="159"/>
  <c r="O106" i="159"/>
  <c r="M106" i="159"/>
  <c r="J108" i="159"/>
  <c r="O107" i="159"/>
  <c r="M107" i="159"/>
  <c r="J109" i="159"/>
  <c r="O108" i="159"/>
  <c r="M108" i="159"/>
  <c r="J110" i="159"/>
  <c r="O109" i="159"/>
  <c r="M109" i="159"/>
  <c r="J111" i="159"/>
  <c r="O110" i="159"/>
  <c r="M110" i="159"/>
  <c r="J112" i="159"/>
  <c r="O111" i="159"/>
  <c r="M111" i="159"/>
  <c r="J113" i="159"/>
  <c r="M112" i="159"/>
  <c r="O112" i="159"/>
  <c r="J114" i="159"/>
  <c r="O113" i="159"/>
  <c r="M113" i="159"/>
  <c r="J115" i="159"/>
  <c r="O114" i="159"/>
  <c r="M114" i="159"/>
  <c r="J116" i="159"/>
  <c r="O115" i="159"/>
  <c r="M115" i="159"/>
  <c r="J117" i="159"/>
  <c r="O116" i="159"/>
  <c r="M116" i="159"/>
  <c r="J118" i="159"/>
  <c r="O117" i="159"/>
  <c r="M117" i="159"/>
  <c r="J119" i="159"/>
  <c r="O118" i="159"/>
  <c r="M118" i="159"/>
  <c r="J120" i="159"/>
  <c r="O119" i="159"/>
  <c r="M119" i="159"/>
  <c r="J121" i="159"/>
  <c r="M120" i="159"/>
  <c r="O120" i="159"/>
  <c r="J122" i="159"/>
  <c r="O121" i="159"/>
  <c r="M121" i="159"/>
  <c r="J123" i="159"/>
  <c r="O122" i="159"/>
  <c r="M122" i="159"/>
  <c r="J124" i="159"/>
  <c r="O123" i="159"/>
  <c r="M123" i="159"/>
  <c r="J125" i="159"/>
  <c r="O124" i="159"/>
  <c r="M124" i="159"/>
  <c r="J126" i="159"/>
  <c r="O125" i="159"/>
  <c r="M125" i="159"/>
  <c r="J127" i="159"/>
  <c r="O126" i="159"/>
  <c r="M126" i="159"/>
  <c r="J128" i="159"/>
  <c r="O127" i="159"/>
  <c r="M127" i="159"/>
  <c r="J129" i="159"/>
  <c r="M128" i="159"/>
  <c r="O128" i="159"/>
  <c r="J130" i="159"/>
  <c r="O129" i="159"/>
  <c r="M129" i="159"/>
  <c r="J131" i="159"/>
  <c r="O130" i="159"/>
  <c r="M130" i="159"/>
  <c r="J132" i="159"/>
  <c r="O131" i="159"/>
  <c r="M131" i="159"/>
  <c r="J133" i="159"/>
  <c r="O132" i="159"/>
  <c r="M132" i="159"/>
  <c r="J134" i="159"/>
  <c r="O133" i="159"/>
  <c r="M133" i="159"/>
  <c r="J135" i="159"/>
  <c r="O134" i="159"/>
  <c r="M134" i="159"/>
  <c r="J136" i="159"/>
  <c r="O135" i="159"/>
  <c r="M135" i="159"/>
  <c r="J137" i="159"/>
  <c r="M136" i="159"/>
  <c r="O136" i="159"/>
  <c r="J138" i="159"/>
  <c r="O137" i="159"/>
  <c r="M137" i="159"/>
  <c r="J139" i="159"/>
  <c r="O138" i="159"/>
  <c r="M138" i="159"/>
  <c r="J140" i="159"/>
  <c r="O139" i="159"/>
  <c r="M139" i="159"/>
  <c r="J141" i="159"/>
  <c r="O140" i="159"/>
  <c r="M140" i="159"/>
  <c r="J142" i="159"/>
  <c r="O141" i="159"/>
  <c r="M141" i="159"/>
  <c r="J143" i="159"/>
  <c r="O142" i="159"/>
  <c r="M142" i="159"/>
  <c r="J144" i="159"/>
  <c r="O143" i="159"/>
  <c r="M143" i="159"/>
  <c r="J145" i="159"/>
  <c r="M144" i="159"/>
  <c r="O144" i="159"/>
  <c r="J146" i="159"/>
  <c r="O145" i="159"/>
  <c r="M145" i="159"/>
  <c r="J147" i="159"/>
  <c r="O146" i="159"/>
  <c r="M146" i="159"/>
  <c r="J148" i="159"/>
  <c r="O147" i="159"/>
  <c r="M147" i="159"/>
  <c r="J149" i="159"/>
  <c r="O148" i="159"/>
  <c r="M148" i="159"/>
  <c r="J150" i="159"/>
  <c r="O149" i="159"/>
  <c r="M149" i="159"/>
  <c r="J151" i="159"/>
  <c r="O150" i="159"/>
  <c r="M150" i="159"/>
  <c r="J152" i="159"/>
  <c r="O151" i="159"/>
  <c r="M151" i="159"/>
  <c r="J153" i="159"/>
  <c r="M152" i="159"/>
  <c r="O152" i="159"/>
  <c r="J154" i="159"/>
  <c r="O153" i="159"/>
  <c r="M153" i="159"/>
  <c r="J155" i="159"/>
  <c r="O154" i="159"/>
  <c r="M154" i="159"/>
  <c r="J156" i="159"/>
  <c r="O155" i="159"/>
  <c r="M155" i="159"/>
  <c r="J157" i="159"/>
  <c r="O156" i="159"/>
  <c r="M156" i="159"/>
  <c r="J158" i="159"/>
  <c r="O157" i="159"/>
  <c r="M157" i="159"/>
  <c r="J159" i="159"/>
  <c r="O158" i="159"/>
  <c r="M158" i="159"/>
  <c r="J160" i="159"/>
  <c r="O159" i="159"/>
  <c r="M159" i="159"/>
  <c r="J161" i="159"/>
  <c r="M160" i="159"/>
  <c r="O160" i="159"/>
  <c r="J162" i="159"/>
  <c r="O161" i="159"/>
  <c r="M161" i="159"/>
  <c r="J163" i="159"/>
  <c r="O162" i="159"/>
  <c r="M162" i="159"/>
  <c r="J164" i="159"/>
  <c r="O163" i="159"/>
  <c r="M163" i="159"/>
  <c r="J165" i="159"/>
  <c r="O164" i="159"/>
  <c r="M164" i="159"/>
  <c r="J166" i="159"/>
  <c r="O165" i="159"/>
  <c r="M165" i="159"/>
  <c r="J167" i="159"/>
  <c r="O166" i="159"/>
  <c r="M166" i="159"/>
  <c r="J168" i="159"/>
  <c r="O167" i="159"/>
  <c r="M167" i="159"/>
  <c r="J169" i="159"/>
  <c r="M168" i="159"/>
  <c r="O168" i="159"/>
  <c r="J170" i="159"/>
  <c r="O169" i="159"/>
  <c r="M169" i="159"/>
  <c r="J171" i="159"/>
  <c r="O170" i="159"/>
  <c r="M170" i="159"/>
  <c r="J172" i="159"/>
  <c r="O171" i="159"/>
  <c r="M171" i="159"/>
  <c r="J173" i="159"/>
  <c r="O172" i="159"/>
  <c r="M172" i="159"/>
  <c r="J174" i="159"/>
  <c r="O173" i="159"/>
  <c r="M173" i="159"/>
  <c r="J175" i="159"/>
  <c r="O174" i="159"/>
  <c r="M174" i="159"/>
  <c r="J176" i="159"/>
  <c r="O175" i="159"/>
  <c r="M175" i="159"/>
  <c r="J177" i="159"/>
  <c r="M176" i="159"/>
  <c r="O176" i="159"/>
  <c r="J178" i="159"/>
  <c r="O177" i="159"/>
  <c r="M177" i="159"/>
  <c r="J179" i="159"/>
  <c r="O178" i="159"/>
  <c r="M178" i="159"/>
  <c r="J180" i="159"/>
  <c r="O179" i="159"/>
  <c r="M179" i="159"/>
  <c r="J181" i="159"/>
  <c r="O180" i="159"/>
  <c r="M180" i="159"/>
  <c r="J182" i="159"/>
  <c r="O181" i="159"/>
  <c r="M181" i="159"/>
  <c r="J183" i="159"/>
  <c r="O182" i="159"/>
  <c r="M182" i="159"/>
  <c r="J184" i="159"/>
  <c r="O183" i="159"/>
  <c r="M183" i="159"/>
  <c r="J185" i="159"/>
  <c r="M184" i="159"/>
  <c r="O184" i="159"/>
  <c r="J186" i="159"/>
  <c r="O185" i="159"/>
  <c r="M185" i="159"/>
  <c r="J187" i="159"/>
  <c r="O186" i="159"/>
  <c r="M186" i="159"/>
  <c r="J188" i="159"/>
  <c r="O187" i="159"/>
  <c r="M187" i="159"/>
  <c r="J189" i="159"/>
  <c r="O188" i="159"/>
  <c r="M188" i="159"/>
  <c r="J190" i="159"/>
  <c r="O189" i="159"/>
  <c r="M189" i="159"/>
  <c r="J191" i="159"/>
  <c r="O190" i="159"/>
  <c r="M190" i="159"/>
  <c r="J192" i="159"/>
  <c r="O191" i="159"/>
  <c r="M191" i="159"/>
  <c r="J193" i="159"/>
  <c r="M192" i="159"/>
  <c r="O192" i="159"/>
  <c r="J194" i="159"/>
  <c r="O193" i="159"/>
  <c r="M193" i="159"/>
  <c r="J195" i="159"/>
  <c r="O194" i="159"/>
  <c r="M194" i="159"/>
  <c r="J196" i="159"/>
  <c r="O195" i="159"/>
  <c r="M195" i="159"/>
  <c r="J197" i="159"/>
  <c r="O196" i="159"/>
  <c r="M196" i="159"/>
  <c r="J198" i="159"/>
  <c r="O197" i="159"/>
  <c r="M197" i="159"/>
  <c r="J199" i="159"/>
  <c r="O198" i="159"/>
  <c r="M198" i="159"/>
  <c r="J200" i="159"/>
  <c r="O199" i="159"/>
  <c r="M199" i="159"/>
  <c r="J201" i="159"/>
  <c r="M200" i="159"/>
  <c r="O200" i="159"/>
  <c r="J202" i="159"/>
  <c r="O201" i="159"/>
  <c r="M201" i="159"/>
  <c r="J203" i="159"/>
  <c r="O202" i="159"/>
  <c r="M202" i="159"/>
  <c r="J204" i="159"/>
  <c r="O203" i="159"/>
  <c r="M203" i="159"/>
  <c r="J205" i="159"/>
  <c r="O204" i="159"/>
  <c r="M204" i="159"/>
  <c r="J206" i="159"/>
  <c r="O205" i="159"/>
  <c r="M205" i="159"/>
  <c r="J207" i="159"/>
  <c r="O206" i="159"/>
  <c r="M206" i="159"/>
  <c r="J208" i="159"/>
  <c r="O207" i="159"/>
  <c r="M207" i="159"/>
  <c r="J209" i="159"/>
  <c r="M208" i="159"/>
  <c r="O208" i="159"/>
  <c r="J210" i="159"/>
  <c r="O209" i="159"/>
  <c r="M209" i="159"/>
  <c r="J211" i="159"/>
  <c r="O210" i="159"/>
  <c r="M210" i="159"/>
  <c r="J212" i="159"/>
  <c r="O211" i="159"/>
  <c r="M211" i="159"/>
  <c r="J213" i="159"/>
  <c r="O212" i="159"/>
  <c r="M212" i="159"/>
  <c r="J214" i="159"/>
  <c r="O213" i="159"/>
  <c r="M213" i="159"/>
  <c r="J215" i="159"/>
  <c r="O214" i="159"/>
  <c r="M214" i="159"/>
  <c r="J216" i="159"/>
  <c r="O215" i="159"/>
  <c r="M215" i="159"/>
  <c r="J217" i="159"/>
  <c r="M216" i="159"/>
  <c r="O216" i="159"/>
  <c r="J218" i="159"/>
  <c r="O217" i="159"/>
  <c r="M217" i="159"/>
  <c r="J219" i="159"/>
  <c r="O218" i="159"/>
  <c r="M218" i="159"/>
  <c r="J220" i="159"/>
  <c r="O219" i="159"/>
  <c r="M219" i="159"/>
  <c r="J221" i="159"/>
  <c r="O220" i="159"/>
  <c r="M220" i="159"/>
  <c r="J222" i="159"/>
  <c r="O221" i="159"/>
  <c r="M221" i="159"/>
  <c r="J223" i="159"/>
  <c r="O222" i="159"/>
  <c r="M222" i="159"/>
  <c r="J224" i="159"/>
  <c r="O223" i="159"/>
  <c r="M223" i="159"/>
  <c r="J225" i="159"/>
  <c r="M224" i="159"/>
  <c r="O224" i="159"/>
  <c r="J226" i="159"/>
  <c r="O225" i="159"/>
  <c r="M225" i="159"/>
  <c r="J227" i="159"/>
  <c r="O226" i="159"/>
  <c r="M226" i="159"/>
  <c r="J228" i="159"/>
  <c r="O227" i="159"/>
  <c r="M227" i="159"/>
  <c r="J229" i="159"/>
  <c r="O228" i="159"/>
  <c r="M228" i="159"/>
  <c r="J230" i="159"/>
  <c r="O229" i="159"/>
  <c r="M229" i="159"/>
  <c r="J231" i="159"/>
  <c r="O230" i="159"/>
  <c r="M230" i="159"/>
  <c r="J232" i="159"/>
  <c r="O231" i="159"/>
  <c r="M231" i="159"/>
  <c r="J233" i="159"/>
  <c r="M232" i="159"/>
  <c r="O232" i="159"/>
  <c r="J234" i="159"/>
  <c r="O233" i="159"/>
  <c r="M233" i="159"/>
  <c r="J235" i="159"/>
  <c r="O234" i="159"/>
  <c r="M234" i="159"/>
  <c r="J236" i="159"/>
  <c r="O235" i="159"/>
  <c r="M235" i="159"/>
  <c r="J237" i="159"/>
  <c r="O236" i="159"/>
  <c r="M236" i="159"/>
  <c r="J238" i="159"/>
  <c r="O237" i="159"/>
  <c r="M237" i="159"/>
  <c r="J239" i="159"/>
  <c r="O238" i="159"/>
  <c r="M238" i="159"/>
  <c r="J240" i="159"/>
  <c r="O239" i="159"/>
  <c r="M239" i="159"/>
  <c r="J241" i="159"/>
  <c r="M240" i="159"/>
  <c r="O240" i="159"/>
  <c r="J242" i="159"/>
  <c r="O241" i="159"/>
  <c r="M241" i="159"/>
  <c r="J243" i="159"/>
  <c r="O242" i="159"/>
  <c r="M242" i="159"/>
  <c r="J244" i="159"/>
  <c r="O243" i="159"/>
  <c r="M243" i="159"/>
  <c r="O244" i="159"/>
  <c r="M244" i="159"/>
  <c r="J246" i="159"/>
  <c r="J247" i="159"/>
  <c r="J248" i="159"/>
  <c r="O247" i="159"/>
  <c r="M247" i="159"/>
  <c r="J249" i="159"/>
  <c r="O248" i="159"/>
  <c r="M248" i="159"/>
  <c r="J250" i="159"/>
  <c r="O249" i="159"/>
  <c r="M249" i="159"/>
  <c r="J251" i="159"/>
  <c r="M250" i="159"/>
  <c r="O250" i="159"/>
  <c r="J252" i="159"/>
  <c r="O251" i="159"/>
  <c r="M251" i="159"/>
  <c r="J253" i="159"/>
  <c r="O252" i="159"/>
  <c r="M252" i="159"/>
  <c r="J254" i="159"/>
  <c r="O253" i="159"/>
  <c r="M253" i="159"/>
  <c r="J255" i="159"/>
  <c r="O254" i="159"/>
  <c r="M254" i="159"/>
  <c r="J256" i="159"/>
  <c r="O255" i="159"/>
  <c r="M255" i="159"/>
  <c r="J257" i="159"/>
  <c r="O256" i="159"/>
  <c r="M256" i="159"/>
  <c r="J258" i="159"/>
  <c r="O257" i="159"/>
  <c r="M257" i="159"/>
  <c r="J259" i="159"/>
  <c r="M258" i="159"/>
  <c r="O258" i="159"/>
  <c r="J260" i="159"/>
  <c r="O259" i="159"/>
  <c r="M259" i="159"/>
  <c r="J261" i="159"/>
  <c r="O260" i="159"/>
  <c r="M260" i="159"/>
  <c r="J262" i="159"/>
  <c r="O261" i="159"/>
  <c r="M261" i="159"/>
  <c r="J263" i="159"/>
  <c r="O262" i="159"/>
  <c r="M262" i="159"/>
  <c r="J264" i="159"/>
  <c r="O263" i="159"/>
  <c r="M263" i="159"/>
  <c r="J265" i="159"/>
  <c r="O264" i="159"/>
  <c r="M264" i="159"/>
  <c r="J266" i="159"/>
  <c r="O265" i="159"/>
  <c r="M265" i="159"/>
  <c r="J267" i="159"/>
  <c r="M266" i="159"/>
  <c r="O266" i="159"/>
  <c r="J268" i="159"/>
  <c r="O267" i="159"/>
  <c r="M267" i="159"/>
  <c r="J269" i="159"/>
  <c r="O268" i="159"/>
  <c r="M268" i="159"/>
  <c r="J270" i="159"/>
  <c r="O269" i="159"/>
  <c r="M269" i="159"/>
  <c r="J271" i="159"/>
  <c r="O270" i="159"/>
  <c r="M270" i="159"/>
  <c r="J272" i="159"/>
  <c r="O271" i="159"/>
  <c r="M271" i="159"/>
  <c r="J273" i="159"/>
  <c r="O272" i="159"/>
  <c r="M272" i="159"/>
  <c r="J274" i="159"/>
  <c r="O273" i="159"/>
  <c r="M273" i="159"/>
  <c r="J275" i="159"/>
  <c r="M274" i="159"/>
  <c r="O274" i="159"/>
  <c r="J276" i="159"/>
  <c r="O275" i="159"/>
  <c r="M275" i="159"/>
  <c r="J277" i="159"/>
  <c r="O276" i="159"/>
  <c r="M276" i="159"/>
  <c r="J278" i="159"/>
  <c r="O277" i="159"/>
  <c r="M277" i="159"/>
  <c r="J279" i="159"/>
  <c r="O278" i="159"/>
  <c r="M278" i="159"/>
  <c r="J280" i="159"/>
  <c r="O279" i="159"/>
  <c r="M279" i="159"/>
  <c r="J281" i="159"/>
  <c r="O280" i="159"/>
  <c r="M280" i="159"/>
  <c r="J282" i="159"/>
  <c r="O281" i="159"/>
  <c r="M281" i="159"/>
  <c r="J283" i="159"/>
  <c r="M282" i="159"/>
  <c r="O282" i="159"/>
  <c r="J284" i="159"/>
  <c r="O283" i="159"/>
  <c r="M283" i="159"/>
  <c r="J285" i="159"/>
  <c r="O284" i="159"/>
  <c r="M284" i="159"/>
  <c r="J286" i="159"/>
  <c r="O285" i="159"/>
  <c r="M285" i="159"/>
  <c r="J287" i="159"/>
  <c r="O286" i="159"/>
  <c r="M286" i="159"/>
  <c r="J288" i="159"/>
  <c r="O287" i="159"/>
  <c r="M287" i="159"/>
  <c r="J289" i="159"/>
  <c r="O288" i="159"/>
  <c r="M288" i="159"/>
  <c r="J290" i="159"/>
  <c r="O289" i="159"/>
  <c r="M289" i="159"/>
  <c r="J291" i="159"/>
  <c r="M290" i="159"/>
  <c r="O290" i="159"/>
  <c r="J292" i="159"/>
  <c r="O291" i="159"/>
  <c r="M291" i="159"/>
  <c r="J293" i="159"/>
  <c r="O292" i="159"/>
  <c r="M292" i="159"/>
  <c r="J294" i="159"/>
  <c r="O293" i="159"/>
  <c r="M293" i="159"/>
  <c r="J295" i="159"/>
  <c r="O294" i="159"/>
  <c r="M294" i="159"/>
  <c r="J296" i="159"/>
  <c r="O295" i="159"/>
  <c r="M295" i="159"/>
  <c r="J297" i="159"/>
  <c r="O296" i="159"/>
  <c r="M296" i="159"/>
  <c r="J298" i="159"/>
  <c r="O297" i="159"/>
  <c r="M297" i="159"/>
  <c r="J299" i="159"/>
  <c r="M298" i="159"/>
  <c r="O298" i="159"/>
  <c r="J300" i="159"/>
  <c r="O299" i="159"/>
  <c r="M299" i="159"/>
  <c r="J301" i="159"/>
  <c r="O300" i="159"/>
  <c r="M300" i="159"/>
  <c r="J302" i="159"/>
  <c r="O301" i="159"/>
  <c r="M301" i="159"/>
  <c r="J303" i="159"/>
  <c r="O302" i="159"/>
  <c r="M302" i="159"/>
  <c r="J304" i="159"/>
  <c r="O303" i="159"/>
  <c r="M303" i="159"/>
  <c r="J305" i="159"/>
  <c r="O304" i="159"/>
  <c r="M304" i="159"/>
  <c r="J306" i="159"/>
  <c r="O305" i="159"/>
  <c r="M305" i="159"/>
  <c r="J307" i="159"/>
  <c r="M306" i="159"/>
  <c r="O306" i="159"/>
  <c r="J308" i="159"/>
  <c r="O307" i="159"/>
  <c r="M307" i="159"/>
  <c r="J309" i="159"/>
  <c r="O308" i="159"/>
  <c r="M308" i="159"/>
  <c r="J310" i="159"/>
  <c r="O309" i="159"/>
  <c r="M309" i="159"/>
  <c r="O310" i="159"/>
  <c r="M310" i="159"/>
  <c r="J312" i="159"/>
  <c r="J313" i="159"/>
  <c r="J314" i="159"/>
  <c r="O313" i="159"/>
  <c r="M313" i="159"/>
  <c r="J315" i="159"/>
  <c r="O314" i="159"/>
  <c r="M314" i="159"/>
  <c r="J316" i="159"/>
  <c r="O315" i="159"/>
  <c r="M315" i="159"/>
  <c r="J317" i="159"/>
  <c r="M316" i="159"/>
  <c r="O316" i="159"/>
  <c r="J318" i="159"/>
  <c r="O317" i="159"/>
  <c r="M317" i="159"/>
  <c r="J319" i="159"/>
  <c r="O318" i="159"/>
  <c r="M318" i="159"/>
  <c r="J320" i="159"/>
  <c r="O319" i="159"/>
  <c r="M319" i="159"/>
  <c r="J321" i="159"/>
  <c r="O320" i="159"/>
  <c r="M320" i="159"/>
  <c r="J322" i="159"/>
  <c r="O321" i="159"/>
  <c r="M321" i="159"/>
  <c r="J323" i="159"/>
  <c r="O322" i="159"/>
  <c r="M322" i="159"/>
  <c r="J324" i="159"/>
  <c r="O323" i="159"/>
  <c r="M323" i="159"/>
  <c r="J325" i="159"/>
  <c r="M324" i="159"/>
  <c r="O324" i="159"/>
  <c r="J326" i="159"/>
  <c r="O325" i="159"/>
  <c r="M325" i="159"/>
  <c r="J327" i="159"/>
  <c r="O326" i="159"/>
  <c r="M326" i="159"/>
  <c r="J328" i="159"/>
  <c r="O327" i="159"/>
  <c r="M327" i="159"/>
  <c r="J329" i="159"/>
  <c r="O328" i="159"/>
  <c r="M328" i="159"/>
  <c r="J330" i="159"/>
  <c r="O329" i="159"/>
  <c r="M329" i="159"/>
  <c r="J331" i="159"/>
  <c r="O330" i="159"/>
  <c r="M330" i="159"/>
  <c r="J332" i="159"/>
  <c r="O331" i="159"/>
  <c r="M331" i="159"/>
  <c r="J333" i="159"/>
  <c r="M332" i="159"/>
  <c r="O332" i="159"/>
  <c r="J334" i="159"/>
  <c r="O333" i="159"/>
  <c r="M333" i="159"/>
  <c r="J335" i="159"/>
  <c r="M334" i="159"/>
  <c r="O334" i="159"/>
  <c r="J336" i="159"/>
  <c r="M335" i="159"/>
  <c r="O335" i="159"/>
  <c r="J337" i="159"/>
  <c r="O336" i="159"/>
  <c r="M336" i="159"/>
  <c r="J338" i="159"/>
  <c r="O337" i="159"/>
  <c r="M337" i="159"/>
  <c r="J339" i="159"/>
  <c r="O338" i="159"/>
  <c r="M338" i="159"/>
  <c r="J340" i="159"/>
  <c r="O339" i="159"/>
  <c r="M339" i="159"/>
  <c r="J341" i="159"/>
  <c r="O340" i="159"/>
  <c r="M340" i="159"/>
  <c r="J342" i="159"/>
  <c r="O341" i="159"/>
  <c r="M341" i="159"/>
  <c r="J343" i="159"/>
  <c r="O342" i="159"/>
  <c r="M342" i="159"/>
  <c r="J344" i="159"/>
  <c r="O343" i="159"/>
  <c r="M343" i="159"/>
  <c r="J345" i="159"/>
  <c r="M344" i="159"/>
  <c r="O344" i="159"/>
  <c r="J346" i="159"/>
  <c r="O345" i="159"/>
  <c r="M345" i="159"/>
  <c r="J347" i="159"/>
  <c r="O346" i="159"/>
  <c r="M346" i="159"/>
  <c r="J348" i="159"/>
  <c r="M347" i="159"/>
  <c r="O347" i="159"/>
  <c r="J349" i="159"/>
  <c r="O348" i="159"/>
  <c r="M348" i="159"/>
  <c r="J350" i="159"/>
  <c r="O349" i="159"/>
  <c r="M349" i="159"/>
  <c r="J351" i="159"/>
  <c r="O350" i="159"/>
  <c r="M350" i="159"/>
  <c r="J352" i="159"/>
  <c r="O351" i="159"/>
  <c r="M351" i="159"/>
  <c r="J353" i="159"/>
  <c r="M352" i="159"/>
  <c r="O352" i="159"/>
  <c r="J354" i="159"/>
  <c r="O353" i="159"/>
  <c r="M353" i="159"/>
  <c r="J355" i="159"/>
  <c r="O354" i="159"/>
  <c r="M354" i="159"/>
  <c r="J356" i="159"/>
  <c r="M355" i="159"/>
  <c r="O355" i="159"/>
  <c r="J357" i="159"/>
  <c r="O356" i="159"/>
  <c r="M356" i="159"/>
  <c r="J358" i="159"/>
  <c r="O357" i="159"/>
  <c r="M357" i="159"/>
  <c r="J359" i="159"/>
  <c r="O358" i="159"/>
  <c r="M358" i="159"/>
  <c r="J360" i="159"/>
  <c r="O359" i="159"/>
  <c r="M359" i="159"/>
  <c r="J361" i="159"/>
  <c r="M360" i="159"/>
  <c r="O360" i="159"/>
  <c r="J362" i="159"/>
  <c r="O361" i="159"/>
  <c r="M361" i="159"/>
  <c r="J363" i="159"/>
  <c r="O362" i="159"/>
  <c r="M362" i="159"/>
  <c r="J364" i="159"/>
  <c r="M363" i="159"/>
  <c r="O363" i="159"/>
  <c r="J365" i="159"/>
  <c r="O364" i="159"/>
  <c r="M364" i="159"/>
  <c r="J366" i="159"/>
  <c r="O365" i="159"/>
  <c r="M365" i="159"/>
  <c r="J367" i="159"/>
  <c r="O366" i="159"/>
  <c r="M366" i="159"/>
  <c r="J368" i="159"/>
  <c r="O367" i="159"/>
  <c r="M367" i="159"/>
  <c r="J369" i="159"/>
  <c r="M368" i="159"/>
  <c r="O368" i="159"/>
  <c r="J370" i="159"/>
  <c r="O369" i="159"/>
  <c r="M369" i="159"/>
  <c r="J371" i="159"/>
  <c r="O370" i="159"/>
  <c r="M370" i="159"/>
  <c r="J372" i="159"/>
  <c r="M371" i="159"/>
  <c r="O371" i="159"/>
  <c r="J373" i="159"/>
  <c r="O372" i="159"/>
  <c r="M372" i="159"/>
  <c r="J374" i="159"/>
  <c r="O373" i="159"/>
  <c r="M373" i="159"/>
  <c r="J375" i="159"/>
  <c r="O374" i="159"/>
  <c r="M374" i="159"/>
  <c r="J376" i="159"/>
  <c r="O375" i="159"/>
  <c r="M375" i="159"/>
  <c r="J377" i="159"/>
  <c r="M376" i="159"/>
  <c r="O376" i="159"/>
  <c r="J378" i="159"/>
  <c r="O377" i="159"/>
  <c r="M377" i="159"/>
  <c r="J379" i="159"/>
  <c r="O378" i="159"/>
  <c r="M378" i="159"/>
  <c r="J380" i="159"/>
  <c r="M379" i="159"/>
  <c r="O379" i="159"/>
  <c r="J381" i="159"/>
  <c r="O380" i="159"/>
  <c r="M380" i="159"/>
  <c r="J382" i="159"/>
  <c r="O381" i="159"/>
  <c r="M381" i="159"/>
  <c r="J383" i="159"/>
  <c r="O382" i="159"/>
  <c r="M382" i="159"/>
  <c r="J384" i="159"/>
  <c r="O383" i="159"/>
  <c r="M383" i="159"/>
  <c r="J385" i="159"/>
  <c r="O384" i="159"/>
  <c r="M384" i="159"/>
  <c r="J386" i="159"/>
  <c r="O385" i="159"/>
  <c r="M385" i="159"/>
  <c r="J387" i="159"/>
  <c r="O386" i="159"/>
  <c r="M386" i="159"/>
  <c r="J388" i="159"/>
  <c r="M387" i="159"/>
  <c r="O387" i="159"/>
  <c r="J389" i="159"/>
  <c r="O388" i="159"/>
  <c r="M388" i="159"/>
  <c r="J390" i="159"/>
  <c r="O389" i="159"/>
  <c r="M389" i="159"/>
  <c r="J391" i="159"/>
  <c r="O390" i="159"/>
  <c r="M390" i="159"/>
  <c r="J392" i="159"/>
  <c r="O391" i="159"/>
  <c r="M391" i="159"/>
  <c r="J393" i="159"/>
  <c r="M392" i="159"/>
  <c r="O392" i="159"/>
  <c r="J394" i="159"/>
  <c r="O393" i="159"/>
  <c r="M393" i="159"/>
  <c r="J395" i="159"/>
  <c r="O394" i="159"/>
  <c r="M394" i="159"/>
  <c r="J396" i="159"/>
  <c r="M395" i="159"/>
  <c r="O395" i="159"/>
  <c r="J397" i="159"/>
  <c r="O396" i="159"/>
  <c r="M396" i="159"/>
  <c r="J398" i="159"/>
  <c r="O397" i="159"/>
  <c r="M397" i="159"/>
  <c r="J399" i="159"/>
  <c r="O398" i="159"/>
  <c r="M398" i="159"/>
  <c r="J400" i="159"/>
  <c r="O399" i="159"/>
  <c r="M399" i="159"/>
  <c r="J401" i="159"/>
  <c r="M400" i="159"/>
  <c r="O400" i="159"/>
  <c r="J402" i="159"/>
  <c r="O401" i="159"/>
  <c r="M401" i="159"/>
  <c r="J403" i="159"/>
  <c r="O402" i="159"/>
  <c r="M402" i="159"/>
  <c r="J404" i="159"/>
  <c r="M403" i="159"/>
  <c r="O403" i="159"/>
  <c r="J405" i="159"/>
  <c r="M404" i="159"/>
  <c r="O404" i="159"/>
  <c r="J406" i="159"/>
  <c r="O405" i="159"/>
  <c r="M405" i="159"/>
  <c r="J407" i="159"/>
  <c r="O406" i="159"/>
  <c r="M406" i="159"/>
  <c r="J408" i="159"/>
  <c r="O407" i="159"/>
  <c r="M407" i="159"/>
  <c r="J409" i="159"/>
  <c r="O408" i="159"/>
  <c r="M408" i="159"/>
  <c r="J410" i="159"/>
  <c r="O409" i="159"/>
  <c r="M409" i="159"/>
  <c r="M410" i="159"/>
  <c r="O410" i="159"/>
  <c r="O413" i="159" l="1"/>
  <c r="Y5" i="159" s="1"/>
  <c r="M413" i="159"/>
  <c r="A415" i="159"/>
  <c r="Y4" i="159" l="1"/>
  <c r="T417" i="159"/>
  <c r="S418" i="159" s="1"/>
  <c r="P216" i="159"/>
  <c r="P268" i="159"/>
  <c r="P393" i="159"/>
  <c r="P353" i="159"/>
  <c r="P108" i="159"/>
  <c r="P255" i="159"/>
  <c r="P38" i="159"/>
  <c r="T38" i="159" s="1"/>
  <c r="P302" i="159"/>
  <c r="P390" i="159"/>
  <c r="P42" i="159"/>
  <c r="T42" i="159" s="1"/>
  <c r="P269" i="159"/>
  <c r="P316" i="159"/>
  <c r="P369" i="159"/>
  <c r="P166" i="159"/>
  <c r="P299" i="159"/>
  <c r="P306" i="159"/>
  <c r="P138" i="159"/>
  <c r="P308" i="159"/>
  <c r="P76" i="159"/>
  <c r="T76" i="159" s="1"/>
  <c r="P155" i="159"/>
  <c r="P329" i="159"/>
  <c r="P146" i="159"/>
  <c r="P309" i="159"/>
  <c r="P56" i="159"/>
  <c r="T56" i="159" s="1"/>
  <c r="P300" i="159"/>
  <c r="P361" i="159"/>
  <c r="P199" i="159"/>
  <c r="P396" i="159"/>
  <c r="P104" i="159"/>
  <c r="P202" i="159"/>
  <c r="P140" i="159"/>
  <c r="P336" i="159"/>
  <c r="P52" i="159"/>
  <c r="T52" i="159" s="1"/>
  <c r="P210" i="159"/>
  <c r="P359" i="159"/>
  <c r="P347" i="159"/>
  <c r="P173" i="159"/>
  <c r="P86" i="159"/>
  <c r="T86" i="159" s="1"/>
  <c r="P253" i="159"/>
  <c r="P154" i="159"/>
  <c r="P343" i="159"/>
  <c r="P189" i="159"/>
  <c r="P315" i="159"/>
  <c r="P21" i="159"/>
  <c r="T21" i="159" s="1"/>
  <c r="P32" i="159"/>
  <c r="T32" i="159" s="1"/>
  <c r="P82" i="159"/>
  <c r="T82" i="159" s="1"/>
  <c r="P67" i="159"/>
  <c r="T67" i="159" s="1"/>
  <c r="P267" i="159"/>
  <c r="P127" i="159"/>
  <c r="P63" i="159"/>
  <c r="T63" i="159" s="1"/>
  <c r="P230" i="159"/>
  <c r="P237" i="159"/>
  <c r="P385" i="159"/>
  <c r="P191" i="159"/>
  <c r="P337" i="159"/>
  <c r="P95" i="159"/>
  <c r="P294" i="159"/>
  <c r="P271" i="159"/>
  <c r="P46" i="159"/>
  <c r="T46" i="159" s="1"/>
  <c r="P317" i="159"/>
  <c r="P395" i="159"/>
  <c r="P324" i="159"/>
  <c r="P128" i="159"/>
  <c r="P283" i="159"/>
  <c r="P272" i="159"/>
  <c r="P132" i="159"/>
  <c r="P292" i="159"/>
  <c r="P19" i="159"/>
  <c r="T19" i="159" s="1"/>
  <c r="P251" i="159"/>
  <c r="P243" i="159"/>
  <c r="P180" i="159"/>
  <c r="P366" i="159"/>
  <c r="P79" i="159"/>
  <c r="T79" i="159" s="1"/>
  <c r="P358" i="159"/>
  <c r="P65" i="159"/>
  <c r="T65" i="159" s="1"/>
  <c r="P167" i="159"/>
  <c r="P228" i="159"/>
  <c r="P113" i="159"/>
  <c r="P398" i="159"/>
  <c r="P160" i="159"/>
  <c r="P235" i="159"/>
  <c r="P144" i="159"/>
  <c r="P238" i="159"/>
  <c r="P139" i="159"/>
  <c r="P71" i="159"/>
  <c r="T71" i="159" s="1"/>
  <c r="P227" i="159"/>
  <c r="P100" i="159"/>
  <c r="P222" i="159"/>
  <c r="P226" i="159"/>
  <c r="P293" i="159"/>
  <c r="P176" i="159"/>
  <c r="P51" i="159"/>
  <c r="T51" i="159" s="1"/>
  <c r="P178" i="159"/>
  <c r="P107" i="159"/>
  <c r="P397" i="159"/>
  <c r="P34" i="159"/>
  <c r="T34" i="159" s="1"/>
  <c r="P40" i="159"/>
  <c r="T40" i="159" s="1"/>
  <c r="P278" i="159"/>
  <c r="P130" i="159"/>
  <c r="P319" i="159"/>
  <c r="P257" i="159"/>
  <c r="P263" i="159"/>
  <c r="P200" i="159"/>
  <c r="P274" i="159"/>
  <c r="P17" i="159"/>
  <c r="T17" i="159" s="1"/>
  <c r="P382" i="159"/>
  <c r="P407" i="159"/>
  <c r="P16" i="159"/>
  <c r="T16" i="159" s="1"/>
  <c r="P252" i="159"/>
  <c r="P406" i="159"/>
  <c r="P250" i="159"/>
  <c r="P212" i="159"/>
  <c r="P284" i="159"/>
  <c r="P371" i="159"/>
  <c r="P323" i="159"/>
  <c r="P301" i="159"/>
  <c r="P74" i="159"/>
  <c r="T74" i="159" s="1"/>
  <c r="P334" i="159"/>
  <c r="P20" i="159"/>
  <c r="T20" i="159" s="1"/>
  <c r="P159" i="159"/>
  <c r="P389" i="159"/>
  <c r="P119" i="159"/>
  <c r="P368" i="159"/>
  <c r="P187" i="159"/>
  <c r="P207" i="159"/>
  <c r="P373" i="159"/>
  <c r="P135" i="159"/>
  <c r="P355" i="159"/>
  <c r="P402" i="159"/>
  <c r="P244" i="159"/>
  <c r="P150" i="159"/>
  <c r="P399" i="159"/>
  <c r="P169" i="159"/>
  <c r="P48" i="159"/>
  <c r="T48" i="159" s="1"/>
  <c r="P332" i="159"/>
  <c r="P110" i="159"/>
  <c r="P261" i="159"/>
  <c r="P185" i="159"/>
  <c r="P133" i="159"/>
  <c r="P190" i="159"/>
  <c r="P161" i="159"/>
  <c r="P194" i="159"/>
  <c r="P58" i="159"/>
  <c r="T58" i="159" s="1"/>
  <c r="P57" i="159"/>
  <c r="T57" i="159" s="1"/>
  <c r="P181" i="159"/>
  <c r="P378" i="159"/>
  <c r="P341" i="159"/>
  <c r="P84" i="159"/>
  <c r="T84" i="159" s="1"/>
  <c r="P265" i="159"/>
  <c r="P349" i="159"/>
  <c r="P23" i="159"/>
  <c r="T23" i="159" s="1"/>
  <c r="P285" i="159"/>
  <c r="P290" i="159"/>
  <c r="P92" i="159"/>
  <c r="P291" i="159"/>
  <c r="P351" i="159"/>
  <c r="P126" i="159"/>
  <c r="P318" i="159"/>
  <c r="P287" i="159"/>
  <c r="P83" i="159"/>
  <c r="T83" i="159" s="1"/>
  <c r="P352" i="159"/>
  <c r="P325" i="159"/>
  <c r="P102" i="159"/>
  <c r="P307" i="159"/>
  <c r="P376" i="159"/>
  <c r="P134" i="159"/>
  <c r="P260" i="159"/>
  <c r="P28" i="159"/>
  <c r="T28" i="159" s="1"/>
  <c r="P326" i="159"/>
  <c r="P259" i="159"/>
  <c r="P81" i="159"/>
  <c r="T81" i="159" s="1"/>
  <c r="P328" i="159"/>
  <c r="P35" i="159"/>
  <c r="T35" i="159" s="1"/>
  <c r="P193" i="159"/>
  <c r="P340" i="159"/>
  <c r="P170" i="159"/>
  <c r="P137" i="159"/>
  <c r="P175" i="159"/>
  <c r="P356" i="159"/>
  <c r="P196" i="159"/>
  <c r="P50" i="159"/>
  <c r="T50" i="159" s="1"/>
  <c r="P203" i="159"/>
  <c r="P80" i="159"/>
  <c r="T80" i="159" s="1"/>
  <c r="P221" i="159"/>
  <c r="P184" i="159"/>
  <c r="P249" i="159"/>
  <c r="P213" i="159"/>
  <c r="P367" i="159"/>
  <c r="P370" i="159"/>
  <c r="P103" i="159"/>
  <c r="P72" i="159"/>
  <c r="T72" i="159" s="1"/>
  <c r="P122" i="159"/>
  <c r="P25" i="159"/>
  <c r="T25" i="159" s="1"/>
  <c r="P36" i="159"/>
  <c r="T36" i="159" s="1"/>
  <c r="P22" i="159"/>
  <c r="T22" i="159" s="1"/>
  <c r="P198" i="159"/>
  <c r="P247" i="159"/>
  <c r="P262" i="159"/>
  <c r="P266" i="159"/>
  <c r="P106" i="159"/>
  <c r="P277" i="159"/>
  <c r="P405" i="159"/>
  <c r="P112" i="159"/>
  <c r="P275" i="159"/>
  <c r="P357" i="159"/>
  <c r="P29" i="159"/>
  <c r="T29" i="159" s="1"/>
  <c r="P233" i="159"/>
  <c r="P410" i="159"/>
  <c r="P77" i="159"/>
  <c r="T77" i="159" s="1"/>
  <c r="P339" i="159"/>
  <c r="P360" i="159"/>
  <c r="P118" i="159"/>
  <c r="P188" i="159"/>
  <c r="P333" i="159"/>
  <c r="P41" i="159"/>
  <c r="T41" i="159" s="1"/>
  <c r="P322" i="159"/>
  <c r="P39" i="159"/>
  <c r="T39" i="159" s="1"/>
  <c r="P225" i="159"/>
  <c r="P377" i="159"/>
  <c r="P186" i="159"/>
  <c r="P391" i="159"/>
  <c r="P99" i="159"/>
  <c r="P362" i="159"/>
  <c r="P345" i="159"/>
  <c r="P220" i="159"/>
  <c r="P24" i="159"/>
  <c r="T24" i="159" s="1"/>
  <c r="P215" i="159"/>
  <c r="P372" i="159"/>
  <c r="P165" i="159"/>
  <c r="P89" i="159"/>
  <c r="T89" i="159" s="1"/>
  <c r="P223" i="159"/>
  <c r="P149" i="159"/>
  <c r="P218" i="159"/>
  <c r="P147" i="159"/>
  <c r="P365" i="159"/>
  <c r="P236" i="159"/>
  <c r="P157" i="159"/>
  <c r="P69" i="159"/>
  <c r="T69" i="159" s="1"/>
  <c r="P156" i="159"/>
  <c r="P124" i="159"/>
  <c r="P209" i="159"/>
  <c r="P121" i="159"/>
  <c r="P158" i="159"/>
  <c r="P164" i="159"/>
  <c r="P151" i="159"/>
  <c r="P375" i="159"/>
  <c r="P297" i="159"/>
  <c r="P75" i="159"/>
  <c r="T75" i="159" s="1"/>
  <c r="P282" i="159"/>
  <c r="P346" i="159"/>
  <c r="P162" i="159"/>
  <c r="P342" i="159"/>
  <c r="P394" i="159"/>
  <c r="P153" i="159"/>
  <c r="P295" i="159"/>
  <c r="P338" i="159"/>
  <c r="P85" i="159"/>
  <c r="T85" i="159" s="1"/>
  <c r="P281" i="159"/>
  <c r="P303" i="159"/>
  <c r="P59" i="159"/>
  <c r="T59" i="159" s="1"/>
  <c r="P298" i="159"/>
  <c r="P384" i="159"/>
  <c r="P111" i="159"/>
  <c r="P314" i="159"/>
  <c r="P90" i="159"/>
  <c r="T90" i="159" s="1"/>
  <c r="P313" i="159"/>
  <c r="P60" i="159"/>
  <c r="T60" i="159" s="1"/>
  <c r="P163" i="159"/>
  <c r="P224" i="159"/>
  <c r="P101" i="159"/>
  <c r="P335" i="159"/>
  <c r="P70" i="159"/>
  <c r="T70" i="159" s="1"/>
  <c r="P171" i="159"/>
  <c r="P91" i="159"/>
  <c r="T91" i="159" s="1"/>
  <c r="P201" i="159"/>
  <c r="P18" i="159"/>
  <c r="T18" i="159" s="1"/>
  <c r="P192" i="159"/>
  <c r="P49" i="159"/>
  <c r="T49" i="159" s="1"/>
  <c r="P217" i="159"/>
  <c r="P182" i="159"/>
  <c r="P248" i="159"/>
  <c r="P177" i="159"/>
  <c r="P276" i="159"/>
  <c r="P105" i="159"/>
  <c r="P208" i="159"/>
  <c r="P183" i="159"/>
  <c r="P344" i="159"/>
  <c r="P129" i="159"/>
  <c r="P43" i="159"/>
  <c r="T43" i="159" s="1"/>
  <c r="P64" i="159"/>
  <c r="T64" i="159" s="1"/>
  <c r="P31" i="159"/>
  <c r="T31" i="159" s="1"/>
  <c r="P288" i="159"/>
  <c r="P234" i="159"/>
  <c r="P386" i="159"/>
  <c r="P320" i="159"/>
  <c r="P88" i="159"/>
  <c r="T88" i="159" s="1"/>
  <c r="P363" i="159"/>
  <c r="P66" i="159"/>
  <c r="T66" i="159" s="1"/>
  <c r="P286" i="159"/>
  <c r="P379" i="159"/>
  <c r="P404" i="159"/>
  <c r="P168" i="159"/>
  <c r="P400" i="159"/>
  <c r="P408" i="159"/>
  <c r="P33" i="159"/>
  <c r="T33" i="159" s="1"/>
  <c r="P256" i="159"/>
  <c r="P296" i="159"/>
  <c r="P37" i="159"/>
  <c r="T37" i="159" s="1"/>
  <c r="P273" i="159"/>
  <c r="P388" i="159"/>
  <c r="P174" i="159"/>
  <c r="P240" i="159"/>
  <c r="P115" i="159"/>
  <c r="P327" i="159"/>
  <c r="P30" i="159"/>
  <c r="T30" i="159" s="1"/>
  <c r="P270" i="159"/>
  <c r="P305" i="159"/>
  <c r="P172" i="159"/>
  <c r="P350" i="159"/>
  <c r="P54" i="159"/>
  <c r="T54" i="159" s="1"/>
  <c r="P197" i="159"/>
  <c r="P145" i="159"/>
  <c r="P403" i="159"/>
  <c r="P26" i="159"/>
  <c r="T26" i="159" s="1"/>
  <c r="P205" i="159"/>
  <c r="P109" i="159"/>
  <c r="P242" i="159"/>
  <c r="P143" i="159"/>
  <c r="P53" i="159"/>
  <c r="T53" i="159" s="1"/>
  <c r="P364" i="159"/>
  <c r="P401" i="159"/>
  <c r="P179" i="159"/>
  <c r="P45" i="159"/>
  <c r="T45" i="159" s="1"/>
  <c r="P152" i="159"/>
  <c r="P204" i="159"/>
  <c r="P330" i="159"/>
  <c r="P44" i="159"/>
  <c r="T44" i="159" s="1"/>
  <c r="P142" i="159"/>
  <c r="P148" i="159"/>
  <c r="P229" i="159"/>
  <c r="P280" i="159"/>
  <c r="P116" i="159"/>
  <c r="P289" i="159"/>
  <c r="P123" i="159"/>
  <c r="P117" i="159"/>
  <c r="P120" i="159"/>
  <c r="P409" i="159"/>
  <c r="P279" i="159"/>
  <c r="P141" i="159"/>
  <c r="P383" i="159"/>
  <c r="P214" i="159"/>
  <c r="P78" i="159"/>
  <c r="T78" i="159" s="1"/>
  <c r="P125" i="159"/>
  <c r="P258" i="159"/>
  <c r="P392" i="159"/>
  <c r="P15" i="159"/>
  <c r="T15" i="159" s="1"/>
  <c r="P136" i="159"/>
  <c r="P131" i="159"/>
  <c r="P310" i="159"/>
  <c r="P231" i="159"/>
  <c r="P387" i="159"/>
  <c r="P380" i="159"/>
  <c r="P55" i="159"/>
  <c r="T55" i="159" s="1"/>
  <c r="P62" i="159"/>
  <c r="T62" i="159" s="1"/>
  <c r="P211" i="159"/>
  <c r="P87" i="159"/>
  <c r="T87" i="159" s="1"/>
  <c r="P114" i="159"/>
  <c r="P27" i="159"/>
  <c r="T27" i="159" s="1"/>
  <c r="P354" i="159"/>
  <c r="P348" i="159"/>
  <c r="P73" i="159"/>
  <c r="T73" i="159" s="1"/>
  <c r="P264" i="159"/>
  <c r="P331" i="159"/>
  <c r="P304" i="159"/>
  <c r="P321" i="159"/>
  <c r="P98" i="159"/>
  <c r="P206" i="159"/>
  <c r="P381" i="159"/>
  <c r="P61" i="159"/>
  <c r="T61" i="159" s="1"/>
  <c r="P68" i="159"/>
  <c r="T68" i="159" s="1"/>
  <c r="P47" i="159"/>
  <c r="T47" i="159" s="1"/>
  <c r="P374" i="159"/>
  <c r="P195" i="159"/>
  <c r="P239" i="159"/>
  <c r="P241" i="159"/>
  <c r="P232" i="159"/>
  <c r="P219" i="159"/>
  <c r="P254" i="159"/>
  <c r="P413" i="159" l="1"/>
  <c r="T92" i="159"/>
  <c r="T94" i="159" s="1"/>
  <c r="T95" i="159" s="1"/>
  <c r="T97" i="159" s="1"/>
  <c r="N48" i="159"/>
  <c r="S48" i="159" s="1"/>
  <c r="N198" i="159"/>
  <c r="N202" i="159"/>
  <c r="N90" i="159"/>
  <c r="S90" i="159" s="1"/>
  <c r="N393" i="159"/>
  <c r="N46" i="159"/>
  <c r="S46" i="159" s="1"/>
  <c r="N290" i="159"/>
  <c r="N289" i="159"/>
  <c r="N113" i="159"/>
  <c r="N307" i="159"/>
  <c r="N271" i="159"/>
  <c r="N181" i="159"/>
  <c r="N317" i="159"/>
  <c r="N406" i="159"/>
  <c r="N149" i="159"/>
  <c r="N244" i="159"/>
  <c r="N35" i="159"/>
  <c r="S35" i="159" s="1"/>
  <c r="N308" i="159"/>
  <c r="N99" i="159"/>
  <c r="N327" i="159"/>
  <c r="N55" i="159"/>
  <c r="S55" i="159" s="1"/>
  <c r="N256" i="159"/>
  <c r="N263" i="159"/>
  <c r="N47" i="159"/>
  <c r="S47" i="159" s="1"/>
  <c r="N216" i="159"/>
  <c r="N123" i="159"/>
  <c r="N274" i="159"/>
  <c r="N409" i="159"/>
  <c r="N108" i="159"/>
  <c r="N400" i="159"/>
  <c r="N112" i="159"/>
  <c r="N254" i="159"/>
  <c r="N85" i="159"/>
  <c r="S85" i="159" s="1"/>
  <c r="N293" i="159"/>
  <c r="N128" i="159"/>
  <c r="N234" i="159"/>
  <c r="N225" i="159"/>
  <c r="N122" i="159"/>
  <c r="N231" i="159"/>
  <c r="N361" i="159"/>
  <c r="N117" i="159"/>
  <c r="N241" i="159"/>
  <c r="N63" i="159"/>
  <c r="S63" i="159" s="1"/>
  <c r="N251" i="159"/>
  <c r="N389" i="159"/>
  <c r="N40" i="159"/>
  <c r="S40" i="159" s="1"/>
  <c r="N210" i="159"/>
  <c r="N366" i="159"/>
  <c r="N145" i="159"/>
  <c r="N214" i="159"/>
  <c r="N33" i="159"/>
  <c r="S33" i="159" s="1"/>
  <c r="N150" i="159"/>
  <c r="N351" i="159"/>
  <c r="N91" i="159"/>
  <c r="S91" i="159" s="1"/>
  <c r="N185" i="159"/>
  <c r="N59" i="159"/>
  <c r="S59" i="159" s="1"/>
  <c r="N189" i="159"/>
  <c r="N98" i="159"/>
  <c r="N140" i="159"/>
  <c r="N252" i="159"/>
  <c r="N119" i="159"/>
  <c r="N197" i="159"/>
  <c r="N104" i="159"/>
  <c r="N319" i="159"/>
  <c r="N32" i="159"/>
  <c r="S32" i="159" s="1"/>
  <c r="N155" i="159"/>
  <c r="N280" i="159"/>
  <c r="N237" i="159"/>
  <c r="N392" i="159"/>
  <c r="N163" i="159"/>
  <c r="N381" i="159"/>
  <c r="N137" i="159"/>
  <c r="N399" i="159"/>
  <c r="N273" i="159"/>
  <c r="N331" i="159"/>
  <c r="N369" i="159"/>
  <c r="N52" i="159"/>
  <c r="S52" i="159" s="1"/>
  <c r="N249" i="159"/>
  <c r="N109" i="159"/>
  <c r="N265" i="159"/>
  <c r="N358" i="159"/>
  <c r="N82" i="159"/>
  <c r="S82" i="159" s="1"/>
  <c r="N349" i="159"/>
  <c r="N370" i="159"/>
  <c r="N146" i="159"/>
  <c r="N359" i="159"/>
  <c r="N37" i="159"/>
  <c r="S37" i="159" s="1"/>
  <c r="N281" i="159"/>
  <c r="N362" i="159"/>
  <c r="N80" i="159"/>
  <c r="S80" i="159" s="1"/>
  <c r="N283" i="159"/>
  <c r="N39" i="159"/>
  <c r="S39" i="159" s="1"/>
  <c r="N330" i="159"/>
  <c r="N29" i="159"/>
  <c r="S29" i="159" s="1"/>
  <c r="N187" i="159"/>
  <c r="N269" i="159"/>
  <c r="N328" i="159"/>
  <c r="N368" i="159"/>
  <c r="N199" i="159"/>
  <c r="N276" i="159"/>
  <c r="N44" i="159"/>
  <c r="S44" i="159" s="1"/>
  <c r="N204" i="159"/>
  <c r="N408" i="159"/>
  <c r="N159" i="159"/>
  <c r="N402" i="159"/>
  <c r="N262" i="159"/>
  <c r="N337" i="159"/>
  <c r="N211" i="159"/>
  <c r="N394" i="159"/>
  <c r="N162" i="159"/>
  <c r="N365" i="159"/>
  <c r="N347" i="159"/>
  <c r="N126" i="159"/>
  <c r="N323" i="159"/>
  <c r="N56" i="159"/>
  <c r="S56" i="159" s="1"/>
  <c r="N206" i="159"/>
  <c r="N334" i="159"/>
  <c r="N75" i="159"/>
  <c r="S75" i="159" s="1"/>
  <c r="N329" i="159"/>
  <c r="N360" i="159"/>
  <c r="N233" i="159"/>
  <c r="N240" i="159"/>
  <c r="N70" i="159"/>
  <c r="S70" i="159" s="1"/>
  <c r="N196" i="159"/>
  <c r="N354" i="159"/>
  <c r="N107" i="159"/>
  <c r="N250" i="159"/>
  <c r="N111" i="159"/>
  <c r="N257" i="159"/>
  <c r="N79" i="159"/>
  <c r="S79" i="159" s="1"/>
  <c r="N172" i="159"/>
  <c r="N50" i="159"/>
  <c r="S50" i="159" s="1"/>
  <c r="N151" i="159"/>
  <c r="N270" i="159"/>
  <c r="N275" i="159"/>
  <c r="N386" i="159"/>
  <c r="N84" i="159"/>
  <c r="S84" i="159" s="1"/>
  <c r="N292" i="159"/>
  <c r="N41" i="159"/>
  <c r="S41" i="159" s="1"/>
  <c r="N228" i="159"/>
  <c r="N403" i="159"/>
  <c r="N352" i="159"/>
  <c r="N20" i="159"/>
  <c r="S20" i="159" s="1"/>
  <c r="N157" i="159"/>
  <c r="N410" i="159"/>
  <c r="N133" i="159"/>
  <c r="N183" i="159"/>
  <c r="N310" i="159"/>
  <c r="N284" i="159"/>
  <c r="N296" i="159"/>
  <c r="N258" i="159"/>
  <c r="N372" i="159"/>
  <c r="N295" i="159"/>
  <c r="N390" i="159"/>
  <c r="N60" i="159"/>
  <c r="S60" i="159" s="1"/>
  <c r="N343" i="159"/>
  <c r="N28" i="159"/>
  <c r="S28" i="159" s="1"/>
  <c r="N169" i="159"/>
  <c r="N306" i="159"/>
  <c r="N23" i="159"/>
  <c r="S23" i="159" s="1"/>
  <c r="N326" i="159"/>
  <c r="N287" i="159"/>
  <c r="N177" i="159"/>
  <c r="N236" i="159"/>
  <c r="N190" i="159"/>
  <c r="N259" i="159"/>
  <c r="N43" i="159"/>
  <c r="S43" i="159" s="1"/>
  <c r="N339" i="159"/>
  <c r="N102" i="159"/>
  <c r="N397" i="159"/>
  <c r="N305" i="159"/>
  <c r="N209" i="159"/>
  <c r="N387" i="159"/>
  <c r="N86" i="159"/>
  <c r="S86" i="159" s="1"/>
  <c r="N213" i="159"/>
  <c r="N42" i="159"/>
  <c r="S42" i="159" s="1"/>
  <c r="N243" i="159"/>
  <c r="N57" i="159"/>
  <c r="S57" i="159" s="1"/>
  <c r="N221" i="159"/>
  <c r="N88" i="159"/>
  <c r="S88" i="159" s="1"/>
  <c r="N186" i="159"/>
  <c r="N73" i="159"/>
  <c r="S73" i="159" s="1"/>
  <c r="N74" i="159"/>
  <c r="S74" i="159" s="1"/>
  <c r="N279" i="159"/>
  <c r="N373" i="159"/>
  <c r="N300" i="159"/>
  <c r="N166" i="159"/>
  <c r="N375" i="159"/>
  <c r="N173" i="159"/>
  <c r="N380" i="159"/>
  <c r="N232" i="159"/>
  <c r="N143" i="159"/>
  <c r="N255" i="159"/>
  <c r="N38" i="159"/>
  <c r="S38" i="159" s="1"/>
  <c r="N191" i="159"/>
  <c r="N405" i="159"/>
  <c r="N65" i="159"/>
  <c r="S65" i="159" s="1"/>
  <c r="N313" i="159"/>
  <c r="N321" i="159"/>
  <c r="N345" i="159"/>
  <c r="N320" i="159"/>
  <c r="N136" i="159"/>
  <c r="N382" i="159"/>
  <c r="N138" i="159"/>
  <c r="N193" i="159"/>
  <c r="N16" i="159"/>
  <c r="S16" i="159" s="1"/>
  <c r="N144" i="159"/>
  <c r="N267" i="159"/>
  <c r="N277" i="159"/>
  <c r="N268" i="159"/>
  <c r="N106" i="159"/>
  <c r="N282" i="159"/>
  <c r="N26" i="159"/>
  <c r="S26" i="159" s="1"/>
  <c r="N322" i="159"/>
  <c r="N110" i="159"/>
  <c r="N299" i="159"/>
  <c r="N69" i="159"/>
  <c r="S69" i="159" s="1"/>
  <c r="N175" i="159"/>
  <c r="N118" i="159"/>
  <c r="N81" i="159"/>
  <c r="S81" i="159" s="1"/>
  <c r="N235" i="159"/>
  <c r="N318" i="159"/>
  <c r="N129" i="159"/>
  <c r="N264" i="159"/>
  <c r="N200" i="159"/>
  <c r="N227" i="159"/>
  <c r="N325" i="159"/>
  <c r="N297" i="159"/>
  <c r="N182" i="159"/>
  <c r="N350" i="159"/>
  <c r="N64" i="159"/>
  <c r="S64" i="159" s="1"/>
  <c r="N314" i="159"/>
  <c r="N401" i="159"/>
  <c r="N68" i="159"/>
  <c r="S68" i="159" s="1"/>
  <c r="N364" i="159"/>
  <c r="N36" i="159"/>
  <c r="S36" i="159" s="1"/>
  <c r="N395" i="159"/>
  <c r="N45" i="159"/>
  <c r="S45" i="159" s="1"/>
  <c r="N168" i="159"/>
  <c r="N18" i="159"/>
  <c r="S18" i="159" s="1"/>
  <c r="N141" i="159"/>
  <c r="N348" i="159"/>
  <c r="N54" i="159"/>
  <c r="S54" i="159" s="1"/>
  <c r="N176" i="159"/>
  <c r="N77" i="159"/>
  <c r="S77" i="159" s="1"/>
  <c r="N335" i="159"/>
  <c r="N324" i="159"/>
  <c r="N127" i="159"/>
  <c r="N332" i="159"/>
  <c r="N131" i="159"/>
  <c r="N294" i="159"/>
  <c r="N116" i="159"/>
  <c r="N301" i="159"/>
  <c r="N114" i="159"/>
  <c r="N302" i="159"/>
  <c r="N158" i="159"/>
  <c r="N367" i="159"/>
  <c r="N142" i="159"/>
  <c r="N164" i="159"/>
  <c r="N53" i="159"/>
  <c r="S53" i="159" s="1"/>
  <c r="N346" i="159"/>
  <c r="N247" i="159"/>
  <c r="N357" i="159"/>
  <c r="N160" i="159"/>
  <c r="N103" i="159"/>
  <c r="N89" i="159"/>
  <c r="S89" i="159" s="1"/>
  <c r="N253" i="159"/>
  <c r="N167" i="159"/>
  <c r="N278" i="159"/>
  <c r="N17" i="159"/>
  <c r="S17" i="159" s="1"/>
  <c r="N30" i="159"/>
  <c r="S30" i="159" s="1"/>
  <c r="N379" i="159"/>
  <c r="N291" i="159"/>
  <c r="N71" i="159"/>
  <c r="S71" i="159" s="1"/>
  <c r="N83" i="159"/>
  <c r="S83" i="159" s="1"/>
  <c r="N342" i="159"/>
  <c r="N385" i="159"/>
  <c r="N15" i="159"/>
  <c r="S15" i="159" s="1"/>
  <c r="N226" i="159"/>
  <c r="N105" i="159"/>
  <c r="N194" i="159"/>
  <c r="N261" i="159"/>
  <c r="N31" i="159"/>
  <c r="S31" i="159" s="1"/>
  <c r="N338" i="159"/>
  <c r="N288" i="159"/>
  <c r="N78" i="159"/>
  <c r="S78" i="159" s="1"/>
  <c r="N341" i="159"/>
  <c r="N208" i="159"/>
  <c r="N388" i="159"/>
  <c r="N266" i="159"/>
  <c r="N76" i="159"/>
  <c r="S76" i="159" s="1"/>
  <c r="N130" i="159"/>
  <c r="N407" i="159"/>
  <c r="N22" i="159"/>
  <c r="S22" i="159" s="1"/>
  <c r="N19" i="159"/>
  <c r="S19" i="159" s="1"/>
  <c r="N298" i="159"/>
  <c r="N398" i="159"/>
  <c r="N309" i="159"/>
  <c r="N286" i="159"/>
  <c r="N340" i="159"/>
  <c r="N220" i="159"/>
  <c r="N180" i="159"/>
  <c r="N174" i="159"/>
  <c r="N238" i="159"/>
  <c r="N25" i="159"/>
  <c r="S25" i="159" s="1"/>
  <c r="N215" i="159"/>
  <c r="N154" i="159"/>
  <c r="N120" i="159"/>
  <c r="N92" i="159"/>
  <c r="N87" i="159"/>
  <c r="S87" i="159" s="1"/>
  <c r="N391" i="159"/>
  <c r="N377" i="159"/>
  <c r="N139" i="159"/>
  <c r="N201" i="159"/>
  <c r="N192" i="159"/>
  <c r="N384" i="159"/>
  <c r="N356" i="159"/>
  <c r="N153" i="159"/>
  <c r="N132" i="159"/>
  <c r="N355" i="159"/>
  <c r="N72" i="159"/>
  <c r="S72" i="159" s="1"/>
  <c r="N195" i="159"/>
  <c r="N171" i="159"/>
  <c r="N156" i="159"/>
  <c r="N58" i="159"/>
  <c r="S58" i="159" s="1"/>
  <c r="N378" i="159"/>
  <c r="N51" i="159"/>
  <c r="S51" i="159" s="1"/>
  <c r="N100" i="159"/>
  <c r="N134" i="159"/>
  <c r="N376" i="159"/>
  <c r="N217" i="159"/>
  <c r="N184" i="159"/>
  <c r="N404" i="159"/>
  <c r="N374" i="159"/>
  <c r="N115" i="159"/>
  <c r="N344" i="159"/>
  <c r="N212" i="159"/>
  <c r="N333" i="159"/>
  <c r="N336" i="159"/>
  <c r="N260" i="159"/>
  <c r="N49" i="159"/>
  <c r="S49" i="159" s="1"/>
  <c r="N27" i="159"/>
  <c r="S27" i="159" s="1"/>
  <c r="N207" i="159"/>
  <c r="N66" i="159"/>
  <c r="S66" i="159" s="1"/>
  <c r="N383" i="159"/>
  <c r="N363" i="159"/>
  <c r="N222" i="159"/>
  <c r="N224" i="159"/>
  <c r="N21" i="159"/>
  <c r="S21" i="159" s="1"/>
  <c r="N152" i="159"/>
  <c r="N178" i="159"/>
  <c r="N95" i="159"/>
  <c r="N230" i="159"/>
  <c r="N121" i="159"/>
  <c r="N179" i="159"/>
  <c r="N272" i="159"/>
  <c r="N124" i="159"/>
  <c r="N396" i="159"/>
  <c r="N242" i="159"/>
  <c r="N229" i="159"/>
  <c r="N34" i="159"/>
  <c r="S34" i="159" s="1"/>
  <c r="N170" i="159"/>
  <c r="N67" i="159"/>
  <c r="S67" i="159" s="1"/>
  <c r="N161" i="159"/>
  <c r="N62" i="159"/>
  <c r="S62" i="159" s="1"/>
  <c r="N165" i="159"/>
  <c r="N218" i="159"/>
  <c r="N205" i="159"/>
  <c r="N148" i="159"/>
  <c r="N101" i="159"/>
  <c r="N303" i="159"/>
  <c r="N24" i="159"/>
  <c r="S24" i="159" s="1"/>
  <c r="N239" i="159"/>
  <c r="N135" i="159"/>
  <c r="N315" i="159"/>
  <c r="N353" i="159"/>
  <c r="N316" i="159"/>
  <c r="N285" i="159"/>
  <c r="N188" i="159"/>
  <c r="N203" i="159"/>
  <c r="N147" i="159"/>
  <c r="N304" i="159"/>
  <c r="N125" i="159"/>
  <c r="N219" i="159"/>
  <c r="N248" i="159"/>
  <c r="N371" i="159"/>
  <c r="N223" i="159"/>
  <c r="N61" i="159"/>
  <c r="S61" i="159" s="1"/>
  <c r="N413" i="159" l="1"/>
  <c r="S92" i="159"/>
  <c r="S94" i="159" s="1"/>
  <c r="S95" i="159" s="1"/>
  <c r="S97" i="159" s="1"/>
  <c r="T244" i="159"/>
  <c r="T246" i="159" s="1"/>
  <c r="T124" i="159"/>
  <c r="T141" i="159"/>
  <c r="T170" i="159"/>
  <c r="T171" i="159"/>
  <c r="T152" i="159"/>
  <c r="T201" i="159"/>
  <c r="T214" i="159"/>
  <c r="T231" i="159"/>
  <c r="T103" i="159"/>
  <c r="T116" i="159"/>
  <c r="T133" i="159"/>
  <c r="T194" i="159"/>
  <c r="T99" i="159"/>
  <c r="T224" i="159"/>
  <c r="T241" i="159"/>
  <c r="T161" i="159"/>
  <c r="T126" i="159"/>
  <c r="T143" i="159"/>
  <c r="T236" i="159"/>
  <c r="T108" i="159"/>
  <c r="T125" i="159"/>
  <c r="T154" i="159"/>
  <c r="T155" i="159"/>
  <c r="T136" i="159"/>
  <c r="T185" i="159"/>
  <c r="T198" i="159"/>
  <c r="T215" i="159"/>
  <c r="T228" i="159"/>
  <c r="T100" i="159"/>
  <c r="T117" i="159"/>
  <c r="T178" i="159"/>
  <c r="T243" i="159"/>
  <c r="T208" i="159"/>
  <c r="T209" i="159"/>
  <c r="T238" i="159"/>
  <c r="T110" i="159"/>
  <c r="T127" i="159"/>
  <c r="T220" i="159"/>
  <c r="T237" i="159"/>
  <c r="T109" i="159"/>
  <c r="T122" i="159"/>
  <c r="T139" i="159"/>
  <c r="T120" i="159"/>
  <c r="T169" i="159"/>
  <c r="T182" i="159"/>
  <c r="T199" i="159"/>
  <c r="T212" i="159"/>
  <c r="T229" i="159"/>
  <c r="T101" i="159"/>
  <c r="T162" i="159"/>
  <c r="T227" i="159"/>
  <c r="T192" i="159"/>
  <c r="T193" i="159"/>
  <c r="T222" i="159"/>
  <c r="T239" i="159"/>
  <c r="T111" i="159"/>
  <c r="T204" i="159"/>
  <c r="T221" i="159"/>
  <c r="T202" i="159"/>
  <c r="T106" i="159"/>
  <c r="T123" i="159"/>
  <c r="T232" i="159"/>
  <c r="T153" i="159"/>
  <c r="T166" i="159"/>
  <c r="T183" i="159"/>
  <c r="T196" i="159"/>
  <c r="T213" i="159"/>
  <c r="T211" i="159"/>
  <c r="T146" i="159"/>
  <c r="T179" i="159"/>
  <c r="T176" i="159"/>
  <c r="T177" i="159"/>
  <c r="T206" i="159"/>
  <c r="T223" i="159"/>
  <c r="T188" i="159"/>
  <c r="T205" i="159"/>
  <c r="T138" i="159"/>
  <c r="T235" i="159"/>
  <c r="T107" i="159"/>
  <c r="T168" i="159"/>
  <c r="T137" i="159"/>
  <c r="T150" i="159"/>
  <c r="T167" i="159"/>
  <c r="T180" i="159"/>
  <c r="T197" i="159"/>
  <c r="T131" i="159"/>
  <c r="T130" i="159"/>
  <c r="T163" i="159"/>
  <c r="T160" i="159"/>
  <c r="T145" i="159"/>
  <c r="T190" i="159"/>
  <c r="T207" i="159"/>
  <c r="T172" i="159"/>
  <c r="T189" i="159"/>
  <c r="T234" i="159"/>
  <c r="T219" i="159"/>
  <c r="T216" i="159"/>
  <c r="T104" i="159"/>
  <c r="T121" i="159"/>
  <c r="T134" i="159"/>
  <c r="T151" i="159"/>
  <c r="T164" i="159"/>
  <c r="T181" i="159"/>
  <c r="T242" i="159"/>
  <c r="T114" i="159"/>
  <c r="T147" i="159"/>
  <c r="T144" i="159"/>
  <c r="T129" i="159"/>
  <c r="T174" i="159"/>
  <c r="T191" i="159"/>
  <c r="T156" i="159"/>
  <c r="T173" i="159"/>
  <c r="T218" i="159"/>
  <c r="T203" i="159"/>
  <c r="T200" i="159"/>
  <c r="T233" i="159"/>
  <c r="T105" i="159"/>
  <c r="T118" i="159"/>
  <c r="T135" i="159"/>
  <c r="T148" i="159"/>
  <c r="T165" i="159"/>
  <c r="T226" i="159"/>
  <c r="T98" i="159"/>
  <c r="T115" i="159"/>
  <c r="T128" i="159"/>
  <c r="T113" i="159"/>
  <c r="T158" i="159"/>
  <c r="T175" i="159"/>
  <c r="T140" i="159"/>
  <c r="T157" i="159"/>
  <c r="T186" i="159"/>
  <c r="T187" i="159"/>
  <c r="T184" i="159"/>
  <c r="T217" i="159"/>
  <c r="T230" i="159"/>
  <c r="T102" i="159"/>
  <c r="T119" i="159"/>
  <c r="T132" i="159"/>
  <c r="T149" i="159"/>
  <c r="T210" i="159"/>
  <c r="T195" i="159"/>
  <c r="T240" i="159"/>
  <c r="T112" i="159"/>
  <c r="T225" i="159"/>
  <c r="T142" i="159"/>
  <c r="T159" i="159"/>
  <c r="T303" i="159" l="1"/>
  <c r="T301" i="159"/>
  <c r="T299" i="159"/>
  <c r="T297" i="159"/>
  <c r="T295" i="159"/>
  <c r="T310" i="159"/>
  <c r="T312" i="159" s="1"/>
  <c r="T307" i="159"/>
  <c r="T305" i="159"/>
  <c r="T287" i="159"/>
  <c r="T285" i="159"/>
  <c r="T267" i="159"/>
  <c r="T281" i="159"/>
  <c r="T279" i="159"/>
  <c r="T309" i="159"/>
  <c r="T291" i="159"/>
  <c r="T289" i="159"/>
  <c r="T271" i="159"/>
  <c r="T269" i="159"/>
  <c r="T251" i="159"/>
  <c r="T265" i="159"/>
  <c r="T263" i="159"/>
  <c r="T293" i="159"/>
  <c r="T275" i="159"/>
  <c r="T273" i="159"/>
  <c r="T255" i="159"/>
  <c r="T253" i="159"/>
  <c r="T283" i="159"/>
  <c r="T249" i="159"/>
  <c r="T247" i="159"/>
  <c r="T277" i="159"/>
  <c r="T259" i="159"/>
  <c r="T257" i="159"/>
  <c r="T304" i="159"/>
  <c r="T302" i="159"/>
  <c r="T300" i="159"/>
  <c r="T298" i="159"/>
  <c r="T296" i="159"/>
  <c r="T261" i="159"/>
  <c r="T308" i="159"/>
  <c r="T306" i="159"/>
  <c r="T288" i="159"/>
  <c r="T286" i="159"/>
  <c r="T284" i="159"/>
  <c r="T282" i="159"/>
  <c r="T280" i="159"/>
  <c r="T294" i="159"/>
  <c r="T276" i="159"/>
  <c r="T290" i="159"/>
  <c r="T272" i="159"/>
  <c r="T270" i="159"/>
  <c r="T268" i="159"/>
  <c r="T266" i="159"/>
  <c r="T264" i="159"/>
  <c r="T278" i="159"/>
  <c r="T260" i="159"/>
  <c r="T274" i="159"/>
  <c r="T256" i="159"/>
  <c r="T254" i="159"/>
  <c r="T252" i="159"/>
  <c r="T250" i="159"/>
  <c r="T248" i="159"/>
  <c r="T262" i="159"/>
  <c r="T292" i="159"/>
  <c r="T258" i="159"/>
  <c r="S206" i="159"/>
  <c r="S142" i="159"/>
  <c r="S215" i="159"/>
  <c r="S151" i="159"/>
  <c r="S228" i="159"/>
  <c r="S164" i="159"/>
  <c r="S100" i="159"/>
  <c r="S189" i="159"/>
  <c r="S117" i="159"/>
  <c r="S202" i="159"/>
  <c r="S138" i="159"/>
  <c r="S227" i="159"/>
  <c r="S163" i="159"/>
  <c r="S99" i="159"/>
  <c r="S184" i="159"/>
  <c r="S120" i="159"/>
  <c r="S201" i="159"/>
  <c r="S137" i="159"/>
  <c r="S198" i="159"/>
  <c r="S134" i="159"/>
  <c r="S207" i="159"/>
  <c r="S143" i="159"/>
  <c r="S220" i="159"/>
  <c r="S156" i="159"/>
  <c r="S165" i="159"/>
  <c r="S181" i="159"/>
  <c r="S109" i="159"/>
  <c r="S194" i="159"/>
  <c r="S130" i="159"/>
  <c r="S219" i="159"/>
  <c r="S155" i="159"/>
  <c r="S240" i="159"/>
  <c r="S176" i="159"/>
  <c r="S112" i="159"/>
  <c r="S193" i="159"/>
  <c r="S129" i="159"/>
  <c r="S190" i="159"/>
  <c r="S118" i="159"/>
  <c r="S199" i="159"/>
  <c r="S135" i="159"/>
  <c r="S212" i="159"/>
  <c r="S148" i="159"/>
  <c r="S237" i="159"/>
  <c r="S173" i="159"/>
  <c r="S101" i="159"/>
  <c r="S186" i="159"/>
  <c r="S122" i="159"/>
  <c r="S211" i="159"/>
  <c r="S147" i="159"/>
  <c r="S232" i="159"/>
  <c r="S168" i="159"/>
  <c r="S104" i="159"/>
  <c r="S185" i="159"/>
  <c r="S121" i="159"/>
  <c r="S244" i="159"/>
  <c r="S246" i="159" s="1"/>
  <c r="S182" i="159"/>
  <c r="S110" i="159"/>
  <c r="S191" i="159"/>
  <c r="S127" i="159"/>
  <c r="S204" i="159"/>
  <c r="S140" i="159"/>
  <c r="S229" i="159"/>
  <c r="S157" i="159"/>
  <c r="S242" i="159"/>
  <c r="S178" i="159"/>
  <c r="S114" i="159"/>
  <c r="S203" i="159"/>
  <c r="S139" i="159"/>
  <c r="S224" i="159"/>
  <c r="S160" i="159"/>
  <c r="S241" i="159"/>
  <c r="S177" i="159"/>
  <c r="S113" i="159"/>
  <c r="S238" i="159"/>
  <c r="S174" i="159"/>
  <c r="S102" i="159"/>
  <c r="S183" i="159"/>
  <c r="S119" i="159"/>
  <c r="S196" i="159"/>
  <c r="S132" i="159"/>
  <c r="S221" i="159"/>
  <c r="S149" i="159"/>
  <c r="S234" i="159"/>
  <c r="S170" i="159"/>
  <c r="S106" i="159"/>
  <c r="S195" i="159"/>
  <c r="S131" i="159"/>
  <c r="S216" i="159"/>
  <c r="S152" i="159"/>
  <c r="S233" i="159"/>
  <c r="S169" i="159"/>
  <c r="S105" i="159"/>
  <c r="S230" i="159"/>
  <c r="S166" i="159"/>
  <c r="S239" i="159"/>
  <c r="S175" i="159"/>
  <c r="S111" i="159"/>
  <c r="S188" i="159"/>
  <c r="S124" i="159"/>
  <c r="S213" i="159"/>
  <c r="S141" i="159"/>
  <c r="S226" i="159"/>
  <c r="S162" i="159"/>
  <c r="S98" i="159"/>
  <c r="S187" i="159"/>
  <c r="S123" i="159"/>
  <c r="S208" i="159"/>
  <c r="S144" i="159"/>
  <c r="S225" i="159"/>
  <c r="S161" i="159"/>
  <c r="S126" i="159"/>
  <c r="S222" i="159"/>
  <c r="S158" i="159"/>
  <c r="S231" i="159"/>
  <c r="S167" i="159"/>
  <c r="S103" i="159"/>
  <c r="S180" i="159"/>
  <c r="S116" i="159"/>
  <c r="S205" i="159"/>
  <c r="S133" i="159"/>
  <c r="S218" i="159"/>
  <c r="S154" i="159"/>
  <c r="S243" i="159"/>
  <c r="S179" i="159"/>
  <c r="S115" i="159"/>
  <c r="S200" i="159"/>
  <c r="S136" i="159"/>
  <c r="S217" i="159"/>
  <c r="S153" i="159"/>
  <c r="S214" i="159"/>
  <c r="S150" i="159"/>
  <c r="S223" i="159"/>
  <c r="S159" i="159"/>
  <c r="S236" i="159"/>
  <c r="S172" i="159"/>
  <c r="S108" i="159"/>
  <c r="S197" i="159"/>
  <c r="S125" i="159"/>
  <c r="S210" i="159"/>
  <c r="S146" i="159"/>
  <c r="S235" i="159"/>
  <c r="S171" i="159"/>
  <c r="S107" i="159"/>
  <c r="S192" i="159"/>
  <c r="S128" i="159"/>
  <c r="S209" i="159"/>
  <c r="S145" i="159"/>
  <c r="S305" i="159" l="1"/>
  <c r="S306" i="159"/>
  <c r="S303" i="159"/>
  <c r="S304" i="159"/>
  <c r="S309" i="159"/>
  <c r="S310" i="159"/>
  <c r="S312" i="159" s="1"/>
  <c r="S307" i="159"/>
  <c r="S308" i="159"/>
  <c r="S297" i="159"/>
  <c r="S298" i="159"/>
  <c r="S295" i="159"/>
  <c r="S296" i="159"/>
  <c r="S301" i="159"/>
  <c r="S302" i="159"/>
  <c r="S299" i="159"/>
  <c r="S300" i="159"/>
  <c r="S289" i="159"/>
  <c r="S290" i="159"/>
  <c r="S287" i="159"/>
  <c r="S288" i="159"/>
  <c r="S293" i="159"/>
  <c r="S294" i="159"/>
  <c r="S291" i="159"/>
  <c r="S292" i="159"/>
  <c r="S281" i="159"/>
  <c r="S282" i="159"/>
  <c r="S279" i="159"/>
  <c r="S280" i="159"/>
  <c r="S285" i="159"/>
  <c r="S286" i="159"/>
  <c r="S283" i="159"/>
  <c r="S284" i="159"/>
  <c r="S273" i="159"/>
  <c r="S274" i="159"/>
  <c r="S271" i="159"/>
  <c r="S272" i="159"/>
  <c r="S277" i="159"/>
  <c r="S278" i="159"/>
  <c r="S275" i="159"/>
  <c r="S276" i="159"/>
  <c r="S265" i="159"/>
  <c r="S266" i="159"/>
  <c r="S263" i="159"/>
  <c r="S264" i="159"/>
  <c r="S269" i="159"/>
  <c r="S270" i="159"/>
  <c r="S267" i="159"/>
  <c r="S268" i="159"/>
  <c r="S257" i="159"/>
  <c r="S258" i="159"/>
  <c r="S255" i="159"/>
  <c r="S256" i="159"/>
  <c r="S261" i="159"/>
  <c r="S262" i="159"/>
  <c r="S259" i="159"/>
  <c r="S260" i="159"/>
  <c r="S249" i="159"/>
  <c r="S250" i="159"/>
  <c r="S247" i="159"/>
  <c r="S248" i="159"/>
  <c r="S253" i="159"/>
  <c r="S254" i="159"/>
  <c r="S251" i="159"/>
  <c r="S252" i="159"/>
  <c r="T397" i="159"/>
  <c r="T398" i="159"/>
  <c r="T380" i="159"/>
  <c r="T361" i="159"/>
  <c r="T375" i="159"/>
  <c r="T376" i="159"/>
  <c r="T373" i="159"/>
  <c r="T390" i="159"/>
  <c r="T356" i="159"/>
  <c r="T338" i="159"/>
  <c r="T319" i="159"/>
  <c r="T336" i="159"/>
  <c r="T385" i="159"/>
  <c r="T393" i="159"/>
  <c r="T368" i="159"/>
  <c r="T381" i="159"/>
  <c r="T382" i="159"/>
  <c r="T364" i="159"/>
  <c r="T345" i="159"/>
  <c r="T359" i="159"/>
  <c r="T360" i="159"/>
  <c r="T357" i="159"/>
  <c r="T374" i="159"/>
  <c r="T324" i="159"/>
  <c r="T322" i="159"/>
  <c r="T395" i="159"/>
  <c r="T320" i="159"/>
  <c r="T337" i="159"/>
  <c r="T407" i="159"/>
  <c r="T365" i="159"/>
  <c r="T366" i="159"/>
  <c r="T348" i="159"/>
  <c r="T329" i="159"/>
  <c r="T343" i="159"/>
  <c r="T344" i="159"/>
  <c r="T341" i="159"/>
  <c r="T358" i="159"/>
  <c r="T401" i="159"/>
  <c r="T330" i="159"/>
  <c r="T394" i="159"/>
  <c r="T363" i="159"/>
  <c r="T408" i="159"/>
  <c r="T410" i="159"/>
  <c r="T349" i="159"/>
  <c r="T350" i="159"/>
  <c r="T332" i="159"/>
  <c r="T313" i="159"/>
  <c r="T327" i="159"/>
  <c r="T328" i="159"/>
  <c r="T325" i="159"/>
  <c r="T342" i="159"/>
  <c r="T321" i="159"/>
  <c r="T399" i="159"/>
  <c r="T369" i="159"/>
  <c r="T347" i="159"/>
  <c r="T362" i="159"/>
  <c r="T351" i="159"/>
  <c r="T333" i="159"/>
  <c r="T334" i="159"/>
  <c r="T316" i="159"/>
  <c r="T378" i="159"/>
  <c r="T387" i="159"/>
  <c r="T355" i="159"/>
  <c r="T371" i="159"/>
  <c r="T326" i="159"/>
  <c r="T402" i="159"/>
  <c r="T383" i="159"/>
  <c r="T400" i="159"/>
  <c r="T331" i="159"/>
  <c r="T340" i="159"/>
  <c r="T317" i="159"/>
  <c r="T318" i="159"/>
  <c r="T409" i="159"/>
  <c r="T353" i="159"/>
  <c r="T372" i="159"/>
  <c r="T404" i="159"/>
  <c r="T388" i="159"/>
  <c r="T403" i="159"/>
  <c r="T386" i="159"/>
  <c r="T367" i="159"/>
  <c r="T384" i="159"/>
  <c r="T315" i="159"/>
  <c r="T379" i="159"/>
  <c r="T405" i="159"/>
  <c r="T339" i="159"/>
  <c r="T346" i="159"/>
  <c r="T396" i="159"/>
  <c r="T377" i="159"/>
  <c r="T391" i="159"/>
  <c r="T392" i="159"/>
  <c r="T389" i="159"/>
  <c r="T406" i="159"/>
  <c r="T323" i="159"/>
  <c r="T354" i="159"/>
  <c r="T335" i="159"/>
  <c r="T352" i="159"/>
  <c r="T314" i="159"/>
  <c r="T370" i="159"/>
  <c r="S355" i="159" l="1"/>
  <c r="S388" i="159"/>
  <c r="S324" i="159"/>
  <c r="S361" i="159"/>
  <c r="S402" i="159"/>
  <c r="S338" i="159"/>
  <c r="S397" i="159"/>
  <c r="S367" i="159"/>
  <c r="S365" i="159"/>
  <c r="S360" i="159"/>
  <c r="S406" i="159"/>
  <c r="S342" i="159"/>
  <c r="S341" i="159"/>
  <c r="S347" i="159"/>
  <c r="S380" i="159"/>
  <c r="S316" i="159"/>
  <c r="S353" i="159"/>
  <c r="S394" i="159"/>
  <c r="S330" i="159"/>
  <c r="S317" i="159"/>
  <c r="S359" i="159"/>
  <c r="S333" i="159"/>
  <c r="S352" i="159"/>
  <c r="S398" i="159"/>
  <c r="S334" i="159"/>
  <c r="S374" i="159"/>
  <c r="S340" i="159"/>
  <c r="S376" i="159"/>
  <c r="S403" i="159"/>
  <c r="S339" i="159"/>
  <c r="S372" i="159"/>
  <c r="S409" i="159"/>
  <c r="S345" i="159"/>
  <c r="S386" i="159"/>
  <c r="S322" i="159"/>
  <c r="S389" i="159"/>
  <c r="S351" i="159"/>
  <c r="S408" i="159"/>
  <c r="S344" i="159"/>
  <c r="S390" i="159"/>
  <c r="S326" i="159"/>
  <c r="S328" i="159"/>
  <c r="S383" i="159"/>
  <c r="S395" i="159"/>
  <c r="S331" i="159"/>
  <c r="S364" i="159"/>
  <c r="S401" i="159"/>
  <c r="S337" i="159"/>
  <c r="S378" i="159"/>
  <c r="S314" i="159"/>
  <c r="S407" i="159"/>
  <c r="S343" i="159"/>
  <c r="S400" i="159"/>
  <c r="S336" i="159"/>
  <c r="S382" i="159"/>
  <c r="S318" i="159"/>
  <c r="S377" i="159"/>
  <c r="S358" i="159"/>
  <c r="S387" i="159"/>
  <c r="S323" i="159"/>
  <c r="S356" i="159"/>
  <c r="S393" i="159"/>
  <c r="S329" i="159"/>
  <c r="S370" i="159"/>
  <c r="S381" i="159"/>
  <c r="S399" i="159"/>
  <c r="S335" i="159"/>
  <c r="S392" i="159"/>
  <c r="S404" i="159"/>
  <c r="S319" i="159"/>
  <c r="S379" i="159"/>
  <c r="S315" i="159"/>
  <c r="S348" i="159"/>
  <c r="S385" i="159"/>
  <c r="S321" i="159"/>
  <c r="S362" i="159"/>
  <c r="S349" i="159"/>
  <c r="S391" i="159"/>
  <c r="S327" i="159"/>
  <c r="S384" i="159"/>
  <c r="S320" i="159"/>
  <c r="S366" i="159"/>
  <c r="S371" i="159"/>
  <c r="S313" i="159"/>
  <c r="S405" i="159"/>
  <c r="S363" i="159"/>
  <c r="S396" i="159"/>
  <c r="S332" i="159"/>
  <c r="S369" i="159"/>
  <c r="S410" i="159"/>
  <c r="S346" i="159"/>
  <c r="S325" i="159"/>
  <c r="S375" i="159"/>
  <c r="S373" i="159"/>
  <c r="S368" i="159"/>
  <c r="S357" i="159"/>
  <c r="S350" i="159"/>
  <c r="S354" i="159"/>
</calcChain>
</file>

<file path=xl/sharedStrings.xml><?xml version="1.0" encoding="utf-8"?>
<sst xmlns="http://schemas.openxmlformats.org/spreadsheetml/2006/main" count="2901" uniqueCount="855">
  <si>
    <t>X</t>
  </si>
  <si>
    <t>Y</t>
  </si>
  <si>
    <t>Z</t>
  </si>
  <si>
    <t>C</t>
  </si>
  <si>
    <t>HITUNGAN   POLIGON</t>
  </si>
  <si>
    <t>Proyek</t>
  </si>
  <si>
    <t>:</t>
  </si>
  <si>
    <t xml:space="preserve">Dihitung Oleh </t>
  </si>
  <si>
    <t>Tanggal</t>
  </si>
  <si>
    <t>No</t>
  </si>
  <si>
    <t>Koreksi X</t>
  </si>
  <si>
    <t>Koreksi Y</t>
  </si>
  <si>
    <t>DZ</t>
  </si>
  <si>
    <t>Koreksi Z</t>
  </si>
  <si>
    <t>T</t>
  </si>
  <si>
    <t>D</t>
  </si>
  <si>
    <t>S</t>
  </si>
  <si>
    <t>Jumlah</t>
  </si>
  <si>
    <t>Koreksi tiap titik =</t>
  </si>
  <si>
    <t>=</t>
  </si>
  <si>
    <t>Toleransi Koreksi Jarak</t>
  </si>
  <si>
    <r>
      <t>Ö</t>
    </r>
    <r>
      <rPr>
        <sz val="8"/>
        <rFont val="Arial"/>
        <family val="2"/>
      </rPr>
      <t>D     =</t>
    </r>
  </si>
  <si>
    <t>mm</t>
  </si>
  <si>
    <t>Toleransi sudut ijin =</t>
  </si>
  <si>
    <r>
      <t>Ö</t>
    </r>
    <r>
      <rPr>
        <sz val="8"/>
        <rFont val="Arial"/>
        <family val="2"/>
      </rPr>
      <t>n  =</t>
    </r>
  </si>
  <si>
    <t>Koreksi Jarak Hasil Pengukuran</t>
  </si>
  <si>
    <t>Toleransi sudut :</t>
  </si>
  <si>
    <t>Memenuhi/tidak memenuhi</t>
  </si>
  <si>
    <t>Jalur</t>
  </si>
  <si>
    <r>
      <t>D</t>
    </r>
    <r>
      <rPr>
        <b/>
        <sz val="8"/>
        <rFont val="Arial"/>
        <family val="2"/>
      </rPr>
      <t>X</t>
    </r>
  </si>
  <si>
    <r>
      <t>D</t>
    </r>
    <r>
      <rPr>
        <b/>
        <sz val="8"/>
        <rFont val="Arial"/>
        <family val="2"/>
      </rPr>
      <t>Y</t>
    </r>
  </si>
  <si>
    <t>Koreksi sudut</t>
  </si>
  <si>
    <t>Tinggi alat</t>
  </si>
  <si>
    <t>Tinggi target</t>
  </si>
  <si>
    <t>Titik Poligon</t>
  </si>
  <si>
    <t>Sudut Horisontal</t>
  </si>
  <si>
    <t>Sudut Vertikal</t>
  </si>
  <si>
    <t>Azimuth</t>
  </si>
  <si>
    <t>Jarak Miring</t>
  </si>
  <si>
    <t>Jarak Datar</t>
  </si>
  <si>
    <t>Koordinat   (m)</t>
  </si>
  <si>
    <t>Absis  (X)</t>
  </si>
  <si>
    <t>Ordinat  (Y)</t>
  </si>
  <si>
    <t>Patok</t>
  </si>
  <si>
    <t>Keterangan</t>
  </si>
  <si>
    <t>Keterangan Tambahan</t>
  </si>
  <si>
    <t>#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</si>
  <si>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</si>
  <si>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</si>
  <si>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</si>
  <si>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</si>
  <si>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</si>
  <si>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</si>
  <si>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</si>
  <si>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</si>
  <si>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</si>
  <si>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</si>
  <si>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</si>
  <si>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</si>
  <si>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</si>
  <si>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</si>
  <si>
    <t>K20</t>
  </si>
  <si>
    <t>K19</t>
  </si>
  <si>
    <t>SS</t>
  </si>
  <si>
    <t>T1L</t>
  </si>
  <si>
    <t>D1L</t>
  </si>
  <si>
    <t>Ji</t>
  </si>
  <si>
    <t>K21</t>
  </si>
  <si>
    <t>K22</t>
  </si>
  <si>
    <t>K25</t>
  </si>
  <si>
    <t>K23</t>
  </si>
  <si>
    <t>K24</t>
  </si>
  <si>
    <t>K26</t>
  </si>
  <si>
    <t>K27</t>
  </si>
  <si>
    <t>K28</t>
  </si>
  <si>
    <t>K29</t>
  </si>
  <si>
    <t>DS.Gr</t>
  </si>
  <si>
    <t>TG.Gr</t>
  </si>
  <si>
    <t>K30</t>
  </si>
  <si>
    <t>K53</t>
  </si>
  <si>
    <t>11T</t>
  </si>
  <si>
    <t>K54</t>
  </si>
  <si>
    <t>K55</t>
  </si>
  <si>
    <t>Poligon</t>
  </si>
  <si>
    <t>WP</t>
  </si>
  <si>
    <t>BM/CP</t>
  </si>
  <si>
    <t>azimuth</t>
  </si>
  <si>
    <t>Titik</t>
  </si>
  <si>
    <t>Referensi</t>
  </si>
  <si>
    <t>awal</t>
  </si>
  <si>
    <t>akhir</t>
  </si>
  <si>
    <t>"</t>
  </si>
  <si>
    <t>P</t>
  </si>
  <si>
    <t>+ koreksi</t>
  </si>
  <si>
    <t>BS</t>
  </si>
  <si>
    <t>Koreksi sudut  :</t>
  </si>
  <si>
    <t>Koreksi jarak  :</t>
  </si>
  <si>
    <t>Koreksi Elevasi</t>
  </si>
  <si>
    <t>359°59'58"</t>
  </si>
  <si>
    <t>89°51'16"</t>
  </si>
  <si>
    <t>268°31'07"</t>
  </si>
  <si>
    <t>91°09'21"</t>
  </si>
  <si>
    <t>268°31'08"</t>
  </si>
  <si>
    <t>95°34'28"</t>
  </si>
  <si>
    <t>88°15'27"</t>
  </si>
  <si>
    <t>122°11'47"</t>
  </si>
  <si>
    <t>88°15'10"</t>
  </si>
  <si>
    <t>105°36'14"</t>
  </si>
  <si>
    <t>88°15'17"</t>
  </si>
  <si>
    <t>111°12'22"</t>
  </si>
  <si>
    <t>88°15'13"</t>
  </si>
  <si>
    <t>111°55'58"</t>
  </si>
  <si>
    <t>88°15'11"</t>
  </si>
  <si>
    <t>111°27'58"</t>
  </si>
  <si>
    <t>88°15'12"</t>
  </si>
  <si>
    <t>110°32'53"</t>
  </si>
  <si>
    <t>88°15'07"</t>
  </si>
  <si>
    <t>105°12'44"</t>
  </si>
  <si>
    <t>105°56'07"</t>
  </si>
  <si>
    <t>109°16'19"</t>
  </si>
  <si>
    <t>88°15'08"</t>
  </si>
  <si>
    <t>104°37'18"</t>
  </si>
  <si>
    <t>88°15'05"</t>
  </si>
  <si>
    <t>99°54'43"</t>
  </si>
  <si>
    <t>88°14'58"</t>
  </si>
  <si>
    <t>96°15'36"</t>
  </si>
  <si>
    <t>88°14'56"</t>
  </si>
  <si>
    <t>93°10'34"</t>
  </si>
  <si>
    <t>95°09'34"</t>
  </si>
  <si>
    <t>88°14'57"</t>
  </si>
  <si>
    <t>95°09'53"</t>
  </si>
  <si>
    <t>88°14'59"</t>
  </si>
  <si>
    <t>94°52'06"</t>
  </si>
  <si>
    <t>94°34'54"</t>
  </si>
  <si>
    <t>88°15'00"</t>
  </si>
  <si>
    <t>94°35'11"</t>
  </si>
  <si>
    <t>95°09'08"</t>
  </si>
  <si>
    <t>95°17'02"</t>
  </si>
  <si>
    <t>95°14'50"</t>
  </si>
  <si>
    <t>94°58'16"</t>
  </si>
  <si>
    <t>92°06'40"</t>
  </si>
  <si>
    <t>88°14'55"</t>
  </si>
  <si>
    <t>91°29'07"</t>
  </si>
  <si>
    <t>189°34'01"</t>
  </si>
  <si>
    <t>90°13'33"</t>
  </si>
  <si>
    <t>125°28'28"</t>
  </si>
  <si>
    <t>91°10'44"</t>
  </si>
  <si>
    <t>180°10'18"</t>
  </si>
  <si>
    <t>89°45'10"</t>
  </si>
  <si>
    <t>179°22'14"</t>
  </si>
  <si>
    <t>90°19'12"</t>
  </si>
  <si>
    <t>127°37'58"</t>
  </si>
  <si>
    <t>91°34'43"</t>
  </si>
  <si>
    <t>175°01'32"</t>
  </si>
  <si>
    <t>92°45'49"</t>
  </si>
  <si>
    <t>166°31'41"</t>
  </si>
  <si>
    <t>94°12'30"</t>
  </si>
  <si>
    <t>166°01'05"</t>
  </si>
  <si>
    <t>94°56'11"</t>
  </si>
  <si>
    <t>166°08'46"</t>
  </si>
  <si>
    <t>94°59'15"</t>
  </si>
  <si>
    <t>165°50'53"</t>
  </si>
  <si>
    <t>94°53'07"</t>
  </si>
  <si>
    <t>165°18'41"</t>
  </si>
  <si>
    <t>94°05'54"</t>
  </si>
  <si>
    <t>161°08'20"</t>
  </si>
  <si>
    <t>94°35'49"</t>
  </si>
  <si>
    <t>160°26'14"</t>
  </si>
  <si>
    <t>95°00'17"</t>
  </si>
  <si>
    <t>129°44'49"</t>
  </si>
  <si>
    <t>93°47'35"</t>
  </si>
  <si>
    <t>129°50'15"</t>
  </si>
  <si>
    <t>94°02'40"</t>
  </si>
  <si>
    <t>130°01'52"</t>
  </si>
  <si>
    <t>130°05'29"</t>
  </si>
  <si>
    <t>93°54'42"</t>
  </si>
  <si>
    <t>130°07'27"</t>
  </si>
  <si>
    <t>93°30'04"</t>
  </si>
  <si>
    <t>130°13'30"</t>
  </si>
  <si>
    <t>130°18'33"</t>
  </si>
  <si>
    <t>93°40'43"</t>
  </si>
  <si>
    <t>132°28'33"</t>
  </si>
  <si>
    <t>93°48'10"</t>
  </si>
  <si>
    <t>132°43'03"</t>
  </si>
  <si>
    <t>93°46'57"</t>
  </si>
  <si>
    <t>133°57'36"</t>
  </si>
  <si>
    <t>94°32'38"</t>
  </si>
  <si>
    <t>155°23'00"</t>
  </si>
  <si>
    <t>98°19'03"</t>
  </si>
  <si>
    <t>145°42'32"</t>
  </si>
  <si>
    <t>97°37'13"</t>
  </si>
  <si>
    <t>137°02'36"</t>
  </si>
  <si>
    <t>96°47'12"</t>
  </si>
  <si>
    <t>167°03'10"</t>
  </si>
  <si>
    <t>94°22'51"</t>
  </si>
  <si>
    <t>161°13'08"</t>
  </si>
  <si>
    <t>94°19'51"</t>
  </si>
  <si>
    <t>155°16'01"</t>
  </si>
  <si>
    <t>94°10'23"</t>
  </si>
  <si>
    <t>145°10'31"</t>
  </si>
  <si>
    <t>90°47'20"</t>
  </si>
  <si>
    <t>147°26'13"</t>
  </si>
  <si>
    <t>91°04'40"</t>
  </si>
  <si>
    <t>149°27'01"</t>
  </si>
  <si>
    <t>92°32'54"</t>
  </si>
  <si>
    <t>149°35'23"</t>
  </si>
  <si>
    <t>92°41'02"</t>
  </si>
  <si>
    <t>149°40'39"</t>
  </si>
  <si>
    <t>92°41'03"</t>
  </si>
  <si>
    <t>149°42'31"</t>
  </si>
  <si>
    <t>92°37'20"</t>
  </si>
  <si>
    <t>149°45'04"</t>
  </si>
  <si>
    <t>92°19'15"</t>
  </si>
  <si>
    <t>149°49'41"</t>
  </si>
  <si>
    <t>149°51'46"</t>
  </si>
  <si>
    <t>92°27'16"</t>
  </si>
  <si>
    <t>151°38'42"</t>
  </si>
  <si>
    <t>92°28'35"</t>
  </si>
  <si>
    <t>151°55'31"</t>
  </si>
  <si>
    <t>92°27'06"</t>
  </si>
  <si>
    <t>152°49'11"</t>
  </si>
  <si>
    <t>92°52'37"</t>
  </si>
  <si>
    <t>170°00'33"</t>
  </si>
  <si>
    <t>92°34'54"</t>
  </si>
  <si>
    <t>170°39'48"</t>
  </si>
  <si>
    <t>92°15'04"</t>
  </si>
  <si>
    <t>172°46'39"</t>
  </si>
  <si>
    <t>92°22'41"</t>
  </si>
  <si>
    <t>172°56'55"</t>
  </si>
  <si>
    <t>92°31'52"</t>
  </si>
  <si>
    <t>173°04'28"</t>
  </si>
  <si>
    <t>173°10'24"</t>
  </si>
  <si>
    <t>92°21'24"</t>
  </si>
  <si>
    <t>175°49'29"</t>
  </si>
  <si>
    <t>90°32'20"</t>
  </si>
  <si>
    <t>177°54'16"</t>
  </si>
  <si>
    <t>90°35'01"</t>
  </si>
  <si>
    <t>180°03'29"</t>
  </si>
  <si>
    <t>89°10'08"</t>
  </si>
  <si>
    <t>188°32'59"</t>
  </si>
  <si>
    <t>89°27'52"</t>
  </si>
  <si>
    <t>180°04'30"</t>
  </si>
  <si>
    <t>89°43'54"</t>
  </si>
  <si>
    <t>0°04'28"</t>
  </si>
  <si>
    <t>89°57'10"</t>
  </si>
  <si>
    <t>179°55'35"</t>
  </si>
  <si>
    <t>90°09'35"</t>
  </si>
  <si>
    <t>359°55'35"</t>
  </si>
  <si>
    <t>89°35'29"</t>
  </si>
  <si>
    <t>359°55'31"</t>
  </si>
  <si>
    <t>89°35'28"</t>
  </si>
  <si>
    <t>359°46'17"</t>
  </si>
  <si>
    <t>89°23'56"</t>
  </si>
  <si>
    <t>359°07'18"</t>
  </si>
  <si>
    <t>89°08'45"</t>
  </si>
  <si>
    <t>347°50'40"</t>
  </si>
  <si>
    <t>89°56'44"</t>
  </si>
  <si>
    <t>353°36'23"</t>
  </si>
  <si>
    <t>89°55'35"</t>
  </si>
  <si>
    <t>353°45'58"</t>
  </si>
  <si>
    <t>89°44'47"</t>
  </si>
  <si>
    <t>359°41'03"</t>
  </si>
  <si>
    <t>89°31'50"</t>
  </si>
  <si>
    <t>2°07'30"</t>
  </si>
  <si>
    <t>91°01'50"</t>
  </si>
  <si>
    <t>4°31'14"</t>
  </si>
  <si>
    <t>91°04'08"</t>
  </si>
  <si>
    <t>7°23'02"</t>
  </si>
  <si>
    <t>92°56'33"</t>
  </si>
  <si>
    <t>7°35'20"</t>
  </si>
  <si>
    <t>93°06'46"</t>
  </si>
  <si>
    <t>7°45'30"</t>
  </si>
  <si>
    <t>93°04'59"</t>
  </si>
  <si>
    <t>7°50'11"</t>
  </si>
  <si>
    <t>92°57'45"</t>
  </si>
  <si>
    <t>10°22'40"</t>
  </si>
  <si>
    <t>92°54'17"</t>
  </si>
  <si>
    <t>10°58'33"</t>
  </si>
  <si>
    <t>93°10'47"</t>
  </si>
  <si>
    <t>38°16'37"</t>
  </si>
  <si>
    <t>90°38'32"</t>
  </si>
  <si>
    <t>35°48'00"</t>
  </si>
  <si>
    <t>90°51'22"</t>
  </si>
  <si>
    <t>33°27'32"</t>
  </si>
  <si>
    <t>92°29'30"</t>
  </si>
  <si>
    <t>33°24'12"</t>
  </si>
  <si>
    <t>92°35'36"</t>
  </si>
  <si>
    <t>33°16'10"</t>
  </si>
  <si>
    <t>92°35'24"</t>
  </si>
  <si>
    <t>33°12'15"</t>
  </si>
  <si>
    <t>92°32'33"</t>
  </si>
  <si>
    <t>33°09'36"</t>
  </si>
  <si>
    <t>92°14'51"</t>
  </si>
  <si>
    <t>33°05'31"</t>
  </si>
  <si>
    <t>92°14'52"</t>
  </si>
  <si>
    <t>33°03'37"</t>
  </si>
  <si>
    <t>92°23'04"</t>
  </si>
  <si>
    <t>31°10'29"</t>
  </si>
  <si>
    <t>92°24'12"</t>
  </si>
  <si>
    <t>30°59'43"</t>
  </si>
  <si>
    <t>92°21'09"</t>
  </si>
  <si>
    <t>30°38'29"</t>
  </si>
  <si>
    <t>92°28'58"</t>
  </si>
  <si>
    <t>14°14'32"</t>
  </si>
  <si>
    <t>94°37'41"</t>
  </si>
  <si>
    <t>30°02'50"</t>
  </si>
  <si>
    <t>92°51'02"</t>
  </si>
  <si>
    <t>27°16'53"</t>
  </si>
  <si>
    <t>94°18'59"</t>
  </si>
  <si>
    <t>22°46'24"</t>
  </si>
  <si>
    <t>94°27'06"</t>
  </si>
  <si>
    <t>339°14'50"</t>
  </si>
  <si>
    <t>90°17'53"</t>
  </si>
  <si>
    <t>352°35'09"</t>
  </si>
  <si>
    <t>90°22'01"</t>
  </si>
  <si>
    <t>353°25'15"</t>
  </si>
  <si>
    <t>89°44'55"</t>
  </si>
  <si>
    <t>359°13'23"</t>
  </si>
  <si>
    <t>89°26'34"</t>
  </si>
  <si>
    <t>4°46'13"</t>
  </si>
  <si>
    <t>92°33'25"</t>
  </si>
  <si>
    <t>8°43'20"</t>
  </si>
  <si>
    <t>92°24'58"</t>
  </si>
  <si>
    <t>14°26'44"</t>
  </si>
  <si>
    <t>95°44'28"</t>
  </si>
  <si>
    <t>14°51'01"</t>
  </si>
  <si>
    <t>96°03'29"</t>
  </si>
  <si>
    <t>15°09'46"</t>
  </si>
  <si>
    <t>96°03'30"</t>
  </si>
  <si>
    <t>15°21'37"</t>
  </si>
  <si>
    <t>95°45'02"</t>
  </si>
  <si>
    <t>20°21'08"</t>
  </si>
  <si>
    <t>95°36'10"</t>
  </si>
  <si>
    <t>21°14'07"</t>
  </si>
  <si>
    <t>96°02'29"</t>
  </si>
  <si>
    <t>49°24'30"</t>
  </si>
  <si>
    <t>94°17'14"</t>
  </si>
  <si>
    <t>49°44'22"</t>
  </si>
  <si>
    <t>93°44'32"</t>
  </si>
  <si>
    <t>50°02'50"</t>
  </si>
  <si>
    <t>93°38'29"</t>
  </si>
  <si>
    <t>52°19'42"</t>
  </si>
  <si>
    <t>93°27'35"</t>
  </si>
  <si>
    <t>52°23'46"</t>
  </si>
  <si>
    <t>93°16'20"</t>
  </si>
  <si>
    <t>52°26'47"</t>
  </si>
  <si>
    <t>93°16'24"</t>
  </si>
  <si>
    <t>52°29'16"</t>
  </si>
  <si>
    <t>93°39'11"</t>
  </si>
  <si>
    <t>52°35'11"</t>
  </si>
  <si>
    <t>93°42'08"</t>
  </si>
  <si>
    <t>52°39'45"</t>
  </si>
  <si>
    <t>93°39'49"</t>
  </si>
  <si>
    <t>52°44'48"</t>
  </si>
  <si>
    <t>93°25'50"</t>
  </si>
  <si>
    <t>54°55'43"</t>
  </si>
  <si>
    <t>91°12'08"</t>
  </si>
  <si>
    <t>57°02'39"</t>
  </si>
  <si>
    <t>90°42'20"</t>
  </si>
  <si>
    <t>26°50'26"</t>
  </si>
  <si>
    <t>98°31'12"</t>
  </si>
  <si>
    <t>37°43'30"</t>
  </si>
  <si>
    <t>97°34'18"</t>
  </si>
  <si>
    <t>45°47'03"</t>
  </si>
  <si>
    <t>96°39'44"</t>
  </si>
  <si>
    <t>92°26'54"</t>
  </si>
  <si>
    <t>99°19'19"</t>
  </si>
  <si>
    <t>92°10'40"</t>
  </si>
  <si>
    <t>101°55'10"</t>
  </si>
  <si>
    <t>92°10'44"</t>
  </si>
  <si>
    <t>108°14'47"</t>
  </si>
  <si>
    <t>92°10'41"</t>
  </si>
  <si>
    <t>95°37'28"</t>
  </si>
  <si>
    <t>92°16'28"</t>
  </si>
  <si>
    <t>94°41'31"</t>
  </si>
  <si>
    <t>92°16'27"</t>
  </si>
  <si>
    <t>94°36'00"</t>
  </si>
  <si>
    <t>94°18'04"</t>
  </si>
  <si>
    <t>92°19'28"</t>
  </si>
  <si>
    <t>94°06'24"</t>
  </si>
  <si>
    <t>92°19'30"</t>
  </si>
  <si>
    <t>94°18'12"</t>
  </si>
  <si>
    <t>92°19'29"</t>
  </si>
  <si>
    <t>94°06'23"</t>
  </si>
  <si>
    <t>92°15'12"</t>
  </si>
  <si>
    <t>94°38'07"</t>
  </si>
  <si>
    <t>92°14'37"</t>
  </si>
  <si>
    <t>94°47'52"</t>
  </si>
  <si>
    <t>92°15'44"</t>
  </si>
  <si>
    <t>94°47'51"</t>
  </si>
  <si>
    <t>92°13'09"</t>
  </si>
  <si>
    <t>94°42'48"</t>
  </si>
  <si>
    <t>94°29'08"</t>
  </si>
  <si>
    <t>92°10'55"</t>
  </si>
  <si>
    <t>91°22'12"</t>
  </si>
  <si>
    <t>92°12'16"</t>
  </si>
  <si>
    <t>90°26'29"</t>
  </si>
  <si>
    <t>93°26'19"</t>
  </si>
  <si>
    <t>106°25'40"</t>
  </si>
  <si>
    <t>93°21'52"</t>
  </si>
  <si>
    <t>106°01'52"</t>
  </si>
  <si>
    <t>93°35'21"</t>
  </si>
  <si>
    <t>111°47'07"</t>
  </si>
  <si>
    <t>93°54'32"</t>
  </si>
  <si>
    <t>110°55'55"</t>
  </si>
  <si>
    <t>93°49'42"</t>
  </si>
  <si>
    <t>111°52'04"</t>
  </si>
  <si>
    <t>93°53'57"</t>
  </si>
  <si>
    <t>112°33'34"</t>
  </si>
  <si>
    <t>111°28'28"</t>
  </si>
  <si>
    <t>94°00'45"</t>
  </si>
  <si>
    <t>104°54'09"</t>
  </si>
  <si>
    <t>94°00'46"</t>
  </si>
  <si>
    <t>119°33'30"</t>
  </si>
  <si>
    <t>94°28'53"</t>
  </si>
  <si>
    <t>95°25'34"</t>
  </si>
  <si>
    <t>274°31'10"</t>
  </si>
  <si>
    <t>88°45'30"</t>
  </si>
  <si>
    <t>274°05'04"</t>
  </si>
  <si>
    <t>93°32'01"</t>
  </si>
  <si>
    <t>274°05'05"</t>
  </si>
  <si>
    <t>91°41'36"</t>
  </si>
  <si>
    <t>179°42'48"</t>
  </si>
  <si>
    <t>89°46'09"</t>
  </si>
  <si>
    <t>183°38'37"</t>
  </si>
  <si>
    <t>90°04'39"</t>
  </si>
  <si>
    <t>191°44'30"</t>
  </si>
  <si>
    <t>90°27'55"</t>
  </si>
  <si>
    <t>179°46'19"</t>
  </si>
  <si>
    <t>89°55'26"</t>
  </si>
  <si>
    <t>176°38'23"</t>
  </si>
  <si>
    <t>91°43'57"</t>
  </si>
  <si>
    <t>172°25'28"</t>
  </si>
  <si>
    <t>91°55'47"</t>
  </si>
  <si>
    <t>168°10'54"</t>
  </si>
  <si>
    <t>93°29'52"</t>
  </si>
  <si>
    <t>167°49'41"</t>
  </si>
  <si>
    <t>93°51'59"</t>
  </si>
  <si>
    <t>167°31'52"</t>
  </si>
  <si>
    <t>93°57'53"</t>
  </si>
  <si>
    <t>167°21'53"</t>
  </si>
  <si>
    <t>93°39'39"</t>
  </si>
  <si>
    <t>162°55'14"</t>
  </si>
  <si>
    <t>93°46'13"</t>
  </si>
  <si>
    <t>162°15'57"</t>
  </si>
  <si>
    <t>94°05'57"</t>
  </si>
  <si>
    <t>157°23'06"</t>
  </si>
  <si>
    <t>97°12'53"</t>
  </si>
  <si>
    <t>147°37'50"</t>
  </si>
  <si>
    <t>96°35'26"</t>
  </si>
  <si>
    <t>140°04'39"</t>
  </si>
  <si>
    <t>95°59'01"</t>
  </si>
  <si>
    <t>137°02'10"</t>
  </si>
  <si>
    <t>93°50'38"</t>
  </si>
  <si>
    <t>136°16'32"</t>
  </si>
  <si>
    <t>93°18'17"</t>
  </si>
  <si>
    <t>135°52'51"</t>
  </si>
  <si>
    <t>93°10'22"</t>
  </si>
  <si>
    <t>135°43'23"</t>
  </si>
  <si>
    <t>93°11'36"</t>
  </si>
  <si>
    <t>133°47'39"</t>
  </si>
  <si>
    <t>93°07'00"</t>
  </si>
  <si>
    <t>133°45'07"</t>
  </si>
  <si>
    <t>92°59'17"</t>
  </si>
  <si>
    <t>133°41'10"</t>
  </si>
  <si>
    <t>92°59'16"</t>
  </si>
  <si>
    <t>133°42'28"</t>
  </si>
  <si>
    <t>93°16'44"</t>
  </si>
  <si>
    <t>133°49'59"</t>
  </si>
  <si>
    <t>93°25'51"</t>
  </si>
  <si>
    <t>133°41'21"</t>
  </si>
  <si>
    <t>133°33'14"</t>
  </si>
  <si>
    <t>93°13'19"</t>
  </si>
  <si>
    <t>131°13'00"</t>
  </si>
  <si>
    <t>91°05'49"</t>
  </si>
  <si>
    <t>129°22'42"</t>
  </si>
  <si>
    <t>90°10'06"</t>
  </si>
  <si>
    <t>179°43'52"</t>
  </si>
  <si>
    <t>89°57'49"</t>
  </si>
  <si>
    <t>185°50'43"</t>
  </si>
  <si>
    <t>90°15'01"</t>
  </si>
  <si>
    <t>179°43'07"</t>
  </si>
  <si>
    <t>90°06'44"</t>
  </si>
  <si>
    <t>178°09'00"</t>
  </si>
  <si>
    <t>90°55'15"</t>
  </si>
  <si>
    <t>176°00'39"</t>
  </si>
  <si>
    <t>91°00'26"</t>
  </si>
  <si>
    <t>173°26'31"</t>
  </si>
  <si>
    <t>92°25'37"</t>
  </si>
  <si>
    <t>173°12'43"</t>
  </si>
  <si>
    <t>92°05'52"</t>
  </si>
  <si>
    <t>173°06'15"</t>
  </si>
  <si>
    <t>92°05'44"</t>
  </si>
  <si>
    <t>172°58'40"</t>
  </si>
  <si>
    <t>91°54'59"</t>
  </si>
  <si>
    <t>170°42'46"</t>
  </si>
  <si>
    <t>92°00'36"</t>
  </si>
  <si>
    <t>170°16'34"</t>
  </si>
  <si>
    <t>92°15'51"</t>
  </si>
  <si>
    <t>146°02'06"</t>
  </si>
  <si>
    <t>90°15'53"</t>
  </si>
  <si>
    <t>147°55'01"</t>
  </si>
  <si>
    <t>90°49'00"</t>
  </si>
  <si>
    <t>149°53'12"</t>
  </si>
  <si>
    <t>92°12'22"</t>
  </si>
  <si>
    <t>150°00'35"</t>
  </si>
  <si>
    <t>92°17'42"</t>
  </si>
  <si>
    <t>150°02'46"</t>
  </si>
  <si>
    <t>92°25'16"</t>
  </si>
  <si>
    <t>150°08'18"</t>
  </si>
  <si>
    <t>92°27'02"</t>
  </si>
  <si>
    <t>150°12'02"</t>
  </si>
  <si>
    <t>92°19'58"</t>
  </si>
  <si>
    <t>150°13'37"</t>
  </si>
  <si>
    <t>92°01'07"</t>
  </si>
  <si>
    <t>150°17'05"</t>
  </si>
  <si>
    <t>92°01'08"</t>
  </si>
  <si>
    <t>150°21'51"</t>
  </si>
  <si>
    <t>92°08'14"</t>
  </si>
  <si>
    <t>152°00'43"</t>
  </si>
  <si>
    <t>92°08'12"</t>
  </si>
  <si>
    <t>152°15'36"</t>
  </si>
  <si>
    <t>92°08'11"</t>
  </si>
  <si>
    <t>152°46'46"</t>
  </si>
  <si>
    <t>92°13'04"</t>
  </si>
  <si>
    <t>153°15'13"</t>
  </si>
  <si>
    <t>92°32'46"</t>
  </si>
  <si>
    <t>167°22'46"</t>
  </si>
  <si>
    <t>94°08'21"</t>
  </si>
  <si>
    <t>160°58'09"</t>
  </si>
  <si>
    <t>155°44'12"</t>
  </si>
  <si>
    <t>93°50'49"</t>
  </si>
  <si>
    <t>179°29'52"</t>
  </si>
  <si>
    <t>90°08'21"</t>
  </si>
  <si>
    <t>179°44'55"</t>
  </si>
  <si>
    <t>90°08'32"</t>
  </si>
  <si>
    <t>359°44'53"</t>
  </si>
  <si>
    <t>89°41'09"</t>
  </si>
  <si>
    <t>78°47'38"</t>
  </si>
  <si>
    <t>95°39'00"</t>
  </si>
  <si>
    <t>79°03'06"</t>
  </si>
  <si>
    <t>94°52'21"</t>
  </si>
  <si>
    <t>79°03'10"</t>
  </si>
  <si>
    <t>94°52'25"</t>
  </si>
  <si>
    <t>79°52'28"</t>
  </si>
  <si>
    <t>93°38'38"</t>
  </si>
  <si>
    <t>80°48'14"</t>
  </si>
  <si>
    <t>94°00'21"</t>
  </si>
  <si>
    <t>80°17'54"</t>
  </si>
  <si>
    <t>94°37'46"</t>
  </si>
  <si>
    <t>91°10'10"</t>
  </si>
  <si>
    <t>94°56'54"</t>
  </si>
  <si>
    <t>91°10'23"</t>
  </si>
  <si>
    <t>94°01'47"</t>
  </si>
  <si>
    <t>91°10'21"</t>
  </si>
  <si>
    <t>93°49'40"</t>
  </si>
  <si>
    <t>91°11'23"</t>
  </si>
  <si>
    <t>93°51'29"</t>
  </si>
  <si>
    <t>91°11'53"</t>
  </si>
  <si>
    <t>93°39'50"</t>
  </si>
  <si>
    <t>91°11'52"</t>
  </si>
  <si>
    <t>93°27'46"</t>
  </si>
  <si>
    <t>93°27'44"</t>
  </si>
  <si>
    <t>91°11'49"</t>
  </si>
  <si>
    <t>94°02'57"</t>
  </si>
  <si>
    <t>91°12'15"</t>
  </si>
  <si>
    <t>94°15'14"</t>
  </si>
  <si>
    <t>91°12'18"</t>
  </si>
  <si>
    <t>94°12'24"</t>
  </si>
  <si>
    <t>91°12'19"</t>
  </si>
  <si>
    <t>93°55'00"</t>
  </si>
  <si>
    <t>91°12'17"</t>
  </si>
  <si>
    <t>90°44'04"</t>
  </si>
  <si>
    <t>91°12'20"</t>
  </si>
  <si>
    <t>90°24'27"</t>
  </si>
  <si>
    <t>272°55'34"</t>
  </si>
  <si>
    <t>88°22'27"</t>
  </si>
  <si>
    <t>273°05'48"</t>
  </si>
  <si>
    <t>91°13'06"</t>
  </si>
  <si>
    <t>90°59'56"</t>
  </si>
  <si>
    <t>91°28'23"</t>
  </si>
  <si>
    <t>91°11'21"</t>
  </si>
  <si>
    <t>91°28'10"</t>
  </si>
  <si>
    <t>110°46'33"</t>
  </si>
  <si>
    <t>91°28'20"</t>
  </si>
  <si>
    <t>99°04'14"</t>
  </si>
  <si>
    <t>92°12'00"</t>
  </si>
  <si>
    <t>104°58'00"</t>
  </si>
  <si>
    <t>92°12'04"</t>
  </si>
  <si>
    <t>106°26'46"</t>
  </si>
  <si>
    <t>92°11'45"</t>
  </si>
  <si>
    <t>105°55'46"</t>
  </si>
  <si>
    <t>92°11'42"</t>
  </si>
  <si>
    <t>103°47'35"</t>
  </si>
  <si>
    <t>92°11'46"</t>
  </si>
  <si>
    <t>100°23'38"</t>
  </si>
  <si>
    <t>101°36'12"</t>
  </si>
  <si>
    <t>92°11'35"</t>
  </si>
  <si>
    <t>107°29'20"</t>
  </si>
  <si>
    <t>91°57'09"</t>
  </si>
  <si>
    <t>101°22'54"</t>
  </si>
  <si>
    <t>91°58'51"</t>
  </si>
  <si>
    <t>98°35'14"</t>
  </si>
  <si>
    <t>44°32'50"</t>
  </si>
  <si>
    <t>96°01'24"</t>
  </si>
  <si>
    <t>36°33'26"</t>
  </si>
  <si>
    <t>96°49'16"</t>
  </si>
  <si>
    <t>25°42'38"</t>
  </si>
  <si>
    <t>25°45'36"</t>
  </si>
  <si>
    <t>97°38'37"</t>
  </si>
  <si>
    <t>56°40'15"</t>
  </si>
  <si>
    <t>90°13'57"</t>
  </si>
  <si>
    <t>54°15'11"</t>
  </si>
  <si>
    <t>90°46'09"</t>
  </si>
  <si>
    <t>52°29'55"</t>
  </si>
  <si>
    <t>93°03'05"</t>
  </si>
  <si>
    <t>52°23'09"</t>
  </si>
  <si>
    <t>93°19'31"</t>
  </si>
  <si>
    <t>52°14'02"</t>
  </si>
  <si>
    <t>93°22'53"</t>
  </si>
  <si>
    <t>52°09'56"</t>
  </si>
  <si>
    <t>93°10'51"</t>
  </si>
  <si>
    <t>92°43'02"</t>
  </si>
  <si>
    <t>52°00'53"</t>
  </si>
  <si>
    <t>51°59'48"</t>
  </si>
  <si>
    <t>92°55'17"</t>
  </si>
  <si>
    <t>49°57'57"</t>
  </si>
  <si>
    <t>92°59'29"</t>
  </si>
  <si>
    <t>49°45'52"</t>
  </si>
  <si>
    <t>93°01'22"</t>
  </si>
  <si>
    <t>49°07'26"</t>
  </si>
  <si>
    <t>93°05'18"</t>
  </si>
  <si>
    <t>48°27'06"</t>
  </si>
  <si>
    <t>93°42'23"</t>
  </si>
  <si>
    <t>19°45'21"</t>
  </si>
  <si>
    <t>93°58'07"</t>
  </si>
  <si>
    <t>19°13'57"</t>
  </si>
  <si>
    <t>93°35'09"</t>
  </si>
  <si>
    <t>14°15'44"</t>
  </si>
  <si>
    <t>93°14'35"</t>
  </si>
  <si>
    <t>13°56'58"</t>
  </si>
  <si>
    <t>93°36'37"</t>
  </si>
  <si>
    <t>13°26'40"</t>
  </si>
  <si>
    <t>93°31'45"</t>
  </si>
  <si>
    <t>13°08'17"</t>
  </si>
  <si>
    <t>93°19'36"</t>
  </si>
  <si>
    <t>7°53'30"</t>
  </si>
  <si>
    <t>90°07'01"</t>
  </si>
  <si>
    <t>2°51'50"</t>
  </si>
  <si>
    <t>89°46'21"</t>
  </si>
  <si>
    <t>0°31'40"</t>
  </si>
  <si>
    <t>88°35'25"</t>
  </si>
  <si>
    <t>355°57'41"</t>
  </si>
  <si>
    <t>88°25'17"</t>
  </si>
  <si>
    <t>355°17'30"</t>
  </si>
  <si>
    <t>88°47'17"</t>
  </si>
  <si>
    <t>348°47'03"</t>
  </si>
  <si>
    <t>88°49'28"</t>
  </si>
  <si>
    <t>180°19'53"</t>
  </si>
  <si>
    <t>89°38'17"</t>
  </si>
  <si>
    <t>0°00'00"</t>
  </si>
  <si>
    <t>89°52'04"</t>
  </si>
  <si>
    <t>1°09'58"</t>
  </si>
  <si>
    <t>90°02'18"</t>
  </si>
  <si>
    <t>1°38'44"</t>
  </si>
  <si>
    <t>90°21'37"</t>
  </si>
  <si>
    <t>358°24'14"</t>
  </si>
  <si>
    <t>90°04'13"</t>
  </si>
  <si>
    <t>355°46'13"</t>
  </si>
  <si>
    <t>88°29'41"</t>
  </si>
  <si>
    <t>354°30'32"</t>
  </si>
  <si>
    <t>88°25'54"</t>
  </si>
  <si>
    <t>4°44'34"</t>
  </si>
  <si>
    <t>91°37'27"</t>
  </si>
  <si>
    <t>11°44'14"</t>
  </si>
  <si>
    <t>91°40'36"</t>
  </si>
  <si>
    <t>18°10'04"</t>
  </si>
  <si>
    <t>91°38'38"</t>
  </si>
  <si>
    <t>20°48'37"</t>
  </si>
  <si>
    <t>90°19'23"</t>
  </si>
  <si>
    <t>21°23'33"</t>
  </si>
  <si>
    <t>89°53'37"</t>
  </si>
  <si>
    <t>21°47'02"</t>
  </si>
  <si>
    <t>89°51'44"</t>
  </si>
  <si>
    <t>22°01'11"</t>
  </si>
  <si>
    <t>89°54'15"</t>
  </si>
  <si>
    <t>24°06'29"</t>
  </si>
  <si>
    <t>89°55'06"</t>
  </si>
  <si>
    <t>24°11'11"</t>
  </si>
  <si>
    <t>89°46'29"</t>
  </si>
  <si>
    <t>24°15'57"</t>
  </si>
  <si>
    <t>89°46'31"</t>
  </si>
  <si>
    <t>24°20'38"</t>
  </si>
  <si>
    <t>90°05'48"</t>
  </si>
  <si>
    <t>24°21'20"</t>
  </si>
  <si>
    <t>90°12'13"</t>
  </si>
  <si>
    <t>24°27'29"</t>
  </si>
  <si>
    <t>90°13'04"</t>
  </si>
  <si>
    <t>24°35'55"</t>
  </si>
  <si>
    <t>89°59'07"</t>
  </si>
  <si>
    <t>26°47'02"</t>
  </si>
  <si>
    <t>88°33'18"</t>
  </si>
  <si>
    <t>28°28'22"</t>
  </si>
  <si>
    <t>87°33'47"</t>
  </si>
  <si>
    <t>30°40'32"</t>
  </si>
  <si>
    <t>87°48'44"</t>
  </si>
  <si>
    <t>33°38'37"</t>
  </si>
  <si>
    <t>92°54'27"</t>
  </si>
  <si>
    <t>21°42'36"</t>
  </si>
  <si>
    <t>93°15'46"</t>
  </si>
  <si>
    <t>10°21'43"</t>
  </si>
  <si>
    <t>93°28'13"</t>
  </si>
  <si>
    <t>51°03'06"</t>
  </si>
  <si>
    <t>87°10'23"</t>
  </si>
  <si>
    <t>46°40'44"</t>
  </si>
  <si>
    <t>86°44'16"</t>
  </si>
  <si>
    <t>45°33'28"</t>
  </si>
  <si>
    <t>87°38'42"</t>
  </si>
  <si>
    <t>42°47'07"</t>
  </si>
  <si>
    <t>89°56'14"</t>
  </si>
  <si>
    <t>42°33'46"</t>
  </si>
  <si>
    <t>90°21'07"</t>
  </si>
  <si>
    <t>42°24'26"</t>
  </si>
  <si>
    <t>42°21'35"</t>
  </si>
  <si>
    <t>90°09'38"</t>
  </si>
  <si>
    <t>42°15'26"</t>
  </si>
  <si>
    <t>89°39'00"</t>
  </si>
  <si>
    <t>42°09'29"</t>
  </si>
  <si>
    <t>89°39'01"</t>
  </si>
  <si>
    <t>42°02'13"</t>
  </si>
  <si>
    <t>89°49'12"</t>
  </si>
  <si>
    <t>39°35'26"</t>
  </si>
  <si>
    <t>89°47'33"</t>
  </si>
  <si>
    <t>39°01'12"</t>
  </si>
  <si>
    <t>89°45'52"</t>
  </si>
  <si>
    <t>38°24'03"</t>
  </si>
  <si>
    <t>89°52'22"</t>
  </si>
  <si>
    <t>37°41'31"</t>
  </si>
  <si>
    <t>90°32'54"</t>
  </si>
  <si>
    <t>3°59'22"</t>
  </si>
  <si>
    <t>90°36'58"</t>
  </si>
  <si>
    <t>3°09'01"</t>
  </si>
  <si>
    <t>90°18'04"</t>
  </si>
  <si>
    <t>359°18'09"</t>
  </si>
  <si>
    <t>90°04'27"</t>
  </si>
  <si>
    <t>357°04'05"</t>
  </si>
  <si>
    <t>90°06'08"</t>
  </si>
  <si>
    <t>351°10'00"</t>
  </si>
  <si>
    <t>86°47'00"</t>
  </si>
  <si>
    <t>347°58'02"</t>
  </si>
  <si>
    <t>86°54'01"</t>
  </si>
  <si>
    <t>90°04'47"</t>
  </si>
  <si>
    <t>107°39'52"</t>
  </si>
  <si>
    <t>90°04'37"</t>
  </si>
  <si>
    <t>98°54'53"</t>
  </si>
  <si>
    <t>90°04'34"</t>
  </si>
  <si>
    <t>95°41'40"</t>
  </si>
  <si>
    <t>90°04'24"</t>
  </si>
  <si>
    <t>92°03'59"</t>
  </si>
  <si>
    <t>90°04'36"</t>
  </si>
  <si>
    <t>102°27'19"</t>
  </si>
  <si>
    <t>90°04'35"</t>
  </si>
  <si>
    <t>103°07'59"</t>
  </si>
  <si>
    <t>104°30'39"</t>
  </si>
  <si>
    <t>90°04'28"</t>
  </si>
  <si>
    <t>93°34'39"</t>
  </si>
  <si>
    <t>267°25'44"</t>
  </si>
  <si>
    <t>95°34'38"</t>
  </si>
  <si>
    <t>267°25'39"</t>
  </si>
  <si>
    <t>103°16'02"</t>
  </si>
  <si>
    <t>267°25'40"</t>
  </si>
  <si>
    <t>102°18'23"</t>
  </si>
  <si>
    <t>94°55'57"</t>
  </si>
  <si>
    <t>267°25'53"</t>
  </si>
  <si>
    <t>67°52'10"</t>
  </si>
  <si>
    <t>267°31'31"</t>
  </si>
  <si>
    <t>77°18'38"</t>
  </si>
  <si>
    <t>91°05'25"</t>
  </si>
  <si>
    <t>89°52'32"</t>
  </si>
  <si>
    <t>89°36'22"</t>
  </si>
  <si>
    <t>91°05'27"</t>
  </si>
  <si>
    <t>89°42'45"</t>
  </si>
  <si>
    <t>91°09'02"</t>
  </si>
  <si>
    <t>89°45'13"</t>
  </si>
  <si>
    <t>90°49'58"</t>
  </si>
  <si>
    <t>89°32'22"</t>
  </si>
  <si>
    <t>90°50'18"</t>
  </si>
  <si>
    <t>89°32'23"</t>
  </si>
  <si>
    <t>90°54'07"</t>
  </si>
  <si>
    <t>90°00'22"</t>
  </si>
  <si>
    <t>90°37'05"</t>
  </si>
  <si>
    <t>90°17'46"</t>
  </si>
  <si>
    <t>90°17'29"</t>
  </si>
  <si>
    <t>90°43'04"</t>
  </si>
  <si>
    <t>89°57'50"</t>
  </si>
  <si>
    <t>90°31'02"</t>
  </si>
  <si>
    <t>86°37'28"</t>
  </si>
  <si>
    <t>90°34'28"</t>
  </si>
  <si>
    <t>86°40'18"</t>
  </si>
  <si>
    <t>11°45'07"</t>
  </si>
  <si>
    <t>93°30'09"</t>
  </si>
  <si>
    <t>10°44'07"</t>
  </si>
  <si>
    <t>91°42'42"</t>
  </si>
  <si>
    <t>354°14'43"</t>
  </si>
  <si>
    <t>92°41'53"</t>
  </si>
  <si>
    <t>355°17'42"</t>
  </si>
  <si>
    <t>90°28'15"</t>
  </si>
  <si>
    <t>188°39'22"</t>
  </si>
  <si>
    <t>86°30'56"</t>
  </si>
  <si>
    <t>182°13'57"</t>
  </si>
  <si>
    <t>90°12'05"</t>
  </si>
  <si>
    <t>180°14'42"</t>
  </si>
  <si>
    <t>89°44'41"</t>
  </si>
  <si>
    <t>175°57'01"</t>
  </si>
  <si>
    <t>90°17'58"</t>
  </si>
  <si>
    <t>175°06'54"</t>
  </si>
  <si>
    <t>90°39'27"</t>
  </si>
  <si>
    <t>156°02'20"</t>
  </si>
  <si>
    <t>94°32'48"</t>
  </si>
  <si>
    <t>146°31'05"</t>
  </si>
  <si>
    <t>94°01'59"</t>
  </si>
  <si>
    <t>141°55'11"</t>
  </si>
  <si>
    <t>91°54'23"</t>
  </si>
  <si>
    <t>139°17'05"</t>
  </si>
  <si>
    <t>89°59'41"</t>
  </si>
  <si>
    <t>138°31'53"</t>
  </si>
  <si>
    <t>89°41'11"</t>
  </si>
  <si>
    <t>138°13'17"</t>
  </si>
  <si>
    <t>89°45'27"</t>
  </si>
  <si>
    <t>135°35'38"</t>
  </si>
  <si>
    <t>89°49'26"</t>
  </si>
  <si>
    <t>135°23'08"</t>
  </si>
  <si>
    <t>89°38'13"</t>
  </si>
  <si>
    <t>135°22'33"</t>
  </si>
  <si>
    <t>89°38'14"</t>
  </si>
  <si>
    <t>135°17'08"</t>
  </si>
  <si>
    <t>135°16'10"</t>
  </si>
  <si>
    <t>90°10'33"</t>
  </si>
  <si>
    <t>135°10'12"</t>
  </si>
  <si>
    <t>90°19'18"</t>
  </si>
  <si>
    <t>135°02'04"</t>
  </si>
  <si>
    <t>90°21'32"</t>
  </si>
  <si>
    <t>134°46'54"</t>
  </si>
  <si>
    <t>89°55'18"</t>
  </si>
  <si>
    <t>130°55'32"</t>
  </si>
  <si>
    <t>87°03'11"</t>
  </si>
  <si>
    <t>127°20'22"</t>
  </si>
  <si>
    <t>87°25'42"</t>
  </si>
  <si>
    <t>179°47'21"</t>
  </si>
  <si>
    <t>89°55'40"</t>
  </si>
  <si>
    <t>179°44'39"</t>
  </si>
  <si>
    <t>89°55'33"</t>
  </si>
  <si>
    <t>(Nilai Z Back Sight...)</t>
  </si>
  <si>
    <t>(Nilai Z Berdiri Akhir...)</t>
  </si>
  <si>
    <t>Topo 02 - Polygon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</si>
</sst>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"/>
    <numFmt numFmtId="165" formatCode="0.000_)"/>
    <numFmt numFmtId="166" formatCode="0&quot;''&quot;"/>
    <numFmt numFmtId="167" formatCode="#,##0.000\ \ "/>
    <numFmt numFmtId="168" formatCode="#,##0.00\ \ "/>
    <numFmt numFmtId="169" formatCode="0.0000"/>
    <numFmt numFmtId="170" formatCode="0.00\ \ \ "/>
    <numFmt numFmtId="171" formatCode="0.000\ \ \ 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b/>
      <u/>
      <sz val="14"/>
      <name val="Arial"/>
      <family val="2"/>
    </font>
    <font>
      <b/>
      <sz val="8"/>
      <name val="Arial"/>
      <family val="2"/>
    </font>
    <font>
      <sz val="10"/>
      <name val="Symbol"/>
      <family val="1"/>
      <charset val="2"/>
    </font>
    <font>
      <b/>
      <sz val="8"/>
      <name val="Symbol"/>
      <family val="1"/>
      <charset val="2"/>
    </font>
    <font>
      <b/>
      <sz val="7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i/>
      <sz val="12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2">
    <xf numFmtId="0" fontId="0" fillId="0" borderId="0"/>
    <xf numFmtId="0" fontId="5" fillId="0" borderId="0"/>
    <xf numFmtId="0" fontId="7" fillId="0" borderId="0"/>
    <xf numFmtId="0" fontId="4" fillId="0" borderId="0"/>
    <xf numFmtId="0" fontId="3" fillId="0" borderId="0"/>
    <xf numFmtId="0" fontId="2" fillId="0" borderId="0"/>
    <xf numFmtId="0" fontId="6" fillId="0" borderId="0"/>
    <xf numFmtId="0" fontId="9" fillId="0" borderId="0"/>
    <xf numFmtId="43" fontId="6" fillId="0" borderId="0" applyFont="0" applyFill="0" applyBorder="0" applyAlignment="0" applyProtection="0"/>
    <xf numFmtId="0" fontId="1" fillId="0" borderId="0"/>
    <xf numFmtId="0" fontId="16" fillId="0" borderId="0"/>
    <xf numFmtId="0" fontId="6" fillId="0" borderId="0"/>
  </cellStyleXfs>
  <cellXfs count="114">
    <xf numFmtId="0" fontId="0" fillId="0" borderId="0" xfId="0"/>
    <xf numFmtId="0" fontId="6" fillId="0" borderId="0" xfId="6"/>
    <xf numFmtId="0" fontId="6" fillId="0" borderId="0" xfId="6" applyAlignment="1">
      <alignment horizontal="center"/>
    </xf>
    <xf numFmtId="0" fontId="10" fillId="0" borderId="0" xfId="6" applyFont="1" applyAlignment="1">
      <alignment horizontal="center"/>
    </xf>
    <xf numFmtId="0" fontId="8" fillId="0" borderId="0" xfId="6" applyFont="1"/>
    <xf numFmtId="165" fontId="6" fillId="0" borderId="0" xfId="6" applyNumberFormat="1" applyAlignment="1">
      <alignment horizontal="center"/>
    </xf>
    <xf numFmtId="0" fontId="11" fillId="0" borderId="0" xfId="6" applyFont="1"/>
    <xf numFmtId="165" fontId="11" fillId="0" borderId="0" xfId="6" applyNumberFormat="1" applyFont="1"/>
    <xf numFmtId="0" fontId="8" fillId="0" borderId="13" xfId="6" applyFont="1" applyBorder="1"/>
    <xf numFmtId="164" fontId="8" fillId="0" borderId="0" xfId="6" applyNumberFormat="1" applyFont="1"/>
    <xf numFmtId="166" fontId="8" fillId="0" borderId="0" xfId="6" applyNumberFormat="1" applyFont="1" applyAlignment="1">
      <alignment horizontal="right"/>
    </xf>
    <xf numFmtId="0" fontId="11" fillId="0" borderId="23" xfId="6" applyFont="1" applyBorder="1" applyAlignment="1">
      <alignment horizontal="center" vertical="center"/>
    </xf>
    <xf numFmtId="0" fontId="11" fillId="0" borderId="24" xfId="6" applyFont="1" applyBorder="1" applyAlignment="1">
      <alignment horizontal="center" vertical="center"/>
    </xf>
    <xf numFmtId="0" fontId="11" fillId="0" borderId="25" xfId="6" applyFont="1" applyBorder="1" applyAlignment="1">
      <alignment horizontal="center" vertical="center"/>
    </xf>
    <xf numFmtId="0" fontId="8" fillId="0" borderId="2" xfId="6" applyFont="1" applyBorder="1"/>
    <xf numFmtId="0" fontId="8" fillId="0" borderId="8" xfId="6" applyFont="1" applyBorder="1" applyAlignment="1">
      <alignment horizontal="left"/>
    </xf>
    <xf numFmtId="0" fontId="8" fillId="0" borderId="3" xfId="6" applyFont="1" applyBorder="1" applyAlignment="1">
      <alignment horizontal="right"/>
    </xf>
    <xf numFmtId="166" fontId="8" fillId="0" borderId="1" xfId="6" applyNumberFormat="1" applyFont="1" applyBorder="1" applyAlignment="1">
      <alignment horizontal="right"/>
    </xf>
    <xf numFmtId="166" fontId="8" fillId="0" borderId="7" xfId="6" applyNumberFormat="1" applyFont="1" applyBorder="1" applyAlignment="1">
      <alignment horizontal="right"/>
    </xf>
    <xf numFmtId="166" fontId="8" fillId="0" borderId="1" xfId="6" applyNumberFormat="1" applyFont="1" applyBorder="1" applyAlignment="1">
      <alignment horizontal="center"/>
    </xf>
    <xf numFmtId="167" fontId="8" fillId="0" borderId="8" xfId="6" applyNumberFormat="1" applyFont="1" applyBorder="1"/>
    <xf numFmtId="168" fontId="8" fillId="0" borderId="7" xfId="6" quotePrefix="1" applyNumberFormat="1" applyFont="1" applyBorder="1" applyAlignment="1">
      <alignment horizontal="right"/>
    </xf>
    <xf numFmtId="168" fontId="8" fillId="0" borderId="10" xfId="6" quotePrefix="1" applyNumberFormat="1" applyFont="1" applyBorder="1" applyAlignment="1">
      <alignment horizontal="right"/>
    </xf>
    <xf numFmtId="168" fontId="8" fillId="0" borderId="8" xfId="6" quotePrefix="1" applyNumberFormat="1" applyFont="1" applyBorder="1" applyAlignment="1">
      <alignment horizontal="right"/>
    </xf>
    <xf numFmtId="169" fontId="8" fillId="0" borderId="10" xfId="6" applyNumberFormat="1" applyFont="1" applyBorder="1" applyAlignment="1">
      <alignment horizontal="center" vertical="center"/>
    </xf>
    <xf numFmtId="170" fontId="11" fillId="0" borderId="8" xfId="8" applyNumberFormat="1" applyFont="1" applyFill="1" applyBorder="1" applyAlignment="1" applyProtection="1">
      <alignment horizontal="right"/>
    </xf>
    <xf numFmtId="171" fontId="11" fillId="0" borderId="10" xfId="8" applyNumberFormat="1" applyFont="1" applyFill="1" applyBorder="1" applyAlignment="1" applyProtection="1">
      <alignment horizontal="right"/>
    </xf>
    <xf numFmtId="0" fontId="8" fillId="0" borderId="27" xfId="6" applyFont="1" applyBorder="1" applyAlignment="1">
      <alignment horizontal="left"/>
    </xf>
    <xf numFmtId="0" fontId="8" fillId="0" borderId="26" xfId="6" applyFont="1" applyBorder="1" applyAlignment="1">
      <alignment horizontal="right"/>
    </xf>
    <xf numFmtId="166" fontId="8" fillId="0" borderId="28" xfId="6" applyNumberFormat="1" applyFont="1" applyBorder="1" applyAlignment="1">
      <alignment horizontal="right"/>
    </xf>
    <xf numFmtId="166" fontId="8" fillId="0" borderId="28" xfId="6" applyNumberFormat="1" applyFont="1" applyBorder="1" applyAlignment="1">
      <alignment horizontal="center"/>
    </xf>
    <xf numFmtId="167" fontId="8" fillId="0" borderId="27" xfId="6" applyNumberFormat="1" applyFont="1" applyBorder="1"/>
    <xf numFmtId="167" fontId="8" fillId="0" borderId="26" xfId="6" applyNumberFormat="1" applyFont="1" applyBorder="1"/>
    <xf numFmtId="168" fontId="8" fillId="0" borderId="0" xfId="6" quotePrefix="1" applyNumberFormat="1" applyFont="1" applyAlignment="1">
      <alignment horizontal="right"/>
    </xf>
    <xf numFmtId="168" fontId="8" fillId="0" borderId="29" xfId="6" quotePrefix="1" applyNumberFormat="1" applyFont="1" applyBorder="1" applyAlignment="1">
      <alignment horizontal="right"/>
    </xf>
    <xf numFmtId="168" fontId="8" fillId="0" borderId="27" xfId="6" quotePrefix="1" applyNumberFormat="1" applyFont="1" applyBorder="1" applyAlignment="1">
      <alignment horizontal="right"/>
    </xf>
    <xf numFmtId="171" fontId="8" fillId="0" borderId="27" xfId="8" applyNumberFormat="1" applyFont="1" applyFill="1" applyBorder="1" applyAlignment="1" applyProtection="1">
      <alignment horizontal="right"/>
    </xf>
    <xf numFmtId="171" fontId="8" fillId="0" borderId="29" xfId="8" applyNumberFormat="1" applyFont="1" applyFill="1" applyBorder="1" applyAlignment="1" applyProtection="1">
      <alignment horizontal="right"/>
    </xf>
    <xf numFmtId="0" fontId="8" fillId="0" borderId="27" xfId="6" applyFont="1" applyBorder="1"/>
    <xf numFmtId="170" fontId="11" fillId="0" borderId="35" xfId="8" applyNumberFormat="1" applyFont="1" applyFill="1" applyBorder="1" applyAlignment="1" applyProtection="1">
      <alignment horizontal="right"/>
    </xf>
    <xf numFmtId="171" fontId="8" fillId="0" borderId="30" xfId="8" applyNumberFormat="1" applyFont="1" applyFill="1" applyBorder="1" applyAlignment="1" applyProtection="1">
      <alignment horizontal="right"/>
    </xf>
    <xf numFmtId="0" fontId="8" fillId="0" borderId="36" xfId="6" applyFont="1" applyBorder="1"/>
    <xf numFmtId="0" fontId="8" fillId="0" borderId="37" xfId="6" applyFont="1" applyBorder="1"/>
    <xf numFmtId="0" fontId="8" fillId="0" borderId="39" xfId="6" applyFont="1" applyBorder="1"/>
    <xf numFmtId="0" fontId="8" fillId="0" borderId="40" xfId="6" applyFont="1" applyBorder="1"/>
    <xf numFmtId="0" fontId="8" fillId="0" borderId="41" xfId="6" applyFont="1" applyBorder="1"/>
    <xf numFmtId="0" fontId="8" fillId="0" borderId="42" xfId="6" applyFont="1" applyBorder="1"/>
    <xf numFmtId="0" fontId="8" fillId="0" borderId="45" xfId="6" applyFont="1" applyBorder="1"/>
    <xf numFmtId="0" fontId="8" fillId="0" borderId="46" xfId="6" applyFont="1" applyBorder="1"/>
    <xf numFmtId="0" fontId="8" fillId="0" borderId="43" xfId="6" applyFont="1" applyBorder="1" applyAlignment="1">
      <alignment horizontal="center" vertical="center"/>
    </xf>
    <xf numFmtId="0" fontId="8" fillId="0" borderId="44" xfId="6" applyFont="1" applyBorder="1" applyAlignment="1">
      <alignment horizontal="center" vertical="center"/>
    </xf>
    <xf numFmtId="0" fontId="8" fillId="0" borderId="0" xfId="6" quotePrefix="1" applyFont="1"/>
    <xf numFmtId="2" fontId="8" fillId="0" borderId="28" xfId="6" applyNumberFormat="1" applyFont="1" applyBorder="1" applyAlignment="1">
      <alignment horizontal="right"/>
    </xf>
    <xf numFmtId="0" fontId="11" fillId="0" borderId="15" xfId="6" applyFont="1" applyBorder="1" applyAlignment="1">
      <alignment vertical="center"/>
    </xf>
    <xf numFmtId="0" fontId="11" fillId="0" borderId="15" xfId="6" quotePrefix="1" applyFont="1" applyBorder="1" applyAlignment="1">
      <alignment vertical="center"/>
    </xf>
    <xf numFmtId="0" fontId="13" fillId="0" borderId="0" xfId="6" applyFont="1" applyAlignment="1">
      <alignment vertical="center"/>
    </xf>
    <xf numFmtId="0" fontId="15" fillId="0" borderId="0" xfId="9" applyFont="1"/>
    <xf numFmtId="2" fontId="8" fillId="0" borderId="1" xfId="6" applyNumberFormat="1" applyFont="1" applyBorder="1" applyAlignment="1">
      <alignment horizontal="right"/>
    </xf>
    <xf numFmtId="0" fontId="6" fillId="0" borderId="53" xfId="6" applyBorder="1"/>
    <xf numFmtId="0" fontId="6" fillId="0" borderId="51" xfId="6" applyBorder="1"/>
    <xf numFmtId="0" fontId="6" fillId="0" borderId="52" xfId="6" applyBorder="1"/>
    <xf numFmtId="0" fontId="6" fillId="0" borderId="49" xfId="6" applyBorder="1"/>
    <xf numFmtId="0" fontId="6" fillId="0" borderId="50" xfId="6" applyBorder="1"/>
    <xf numFmtId="0" fontId="15" fillId="0" borderId="50" xfId="9" applyFont="1" applyBorder="1"/>
    <xf numFmtId="0" fontId="6" fillId="0" borderId="54" xfId="6" applyBorder="1"/>
    <xf numFmtId="0" fontId="6" fillId="0" borderId="48" xfId="6" applyBorder="1"/>
    <xf numFmtId="0" fontId="15" fillId="0" borderId="48" xfId="9" applyFont="1" applyBorder="1"/>
    <xf numFmtId="0" fontId="15" fillId="3" borderId="0" xfId="9" applyFont="1" applyFill="1"/>
    <xf numFmtId="0" fontId="8" fillId="3" borderId="31" xfId="6" applyFont="1" applyFill="1" applyBorder="1" applyAlignment="1">
      <alignment vertical="center"/>
    </xf>
    <xf numFmtId="0" fontId="8" fillId="3" borderId="32" xfId="6" applyFont="1" applyFill="1" applyBorder="1" applyAlignment="1">
      <alignment horizontal="center" vertical="center" wrapText="1"/>
    </xf>
    <xf numFmtId="0" fontId="8" fillId="3" borderId="30" xfId="6" applyFont="1" applyFill="1" applyBorder="1"/>
    <xf numFmtId="0" fontId="8" fillId="3" borderId="33" xfId="6" applyFont="1" applyFill="1" applyBorder="1"/>
    <xf numFmtId="0" fontId="8" fillId="3" borderId="29" xfId="6" applyFont="1" applyFill="1" applyBorder="1"/>
    <xf numFmtId="171" fontId="8" fillId="2" borderId="37" xfId="8" applyNumberFormat="1" applyFont="1" applyFill="1" applyBorder="1" applyAlignment="1" applyProtection="1">
      <alignment horizontal="center" vertical="center"/>
    </xf>
    <xf numFmtId="0" fontId="8" fillId="2" borderId="38" xfId="6" applyFont="1" applyFill="1" applyBorder="1" applyAlignment="1">
      <alignment horizontal="center" vertical="center"/>
    </xf>
    <xf numFmtId="0" fontId="8" fillId="0" borderId="46" xfId="6" applyFont="1" applyBorder="1" applyAlignment="1">
      <alignment horizontal="center" vertical="center"/>
    </xf>
    <xf numFmtId="0" fontId="8" fillId="0" borderId="47" xfId="6" applyFont="1" applyBorder="1" applyAlignment="1">
      <alignment horizontal="center" vertical="center"/>
    </xf>
    <xf numFmtId="0" fontId="6" fillId="0" borderId="0" xfId="6" applyBorder="1"/>
    <xf numFmtId="0" fontId="15" fillId="0" borderId="0" xfId="9" applyFont="1" applyBorder="1"/>
    <xf numFmtId="0" fontId="6" fillId="0" borderId="0" xfId="6" quotePrefix="1" applyBorder="1"/>
    <xf numFmtId="0" fontId="12" fillId="0" borderId="0" xfId="6" applyFont="1" applyBorder="1"/>
    <xf numFmtId="169" fontId="6" fillId="0" borderId="50" xfId="6" applyNumberFormat="1" applyBorder="1"/>
    <xf numFmtId="0" fontId="14" fillId="0" borderId="12" xfId="6" applyFont="1" applyBorder="1" applyAlignment="1">
      <alignment horizontal="center" vertical="center"/>
    </xf>
    <xf numFmtId="0" fontId="14" fillId="0" borderId="22" xfId="6" applyFont="1" applyBorder="1" applyAlignment="1">
      <alignment horizontal="center" vertical="center"/>
    </xf>
    <xf numFmtId="0" fontId="11" fillId="0" borderId="4" xfId="6" applyFont="1" applyBorder="1" applyAlignment="1">
      <alignment horizontal="center" vertical="center"/>
    </xf>
    <xf numFmtId="0" fontId="11" fillId="0" borderId="5" xfId="6" applyFont="1" applyBorder="1" applyAlignment="1">
      <alignment horizontal="center" vertical="center"/>
    </xf>
    <xf numFmtId="0" fontId="11" fillId="0" borderId="6" xfId="6" applyFont="1" applyBorder="1" applyAlignment="1">
      <alignment horizontal="center" vertical="center"/>
    </xf>
    <xf numFmtId="0" fontId="8" fillId="0" borderId="8" xfId="6" applyFont="1" applyBorder="1" applyAlignment="1">
      <alignment horizontal="center" vertical="center" wrapText="1"/>
    </xf>
    <xf numFmtId="0" fontId="8" fillId="0" borderId="18" xfId="6" applyFont="1" applyBorder="1" applyAlignment="1">
      <alignment horizontal="center" vertical="center" wrapText="1"/>
    </xf>
    <xf numFmtId="0" fontId="8" fillId="3" borderId="34" xfId="6" applyFont="1" applyFill="1" applyBorder="1" applyAlignment="1">
      <alignment horizontal="center" vertical="center"/>
    </xf>
    <xf numFmtId="0" fontId="8" fillId="3" borderId="5" xfId="6" applyFont="1" applyFill="1" applyBorder="1" applyAlignment="1">
      <alignment horizontal="center" vertical="center"/>
    </xf>
    <xf numFmtId="0" fontId="8" fillId="3" borderId="14" xfId="6" applyFont="1" applyFill="1" applyBorder="1" applyAlignment="1">
      <alignment horizontal="center" vertical="center"/>
    </xf>
    <xf numFmtId="0" fontId="8" fillId="3" borderId="10" xfId="6" applyFont="1" applyFill="1" applyBorder="1" applyAlignment="1">
      <alignment horizontal="center" vertical="center" wrapText="1"/>
    </xf>
    <xf numFmtId="0" fontId="8" fillId="3" borderId="20" xfId="6" applyFont="1" applyFill="1" applyBorder="1" applyAlignment="1">
      <alignment horizontal="center" vertical="center" wrapText="1"/>
    </xf>
    <xf numFmtId="0" fontId="11" fillId="0" borderId="10" xfId="6" applyFont="1" applyBorder="1" applyAlignment="1">
      <alignment horizontal="center" vertical="center" wrapText="1"/>
    </xf>
    <xf numFmtId="0" fontId="11" fillId="0" borderId="20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/>
    </xf>
    <xf numFmtId="0" fontId="13" fillId="0" borderId="19" xfId="6" applyFont="1" applyBorder="1" applyAlignment="1">
      <alignment horizontal="center" vertical="center"/>
    </xf>
    <xf numFmtId="0" fontId="14" fillId="0" borderId="10" xfId="6" applyFont="1" applyBorder="1" applyAlignment="1">
      <alignment horizontal="center" vertical="center"/>
    </xf>
    <xf numFmtId="0" fontId="14" fillId="0" borderId="20" xfId="6" applyFont="1" applyBorder="1" applyAlignment="1">
      <alignment horizontal="center" vertical="center"/>
    </xf>
    <xf numFmtId="0" fontId="13" fillId="0" borderId="11" xfId="6" applyFont="1" applyBorder="1" applyAlignment="1">
      <alignment horizontal="center" vertical="center"/>
    </xf>
    <xf numFmtId="0" fontId="13" fillId="0" borderId="21" xfId="6" applyFon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1" fillId="0" borderId="1" xfId="6" applyFont="1" applyBorder="1" applyAlignment="1">
      <alignment horizontal="center" vertical="center"/>
    </xf>
    <xf numFmtId="0" fontId="11" fillId="0" borderId="15" xfId="6" applyFont="1" applyBorder="1" applyAlignment="1">
      <alignment horizontal="center" vertical="center"/>
    </xf>
    <xf numFmtId="0" fontId="11" fillId="0" borderId="1" xfId="6" applyFont="1" applyBorder="1" applyAlignment="1">
      <alignment horizontal="center" vertical="center" wrapText="1"/>
    </xf>
    <xf numFmtId="0" fontId="11" fillId="0" borderId="15" xfId="6" applyFont="1" applyBorder="1" applyAlignment="1">
      <alignment horizontal="center" vertical="center" wrapText="1"/>
    </xf>
    <xf numFmtId="0" fontId="11" fillId="0" borderId="2" xfId="6" applyFont="1" applyBorder="1" applyAlignment="1">
      <alignment horizontal="center" vertical="center" wrapText="1"/>
    </xf>
    <xf numFmtId="0" fontId="11" fillId="0" borderId="3" xfId="6" applyFont="1" applyBorder="1" applyAlignment="1">
      <alignment horizontal="center" vertical="center" wrapText="1"/>
    </xf>
    <xf numFmtId="0" fontId="11" fillId="0" borderId="16" xfId="6" applyFont="1" applyBorder="1" applyAlignment="1">
      <alignment horizontal="center" vertical="center" wrapText="1"/>
    </xf>
    <xf numFmtId="0" fontId="11" fillId="0" borderId="17" xfId="6" applyFont="1" applyBorder="1" applyAlignment="1">
      <alignment horizontal="center" vertical="center" wrapText="1"/>
    </xf>
    <xf numFmtId="0" fontId="11" fillId="0" borderId="8" xfId="6" applyFont="1" applyBorder="1" applyAlignment="1">
      <alignment horizontal="center" vertical="center" wrapText="1"/>
    </xf>
    <xf numFmtId="0" fontId="11" fillId="0" borderId="18" xfId="6" applyFont="1" applyBorder="1" applyAlignment="1">
      <alignment horizontal="center" vertical="center" wrapText="1"/>
    </xf>
    <xf numFmtId="0" fontId="17" fillId="4" borderId="0" xfId="11" applyFont="1" applyFill="1" applyAlignment="1">
      <alignment horizontal="left"/>
    </xf>
  </cellXfs>
  <cellStyles count="12">
    <cellStyle name="Comma_Hitungan Topo T2" xfId="8"/>
    <cellStyle name="Normal" xfId="0" builtinId="0"/>
    <cellStyle name="Normal 11" xfId="7"/>
    <cellStyle name="Normal 2" xfId="1"/>
    <cellStyle name="Normal 2 2" xfId="4"/>
    <cellStyle name="Normal 2 2 2" xfId="11"/>
    <cellStyle name="Normal 2 3" xfId="6"/>
    <cellStyle name="Normal 2 7 3 2" xfId="10"/>
    <cellStyle name="Normal 3" xfId="2"/>
    <cellStyle name="Normal 4" xfId="5"/>
    <cellStyle name="Normal 5" xfId="9"/>
    <cellStyle name="Normal 6" xfId="3"/>
  </cellStyles>
  <dxfs count="1"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zimuth"/>
      <definedName name="dcos"/>
      <definedName name="degtodes"/>
      <definedName name="DestoDeg"/>
      <definedName name="dsin"/>
      <definedName name="dTAN"/>
      <definedName name="Jarakdatar"/>
      <definedName name="Min_ang"/>
      <definedName name="Plus_a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C654"/>
  <sheetViews>
    <sheetView tabSelected="1" zoomScaleNormal="100" workbookViewId="0">
      <selection activeCell="F23" sqref="F23"/>
    </sheetView>
  </sheetViews>
  <sheetFormatPr defaultRowHeight="13.2" x14ac:dyDescent="0.25"/>
  <cols>
    <col min="1" max="1" width="15.5546875" style="1" bestFit="1" customWidth="1"/>
    <col min="2" max="3" width="6.88671875" style="1" customWidth="1"/>
    <col min="4" max="5" width="6.44140625" style="1" customWidth="1"/>
    <col min="6" max="7" width="10.6640625" style="1" customWidth="1"/>
    <col min="8" max="8" width="13" style="1" bestFit="1" customWidth="1"/>
    <col min="9" max="9" width="11.44140625" style="1" bestFit="1" customWidth="1"/>
    <col min="10" max="10" width="10.33203125" style="1" customWidth="1"/>
    <col min="11" max="12" width="8.21875" style="1" customWidth="1"/>
    <col min="13" max="13" width="8.88671875" style="1" bestFit="1" customWidth="1"/>
    <col min="14" max="14" width="9.44140625" style="1" bestFit="1" customWidth="1"/>
    <col min="15" max="15" width="8.77734375" style="1" customWidth="1"/>
    <col min="16" max="16" width="15.109375" style="1" customWidth="1"/>
    <col min="17" max="17" width="10.21875" style="1" bestFit="1" customWidth="1"/>
    <col min="18" max="18" width="8.21875" style="1" bestFit="1" customWidth="1"/>
    <col min="19" max="19" width="16.109375" style="1" bestFit="1" customWidth="1"/>
    <col min="20" max="20" width="16.21875" style="1" bestFit="1" customWidth="1"/>
    <col min="21" max="21" width="16.109375" style="1" bestFit="1" customWidth="1"/>
    <col min="22" max="22" width="7.33203125" style="1" customWidth="1"/>
    <col min="23" max="23" width="7" style="1" customWidth="1"/>
    <col min="24" max="24" width="12.33203125" style="1" customWidth="1"/>
    <col min="25" max="25" width="7" style="1" customWidth="1"/>
    <col min="26" max="27" width="8.88671875" style="1"/>
    <col min="28" max="28" width="4.21875" style="4" customWidth="1"/>
    <col min="29" max="29" width="8.44140625" style="4" bestFit="1" customWidth="1"/>
    <col min="30" max="30" width="15.44140625" style="4" bestFit="1" customWidth="1"/>
    <col min="31" max="31" width="21" style="4" bestFit="1" customWidth="1"/>
    <col min="32" max="32" width="19" style="4" bestFit="1" customWidth="1"/>
    <col min="33" max="33" width="17.6640625" style="4" bestFit="1" customWidth="1"/>
    <col min="34" max="34" width="19.5546875" style="4" bestFit="1" customWidth="1"/>
    <col min="35" max="35" width="3.33203125" style="4" customWidth="1"/>
    <col min="36" max="36" width="7.88671875" style="4" bestFit="1" customWidth="1"/>
    <col min="37" max="37" width="8.88671875" style="4"/>
    <col min="38" max="38" width="14.109375" style="4" bestFit="1" customWidth="1"/>
    <col min="39" max="39" width="11.6640625" style="4" bestFit="1" customWidth="1"/>
    <col min="40" max="40" width="8.88671875" style="4"/>
    <col min="41" max="41" width="9.109375" style="4" bestFit="1" customWidth="1"/>
    <col min="42" max="42" width="4.109375" style="4" bestFit="1" customWidth="1"/>
    <col min="43" max="43" width="3.88671875" style="4" bestFit="1" customWidth="1"/>
    <col min="44" max="16384" width="8.88671875" style="1"/>
  </cols>
  <sheetData>
    <row r="1" spans="1:43" ht="15.6" x14ac:dyDescent="0.3">
      <c r="A1" s="113" t="s">
        <v>854</v>
      </c>
    </row>
    <row r="2" spans="1:43" s="4" customFormat="1" ht="17.399999999999999" x14ac:dyDescent="0.3">
      <c r="A2" s="102" t="s">
        <v>4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</row>
    <row r="3" spans="1:43" s="4" customFormat="1" ht="18" thickBo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43" s="4" customFormat="1" x14ac:dyDescent="0.25">
      <c r="A4" s="1" t="s">
        <v>5</v>
      </c>
      <c r="B4" s="2" t="s">
        <v>6</v>
      </c>
      <c r="C4" s="1"/>
      <c r="D4" s="2"/>
      <c r="M4" s="1"/>
      <c r="Q4" s="46" t="s">
        <v>88</v>
      </c>
      <c r="R4" s="49" t="s">
        <v>87</v>
      </c>
      <c r="S4" s="49" t="s">
        <v>0</v>
      </c>
      <c r="T4" s="49" t="s">
        <v>1</v>
      </c>
      <c r="U4" s="50" t="s">
        <v>2</v>
      </c>
      <c r="V4" s="1"/>
      <c r="W4" s="1"/>
      <c r="X4" s="55" t="s">
        <v>29</v>
      </c>
      <c r="Y4" s="9">
        <f>S9-(S5+$M$413)</f>
        <v>0</v>
      </c>
    </row>
    <row r="5" spans="1:43" s="4" customFormat="1" x14ac:dyDescent="0.25">
      <c r="A5" s="1" t="s">
        <v>28</v>
      </c>
      <c r="B5" s="2" t="s">
        <v>6</v>
      </c>
      <c r="C5" s="1"/>
      <c r="D5" s="2"/>
      <c r="M5" s="1"/>
      <c r="P5" s="1"/>
      <c r="Q5" s="41" t="s">
        <v>89</v>
      </c>
      <c r="R5" s="42" t="str">
        <f>D14</f>
        <v>K20</v>
      </c>
      <c r="S5" s="73">
        <v>10000</v>
      </c>
      <c r="T5" s="73">
        <v>10000</v>
      </c>
      <c r="U5" s="74">
        <v>29.966000000000001</v>
      </c>
      <c r="V5" s="1"/>
      <c r="W5" s="1"/>
      <c r="X5" s="55" t="s">
        <v>30</v>
      </c>
      <c r="Y5" s="9">
        <f>T9-(T5+$O$413)</f>
        <v>0</v>
      </c>
    </row>
    <row r="6" spans="1:43" s="4" customFormat="1" x14ac:dyDescent="0.25">
      <c r="A6" s="1" t="s">
        <v>7</v>
      </c>
      <c r="B6" s="5" t="s">
        <v>6</v>
      </c>
      <c r="D6" s="5"/>
      <c r="H6" s="1"/>
      <c r="I6" s="1"/>
      <c r="K6" s="5"/>
      <c r="L6" s="1"/>
      <c r="M6" s="1"/>
      <c r="P6" s="1"/>
      <c r="Q6" s="41" t="s">
        <v>94</v>
      </c>
      <c r="R6" s="42" t="str">
        <f>E14</f>
        <v>K19</v>
      </c>
      <c r="S6" s="73">
        <v>10050</v>
      </c>
      <c r="T6" s="73">
        <v>10050</v>
      </c>
      <c r="U6" s="74" t="s">
        <v>852</v>
      </c>
      <c r="V6" s="1"/>
      <c r="W6" s="1"/>
      <c r="X6" s="55" t="s">
        <v>12</v>
      </c>
      <c r="Y6" s="9">
        <f>U9-(U5+$Q$413)</f>
        <v>-11.723597510040953</v>
      </c>
    </row>
    <row r="7" spans="1:43" s="4" customFormat="1" x14ac:dyDescent="0.25">
      <c r="A7" s="1" t="s">
        <v>8</v>
      </c>
      <c r="B7" s="5" t="s">
        <v>6</v>
      </c>
      <c r="D7" s="5"/>
      <c r="E7" s="1"/>
      <c r="H7" s="1"/>
      <c r="I7" s="1"/>
      <c r="K7" s="5"/>
      <c r="L7" s="1"/>
      <c r="M7" s="1"/>
      <c r="Q7" s="47"/>
      <c r="R7" s="48" t="s">
        <v>86</v>
      </c>
      <c r="S7" s="75" t="str">
        <f>[1]!azimuth(S5,T5,S6,T6)</f>
        <v xml:space="preserve"> 45° 0' 0"</v>
      </c>
      <c r="T7" s="75"/>
      <c r="U7" s="76"/>
      <c r="V7" s="1"/>
      <c r="W7" s="1"/>
      <c r="X7" s="4" t="s">
        <v>95</v>
      </c>
      <c r="Y7" s="4" t="s">
        <v>1</v>
      </c>
    </row>
    <row r="8" spans="1:43" s="4" customFormat="1" x14ac:dyDescent="0.25">
      <c r="A8" s="1"/>
      <c r="B8" s="1"/>
      <c r="C8" s="1"/>
      <c r="D8" s="2"/>
      <c r="E8" s="1"/>
      <c r="H8" s="1"/>
      <c r="I8" s="1"/>
      <c r="K8" s="5"/>
      <c r="L8" s="1"/>
      <c r="M8" s="1"/>
      <c r="P8" s="1"/>
      <c r="Q8" s="41" t="s">
        <v>90</v>
      </c>
      <c r="R8" s="42" t="s">
        <v>78</v>
      </c>
      <c r="S8" s="73">
        <v>9644.0010910397123</v>
      </c>
      <c r="T8" s="73">
        <v>9646.9083263229368</v>
      </c>
      <c r="U8" s="74" t="s">
        <v>853</v>
      </c>
      <c r="V8" s="1"/>
      <c r="W8" s="1"/>
      <c r="X8" s="4" t="s">
        <v>96</v>
      </c>
      <c r="Y8" s="9" t="s">
        <v>1</v>
      </c>
    </row>
    <row r="9" spans="1:43" s="4" customFormat="1" x14ac:dyDescent="0.25">
      <c r="A9" s="1"/>
      <c r="B9" s="1"/>
      <c r="C9" s="1"/>
      <c r="D9" s="2"/>
      <c r="E9" s="1"/>
      <c r="H9" s="1"/>
      <c r="I9" s="1"/>
      <c r="K9" s="5"/>
      <c r="L9" s="1"/>
      <c r="M9" s="1"/>
      <c r="P9" s="1"/>
      <c r="Q9" s="41"/>
      <c r="R9" s="42" t="s">
        <v>82</v>
      </c>
      <c r="S9" s="73">
        <v>9536.4127846386436</v>
      </c>
      <c r="T9" s="73">
        <v>9539.5680168255367</v>
      </c>
      <c r="U9" s="74">
        <v>21</v>
      </c>
      <c r="V9" s="1"/>
      <c r="W9" s="1"/>
      <c r="X9" s="4" t="s">
        <v>97</v>
      </c>
      <c r="Y9" s="4" t="s">
        <v>1</v>
      </c>
    </row>
    <row r="10" spans="1:43" s="4" customFormat="1" ht="13.8" thickBot="1" x14ac:dyDescent="0.3">
      <c r="A10" s="1"/>
      <c r="B10" s="1"/>
      <c r="C10" s="1"/>
      <c r="D10" s="2"/>
      <c r="E10" s="1"/>
      <c r="H10" s="1"/>
      <c r="I10" s="1"/>
      <c r="K10" s="5"/>
      <c r="L10" s="1"/>
      <c r="M10" s="1"/>
      <c r="P10" s="1"/>
      <c r="Q10" s="43"/>
      <c r="R10" s="44" t="s">
        <v>86</v>
      </c>
      <c r="S10" s="48" t="str">
        <f>[1]!azimuth(S8,T8,S9,T9)</f>
        <v xml:space="preserve"> 225° 3' 58"</v>
      </c>
      <c r="T10" s="44"/>
      <c r="U10" s="45"/>
      <c r="V10" s="1"/>
      <c r="W10" s="1"/>
      <c r="X10" s="1"/>
      <c r="Y10" s="1"/>
      <c r="Z10" s="1"/>
    </row>
    <row r="11" spans="1:43" s="4" customFormat="1" ht="13.8" thickBot="1" x14ac:dyDescent="0.3">
      <c r="A11" s="1"/>
      <c r="B11" s="6"/>
      <c r="C11" s="6"/>
      <c r="D11" s="2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  <c r="Q11" s="7"/>
      <c r="R11" s="7"/>
      <c r="S11" s="6"/>
      <c r="T11" s="6"/>
    </row>
    <row r="12" spans="1:43" s="4" customFormat="1" ht="20.399999999999999" customHeight="1" x14ac:dyDescent="0.2">
      <c r="A12" s="103" t="s">
        <v>9</v>
      </c>
      <c r="B12" s="105" t="s">
        <v>32</v>
      </c>
      <c r="C12" s="105" t="s">
        <v>33</v>
      </c>
      <c r="D12" s="107" t="s">
        <v>34</v>
      </c>
      <c r="E12" s="108"/>
      <c r="F12" s="105" t="s">
        <v>35</v>
      </c>
      <c r="G12" s="108" t="s">
        <v>36</v>
      </c>
      <c r="H12" s="105" t="s">
        <v>31</v>
      </c>
      <c r="I12" s="84" t="s">
        <v>37</v>
      </c>
      <c r="J12" s="86"/>
      <c r="K12" s="111" t="s">
        <v>38</v>
      </c>
      <c r="L12" s="94" t="s">
        <v>39</v>
      </c>
      <c r="M12" s="96" t="s">
        <v>29</v>
      </c>
      <c r="N12" s="98" t="s">
        <v>10</v>
      </c>
      <c r="O12" s="96" t="s">
        <v>30</v>
      </c>
      <c r="P12" s="98" t="s">
        <v>11</v>
      </c>
      <c r="Q12" s="100" t="s">
        <v>12</v>
      </c>
      <c r="R12" s="82" t="s">
        <v>13</v>
      </c>
      <c r="S12" s="84" t="s">
        <v>40</v>
      </c>
      <c r="T12" s="85"/>
      <c r="U12" s="86"/>
      <c r="V12" s="87" t="s">
        <v>43</v>
      </c>
      <c r="W12" s="89" t="s">
        <v>44</v>
      </c>
      <c r="X12" s="90"/>
      <c r="Y12" s="91"/>
      <c r="Z12" s="92" t="s">
        <v>45</v>
      </c>
    </row>
    <row r="13" spans="1:43" s="4" customFormat="1" ht="13.8" customHeight="1" thickBot="1" x14ac:dyDescent="0.25">
      <c r="A13" s="104"/>
      <c r="B13" s="106"/>
      <c r="C13" s="106"/>
      <c r="D13" s="109"/>
      <c r="E13" s="110"/>
      <c r="F13" s="106"/>
      <c r="G13" s="110"/>
      <c r="H13" s="106"/>
      <c r="I13" s="53"/>
      <c r="J13" s="54" t="s">
        <v>93</v>
      </c>
      <c r="K13" s="112"/>
      <c r="L13" s="95"/>
      <c r="M13" s="97"/>
      <c r="N13" s="99"/>
      <c r="O13" s="97"/>
      <c r="P13" s="99"/>
      <c r="Q13" s="101"/>
      <c r="R13" s="83"/>
      <c r="S13" s="11" t="s">
        <v>41</v>
      </c>
      <c r="T13" s="12" t="s">
        <v>42</v>
      </c>
      <c r="U13" s="13" t="s">
        <v>2</v>
      </c>
      <c r="V13" s="88"/>
      <c r="W13" s="68" t="s">
        <v>83</v>
      </c>
      <c r="X13" s="69" t="s">
        <v>84</v>
      </c>
      <c r="Y13" s="69" t="s">
        <v>85</v>
      </c>
      <c r="Z13" s="93"/>
      <c r="AB13" s="67" t="s">
        <v>9</v>
      </c>
      <c r="AC13" s="67" t="s">
        <v>47</v>
      </c>
      <c r="AD13" s="67" t="s">
        <v>48</v>
      </c>
      <c r="AE13" s="67" t="s">
        <v>49</v>
      </c>
      <c r="AF13" s="67" t="s">
        <v>50</v>
      </c>
      <c r="AG13" s="67" t="s">
        <v>51</v>
      </c>
      <c r="AH13" s="67" t="s">
        <v>52</v>
      </c>
      <c r="AI13" s="67" t="s">
        <v>46</v>
      </c>
      <c r="AJ13" s="67" t="s">
        <v>53</v>
      </c>
      <c r="AK13" s="67" t="s">
        <v>54</v>
      </c>
      <c r="AL13" s="67" t="s">
        <v>55</v>
      </c>
      <c r="AM13" s="67" t="s">
        <v>56</v>
      </c>
      <c r="AN13" s="67" t="s">
        <v>57</v>
      </c>
      <c r="AO13" s="67" t="s">
        <v>58</v>
      </c>
      <c r="AP13" s="67" t="s">
        <v>59</v>
      </c>
      <c r="AQ13" s="67" t="s">
        <v>60</v>
      </c>
    </row>
    <row r="14" spans="1:43" s="4" customFormat="1" ht="10.199999999999999" x14ac:dyDescent="0.2">
      <c r="A14" s="14">
        <v>1</v>
      </c>
      <c r="B14" s="14">
        <v>1.175</v>
      </c>
      <c r="C14" s="14">
        <v>1.45</v>
      </c>
      <c r="D14" s="15" t="s">
        <v>61</v>
      </c>
      <c r="E14" s="16" t="s">
        <v>62</v>
      </c>
      <c r="F14" s="17" t="s">
        <v>98</v>
      </c>
      <c r="G14" s="18" t="s">
        <v>99</v>
      </c>
      <c r="H14" s="19"/>
      <c r="I14" s="57" t="str">
        <f>S7</f>
        <v xml:space="preserve"> 45° 0' 0"</v>
      </c>
      <c r="J14" s="18" t="str">
        <f>S7</f>
        <v xml:space="preserve"> 45° 0' 0"</v>
      </c>
      <c r="K14" s="20">
        <v>49.811999999999998</v>
      </c>
      <c r="L14" s="32">
        <f>[1]!Jarakdatar(K14,G14)</f>
        <v>49.804689010102635</v>
      </c>
      <c r="M14" s="21"/>
      <c r="N14" s="22"/>
      <c r="O14" s="21"/>
      <c r="P14" s="22"/>
      <c r="Q14" s="23"/>
      <c r="R14" s="24"/>
      <c r="S14" s="25">
        <f>S5</f>
        <v>10000</v>
      </c>
      <c r="T14" s="39">
        <f>T5</f>
        <v>10000</v>
      </c>
      <c r="U14" s="26">
        <f>U5</f>
        <v>29.966000000000001</v>
      </c>
      <c r="V14" s="38" t="str">
        <f t="shared" ref="V14:V45" si="0">IF(A14&lt;&gt;"",D14,E14)</f>
        <v>K20</v>
      </c>
      <c r="W14" s="70"/>
      <c r="X14" s="71"/>
      <c r="Y14" s="71"/>
      <c r="Z14" s="72" t="s">
        <v>62</v>
      </c>
      <c r="AB14" s="56">
        <v>2</v>
      </c>
      <c r="AC14" s="56" t="s">
        <v>61</v>
      </c>
      <c r="AD14" s="56">
        <v>1.175</v>
      </c>
      <c r="AE14" s="56">
        <v>0</v>
      </c>
      <c r="AF14" s="56">
        <v>0</v>
      </c>
      <c r="AG14" s="56">
        <v>2E-3</v>
      </c>
      <c r="AH14" s="56">
        <v>1E-3</v>
      </c>
      <c r="AI14" s="56">
        <v>2</v>
      </c>
      <c r="AJ14" s="56" t="s">
        <v>61</v>
      </c>
      <c r="AK14" s="56" t="s">
        <v>62</v>
      </c>
      <c r="AL14" s="56">
        <v>1.45</v>
      </c>
      <c r="AM14" s="56" t="s">
        <v>98</v>
      </c>
      <c r="AN14" s="56">
        <v>49.811999999999998</v>
      </c>
      <c r="AO14" s="56" t="s">
        <v>99</v>
      </c>
      <c r="AP14" s="56" t="s">
        <v>62</v>
      </c>
      <c r="AQ14" s="56" t="s">
        <v>63</v>
      </c>
    </row>
    <row r="15" spans="1:43" s="4" customFormat="1" ht="10.199999999999999" x14ac:dyDescent="0.2">
      <c r="A15" s="8"/>
      <c r="B15" s="8"/>
      <c r="C15" s="8">
        <v>1.45</v>
      </c>
      <c r="D15" s="27"/>
      <c r="E15" s="28">
        <v>4</v>
      </c>
      <c r="F15" s="29" t="s">
        <v>100</v>
      </c>
      <c r="G15" s="10" t="s">
        <v>101</v>
      </c>
      <c r="H15" s="30">
        <f t="shared" ref="H15:H46" si="1">IF($Y$7="y",$C$416,0)</f>
        <v>0</v>
      </c>
      <c r="I15" s="52" t="str">
        <f>[1]!Plus_ang(I14,[1]!Min_ang(F15,F14))</f>
        <v xml:space="preserve"> 313° 51' 59"</v>
      </c>
      <c r="J15" s="10" t="str">
        <f>[1]!Plus_ang([1]!Plus_ang(J14,[1]!Min_ang(F15,F14)),[1]!DestoDeg(H15/3600))</f>
        <v xml:space="preserve"> 313° 51' 59"</v>
      </c>
      <c r="K15" s="31">
        <v>11.369</v>
      </c>
      <c r="L15" s="32">
        <f>[1]!Jarakdatar(K15,G15)</f>
        <v>11.366708932532473</v>
      </c>
      <c r="M15" s="33">
        <f>L15*[1]!dsin(J15)</f>
        <v>-8.1949169448064527</v>
      </c>
      <c r="N15" s="34">
        <f t="shared" ref="N15:N46" si="2">IF($Y$8="Y",($Y$4*L15/$L$413),0)</f>
        <v>0</v>
      </c>
      <c r="O15" s="33">
        <f>L15*[1]!dcos(J15)</f>
        <v>7.8768907714045131</v>
      </c>
      <c r="P15" s="34">
        <f t="shared" ref="P15:P46" si="3">IF($Y$8="Y",($Y$5*L15/$L$413),0)</f>
        <v>0</v>
      </c>
      <c r="Q15" s="35">
        <f>L15/[1]!dTAN(G15)-C15+$B$14</f>
        <v>-0.50323024139330053</v>
      </c>
      <c r="R15" s="34">
        <f t="shared" ref="R15:R46" si="4">IF(AND($Y$8="Y",W15="P"),($Y$6*L15/$L$413),0)</f>
        <v>0</v>
      </c>
      <c r="S15" s="36">
        <f t="shared" ref="S15:S46" si="5">$S$14+M15+N15</f>
        <v>9991.8050830551929</v>
      </c>
      <c r="T15" s="40">
        <f t="shared" ref="T15:T46" si="6">$T$14+O15+P15</f>
        <v>10007.876890771404</v>
      </c>
      <c r="U15" s="37">
        <f t="shared" ref="U15:U46" si="7">$U$14+Q15+R15</f>
        <v>29.462769758606701</v>
      </c>
      <c r="V15" s="38">
        <f t="shared" si="0"/>
        <v>4</v>
      </c>
      <c r="W15" s="70"/>
      <c r="X15" s="71"/>
      <c r="Y15" s="71"/>
      <c r="Z15" s="72" t="s">
        <v>3</v>
      </c>
      <c r="AB15" s="56"/>
      <c r="AC15" s="56"/>
      <c r="AD15" s="56"/>
      <c r="AE15" s="56"/>
      <c r="AF15" s="56"/>
      <c r="AG15" s="56"/>
      <c r="AH15" s="56"/>
      <c r="AI15" s="56">
        <v>4</v>
      </c>
      <c r="AJ15" s="56">
        <v>1</v>
      </c>
      <c r="AK15" s="56">
        <v>4</v>
      </c>
      <c r="AL15" s="56">
        <v>1.45</v>
      </c>
      <c r="AM15" s="56" t="s">
        <v>100</v>
      </c>
      <c r="AN15" s="56">
        <v>11.369</v>
      </c>
      <c r="AO15" s="56" t="s">
        <v>101</v>
      </c>
      <c r="AP15" s="56" t="s">
        <v>3</v>
      </c>
      <c r="AQ15" s="56" t="s">
        <v>63</v>
      </c>
    </row>
    <row r="16" spans="1:43" s="4" customFormat="1" ht="10.199999999999999" x14ac:dyDescent="0.2">
      <c r="A16" s="8"/>
      <c r="B16" s="8"/>
      <c r="C16" s="8">
        <v>1.45</v>
      </c>
      <c r="D16" s="27"/>
      <c r="E16" s="28">
        <v>5</v>
      </c>
      <c r="F16" s="29" t="s">
        <v>102</v>
      </c>
      <c r="G16" s="10" t="s">
        <v>103</v>
      </c>
      <c r="H16" s="30">
        <f t="shared" si="1"/>
        <v>0</v>
      </c>
      <c r="I16" s="52" t="str">
        <f>[1]!Plus_ang(I15,[1]!Min_ang(F16,F15))</f>
        <v xml:space="preserve"> 313° 52' 0"</v>
      </c>
      <c r="J16" s="10" t="str">
        <f>[1]!Plus_ang([1]!Plus_ang(J15,[1]!Min_ang(F16,F15)),[1]!DestoDeg(H16/3600))</f>
        <v xml:space="preserve"> 313° 52' 0"</v>
      </c>
      <c r="K16" s="31">
        <v>3.6970000000000001</v>
      </c>
      <c r="L16" s="32">
        <f>[1]!Jarakdatar(K16,G16)</f>
        <v>3.6825417258329094</v>
      </c>
      <c r="M16" s="33">
        <f>L16*[1]!dsin(J16)</f>
        <v>-2.6549446403484458</v>
      </c>
      <c r="N16" s="34">
        <f t="shared" si="2"/>
        <v>0</v>
      </c>
      <c r="O16" s="33">
        <f>L16*[1]!dcos(J16)</f>
        <v>2.5519370131696992</v>
      </c>
      <c r="P16" s="34">
        <f t="shared" si="3"/>
        <v>0</v>
      </c>
      <c r="Q16" s="35">
        <f>L16/[1]!dTAN(G16)-C16+$B$14</f>
        <v>-0.60164267556395368</v>
      </c>
      <c r="R16" s="34">
        <f t="shared" si="4"/>
        <v>0</v>
      </c>
      <c r="S16" s="36">
        <f t="shared" si="5"/>
        <v>9997.3450553596522</v>
      </c>
      <c r="T16" s="40">
        <f t="shared" si="6"/>
        <v>10002.55193701317</v>
      </c>
      <c r="U16" s="37">
        <f t="shared" si="7"/>
        <v>29.364357324436046</v>
      </c>
      <c r="V16" s="38">
        <f t="shared" si="0"/>
        <v>5</v>
      </c>
      <c r="W16" s="70"/>
      <c r="X16" s="71"/>
      <c r="Y16" s="71"/>
      <c r="Z16" s="72" t="s">
        <v>3</v>
      </c>
      <c r="AB16" s="56"/>
      <c r="AC16" s="56"/>
      <c r="AD16" s="56"/>
      <c r="AE16" s="56"/>
      <c r="AF16" s="56"/>
      <c r="AG16" s="56"/>
      <c r="AH16" s="56"/>
      <c r="AI16" s="56">
        <v>6</v>
      </c>
      <c r="AJ16" s="56">
        <v>1</v>
      </c>
      <c r="AK16" s="56">
        <v>5</v>
      </c>
      <c r="AL16" s="56">
        <v>1.45</v>
      </c>
      <c r="AM16" s="56" t="s">
        <v>102</v>
      </c>
      <c r="AN16" s="56">
        <v>3.6970000000000001</v>
      </c>
      <c r="AO16" s="56" t="s">
        <v>103</v>
      </c>
      <c r="AP16" s="56" t="s">
        <v>3</v>
      </c>
      <c r="AQ16" s="56" t="s">
        <v>63</v>
      </c>
    </row>
    <row r="17" spans="1:43" s="4" customFormat="1" ht="10.199999999999999" x14ac:dyDescent="0.2">
      <c r="A17" s="8"/>
      <c r="B17" s="8"/>
      <c r="C17" s="8">
        <v>1.45</v>
      </c>
      <c r="D17" s="27"/>
      <c r="E17" s="28">
        <v>6</v>
      </c>
      <c r="F17" s="29" t="s">
        <v>104</v>
      </c>
      <c r="G17" s="10" t="s">
        <v>105</v>
      </c>
      <c r="H17" s="30">
        <f t="shared" si="1"/>
        <v>0</v>
      </c>
      <c r="I17" s="52" t="str">
        <f>[1]!Plus_ang(I16,[1]!Min_ang(F17,F16))</f>
        <v xml:space="preserve"> 133° 55' 59"</v>
      </c>
      <c r="J17" s="10" t="str">
        <f>[1]!Plus_ang([1]!Plus_ang(J16,[1]!Min_ang(F17,F16)),[1]!DestoDeg(H17/3600))</f>
        <v xml:space="preserve"> 133° 55' 59"</v>
      </c>
      <c r="K17" s="31">
        <v>4.1440000000000001</v>
      </c>
      <c r="L17" s="32">
        <f>[1]!Jarakdatar(K17,G17)</f>
        <v>3.5135978137519346</v>
      </c>
      <c r="M17" s="33">
        <f>L17*[1]!dsin(J17)</f>
        <v>2.5303207987890066</v>
      </c>
      <c r="N17" s="34">
        <f t="shared" si="2"/>
        <v>0</v>
      </c>
      <c r="O17" s="33">
        <f>L17*[1]!dcos(J17)</f>
        <v>-2.4377953671336194</v>
      </c>
      <c r="P17" s="34">
        <f t="shared" si="3"/>
        <v>0</v>
      </c>
      <c r="Q17" s="35">
        <f>L17/[1]!dTAN(G17)-C17+$B$14</f>
        <v>-2.472126851867599</v>
      </c>
      <c r="R17" s="34">
        <f t="shared" si="4"/>
        <v>0</v>
      </c>
      <c r="S17" s="36">
        <f t="shared" si="5"/>
        <v>10002.530320798789</v>
      </c>
      <c r="T17" s="40">
        <f t="shared" si="6"/>
        <v>9997.5622046328663</v>
      </c>
      <c r="U17" s="37">
        <f t="shared" si="7"/>
        <v>27.493873148132401</v>
      </c>
      <c r="V17" s="38">
        <f t="shared" si="0"/>
        <v>6</v>
      </c>
      <c r="W17" s="70"/>
      <c r="X17" s="71"/>
      <c r="Y17" s="71"/>
      <c r="Z17" s="72" t="s">
        <v>3</v>
      </c>
      <c r="AA17" s="51"/>
      <c r="AB17" s="56"/>
      <c r="AC17" s="56"/>
      <c r="AD17" s="56"/>
      <c r="AE17" s="56"/>
      <c r="AF17" s="56"/>
      <c r="AG17" s="56"/>
      <c r="AH17" s="56"/>
      <c r="AI17" s="56">
        <v>8</v>
      </c>
      <c r="AJ17" s="56">
        <v>1</v>
      </c>
      <c r="AK17" s="56">
        <v>6</v>
      </c>
      <c r="AL17" s="56">
        <v>1.45</v>
      </c>
      <c r="AM17" s="56" t="s">
        <v>104</v>
      </c>
      <c r="AN17" s="56">
        <v>4.1440000000000001</v>
      </c>
      <c r="AO17" s="56" t="s">
        <v>105</v>
      </c>
      <c r="AP17" s="56" t="s">
        <v>3</v>
      </c>
      <c r="AQ17" s="56" t="s">
        <v>63</v>
      </c>
    </row>
    <row r="18" spans="1:43" s="4" customFormat="1" ht="10.199999999999999" x14ac:dyDescent="0.2">
      <c r="A18" s="8"/>
      <c r="B18" s="8"/>
      <c r="C18" s="8">
        <v>1.45</v>
      </c>
      <c r="D18" s="27"/>
      <c r="E18" s="28">
        <v>7</v>
      </c>
      <c r="F18" s="29" t="s">
        <v>106</v>
      </c>
      <c r="G18" s="10" t="s">
        <v>107</v>
      </c>
      <c r="H18" s="30">
        <f t="shared" si="1"/>
        <v>0</v>
      </c>
      <c r="I18" s="52" t="str">
        <f>[1]!Plus_ang(I17,[1]!Min_ang(F18,F17))</f>
        <v xml:space="preserve"> 133° 55' 52"</v>
      </c>
      <c r="J18" s="10" t="str">
        <f>[1]!Plus_ang([1]!Plus_ang(J17,[1]!Min_ang(F18,F17)),[1]!DestoDeg(H18/3600))</f>
        <v xml:space="preserve"> 133° 55' 52"</v>
      </c>
      <c r="K18" s="31">
        <v>8.0690000000000008</v>
      </c>
      <c r="L18" s="32">
        <f>[1]!Jarakdatar(K18,G18)</f>
        <v>7.7903578937542965</v>
      </c>
      <c r="M18" s="33">
        <f>L18*[1]!dsin(J18)</f>
        <v>5.6104170565454146</v>
      </c>
      <c r="N18" s="34">
        <f t="shared" si="2"/>
        <v>0</v>
      </c>
      <c r="O18" s="33">
        <f>L18*[1]!dcos(J18)</f>
        <v>-5.40489561087022</v>
      </c>
      <c r="P18" s="34">
        <f t="shared" si="3"/>
        <v>0</v>
      </c>
      <c r="Q18" s="35">
        <f>L18/[1]!dTAN(G18)-C18+$B$14</f>
        <v>-2.3771619555163053</v>
      </c>
      <c r="R18" s="34">
        <f t="shared" si="4"/>
        <v>0</v>
      </c>
      <c r="S18" s="36">
        <f t="shared" si="5"/>
        <v>10005.610417056545</v>
      </c>
      <c r="T18" s="40">
        <f t="shared" si="6"/>
        <v>9994.5951043891291</v>
      </c>
      <c r="U18" s="37">
        <f t="shared" si="7"/>
        <v>27.588838044483694</v>
      </c>
      <c r="V18" s="38">
        <f t="shared" si="0"/>
        <v>7</v>
      </c>
      <c r="W18" s="70"/>
      <c r="X18" s="71"/>
      <c r="Y18" s="71"/>
      <c r="Z18" s="72" t="s">
        <v>3</v>
      </c>
      <c r="AB18" s="56"/>
      <c r="AC18" s="56"/>
      <c r="AD18" s="56"/>
      <c r="AE18" s="56"/>
      <c r="AF18" s="56"/>
      <c r="AG18" s="56"/>
      <c r="AH18" s="56"/>
      <c r="AI18" s="56">
        <v>10</v>
      </c>
      <c r="AJ18" s="56">
        <v>1</v>
      </c>
      <c r="AK18" s="56">
        <v>7</v>
      </c>
      <c r="AL18" s="56">
        <v>1.45</v>
      </c>
      <c r="AM18" s="56" t="s">
        <v>106</v>
      </c>
      <c r="AN18" s="56">
        <v>8.0690000000000008</v>
      </c>
      <c r="AO18" s="56" t="s">
        <v>107</v>
      </c>
      <c r="AP18" s="56" t="s">
        <v>3</v>
      </c>
      <c r="AQ18" s="56" t="s">
        <v>63</v>
      </c>
    </row>
    <row r="19" spans="1:43" s="4" customFormat="1" ht="10.199999999999999" x14ac:dyDescent="0.2">
      <c r="A19" s="8"/>
      <c r="B19" s="8"/>
      <c r="C19" s="8">
        <v>2</v>
      </c>
      <c r="D19" s="27"/>
      <c r="E19" s="28">
        <v>8</v>
      </c>
      <c r="F19" s="29" t="s">
        <v>108</v>
      </c>
      <c r="G19" s="10" t="s">
        <v>109</v>
      </c>
      <c r="H19" s="30">
        <f t="shared" si="1"/>
        <v>0</v>
      </c>
      <c r="I19" s="52" t="str">
        <f>[1]!Plus_ang(I18,[1]!Min_ang(F19,F18))</f>
        <v xml:space="preserve"> 133° 55' 59"</v>
      </c>
      <c r="J19" s="10" t="str">
        <f>[1]!Plus_ang([1]!Plus_ang(J18,[1]!Min_ang(F19,F18)),[1]!DestoDeg(H19/3600))</f>
        <v xml:space="preserve"> 133° 55' 59"</v>
      </c>
      <c r="K19" s="31">
        <v>13.271000000000001</v>
      </c>
      <c r="L19" s="32">
        <f>[1]!Jarakdatar(K19,G19)</f>
        <v>12.386730687432502</v>
      </c>
      <c r="M19" s="33">
        <f>L19*[1]!dsin(J19)</f>
        <v>8.9203158553710704</v>
      </c>
      <c r="N19" s="34">
        <f t="shared" si="2"/>
        <v>0</v>
      </c>
      <c r="O19" s="33">
        <f>L19*[1]!dcos(J19)</f>
        <v>-8.5941295174902717</v>
      </c>
      <c r="P19" s="34">
        <f t="shared" si="3"/>
        <v>0</v>
      </c>
      <c r="Q19" s="35">
        <f>L19/[1]!dTAN(G19)-C19+$B$14</f>
        <v>-5.5882283041040539</v>
      </c>
      <c r="R19" s="34">
        <f t="shared" si="4"/>
        <v>0</v>
      </c>
      <c r="S19" s="36">
        <f t="shared" si="5"/>
        <v>10008.920315855372</v>
      </c>
      <c r="T19" s="40">
        <f t="shared" si="6"/>
        <v>9991.4058704825093</v>
      </c>
      <c r="U19" s="37">
        <f t="shared" si="7"/>
        <v>24.377771695895948</v>
      </c>
      <c r="V19" s="38">
        <f t="shared" si="0"/>
        <v>8</v>
      </c>
      <c r="W19" s="70"/>
      <c r="X19" s="71"/>
      <c r="Y19" s="71"/>
      <c r="Z19" s="72" t="s">
        <v>14</v>
      </c>
      <c r="AB19" s="56"/>
      <c r="AC19" s="56"/>
      <c r="AD19" s="56"/>
      <c r="AE19" s="56"/>
      <c r="AF19" s="56"/>
      <c r="AG19" s="56"/>
      <c r="AH19" s="56"/>
      <c r="AI19" s="56">
        <v>12</v>
      </c>
      <c r="AJ19" s="56">
        <v>1</v>
      </c>
      <c r="AK19" s="56">
        <v>8</v>
      </c>
      <c r="AL19" s="56">
        <v>2</v>
      </c>
      <c r="AM19" s="56" t="s">
        <v>108</v>
      </c>
      <c r="AN19" s="56">
        <v>13.271000000000001</v>
      </c>
      <c r="AO19" s="56" t="s">
        <v>109</v>
      </c>
      <c r="AP19" s="56" t="s">
        <v>14</v>
      </c>
      <c r="AQ19" s="56" t="s">
        <v>63</v>
      </c>
    </row>
    <row r="20" spans="1:43" s="4" customFormat="1" ht="10.199999999999999" x14ac:dyDescent="0.2">
      <c r="A20" s="8"/>
      <c r="B20" s="8"/>
      <c r="C20" s="8">
        <v>2</v>
      </c>
      <c r="D20" s="27"/>
      <c r="E20" s="28">
        <v>9</v>
      </c>
      <c r="F20" s="29" t="s">
        <v>110</v>
      </c>
      <c r="G20" s="10" t="s">
        <v>111</v>
      </c>
      <c r="H20" s="30">
        <f t="shared" si="1"/>
        <v>0</v>
      </c>
      <c r="I20" s="52" t="str">
        <f>[1]!Plus_ang(I19,[1]!Min_ang(F20,F19))</f>
        <v xml:space="preserve"> 133° 55' 55"</v>
      </c>
      <c r="J20" s="10" t="str">
        <f>[1]!Plus_ang([1]!Plus_ang(J19,[1]!Min_ang(F20,F19)),[1]!DestoDeg(H20/3600))</f>
        <v xml:space="preserve"> 133° 55' 55"</v>
      </c>
      <c r="K20" s="31">
        <v>13.420999999999999</v>
      </c>
      <c r="L20" s="32">
        <f>[1]!Jarakdatar(K20,G20)</f>
        <v>12.522387033505076</v>
      </c>
      <c r="M20" s="33">
        <f>L20*[1]!dsin(J20)</f>
        <v>9.0181773872950028</v>
      </c>
      <c r="N20" s="34">
        <f t="shared" si="2"/>
        <v>0</v>
      </c>
      <c r="O20" s="33">
        <f>L20*[1]!dcos(J20)</f>
        <v>-8.6880753696188151</v>
      </c>
      <c r="P20" s="34">
        <f t="shared" si="3"/>
        <v>0</v>
      </c>
      <c r="Q20" s="35">
        <f>L20/[1]!dTAN(G20)-C20+$B$14</f>
        <v>-5.6533603824801597</v>
      </c>
      <c r="R20" s="34">
        <f t="shared" si="4"/>
        <v>0</v>
      </c>
      <c r="S20" s="36">
        <f t="shared" si="5"/>
        <v>10009.018177387296</v>
      </c>
      <c r="T20" s="40">
        <f t="shared" si="6"/>
        <v>9991.3119246303813</v>
      </c>
      <c r="U20" s="37">
        <f t="shared" si="7"/>
        <v>24.312639617519842</v>
      </c>
      <c r="V20" s="38">
        <f t="shared" si="0"/>
        <v>9</v>
      </c>
      <c r="W20" s="70"/>
      <c r="X20" s="71"/>
      <c r="Y20" s="71"/>
      <c r="Z20" s="72" t="s">
        <v>15</v>
      </c>
      <c r="AB20" s="56"/>
      <c r="AC20" s="56"/>
      <c r="AD20" s="56"/>
      <c r="AE20" s="56"/>
      <c r="AF20" s="56"/>
      <c r="AG20" s="56"/>
      <c r="AH20" s="56"/>
      <c r="AI20" s="56">
        <v>14</v>
      </c>
      <c r="AJ20" s="56">
        <v>1</v>
      </c>
      <c r="AK20" s="56">
        <v>9</v>
      </c>
      <c r="AL20" s="56">
        <v>2</v>
      </c>
      <c r="AM20" s="56" t="s">
        <v>110</v>
      </c>
      <c r="AN20" s="56">
        <v>13.420999999999999</v>
      </c>
      <c r="AO20" s="56" t="s">
        <v>111</v>
      </c>
      <c r="AP20" s="56" t="s">
        <v>15</v>
      </c>
      <c r="AQ20" s="56" t="s">
        <v>63</v>
      </c>
    </row>
    <row r="21" spans="1:43" s="4" customFormat="1" ht="10.199999999999999" x14ac:dyDescent="0.2">
      <c r="A21" s="8"/>
      <c r="B21" s="8"/>
      <c r="C21" s="8">
        <v>2</v>
      </c>
      <c r="D21" s="27"/>
      <c r="E21" s="28">
        <v>10</v>
      </c>
      <c r="F21" s="29" t="s">
        <v>112</v>
      </c>
      <c r="G21" s="10" t="s">
        <v>113</v>
      </c>
      <c r="H21" s="30">
        <f t="shared" si="1"/>
        <v>0</v>
      </c>
      <c r="I21" s="52" t="str">
        <f>[1]!Plus_ang(I20,[1]!Min_ang(F21,F20))</f>
        <v xml:space="preserve"> 133° 55' 53"</v>
      </c>
      <c r="J21" s="10" t="str">
        <f>[1]!Plus_ang([1]!Plus_ang(J20,[1]!Min_ang(F21,F20)),[1]!DestoDeg(H21/3600))</f>
        <v xml:space="preserve"> 133° 55' 53"</v>
      </c>
      <c r="K21" s="31">
        <v>13.669</v>
      </c>
      <c r="L21" s="32">
        <f>[1]!Jarakdatar(K21,G21)</f>
        <v>12.750918919363757</v>
      </c>
      <c r="M21" s="33">
        <f>L21*[1]!dsin(J21)</f>
        <v>9.1828436954641184</v>
      </c>
      <c r="N21" s="34">
        <f t="shared" si="2"/>
        <v>0</v>
      </c>
      <c r="O21" s="33">
        <f>L21*[1]!dcos(J21)</f>
        <v>-8.8465425423078976</v>
      </c>
      <c r="P21" s="34">
        <f t="shared" si="3"/>
        <v>0</v>
      </c>
      <c r="Q21" s="35">
        <f>L21/[1]!dTAN(G21)-C21+$B$14</f>
        <v>-5.7500002753107982</v>
      </c>
      <c r="R21" s="34">
        <f t="shared" si="4"/>
        <v>0</v>
      </c>
      <c r="S21" s="36">
        <f t="shared" si="5"/>
        <v>10009.182843695464</v>
      </c>
      <c r="T21" s="40">
        <f t="shared" si="6"/>
        <v>9991.1534574576926</v>
      </c>
      <c r="U21" s="37">
        <f t="shared" si="7"/>
        <v>24.215999724689205</v>
      </c>
      <c r="V21" s="38">
        <f t="shared" si="0"/>
        <v>10</v>
      </c>
      <c r="W21" s="70"/>
      <c r="X21" s="71"/>
      <c r="Y21" s="71"/>
      <c r="Z21" s="72" t="s">
        <v>15</v>
      </c>
      <c r="AB21" s="56"/>
      <c r="AC21" s="56"/>
      <c r="AD21" s="56"/>
      <c r="AE21" s="56"/>
      <c r="AF21" s="56"/>
      <c r="AG21" s="56"/>
      <c r="AH21" s="56"/>
      <c r="AI21" s="56">
        <v>16</v>
      </c>
      <c r="AJ21" s="56">
        <v>1</v>
      </c>
      <c r="AK21" s="56">
        <v>10</v>
      </c>
      <c r="AL21" s="56">
        <v>2</v>
      </c>
      <c r="AM21" s="56" t="s">
        <v>112</v>
      </c>
      <c r="AN21" s="56">
        <v>13.669</v>
      </c>
      <c r="AO21" s="56" t="s">
        <v>113</v>
      </c>
      <c r="AP21" s="56" t="s">
        <v>15</v>
      </c>
      <c r="AQ21" s="56" t="s">
        <v>63</v>
      </c>
    </row>
    <row r="22" spans="1:43" s="4" customFormat="1" ht="10.199999999999999" x14ac:dyDescent="0.2">
      <c r="A22" s="8"/>
      <c r="B22" s="8"/>
      <c r="C22" s="8">
        <v>2</v>
      </c>
      <c r="D22" s="27"/>
      <c r="E22" s="28">
        <v>11</v>
      </c>
      <c r="F22" s="29" t="s">
        <v>114</v>
      </c>
      <c r="G22" s="10" t="s">
        <v>115</v>
      </c>
      <c r="H22" s="30">
        <f t="shared" si="1"/>
        <v>0</v>
      </c>
      <c r="I22" s="52" t="str">
        <f>[1]!Plus_ang(I21,[1]!Min_ang(F22,F21))</f>
        <v xml:space="preserve"> 133° 55' 54"</v>
      </c>
      <c r="J22" s="10" t="str">
        <f>[1]!Plus_ang([1]!Plus_ang(J21,[1]!Min_ang(F22,F21)),[1]!DestoDeg(H22/3600))</f>
        <v xml:space="preserve"> 133° 55' 54"</v>
      </c>
      <c r="K22" s="31">
        <v>13.738</v>
      </c>
      <c r="L22" s="32">
        <f>[1]!Jarakdatar(K22,G22)</f>
        <v>12.906693012812664</v>
      </c>
      <c r="M22" s="33">
        <f>L22*[1]!dsin(J22)</f>
        <v>9.2949842871523778</v>
      </c>
      <c r="N22" s="34">
        <f t="shared" si="2"/>
        <v>0</v>
      </c>
      <c r="O22" s="33">
        <f>L22*[1]!dcos(J22)</f>
        <v>-8.9546631220039554</v>
      </c>
      <c r="P22" s="34">
        <f t="shared" si="3"/>
        <v>0</v>
      </c>
      <c r="Q22" s="35">
        <f>L22/[1]!dTAN(G22)-C22+$B$14</f>
        <v>-5.5313700952021136</v>
      </c>
      <c r="R22" s="34">
        <f t="shared" si="4"/>
        <v>0</v>
      </c>
      <c r="S22" s="36">
        <f t="shared" si="5"/>
        <v>10009.294984287153</v>
      </c>
      <c r="T22" s="40">
        <f t="shared" si="6"/>
        <v>9991.0453368779963</v>
      </c>
      <c r="U22" s="37">
        <f t="shared" si="7"/>
        <v>24.434629904797887</v>
      </c>
      <c r="V22" s="38">
        <f t="shared" si="0"/>
        <v>11</v>
      </c>
      <c r="W22" s="70"/>
      <c r="X22" s="71"/>
      <c r="Y22" s="71"/>
      <c r="Z22" s="72" t="s">
        <v>14</v>
      </c>
      <c r="AB22" s="56"/>
      <c r="AC22" s="56"/>
      <c r="AD22" s="56"/>
      <c r="AE22" s="56"/>
      <c r="AF22" s="56"/>
      <c r="AG22" s="56"/>
      <c r="AH22" s="56"/>
      <c r="AI22" s="56">
        <v>18</v>
      </c>
      <c r="AJ22" s="56">
        <v>1</v>
      </c>
      <c r="AK22" s="56">
        <v>11</v>
      </c>
      <c r="AL22" s="56">
        <v>2</v>
      </c>
      <c r="AM22" s="56" t="s">
        <v>114</v>
      </c>
      <c r="AN22" s="56">
        <v>13.738</v>
      </c>
      <c r="AO22" s="56" t="s">
        <v>115</v>
      </c>
      <c r="AP22" s="56" t="s">
        <v>14</v>
      </c>
      <c r="AQ22" s="56" t="s">
        <v>63</v>
      </c>
    </row>
    <row r="23" spans="1:43" s="4" customFormat="1" ht="10.199999999999999" x14ac:dyDescent="0.2">
      <c r="A23" s="8"/>
      <c r="B23" s="8"/>
      <c r="C23" s="8">
        <v>2</v>
      </c>
      <c r="D23" s="27"/>
      <c r="E23" s="28">
        <v>12</v>
      </c>
      <c r="F23" s="29" t="s">
        <v>116</v>
      </c>
      <c r="G23" s="10" t="s">
        <v>117</v>
      </c>
      <c r="H23" s="30">
        <f t="shared" si="1"/>
        <v>0</v>
      </c>
      <c r="I23" s="52" t="str">
        <f>[1]!Plus_ang(I22,[1]!Min_ang(F23,F22))</f>
        <v xml:space="preserve"> 133° 55' 59"</v>
      </c>
      <c r="J23" s="10" t="str">
        <f>[1]!Plus_ang([1]!Plus_ang(J22,[1]!Min_ang(F23,F22)),[1]!DestoDeg(H23/3600))</f>
        <v xml:space="preserve"> 133° 55' 59"</v>
      </c>
      <c r="K23" s="31">
        <v>17.622</v>
      </c>
      <c r="L23" s="32">
        <f>[1]!Jarakdatar(K23,G23)</f>
        <v>17.018799958133965</v>
      </c>
      <c r="M23" s="33">
        <f>L23*[1]!dsin(J23)</f>
        <v>12.256104934933273</v>
      </c>
      <c r="N23" s="34">
        <f t="shared" si="2"/>
        <v>0</v>
      </c>
      <c r="O23" s="33">
        <f>L23*[1]!dcos(J23)</f>
        <v>-11.807939864298298</v>
      </c>
      <c r="P23" s="34">
        <f t="shared" si="3"/>
        <v>0</v>
      </c>
      <c r="Q23" s="35">
        <f>L23/[1]!dTAN(G23)-C23+$B$14</f>
        <v>-5.3961412125441282</v>
      </c>
      <c r="R23" s="34">
        <f t="shared" si="4"/>
        <v>0</v>
      </c>
      <c r="S23" s="36">
        <f t="shared" si="5"/>
        <v>10012.256104934933</v>
      </c>
      <c r="T23" s="40">
        <f t="shared" si="6"/>
        <v>9988.1920601357015</v>
      </c>
      <c r="U23" s="37">
        <f t="shared" si="7"/>
        <v>24.569858787455871</v>
      </c>
      <c r="V23" s="38">
        <f t="shared" si="0"/>
        <v>12</v>
      </c>
      <c r="W23" s="70"/>
      <c r="X23" s="71"/>
      <c r="Y23" s="71"/>
      <c r="Z23" s="72" t="s">
        <v>3</v>
      </c>
      <c r="AB23" s="56"/>
      <c r="AC23" s="56"/>
      <c r="AD23" s="56"/>
      <c r="AE23" s="56"/>
      <c r="AF23" s="56"/>
      <c r="AG23" s="56"/>
      <c r="AH23" s="56"/>
      <c r="AI23" s="56">
        <v>20</v>
      </c>
      <c r="AJ23" s="56">
        <v>1</v>
      </c>
      <c r="AK23" s="56">
        <v>12</v>
      </c>
      <c r="AL23" s="56">
        <v>2</v>
      </c>
      <c r="AM23" s="56" t="s">
        <v>116</v>
      </c>
      <c r="AN23" s="56">
        <v>17.622</v>
      </c>
      <c r="AO23" s="56" t="s">
        <v>117</v>
      </c>
      <c r="AP23" s="56" t="s">
        <v>3</v>
      </c>
      <c r="AQ23" s="56" t="s">
        <v>63</v>
      </c>
    </row>
    <row r="24" spans="1:43" s="4" customFormat="1" ht="10.199999999999999" x14ac:dyDescent="0.2">
      <c r="A24" s="8"/>
      <c r="B24" s="8"/>
      <c r="C24" s="8">
        <v>2</v>
      </c>
      <c r="D24" s="27"/>
      <c r="E24" s="28">
        <v>13</v>
      </c>
      <c r="F24" s="29" t="s">
        <v>116</v>
      </c>
      <c r="G24" s="10" t="s">
        <v>118</v>
      </c>
      <c r="H24" s="30">
        <f t="shared" si="1"/>
        <v>0</v>
      </c>
      <c r="I24" s="52" t="str">
        <f>[1]!Plus_ang(I23,[1]!Min_ang(F24,F23))</f>
        <v xml:space="preserve"> 133° 55' 59"</v>
      </c>
      <c r="J24" s="10" t="str">
        <f>[1]!Plus_ang([1]!Plus_ang(J23,[1]!Min_ang(F24,F23)),[1]!DestoDeg(H24/3600))</f>
        <v xml:space="preserve"> 133° 55' 59"</v>
      </c>
      <c r="K24" s="31">
        <v>18.891999999999999</v>
      </c>
      <c r="L24" s="32">
        <f>[1]!Jarakdatar(K24,G24)</f>
        <v>18.239541912986542</v>
      </c>
      <c r="M24" s="33">
        <f>L24*[1]!dsin(J24)</f>
        <v>13.135223411791452</v>
      </c>
      <c r="N24" s="34">
        <f t="shared" si="2"/>
        <v>0</v>
      </c>
      <c r="O24" s="33">
        <f>L24*[1]!dcos(J24)</f>
        <v>-12.654911896884881</v>
      </c>
      <c r="P24" s="34">
        <f t="shared" si="3"/>
        <v>0</v>
      </c>
      <c r="Q24" s="35">
        <f>L24/[1]!dTAN(G24)-C24+$B$14</f>
        <v>-5.7470701746731692</v>
      </c>
      <c r="R24" s="34">
        <f t="shared" si="4"/>
        <v>0</v>
      </c>
      <c r="S24" s="36">
        <f t="shared" si="5"/>
        <v>10013.135223411791</v>
      </c>
      <c r="T24" s="40">
        <f t="shared" si="6"/>
        <v>9987.3450881031149</v>
      </c>
      <c r="U24" s="37">
        <f t="shared" si="7"/>
        <v>24.218929825326832</v>
      </c>
      <c r="V24" s="38">
        <f t="shared" si="0"/>
        <v>13</v>
      </c>
      <c r="W24" s="70"/>
      <c r="X24" s="71"/>
      <c r="Y24" s="71"/>
      <c r="Z24" s="72" t="s">
        <v>64</v>
      </c>
      <c r="AB24" s="56"/>
      <c r="AC24" s="56"/>
      <c r="AD24" s="56"/>
      <c r="AE24" s="56"/>
      <c r="AF24" s="56"/>
      <c r="AG24" s="56"/>
      <c r="AH24" s="56"/>
      <c r="AI24" s="56">
        <v>22</v>
      </c>
      <c r="AJ24" s="56">
        <v>1</v>
      </c>
      <c r="AK24" s="56">
        <v>13</v>
      </c>
      <c r="AL24" s="56">
        <v>2</v>
      </c>
      <c r="AM24" s="56" t="s">
        <v>116</v>
      </c>
      <c r="AN24" s="56">
        <v>18.891999999999999</v>
      </c>
      <c r="AO24" s="56" t="s">
        <v>118</v>
      </c>
      <c r="AP24" s="56" t="s">
        <v>64</v>
      </c>
      <c r="AQ24" s="56" t="s">
        <v>63</v>
      </c>
    </row>
    <row r="25" spans="1:43" s="4" customFormat="1" ht="10.199999999999999" x14ac:dyDescent="0.2">
      <c r="A25" s="8"/>
      <c r="B25" s="8"/>
      <c r="C25" s="8">
        <v>2.5</v>
      </c>
      <c r="D25" s="27"/>
      <c r="E25" s="28">
        <v>14</v>
      </c>
      <c r="F25" s="29" t="s">
        <v>114</v>
      </c>
      <c r="G25" s="10" t="s">
        <v>119</v>
      </c>
      <c r="H25" s="30">
        <f t="shared" si="1"/>
        <v>0</v>
      </c>
      <c r="I25" s="52" t="str">
        <f>[1]!Plus_ang(I24,[1]!Min_ang(F25,F24))</f>
        <v xml:space="preserve"> 133° 55' 54"</v>
      </c>
      <c r="J25" s="10" t="str">
        <f>[1]!Plus_ang([1]!Plus_ang(J24,[1]!Min_ang(F25,F24)),[1]!DestoDeg(H25/3600))</f>
        <v xml:space="preserve"> 133° 55' 54"</v>
      </c>
      <c r="K25" s="31">
        <v>24.911999999999999</v>
      </c>
      <c r="L25" s="32">
        <f>[1]!Jarakdatar(K25,G25)</f>
        <v>23.540211594329307</v>
      </c>
      <c r="M25" s="33">
        <f>L25*[1]!dsin(J25)</f>
        <v>16.95290161998285</v>
      </c>
      <c r="N25" s="34">
        <f t="shared" si="2"/>
        <v>0</v>
      </c>
      <c r="O25" s="33">
        <f>L25*[1]!dcos(J25)</f>
        <v>-16.332197909925622</v>
      </c>
      <c r="P25" s="34">
        <f t="shared" si="3"/>
        <v>0</v>
      </c>
      <c r="Q25" s="35">
        <f>L25/[1]!dTAN(G25)-C25+$B$14</f>
        <v>-9.4776794426252291</v>
      </c>
      <c r="R25" s="34">
        <f t="shared" si="4"/>
        <v>0</v>
      </c>
      <c r="S25" s="36">
        <f t="shared" si="5"/>
        <v>10016.952901619983</v>
      </c>
      <c r="T25" s="40">
        <f t="shared" si="6"/>
        <v>9983.6678020900745</v>
      </c>
      <c r="U25" s="37">
        <f t="shared" si="7"/>
        <v>20.48832055737477</v>
      </c>
      <c r="V25" s="38">
        <f t="shared" si="0"/>
        <v>14</v>
      </c>
      <c r="W25" s="70"/>
      <c r="X25" s="71"/>
      <c r="Y25" s="71"/>
      <c r="Z25" s="72" t="s">
        <v>65</v>
      </c>
      <c r="AB25" s="56"/>
      <c r="AC25" s="56"/>
      <c r="AD25" s="56"/>
      <c r="AE25" s="56"/>
      <c r="AF25" s="56"/>
      <c r="AG25" s="56"/>
      <c r="AH25" s="56"/>
      <c r="AI25" s="56">
        <v>24</v>
      </c>
      <c r="AJ25" s="56">
        <v>1</v>
      </c>
      <c r="AK25" s="56">
        <v>14</v>
      </c>
      <c r="AL25" s="56">
        <v>2.5</v>
      </c>
      <c r="AM25" s="56" t="s">
        <v>114</v>
      </c>
      <c r="AN25" s="56">
        <v>24.911999999999999</v>
      </c>
      <c r="AO25" s="56" t="s">
        <v>119</v>
      </c>
      <c r="AP25" s="56" t="s">
        <v>65</v>
      </c>
      <c r="AQ25" s="56" t="s">
        <v>63</v>
      </c>
    </row>
    <row r="26" spans="1:43" s="4" customFormat="1" ht="10.199999999999999" x14ac:dyDescent="0.2">
      <c r="A26" s="8"/>
      <c r="B26" s="8"/>
      <c r="C26" s="8">
        <v>2.5</v>
      </c>
      <c r="D26" s="27"/>
      <c r="E26" s="28">
        <v>15</v>
      </c>
      <c r="F26" s="29" t="s">
        <v>120</v>
      </c>
      <c r="G26" s="10" t="s">
        <v>121</v>
      </c>
      <c r="H26" s="30">
        <f t="shared" si="1"/>
        <v>0</v>
      </c>
      <c r="I26" s="52" t="str">
        <f>[1]!Plus_ang(I25,[1]!Min_ang(F26,F25))</f>
        <v xml:space="preserve"> 133° 56' 0"</v>
      </c>
      <c r="J26" s="10" t="str">
        <f>[1]!Plus_ang([1]!Plus_ang(J25,[1]!Min_ang(F26,F25)),[1]!DestoDeg(H26/3600))</f>
        <v xml:space="preserve"> 133° 56' 0"</v>
      </c>
      <c r="K26" s="31">
        <v>32.524999999999999</v>
      </c>
      <c r="L26" s="32">
        <f>[1]!Jarakdatar(K26,G26)</f>
        <v>31.542473390735676</v>
      </c>
      <c r="M26" s="33">
        <f>L26*[1]!dsin(J26)</f>
        <v>22.715236035102226</v>
      </c>
      <c r="N26" s="34">
        <f t="shared" si="2"/>
        <v>0</v>
      </c>
      <c r="O26" s="33">
        <f>L26*[1]!dcos(J26)</f>
        <v>-21.884827608982015</v>
      </c>
      <c r="P26" s="34">
        <f t="shared" si="3"/>
        <v>0</v>
      </c>
      <c r="Q26" s="35">
        <f>L26/[1]!dTAN(G26)-C26+$B$14</f>
        <v>-9.2589774006945333</v>
      </c>
      <c r="R26" s="34">
        <f t="shared" si="4"/>
        <v>0</v>
      </c>
      <c r="S26" s="36">
        <f t="shared" si="5"/>
        <v>10022.715236035103</v>
      </c>
      <c r="T26" s="40">
        <f t="shared" si="6"/>
        <v>9978.1151723910189</v>
      </c>
      <c r="U26" s="37">
        <f t="shared" si="7"/>
        <v>20.707022599305468</v>
      </c>
      <c r="V26" s="38">
        <f t="shared" si="0"/>
        <v>15</v>
      </c>
      <c r="W26" s="70"/>
      <c r="X26" s="71"/>
      <c r="Y26" s="71"/>
      <c r="Z26" s="72" t="s">
        <v>65</v>
      </c>
      <c r="AB26" s="56"/>
      <c r="AC26" s="56"/>
      <c r="AD26" s="56"/>
      <c r="AE26" s="56"/>
      <c r="AF26" s="56"/>
      <c r="AG26" s="56"/>
      <c r="AH26" s="56"/>
      <c r="AI26" s="56">
        <v>26</v>
      </c>
      <c r="AJ26" s="56">
        <v>1</v>
      </c>
      <c r="AK26" s="56">
        <v>15</v>
      </c>
      <c r="AL26" s="56">
        <v>2.5</v>
      </c>
      <c r="AM26" s="56" t="s">
        <v>120</v>
      </c>
      <c r="AN26" s="56">
        <v>32.524999999999999</v>
      </c>
      <c r="AO26" s="56" t="s">
        <v>121</v>
      </c>
      <c r="AP26" s="56" t="s">
        <v>65</v>
      </c>
      <c r="AQ26" s="56" t="s">
        <v>63</v>
      </c>
    </row>
    <row r="27" spans="1:43" s="4" customFormat="1" ht="10.199999999999999" x14ac:dyDescent="0.2">
      <c r="A27" s="8"/>
      <c r="B27" s="8"/>
      <c r="C27" s="8">
        <v>2.5</v>
      </c>
      <c r="D27" s="27"/>
      <c r="E27" s="28">
        <v>16</v>
      </c>
      <c r="F27" s="29" t="s">
        <v>122</v>
      </c>
      <c r="G27" s="10" t="s">
        <v>123</v>
      </c>
      <c r="H27" s="30">
        <f t="shared" si="1"/>
        <v>0</v>
      </c>
      <c r="I27" s="52" t="str">
        <f>[1]!Plus_ang(I26,[1]!Min_ang(F27,F26))</f>
        <v xml:space="preserve"> 133° 55' 57"</v>
      </c>
      <c r="J27" s="10" t="str">
        <f>[1]!Plus_ang([1]!Plus_ang(J26,[1]!Min_ang(F27,F26)),[1]!DestoDeg(H27/3600))</f>
        <v xml:space="preserve"> 133° 55' 57"</v>
      </c>
      <c r="K27" s="31">
        <v>47.89</v>
      </c>
      <c r="L27" s="32">
        <f>[1]!Jarakdatar(K27,G27)</f>
        <v>47.291535920588281</v>
      </c>
      <c r="M27" s="33">
        <f>L27*[1]!dsin(J27)</f>
        <v>34.05736260641568</v>
      </c>
      <c r="N27" s="34">
        <f t="shared" si="2"/>
        <v>0</v>
      </c>
      <c r="O27" s="33">
        <f>L27*[1]!dcos(J27)</f>
        <v>-32.811361172974991</v>
      </c>
      <c r="P27" s="34">
        <f t="shared" si="3"/>
        <v>0</v>
      </c>
      <c r="Q27" s="35">
        <f>L27/[1]!dTAN(G27)-C27+$B$14</f>
        <v>-8.8723657836167433</v>
      </c>
      <c r="R27" s="34">
        <f t="shared" si="4"/>
        <v>0</v>
      </c>
      <c r="S27" s="36">
        <f t="shared" si="5"/>
        <v>10034.057362606416</v>
      </c>
      <c r="T27" s="40">
        <f t="shared" si="6"/>
        <v>9967.188638827025</v>
      </c>
      <c r="U27" s="37">
        <f t="shared" si="7"/>
        <v>21.093634216383258</v>
      </c>
      <c r="V27" s="38">
        <f t="shared" si="0"/>
        <v>16</v>
      </c>
      <c r="W27" s="70"/>
      <c r="X27" s="71"/>
      <c r="Y27" s="71"/>
      <c r="Z27" s="72" t="s">
        <v>65</v>
      </c>
      <c r="AB27" s="56"/>
      <c r="AC27" s="56"/>
      <c r="AD27" s="56"/>
      <c r="AE27" s="56"/>
      <c r="AF27" s="56"/>
      <c r="AG27" s="56"/>
      <c r="AH27" s="56"/>
      <c r="AI27" s="56">
        <v>28</v>
      </c>
      <c r="AJ27" s="56">
        <v>1</v>
      </c>
      <c r="AK27" s="56">
        <v>16</v>
      </c>
      <c r="AL27" s="56">
        <v>2.5</v>
      </c>
      <c r="AM27" s="56" t="s">
        <v>122</v>
      </c>
      <c r="AN27" s="56">
        <v>47.89</v>
      </c>
      <c r="AO27" s="56" t="s">
        <v>123</v>
      </c>
      <c r="AP27" s="56" t="s">
        <v>65</v>
      </c>
      <c r="AQ27" s="56" t="s">
        <v>63</v>
      </c>
    </row>
    <row r="28" spans="1:43" s="4" customFormat="1" ht="10.199999999999999" x14ac:dyDescent="0.2">
      <c r="A28" s="8"/>
      <c r="B28" s="8"/>
      <c r="C28" s="8">
        <v>1.45</v>
      </c>
      <c r="D28" s="27"/>
      <c r="E28" s="28">
        <v>17</v>
      </c>
      <c r="F28" s="29" t="s">
        <v>124</v>
      </c>
      <c r="G28" s="10" t="s">
        <v>125</v>
      </c>
      <c r="H28" s="30">
        <f t="shared" si="1"/>
        <v>0</v>
      </c>
      <c r="I28" s="52" t="str">
        <f>[1]!Plus_ang(I27,[1]!Min_ang(F28,F27))</f>
        <v xml:space="preserve"> 133° 55' 0"</v>
      </c>
      <c r="J28" s="10" t="str">
        <f>[1]!Plus_ang([1]!Plus_ang(J27,[1]!Min_ang(F28,F27)),[1]!DestoDeg(H28/3600))</f>
        <v xml:space="preserve"> 133° 54' 60"</v>
      </c>
      <c r="K28" s="31">
        <v>53.073</v>
      </c>
      <c r="L28" s="32">
        <f>[1]!Jarakdatar(K28,G28)</f>
        <v>52.773972384377657</v>
      </c>
      <c r="M28" s="33">
        <f>L28*[1]!dsin(J28)</f>
        <v>38.015698222966193</v>
      </c>
      <c r="N28" s="34">
        <f t="shared" si="2"/>
        <v>0</v>
      </c>
      <c r="O28" s="33">
        <f>L28*[1]!dcos(J28)</f>
        <v>-36.604628803573739</v>
      </c>
      <c r="P28" s="34">
        <f t="shared" si="3"/>
        <v>0</v>
      </c>
      <c r="Q28" s="35">
        <f>L28/[1]!dTAN(G28)-C28+$B$14</f>
        <v>-5.9009370573215811</v>
      </c>
      <c r="R28" s="34">
        <f t="shared" si="4"/>
        <v>0</v>
      </c>
      <c r="S28" s="36">
        <f t="shared" si="5"/>
        <v>10038.015698222966</v>
      </c>
      <c r="T28" s="40">
        <f t="shared" si="6"/>
        <v>9963.3953711964259</v>
      </c>
      <c r="U28" s="37">
        <f t="shared" si="7"/>
        <v>24.06506294267842</v>
      </c>
      <c r="V28" s="38">
        <f t="shared" si="0"/>
        <v>17</v>
      </c>
      <c r="W28" s="70"/>
      <c r="X28" s="71"/>
      <c r="Y28" s="71"/>
      <c r="Z28" s="72" t="s">
        <v>64</v>
      </c>
      <c r="AB28" s="56"/>
      <c r="AC28" s="56"/>
      <c r="AD28" s="56"/>
      <c r="AE28" s="56"/>
      <c r="AF28" s="56"/>
      <c r="AG28" s="56"/>
      <c r="AH28" s="56"/>
      <c r="AI28" s="56">
        <v>30</v>
      </c>
      <c r="AJ28" s="56">
        <v>1</v>
      </c>
      <c r="AK28" s="56">
        <v>17</v>
      </c>
      <c r="AL28" s="56">
        <v>1.45</v>
      </c>
      <c r="AM28" s="56" t="s">
        <v>124</v>
      </c>
      <c r="AN28" s="56">
        <v>53.073</v>
      </c>
      <c r="AO28" s="56" t="s">
        <v>125</v>
      </c>
      <c r="AP28" s="56" t="s">
        <v>64</v>
      </c>
      <c r="AQ28" s="56" t="s">
        <v>63</v>
      </c>
    </row>
    <row r="29" spans="1:43" s="4" customFormat="1" ht="10.199999999999999" x14ac:dyDescent="0.2">
      <c r="A29" s="8"/>
      <c r="B29" s="8"/>
      <c r="C29" s="8">
        <v>1.45</v>
      </c>
      <c r="D29" s="27"/>
      <c r="E29" s="28">
        <v>18</v>
      </c>
      <c r="F29" s="29" t="s">
        <v>126</v>
      </c>
      <c r="G29" s="10" t="s">
        <v>127</v>
      </c>
      <c r="H29" s="30">
        <f t="shared" si="1"/>
        <v>0</v>
      </c>
      <c r="I29" s="52" t="str">
        <f>[1]!Plus_ang(I28,[1]!Min_ang(F29,F28))</f>
        <v xml:space="preserve"> 133° 54' 58"</v>
      </c>
      <c r="J29" s="10" t="str">
        <f>[1]!Plus_ang([1]!Plus_ang(J28,[1]!Min_ang(F29,F28)),[1]!DestoDeg(H29/3600))</f>
        <v xml:space="preserve"> 133° 54' 58"</v>
      </c>
      <c r="K29" s="31">
        <v>0.16200000000000001</v>
      </c>
      <c r="L29" s="32">
        <f>[1]!Jarakdatar(K29,G29)</f>
        <v>0.16177782018156533</v>
      </c>
      <c r="M29" s="33">
        <f>L29*[1]!dsin(J29)</f>
        <v>0.1165376402910628</v>
      </c>
      <c r="N29" s="34">
        <f t="shared" si="2"/>
        <v>0</v>
      </c>
      <c r="O29" s="33">
        <f>L29*[1]!dcos(J29)</f>
        <v>-0.1122098101686735</v>
      </c>
      <c r="P29" s="34">
        <f t="shared" si="3"/>
        <v>0</v>
      </c>
      <c r="Q29" s="35">
        <f>L29/[1]!dTAN(G29)-C29+$B$14</f>
        <v>-0.2834815621969724</v>
      </c>
      <c r="R29" s="34">
        <f t="shared" si="4"/>
        <v>0</v>
      </c>
      <c r="S29" s="36">
        <f t="shared" si="5"/>
        <v>10000.116537640291</v>
      </c>
      <c r="T29" s="40">
        <f t="shared" si="6"/>
        <v>9999.8877901898322</v>
      </c>
      <c r="U29" s="37">
        <f t="shared" si="7"/>
        <v>29.682518437803029</v>
      </c>
      <c r="V29" s="38">
        <f t="shared" si="0"/>
        <v>18</v>
      </c>
      <c r="W29" s="70"/>
      <c r="X29" s="71"/>
      <c r="Y29" s="71"/>
      <c r="Z29" s="72" t="s">
        <v>3</v>
      </c>
      <c r="AB29" s="56"/>
      <c r="AC29" s="56"/>
      <c r="AD29" s="56"/>
      <c r="AE29" s="56"/>
      <c r="AF29" s="56"/>
      <c r="AG29" s="56"/>
      <c r="AH29" s="56"/>
      <c r="AI29" s="56">
        <v>32</v>
      </c>
      <c r="AJ29" s="56">
        <v>1</v>
      </c>
      <c r="AK29" s="56">
        <v>18</v>
      </c>
      <c r="AL29" s="56">
        <v>1.45</v>
      </c>
      <c r="AM29" s="56" t="s">
        <v>126</v>
      </c>
      <c r="AN29" s="56">
        <v>0.16200000000000001</v>
      </c>
      <c r="AO29" s="56" t="s">
        <v>127</v>
      </c>
      <c r="AP29" s="56" t="s">
        <v>3</v>
      </c>
      <c r="AQ29" s="56" t="s">
        <v>63</v>
      </c>
    </row>
    <row r="30" spans="1:43" s="4" customFormat="1" ht="10.199999999999999" x14ac:dyDescent="0.2">
      <c r="A30" s="8"/>
      <c r="B30" s="8"/>
      <c r="C30" s="8">
        <v>1.45</v>
      </c>
      <c r="D30" s="27"/>
      <c r="E30" s="28">
        <v>19</v>
      </c>
      <c r="F30" s="29" t="s">
        <v>124</v>
      </c>
      <c r="G30" s="10" t="s">
        <v>128</v>
      </c>
      <c r="H30" s="30">
        <f t="shared" si="1"/>
        <v>0</v>
      </c>
      <c r="I30" s="52" t="str">
        <f>[1]!Plus_ang(I29,[1]!Min_ang(F30,F29))</f>
        <v xml:space="preserve"> 133° 55' 0"</v>
      </c>
      <c r="J30" s="10" t="str">
        <f>[1]!Plus_ang([1]!Plus_ang(J29,[1]!Min_ang(F30,F29)),[1]!DestoDeg(H30/3600))</f>
        <v xml:space="preserve"> 133° 54' 60"</v>
      </c>
      <c r="K30" s="31">
        <v>54.845999999999997</v>
      </c>
      <c r="L30" s="32">
        <f>[1]!Jarakdatar(K30,G30)</f>
        <v>54.624497316478887</v>
      </c>
      <c r="M30" s="33">
        <f>L30*[1]!dsin(J30)</f>
        <v>39.348722708226667</v>
      </c>
      <c r="N30" s="34">
        <f t="shared" si="2"/>
        <v>0</v>
      </c>
      <c r="O30" s="33">
        <f>L30*[1]!dcos(J30)</f>
        <v>-37.888173990166067</v>
      </c>
      <c r="P30" s="34">
        <f t="shared" si="3"/>
        <v>0</v>
      </c>
      <c r="Q30" s="35">
        <f>L30/[1]!dTAN(G30)-C30+$B$14</f>
        <v>-5.1992267334060021</v>
      </c>
      <c r="R30" s="34">
        <f t="shared" si="4"/>
        <v>0</v>
      </c>
      <c r="S30" s="36">
        <f t="shared" si="5"/>
        <v>10039.348722708226</v>
      </c>
      <c r="T30" s="40">
        <f t="shared" si="6"/>
        <v>9962.1118260098337</v>
      </c>
      <c r="U30" s="37">
        <f t="shared" si="7"/>
        <v>24.766773266594001</v>
      </c>
      <c r="V30" s="38">
        <f t="shared" si="0"/>
        <v>19</v>
      </c>
      <c r="W30" s="70"/>
      <c r="X30" s="71"/>
      <c r="Y30" s="71"/>
      <c r="Z30" s="72" t="s">
        <v>3</v>
      </c>
      <c r="AB30" s="56"/>
      <c r="AC30" s="56"/>
      <c r="AD30" s="56"/>
      <c r="AE30" s="56"/>
      <c r="AF30" s="56"/>
      <c r="AG30" s="56"/>
      <c r="AH30" s="56"/>
      <c r="AI30" s="56">
        <v>34</v>
      </c>
      <c r="AJ30" s="56">
        <v>1</v>
      </c>
      <c r="AK30" s="56">
        <v>19</v>
      </c>
      <c r="AL30" s="56">
        <v>1.45</v>
      </c>
      <c r="AM30" s="56" t="s">
        <v>124</v>
      </c>
      <c r="AN30" s="56">
        <v>54.845999999999997</v>
      </c>
      <c r="AO30" s="56" t="s">
        <v>128</v>
      </c>
      <c r="AP30" s="56" t="s">
        <v>3</v>
      </c>
      <c r="AQ30" s="56" t="s">
        <v>63</v>
      </c>
    </row>
    <row r="31" spans="1:43" s="4" customFormat="1" ht="10.199999999999999" x14ac:dyDescent="0.2">
      <c r="A31" s="8"/>
      <c r="B31" s="8"/>
      <c r="C31" s="8">
        <v>1.45</v>
      </c>
      <c r="D31" s="27"/>
      <c r="E31" s="28">
        <v>20</v>
      </c>
      <c r="F31" s="29" t="s">
        <v>129</v>
      </c>
      <c r="G31" s="10" t="s">
        <v>130</v>
      </c>
      <c r="H31" s="30">
        <f t="shared" si="1"/>
        <v>0</v>
      </c>
      <c r="I31" s="52" t="str">
        <f>[1]!Plus_ang(I30,[1]!Min_ang(F31,F30))</f>
        <v xml:space="preserve"> 133° 54' 59"</v>
      </c>
      <c r="J31" s="10" t="str">
        <f>[1]!Plus_ang([1]!Plus_ang(J30,[1]!Min_ang(F31,F30)),[1]!DestoDeg(H31/3600))</f>
        <v xml:space="preserve"> 133° 54' 59"</v>
      </c>
      <c r="K31" s="31">
        <v>55.448999999999998</v>
      </c>
      <c r="L31" s="32">
        <f>[1]!Jarakdatar(K31,G31)</f>
        <v>55.2250861579301</v>
      </c>
      <c r="M31" s="33">
        <f>L31*[1]!dsin(J31)</f>
        <v>39.78154221326708</v>
      </c>
      <c r="N31" s="34">
        <f t="shared" si="2"/>
        <v>0</v>
      </c>
      <c r="O31" s="33">
        <f>L31*[1]!dcos(J31)</f>
        <v>-38.304556390654774</v>
      </c>
      <c r="P31" s="34">
        <f t="shared" si="3"/>
        <v>0</v>
      </c>
      <c r="Q31" s="35">
        <f>L31/[1]!dTAN(G31)-C31+$B$14</f>
        <v>-5.2530980152260645</v>
      </c>
      <c r="R31" s="34">
        <f t="shared" si="4"/>
        <v>0</v>
      </c>
      <c r="S31" s="36">
        <f t="shared" si="5"/>
        <v>10039.781542213266</v>
      </c>
      <c r="T31" s="40">
        <f t="shared" si="6"/>
        <v>9961.6954436093456</v>
      </c>
      <c r="U31" s="37">
        <f t="shared" si="7"/>
        <v>24.712901984773936</v>
      </c>
      <c r="V31" s="38">
        <f t="shared" si="0"/>
        <v>20</v>
      </c>
      <c r="W31" s="70"/>
      <c r="X31" s="71"/>
      <c r="Y31" s="71"/>
      <c r="Z31" s="72" t="s">
        <v>66</v>
      </c>
      <c r="AB31" s="56"/>
      <c r="AC31" s="56"/>
      <c r="AD31" s="56"/>
      <c r="AE31" s="56"/>
      <c r="AF31" s="56"/>
      <c r="AG31" s="56"/>
      <c r="AH31" s="56"/>
      <c r="AI31" s="56">
        <v>36</v>
      </c>
      <c r="AJ31" s="56">
        <v>1</v>
      </c>
      <c r="AK31" s="56">
        <v>20</v>
      </c>
      <c r="AL31" s="56">
        <v>1.45</v>
      </c>
      <c r="AM31" s="56" t="s">
        <v>129</v>
      </c>
      <c r="AN31" s="56">
        <v>55.448999999999998</v>
      </c>
      <c r="AO31" s="56" t="s">
        <v>130</v>
      </c>
      <c r="AP31" s="56" t="s">
        <v>66</v>
      </c>
      <c r="AQ31" s="56" t="s">
        <v>63</v>
      </c>
    </row>
    <row r="32" spans="1:43" s="4" customFormat="1" ht="10.199999999999999" x14ac:dyDescent="0.2">
      <c r="A32" s="8"/>
      <c r="B32" s="8"/>
      <c r="C32" s="8">
        <v>1.45</v>
      </c>
      <c r="D32" s="27"/>
      <c r="E32" s="28">
        <v>21</v>
      </c>
      <c r="F32" s="29" t="s">
        <v>131</v>
      </c>
      <c r="G32" s="10" t="s">
        <v>132</v>
      </c>
      <c r="H32" s="30">
        <f t="shared" si="1"/>
        <v>0</v>
      </c>
      <c r="I32" s="52" t="str">
        <f>[1]!Plus_ang(I31,[1]!Min_ang(F32,F31))</f>
        <v xml:space="preserve"> 133° 55' 1"</v>
      </c>
      <c r="J32" s="10" t="str">
        <f>[1]!Plus_ang([1]!Plus_ang(J31,[1]!Min_ang(F32,F31)),[1]!DestoDeg(H32/3600))</f>
        <v xml:space="preserve"> 133° 55' 1"</v>
      </c>
      <c r="K32" s="31">
        <v>59.515999999999998</v>
      </c>
      <c r="L32" s="32">
        <f>[1]!Jarakdatar(K32,G32)</f>
        <v>59.368474853901773</v>
      </c>
      <c r="M32" s="33">
        <f>L32*[1]!dsin(J32)</f>
        <v>42.765844340031137</v>
      </c>
      <c r="N32" s="34">
        <f t="shared" si="2"/>
        <v>0</v>
      </c>
      <c r="O32" s="33">
        <f>L32*[1]!dcos(J32)</f>
        <v>-41.178858220725274</v>
      </c>
      <c r="P32" s="34">
        <f t="shared" si="3"/>
        <v>0</v>
      </c>
      <c r="Q32" s="35">
        <f>L32/[1]!dTAN(G32)-C32+$B$14</f>
        <v>-4.4628932080023782</v>
      </c>
      <c r="R32" s="34">
        <f t="shared" si="4"/>
        <v>0</v>
      </c>
      <c r="S32" s="36">
        <f t="shared" si="5"/>
        <v>10042.765844340031</v>
      </c>
      <c r="T32" s="40">
        <f t="shared" si="6"/>
        <v>9958.8211417792754</v>
      </c>
      <c r="U32" s="37">
        <f t="shared" si="7"/>
        <v>25.503106791997624</v>
      </c>
      <c r="V32" s="38">
        <f t="shared" si="0"/>
        <v>21</v>
      </c>
      <c r="W32" s="70"/>
      <c r="X32" s="71"/>
      <c r="Y32" s="71"/>
      <c r="Z32" s="72" t="s">
        <v>66</v>
      </c>
      <c r="AB32" s="56"/>
      <c r="AC32" s="56"/>
      <c r="AD32" s="56"/>
      <c r="AE32" s="56"/>
      <c r="AF32" s="56"/>
      <c r="AG32" s="56"/>
      <c r="AH32" s="56"/>
      <c r="AI32" s="56">
        <v>38</v>
      </c>
      <c r="AJ32" s="56">
        <v>1</v>
      </c>
      <c r="AK32" s="56">
        <v>21</v>
      </c>
      <c r="AL32" s="56">
        <v>1.45</v>
      </c>
      <c r="AM32" s="56" t="s">
        <v>131</v>
      </c>
      <c r="AN32" s="56">
        <v>59.515999999999998</v>
      </c>
      <c r="AO32" s="56" t="s">
        <v>132</v>
      </c>
      <c r="AP32" s="56" t="s">
        <v>66</v>
      </c>
      <c r="AQ32" s="56" t="s">
        <v>63</v>
      </c>
    </row>
    <row r="33" spans="1:43" s="4" customFormat="1" ht="10.199999999999999" x14ac:dyDescent="0.2">
      <c r="A33" s="8"/>
      <c r="B33" s="8"/>
      <c r="C33" s="8">
        <v>1.45</v>
      </c>
      <c r="D33" s="27"/>
      <c r="E33" s="28">
        <v>22</v>
      </c>
      <c r="F33" s="29" t="s">
        <v>129</v>
      </c>
      <c r="G33" s="10" t="s">
        <v>133</v>
      </c>
      <c r="H33" s="30">
        <f t="shared" si="1"/>
        <v>0</v>
      </c>
      <c r="I33" s="52" t="str">
        <f>[1]!Plus_ang(I32,[1]!Min_ang(F33,F32))</f>
        <v xml:space="preserve"> 133° 54' 59"</v>
      </c>
      <c r="J33" s="10" t="str">
        <f>[1]!Plus_ang([1]!Plus_ang(J32,[1]!Min_ang(F33,F32)),[1]!DestoDeg(H33/3600))</f>
        <v xml:space="preserve"> 133° 54' 59"</v>
      </c>
      <c r="K33" s="31">
        <v>59.832000000000001</v>
      </c>
      <c r="L33" s="32">
        <f>[1]!Jarakdatar(K33,G33)</f>
        <v>59.681273272163978</v>
      </c>
      <c r="M33" s="33">
        <f>L33*[1]!dsin(J33)</f>
        <v>42.99156881762859</v>
      </c>
      <c r="N33" s="34">
        <f t="shared" si="2"/>
        <v>0</v>
      </c>
      <c r="O33" s="33">
        <f>L33*[1]!dcos(J33)</f>
        <v>-41.395403005476581</v>
      </c>
      <c r="P33" s="34">
        <f t="shared" si="3"/>
        <v>0</v>
      </c>
      <c r="Q33" s="35">
        <f>L33/[1]!dTAN(G33)-C33+$B$14</f>
        <v>-4.5192719768278273</v>
      </c>
      <c r="R33" s="34">
        <f t="shared" si="4"/>
        <v>0</v>
      </c>
      <c r="S33" s="36">
        <f t="shared" si="5"/>
        <v>10042.991568817628</v>
      </c>
      <c r="T33" s="40">
        <f t="shared" si="6"/>
        <v>9958.6045969945226</v>
      </c>
      <c r="U33" s="37">
        <f t="shared" si="7"/>
        <v>25.446728023172174</v>
      </c>
      <c r="V33" s="38">
        <f t="shared" si="0"/>
        <v>22</v>
      </c>
      <c r="W33" s="70"/>
      <c r="X33" s="71"/>
      <c r="Y33" s="71"/>
      <c r="Z33" s="72" t="s">
        <v>3</v>
      </c>
      <c r="AB33" s="56"/>
      <c r="AC33" s="56"/>
      <c r="AD33" s="56"/>
      <c r="AE33" s="56"/>
      <c r="AF33" s="56"/>
      <c r="AG33" s="56"/>
      <c r="AH33" s="56"/>
      <c r="AI33" s="56">
        <v>40</v>
      </c>
      <c r="AJ33" s="56">
        <v>1</v>
      </c>
      <c r="AK33" s="56">
        <v>22</v>
      </c>
      <c r="AL33" s="56">
        <v>1.45</v>
      </c>
      <c r="AM33" s="56" t="s">
        <v>129</v>
      </c>
      <c r="AN33" s="56">
        <v>59.832000000000001</v>
      </c>
      <c r="AO33" s="56" t="s">
        <v>133</v>
      </c>
      <c r="AP33" s="56" t="s">
        <v>3</v>
      </c>
      <c r="AQ33" s="56" t="s">
        <v>63</v>
      </c>
    </row>
    <row r="34" spans="1:43" s="4" customFormat="1" ht="10.199999999999999" x14ac:dyDescent="0.2">
      <c r="A34" s="8"/>
      <c r="B34" s="8"/>
      <c r="C34" s="8">
        <v>1.45</v>
      </c>
      <c r="D34" s="27"/>
      <c r="E34" s="28">
        <v>23</v>
      </c>
      <c r="F34" s="29" t="s">
        <v>134</v>
      </c>
      <c r="G34" s="10" t="s">
        <v>135</v>
      </c>
      <c r="H34" s="30">
        <f t="shared" si="1"/>
        <v>0</v>
      </c>
      <c r="I34" s="52" t="str">
        <f>[1]!Plus_ang(I33,[1]!Min_ang(F34,F33))</f>
        <v xml:space="preserve"> 133° 55' 52"</v>
      </c>
      <c r="J34" s="10" t="str">
        <f>[1]!Plus_ang([1]!Plus_ang(J33,[1]!Min_ang(F34,F33)),[1]!DestoDeg(H34/3600))</f>
        <v xml:space="preserve"> 133° 55' 52"</v>
      </c>
      <c r="K34" s="31">
        <v>59.947000000000003</v>
      </c>
      <c r="L34" s="32">
        <f>[1]!Jarakdatar(K34,G34)</f>
        <v>59.794806152358099</v>
      </c>
      <c r="M34" s="33">
        <f>L34*[1]!dsin(J34)</f>
        <v>43.06269428250188</v>
      </c>
      <c r="N34" s="34">
        <f t="shared" si="2"/>
        <v>0</v>
      </c>
      <c r="O34" s="33">
        <f>L34*[1]!dcos(J34)</f>
        <v>-41.485216691369246</v>
      </c>
      <c r="P34" s="34">
        <f t="shared" si="3"/>
        <v>0</v>
      </c>
      <c r="Q34" s="35">
        <f>L34/[1]!dTAN(G34)-C34+$B$14</f>
        <v>-4.543953759637005</v>
      </c>
      <c r="R34" s="34">
        <f t="shared" si="4"/>
        <v>0</v>
      </c>
      <c r="S34" s="36">
        <f t="shared" si="5"/>
        <v>10043.062694282502</v>
      </c>
      <c r="T34" s="40">
        <f t="shared" si="6"/>
        <v>9958.5147833086303</v>
      </c>
      <c r="U34" s="37">
        <f t="shared" si="7"/>
        <v>25.422046240362995</v>
      </c>
      <c r="V34" s="38">
        <f t="shared" si="0"/>
        <v>23</v>
      </c>
      <c r="W34" s="70"/>
      <c r="X34" s="71"/>
      <c r="Y34" s="71"/>
      <c r="Z34" s="72" t="s">
        <v>3</v>
      </c>
      <c r="AB34" s="56"/>
      <c r="AC34" s="56"/>
      <c r="AD34" s="56"/>
      <c r="AE34" s="56"/>
      <c r="AF34" s="56"/>
      <c r="AG34" s="56"/>
      <c r="AH34" s="56"/>
      <c r="AI34" s="56">
        <v>42</v>
      </c>
      <c r="AJ34" s="56">
        <v>1</v>
      </c>
      <c r="AK34" s="56">
        <v>23</v>
      </c>
      <c r="AL34" s="56">
        <v>1.45</v>
      </c>
      <c r="AM34" s="56" t="s">
        <v>134</v>
      </c>
      <c r="AN34" s="56">
        <v>59.947000000000003</v>
      </c>
      <c r="AO34" s="56" t="s">
        <v>135</v>
      </c>
      <c r="AP34" s="56" t="s">
        <v>3</v>
      </c>
      <c r="AQ34" s="56" t="s">
        <v>63</v>
      </c>
    </row>
    <row r="35" spans="1:43" s="4" customFormat="1" ht="10.199999999999999" x14ac:dyDescent="0.2">
      <c r="A35" s="8"/>
      <c r="B35" s="8"/>
      <c r="C35" s="8">
        <v>1.45</v>
      </c>
      <c r="D35" s="27"/>
      <c r="E35" s="28">
        <v>24</v>
      </c>
      <c r="F35" s="29" t="s">
        <v>131</v>
      </c>
      <c r="G35" s="10" t="s">
        <v>136</v>
      </c>
      <c r="H35" s="30">
        <f t="shared" si="1"/>
        <v>0</v>
      </c>
      <c r="I35" s="52" t="str">
        <f>[1]!Plus_ang(I34,[1]!Min_ang(F35,F34))</f>
        <v xml:space="preserve"> 133° 55' 1"</v>
      </c>
      <c r="J35" s="10" t="str">
        <f>[1]!Plus_ang([1]!Plus_ang(J34,[1]!Min_ang(F35,F34)),[1]!DestoDeg(H35/3600))</f>
        <v xml:space="preserve"> 133° 55' 1"</v>
      </c>
      <c r="K35" s="31">
        <v>60.045000000000002</v>
      </c>
      <c r="L35" s="32">
        <f>[1]!Jarakdatar(K35,G35)</f>
        <v>59.802395924152357</v>
      </c>
      <c r="M35" s="33">
        <f>L35*[1]!dsin(J35)</f>
        <v>43.078417654266723</v>
      </c>
      <c r="N35" s="34">
        <f t="shared" si="2"/>
        <v>0</v>
      </c>
      <c r="O35" s="33">
        <f>L35*[1]!dcos(J35)</f>
        <v>-41.479832336614322</v>
      </c>
      <c r="P35" s="34">
        <f t="shared" si="3"/>
        <v>0</v>
      </c>
      <c r="Q35" s="35">
        <f>L35/[1]!dTAN(G35)-C35+$B$14</f>
        <v>-5.6671671645940034</v>
      </c>
      <c r="R35" s="34">
        <f t="shared" si="4"/>
        <v>0</v>
      </c>
      <c r="S35" s="36">
        <f t="shared" si="5"/>
        <v>10043.078417654267</v>
      </c>
      <c r="T35" s="40">
        <f t="shared" si="6"/>
        <v>9958.520167663386</v>
      </c>
      <c r="U35" s="37">
        <f t="shared" si="7"/>
        <v>24.298832835405996</v>
      </c>
      <c r="V35" s="38">
        <f t="shared" si="0"/>
        <v>24</v>
      </c>
      <c r="W35" s="70"/>
      <c r="X35" s="71"/>
      <c r="Y35" s="71"/>
      <c r="Z35" s="72" t="s">
        <v>14</v>
      </c>
      <c r="AB35" s="56"/>
      <c r="AC35" s="56"/>
      <c r="AD35" s="56"/>
      <c r="AE35" s="56"/>
      <c r="AF35" s="56"/>
      <c r="AG35" s="56"/>
      <c r="AH35" s="56"/>
      <c r="AI35" s="56">
        <v>44</v>
      </c>
      <c r="AJ35" s="56">
        <v>1</v>
      </c>
      <c r="AK35" s="56">
        <v>24</v>
      </c>
      <c r="AL35" s="56">
        <v>1.45</v>
      </c>
      <c r="AM35" s="56" t="s">
        <v>131</v>
      </c>
      <c r="AN35" s="56">
        <v>60.045000000000002</v>
      </c>
      <c r="AO35" s="56" t="s">
        <v>136</v>
      </c>
      <c r="AP35" s="56" t="s">
        <v>14</v>
      </c>
      <c r="AQ35" s="56" t="s">
        <v>63</v>
      </c>
    </row>
    <row r="36" spans="1:43" s="4" customFormat="1" ht="10.199999999999999" x14ac:dyDescent="0.2">
      <c r="A36" s="8"/>
      <c r="B36" s="8"/>
      <c r="C36" s="8">
        <v>1.45</v>
      </c>
      <c r="D36" s="27"/>
      <c r="E36" s="28">
        <v>25</v>
      </c>
      <c r="F36" s="29" t="s">
        <v>124</v>
      </c>
      <c r="G36" s="10" t="s">
        <v>137</v>
      </c>
      <c r="H36" s="30">
        <f t="shared" si="1"/>
        <v>0</v>
      </c>
      <c r="I36" s="52" t="str">
        <f>[1]!Plus_ang(I35,[1]!Min_ang(F36,F35))</f>
        <v xml:space="preserve"> 133° 54' 60"</v>
      </c>
      <c r="J36" s="10" t="str">
        <f>[1]!Plus_ang([1]!Plus_ang(J35,[1]!Min_ang(F36,F35)),[1]!DestoDeg(H36/3600))</f>
        <v xml:space="preserve"> 133° 54' 60"</v>
      </c>
      <c r="K36" s="31">
        <v>60.204999999999998</v>
      </c>
      <c r="L36" s="32">
        <f>[1]!Jarakdatar(K36,G36)</f>
        <v>59.965040941632601</v>
      </c>
      <c r="M36" s="33">
        <f>L36*[1]!dsin(J36)</f>
        <v>43.195779990966471</v>
      </c>
      <c r="N36" s="34">
        <f t="shared" si="2"/>
        <v>0</v>
      </c>
      <c r="O36" s="33">
        <f>L36*[1]!dcos(J36)</f>
        <v>-41.592435924140034</v>
      </c>
      <c r="P36" s="34">
        <f t="shared" si="3"/>
        <v>0</v>
      </c>
      <c r="Q36" s="35">
        <f>L36/[1]!dTAN(G36)-C36+$B$14</f>
        <v>-5.6449059459477651</v>
      </c>
      <c r="R36" s="34">
        <f t="shared" si="4"/>
        <v>0</v>
      </c>
      <c r="S36" s="36">
        <f t="shared" si="5"/>
        <v>10043.195779990967</v>
      </c>
      <c r="T36" s="40">
        <f t="shared" si="6"/>
        <v>9958.4075640758601</v>
      </c>
      <c r="U36" s="37">
        <f t="shared" si="7"/>
        <v>24.321094054052235</v>
      </c>
      <c r="V36" s="38">
        <f t="shared" si="0"/>
        <v>25</v>
      </c>
      <c r="W36" s="70"/>
      <c r="X36" s="71"/>
      <c r="Y36" s="71"/>
      <c r="Z36" s="72" t="s">
        <v>15</v>
      </c>
      <c r="AB36" s="56"/>
      <c r="AC36" s="56"/>
      <c r="AD36" s="56"/>
      <c r="AE36" s="56"/>
      <c r="AF36" s="56"/>
      <c r="AG36" s="56"/>
      <c r="AH36" s="56"/>
      <c r="AI36" s="56">
        <v>46</v>
      </c>
      <c r="AJ36" s="56">
        <v>1</v>
      </c>
      <c r="AK36" s="56">
        <v>25</v>
      </c>
      <c r="AL36" s="56">
        <v>1.45</v>
      </c>
      <c r="AM36" s="56" t="s">
        <v>124</v>
      </c>
      <c r="AN36" s="56">
        <v>60.204999999999998</v>
      </c>
      <c r="AO36" s="56" t="s">
        <v>137</v>
      </c>
      <c r="AP36" s="56" t="s">
        <v>15</v>
      </c>
      <c r="AQ36" s="56" t="s">
        <v>63</v>
      </c>
    </row>
    <row r="37" spans="1:43" s="4" customFormat="1" ht="10.199999999999999" x14ac:dyDescent="0.2">
      <c r="A37" s="8"/>
      <c r="B37" s="8"/>
      <c r="C37" s="8">
        <v>1.45</v>
      </c>
      <c r="D37" s="27"/>
      <c r="E37" s="28">
        <v>26</v>
      </c>
      <c r="F37" s="29" t="s">
        <v>131</v>
      </c>
      <c r="G37" s="10" t="s">
        <v>138</v>
      </c>
      <c r="H37" s="30">
        <f t="shared" si="1"/>
        <v>0</v>
      </c>
      <c r="I37" s="52" t="str">
        <f>[1]!Plus_ang(I36,[1]!Min_ang(F37,F36))</f>
        <v xml:space="preserve"> 133° 55' 1"</v>
      </c>
      <c r="J37" s="10" t="str">
        <f>[1]!Plus_ang([1]!Plus_ang(J36,[1]!Min_ang(F37,F36)),[1]!DestoDeg(H37/3600))</f>
        <v xml:space="preserve"> 133° 55' 1"</v>
      </c>
      <c r="K37" s="31">
        <v>60.595999999999997</v>
      </c>
      <c r="L37" s="32">
        <f>[1]!Jarakdatar(K37,G37)</f>
        <v>60.359228004706317</v>
      </c>
      <c r="M37" s="33">
        <f>L37*[1]!dsin(J37)</f>
        <v>43.479529425103145</v>
      </c>
      <c r="N37" s="34">
        <f t="shared" si="2"/>
        <v>0</v>
      </c>
      <c r="O37" s="33">
        <f>L37*[1]!dcos(J37)</f>
        <v>-41.866059359530276</v>
      </c>
      <c r="P37" s="34">
        <f t="shared" si="3"/>
        <v>0</v>
      </c>
      <c r="Q37" s="35">
        <f>L37/[1]!dTAN(G37)-C37+$B$14</f>
        <v>-5.6265241451268793</v>
      </c>
      <c r="R37" s="34">
        <f t="shared" si="4"/>
        <v>0</v>
      </c>
      <c r="S37" s="36">
        <f t="shared" si="5"/>
        <v>10043.479529425103</v>
      </c>
      <c r="T37" s="40">
        <f t="shared" si="6"/>
        <v>9958.1339406404695</v>
      </c>
      <c r="U37" s="37">
        <f t="shared" si="7"/>
        <v>24.339475854873122</v>
      </c>
      <c r="V37" s="38">
        <f t="shared" si="0"/>
        <v>26</v>
      </c>
      <c r="W37" s="70"/>
      <c r="X37" s="71"/>
      <c r="Y37" s="71"/>
      <c r="Z37" s="72" t="s">
        <v>15</v>
      </c>
      <c r="AB37" s="56"/>
      <c r="AC37" s="56"/>
      <c r="AD37" s="56"/>
      <c r="AE37" s="56"/>
      <c r="AF37" s="56"/>
      <c r="AG37" s="56"/>
      <c r="AH37" s="56"/>
      <c r="AI37" s="56">
        <v>48</v>
      </c>
      <c r="AJ37" s="56">
        <v>1</v>
      </c>
      <c r="AK37" s="56">
        <v>26</v>
      </c>
      <c r="AL37" s="56">
        <v>1.45</v>
      </c>
      <c r="AM37" s="56" t="s">
        <v>131</v>
      </c>
      <c r="AN37" s="56">
        <v>60.595999999999997</v>
      </c>
      <c r="AO37" s="56" t="s">
        <v>138</v>
      </c>
      <c r="AP37" s="56" t="s">
        <v>15</v>
      </c>
      <c r="AQ37" s="56" t="s">
        <v>63</v>
      </c>
    </row>
    <row r="38" spans="1:43" s="4" customFormat="1" ht="10.199999999999999" x14ac:dyDescent="0.2">
      <c r="A38" s="8"/>
      <c r="B38" s="8"/>
      <c r="C38" s="8">
        <v>1.45</v>
      </c>
      <c r="D38" s="27"/>
      <c r="E38" s="28">
        <v>27</v>
      </c>
      <c r="F38" s="29" t="s">
        <v>131</v>
      </c>
      <c r="G38" s="10" t="s">
        <v>139</v>
      </c>
      <c r="H38" s="30">
        <f t="shared" si="1"/>
        <v>0</v>
      </c>
      <c r="I38" s="52" t="str">
        <f>[1]!Plus_ang(I37,[1]!Min_ang(F38,F37))</f>
        <v xml:space="preserve"> 133° 55' 1"</v>
      </c>
      <c r="J38" s="10" t="str">
        <f>[1]!Plus_ang([1]!Plus_ang(J37,[1]!Min_ang(F38,F37)),[1]!DestoDeg(H38/3600))</f>
        <v xml:space="preserve"> 133° 55' 1"</v>
      </c>
      <c r="K38" s="31">
        <v>60.808999999999997</v>
      </c>
      <c r="L38" s="32">
        <f>[1]!Jarakdatar(K38,G38)</f>
        <v>60.650709401295124</v>
      </c>
      <c r="M38" s="33">
        <f>L38*[1]!dsin(J38)</f>
        <v>43.689496887888872</v>
      </c>
      <c r="N38" s="34">
        <f t="shared" si="2"/>
        <v>0</v>
      </c>
      <c r="O38" s="33">
        <f>L38*[1]!dcos(J38)</f>
        <v>-42.068235196683695</v>
      </c>
      <c r="P38" s="34">
        <f t="shared" si="3"/>
        <v>0</v>
      </c>
      <c r="Q38" s="35">
        <f>L38/[1]!dTAN(G38)-C38+$B$14</f>
        <v>-4.6597383182638259</v>
      </c>
      <c r="R38" s="34">
        <f t="shared" si="4"/>
        <v>0</v>
      </c>
      <c r="S38" s="36">
        <f t="shared" si="5"/>
        <v>10043.68949688789</v>
      </c>
      <c r="T38" s="40">
        <f t="shared" si="6"/>
        <v>9957.9317648033157</v>
      </c>
      <c r="U38" s="37">
        <f t="shared" si="7"/>
        <v>25.306261681736174</v>
      </c>
      <c r="V38" s="38">
        <f t="shared" si="0"/>
        <v>27</v>
      </c>
      <c r="W38" s="70"/>
      <c r="X38" s="71"/>
      <c r="Y38" s="71"/>
      <c r="Z38" s="72" t="s">
        <v>14</v>
      </c>
      <c r="AB38" s="56"/>
      <c r="AC38" s="56"/>
      <c r="AD38" s="56"/>
      <c r="AE38" s="56"/>
      <c r="AF38" s="56"/>
      <c r="AG38" s="56"/>
      <c r="AH38" s="56"/>
      <c r="AI38" s="56">
        <v>50</v>
      </c>
      <c r="AJ38" s="56">
        <v>1</v>
      </c>
      <c r="AK38" s="56">
        <v>27</v>
      </c>
      <c r="AL38" s="56">
        <v>1.45</v>
      </c>
      <c r="AM38" s="56" t="s">
        <v>131</v>
      </c>
      <c r="AN38" s="56">
        <v>60.808999999999997</v>
      </c>
      <c r="AO38" s="56" t="s">
        <v>139</v>
      </c>
      <c r="AP38" s="56" t="s">
        <v>14</v>
      </c>
      <c r="AQ38" s="56" t="s">
        <v>63</v>
      </c>
    </row>
    <row r="39" spans="1:43" s="4" customFormat="1" ht="10.199999999999999" x14ac:dyDescent="0.2">
      <c r="A39" s="8"/>
      <c r="B39" s="8"/>
      <c r="C39" s="8">
        <v>1.45</v>
      </c>
      <c r="D39" s="27"/>
      <c r="E39" s="28">
        <v>28</v>
      </c>
      <c r="F39" s="29" t="s">
        <v>126</v>
      </c>
      <c r="G39" s="10" t="s">
        <v>140</v>
      </c>
      <c r="H39" s="30">
        <f t="shared" si="1"/>
        <v>0</v>
      </c>
      <c r="I39" s="52" t="str">
        <f>[1]!Plus_ang(I38,[1]!Min_ang(F39,F38))</f>
        <v xml:space="preserve"> 133° 54' 58"</v>
      </c>
      <c r="J39" s="10" t="str">
        <f>[1]!Plus_ang([1]!Plus_ang(J38,[1]!Min_ang(F39,F38)),[1]!DestoDeg(H39/3600))</f>
        <v xml:space="preserve"> 133° 54' 58"</v>
      </c>
      <c r="K39" s="31">
        <v>65.494</v>
      </c>
      <c r="L39" s="32">
        <f>[1]!Jarakdatar(K39,G39)</f>
        <v>65.450013822139312</v>
      </c>
      <c r="M39" s="33">
        <f>L39*[1]!dsin(J39)</f>
        <v>47.147316976389227</v>
      </c>
      <c r="N39" s="34">
        <f t="shared" si="2"/>
        <v>0</v>
      </c>
      <c r="O39" s="33">
        <f>L39*[1]!dcos(J39)</f>
        <v>-45.396418484789159</v>
      </c>
      <c r="P39" s="34">
        <f t="shared" si="3"/>
        <v>0</v>
      </c>
      <c r="Q39" s="35">
        <f>L39/[1]!dTAN(G39)-C39+$B$14</f>
        <v>-2.6749430580271891</v>
      </c>
      <c r="R39" s="34">
        <f t="shared" si="4"/>
        <v>0</v>
      </c>
      <c r="S39" s="36">
        <f t="shared" si="5"/>
        <v>10047.147316976389</v>
      </c>
      <c r="T39" s="40">
        <f t="shared" si="6"/>
        <v>9954.60358151521</v>
      </c>
      <c r="U39" s="37">
        <f t="shared" si="7"/>
        <v>27.291056941972812</v>
      </c>
      <c r="V39" s="38">
        <f t="shared" si="0"/>
        <v>28</v>
      </c>
      <c r="W39" s="70"/>
      <c r="X39" s="71"/>
      <c r="Y39" s="71"/>
      <c r="Z39" s="72" t="s">
        <v>3</v>
      </c>
      <c r="AB39" s="56"/>
      <c r="AC39" s="56"/>
      <c r="AD39" s="56"/>
      <c r="AE39" s="56"/>
      <c r="AF39" s="56"/>
      <c r="AG39" s="56"/>
      <c r="AH39" s="56"/>
      <c r="AI39" s="56">
        <v>52</v>
      </c>
      <c r="AJ39" s="56">
        <v>1</v>
      </c>
      <c r="AK39" s="56">
        <v>28</v>
      </c>
      <c r="AL39" s="56">
        <v>1.45</v>
      </c>
      <c r="AM39" s="56" t="s">
        <v>126</v>
      </c>
      <c r="AN39" s="56">
        <v>65.494</v>
      </c>
      <c r="AO39" s="56" t="s">
        <v>140</v>
      </c>
      <c r="AP39" s="56" t="s">
        <v>3</v>
      </c>
      <c r="AQ39" s="56" t="s">
        <v>63</v>
      </c>
    </row>
    <row r="40" spans="1:43" s="4" customFormat="1" ht="10.199999999999999" x14ac:dyDescent="0.2">
      <c r="A40" s="8"/>
      <c r="B40" s="8"/>
      <c r="C40" s="8">
        <v>1.45</v>
      </c>
      <c r="D40" s="27"/>
      <c r="E40" s="28">
        <v>29</v>
      </c>
      <c r="F40" s="29" t="s">
        <v>141</v>
      </c>
      <c r="G40" s="10" t="s">
        <v>142</v>
      </c>
      <c r="H40" s="30">
        <f t="shared" si="1"/>
        <v>0</v>
      </c>
      <c r="I40" s="52" t="str">
        <f>[1]!Plus_ang(I39,[1]!Min_ang(F40,F39))</f>
        <v xml:space="preserve"> 133° 54' 57"</v>
      </c>
      <c r="J40" s="10" t="str">
        <f>[1]!Plus_ang([1]!Plus_ang(J39,[1]!Min_ang(F40,F39)),[1]!DestoDeg(H40/3600))</f>
        <v xml:space="preserve"> 133° 54' 57"</v>
      </c>
      <c r="K40" s="31">
        <v>72.293999999999997</v>
      </c>
      <c r="L40" s="32">
        <f>[1]!Jarakdatar(K40,G40)</f>
        <v>72.279389151613017</v>
      </c>
      <c r="M40" s="33">
        <f>L40*[1]!dsin(J40)</f>
        <v>52.067142235312197</v>
      </c>
      <c r="N40" s="34">
        <f t="shared" si="2"/>
        <v>0</v>
      </c>
      <c r="O40" s="33">
        <f>L40*[1]!dcos(J40)</f>
        <v>-50.133050930280334</v>
      </c>
      <c r="P40" s="34">
        <f t="shared" si="3"/>
        <v>0</v>
      </c>
      <c r="Q40" s="35">
        <f>L40/[1]!dTAN(G40)-C40+$B$14</f>
        <v>-1.7283890978278651</v>
      </c>
      <c r="R40" s="34">
        <f t="shared" si="4"/>
        <v>0</v>
      </c>
      <c r="S40" s="36">
        <f t="shared" si="5"/>
        <v>10052.067142235312</v>
      </c>
      <c r="T40" s="40">
        <f t="shared" si="6"/>
        <v>9949.8669490697193</v>
      </c>
      <c r="U40" s="37">
        <f t="shared" si="7"/>
        <v>28.237610902172136</v>
      </c>
      <c r="V40" s="38">
        <f t="shared" si="0"/>
        <v>29</v>
      </c>
      <c r="W40" s="70"/>
      <c r="X40" s="71"/>
      <c r="Y40" s="71"/>
      <c r="Z40" s="72" t="s">
        <v>3</v>
      </c>
      <c r="AB40" s="56"/>
      <c r="AC40" s="56"/>
      <c r="AD40" s="56"/>
      <c r="AE40" s="56"/>
      <c r="AF40" s="56"/>
      <c r="AG40" s="56"/>
      <c r="AH40" s="56"/>
      <c r="AI40" s="56">
        <v>54</v>
      </c>
      <c r="AJ40" s="56">
        <v>1</v>
      </c>
      <c r="AK40" s="56">
        <v>29</v>
      </c>
      <c r="AL40" s="56">
        <v>1.45</v>
      </c>
      <c r="AM40" s="56" t="s">
        <v>141</v>
      </c>
      <c r="AN40" s="56">
        <v>72.293999999999997</v>
      </c>
      <c r="AO40" s="56" t="s">
        <v>142</v>
      </c>
      <c r="AP40" s="56" t="s">
        <v>3</v>
      </c>
      <c r="AQ40" s="56" t="s">
        <v>63</v>
      </c>
    </row>
    <row r="41" spans="1:43" s="4" customFormat="1" ht="10.199999999999999" x14ac:dyDescent="0.2">
      <c r="A41" s="8"/>
      <c r="B41" s="8"/>
      <c r="C41" s="8">
        <v>1.45</v>
      </c>
      <c r="D41" s="27"/>
      <c r="E41" s="28">
        <v>30</v>
      </c>
      <c r="F41" s="29" t="s">
        <v>143</v>
      </c>
      <c r="G41" s="10" t="s">
        <v>144</v>
      </c>
      <c r="H41" s="30">
        <f t="shared" si="1"/>
        <v>0</v>
      </c>
      <c r="I41" s="52" t="str">
        <f>[1]!Plus_ang(I40,[1]!Min_ang(F41,F40))</f>
        <v xml:space="preserve"> 234° 54' 53"</v>
      </c>
      <c r="J41" s="10" t="str">
        <f>[1]!Plus_ang([1]!Plus_ang(J40,[1]!Min_ang(F41,F40)),[1]!DestoDeg(H41/3600))</f>
        <v xml:space="preserve"> 234° 54' 53"</v>
      </c>
      <c r="K41" s="31">
        <v>52.021999999999998</v>
      </c>
      <c r="L41" s="32">
        <f>[1]!Jarakdatar(K41,G41)</f>
        <v>52.021979525706072</v>
      </c>
      <c r="M41" s="33">
        <f>L41*[1]!dsin(J41)</f>
        <v>-42.569452603731797</v>
      </c>
      <c r="N41" s="34">
        <f t="shared" si="2"/>
        <v>0</v>
      </c>
      <c r="O41" s="33">
        <f>L41*[1]!dcos(J41)</f>
        <v>-29.901974162112001</v>
      </c>
      <c r="P41" s="34">
        <f t="shared" si="3"/>
        <v>0</v>
      </c>
      <c r="Q41" s="35">
        <f>L41/[1]!dTAN(G41)-C41+$B$14</f>
        <v>-0.3211543824381895</v>
      </c>
      <c r="R41" s="34">
        <f t="shared" si="4"/>
        <v>0</v>
      </c>
      <c r="S41" s="36">
        <f t="shared" si="5"/>
        <v>9957.4305473962686</v>
      </c>
      <c r="T41" s="40">
        <f t="shared" si="6"/>
        <v>9970.0980258378877</v>
      </c>
      <c r="U41" s="37">
        <f t="shared" si="7"/>
        <v>29.644845617561813</v>
      </c>
      <c r="V41" s="38">
        <f t="shared" si="0"/>
        <v>30</v>
      </c>
      <c r="W41" s="70"/>
      <c r="X41" s="71"/>
      <c r="Y41" s="71"/>
      <c r="Z41" s="72" t="s">
        <v>3</v>
      </c>
      <c r="AB41" s="56"/>
      <c r="AC41" s="56"/>
      <c r="AD41" s="56"/>
      <c r="AE41" s="56"/>
      <c r="AF41" s="56"/>
      <c r="AG41" s="56"/>
      <c r="AH41" s="56"/>
      <c r="AI41" s="56">
        <v>56</v>
      </c>
      <c r="AJ41" s="56">
        <v>1</v>
      </c>
      <c r="AK41" s="56">
        <v>30</v>
      </c>
      <c r="AL41" s="56">
        <v>1.45</v>
      </c>
      <c r="AM41" s="56" t="s">
        <v>143</v>
      </c>
      <c r="AN41" s="56">
        <v>52.021999999999998</v>
      </c>
      <c r="AO41" s="56" t="s">
        <v>144</v>
      </c>
      <c r="AP41" s="56" t="s">
        <v>3</v>
      </c>
      <c r="AQ41" s="56" t="s">
        <v>63</v>
      </c>
    </row>
    <row r="42" spans="1:43" s="4" customFormat="1" ht="10.199999999999999" x14ac:dyDescent="0.2">
      <c r="A42" s="8"/>
      <c r="B42" s="8"/>
      <c r="C42" s="8">
        <v>1.45</v>
      </c>
      <c r="D42" s="27"/>
      <c r="E42" s="28">
        <v>31</v>
      </c>
      <c r="F42" s="29" t="s">
        <v>145</v>
      </c>
      <c r="G42" s="10" t="s">
        <v>146</v>
      </c>
      <c r="H42" s="30">
        <f t="shared" si="1"/>
        <v>0</v>
      </c>
      <c r="I42" s="52" t="str">
        <f>[1]!Plus_ang(I41,[1]!Min_ang(F42,F41))</f>
        <v xml:space="preserve"> 170° 59' 0"</v>
      </c>
      <c r="J42" s="10" t="str">
        <f>[1]!Plus_ang([1]!Plus_ang(J41,[1]!Min_ang(F42,F41)),[1]!DestoDeg(H42/3600))</f>
        <v xml:space="preserve"> 170° 58' 60"</v>
      </c>
      <c r="K42" s="31">
        <v>86.995999999999995</v>
      </c>
      <c r="L42" s="32">
        <f>[1]!Jarakdatar(K42,G42)</f>
        <v>86.982720627967723</v>
      </c>
      <c r="M42" s="33">
        <f>L42*[1]!dsin(J42)</f>
        <v>13.632085528270316</v>
      </c>
      <c r="N42" s="34">
        <f t="shared" si="2"/>
        <v>0</v>
      </c>
      <c r="O42" s="33">
        <f>L42*[1]!dcos(J42)</f>
        <v>-85.90785721919157</v>
      </c>
      <c r="P42" s="34">
        <f t="shared" si="3"/>
        <v>0</v>
      </c>
      <c r="Q42" s="35">
        <f>L42/[1]!dTAN(G42)-C42+$B$14</f>
        <v>-1.794976367222848</v>
      </c>
      <c r="R42" s="34">
        <f t="shared" si="4"/>
        <v>0</v>
      </c>
      <c r="S42" s="36">
        <f t="shared" si="5"/>
        <v>10013.63208552827</v>
      </c>
      <c r="T42" s="40">
        <f t="shared" si="6"/>
        <v>9914.092142780808</v>
      </c>
      <c r="U42" s="37">
        <f t="shared" si="7"/>
        <v>28.171023632777153</v>
      </c>
      <c r="V42" s="38">
        <f t="shared" si="0"/>
        <v>31</v>
      </c>
      <c r="W42" s="70"/>
      <c r="X42" s="71"/>
      <c r="Y42" s="71"/>
      <c r="Z42" s="72" t="s">
        <v>3</v>
      </c>
      <c r="AB42" s="56"/>
      <c r="AC42" s="56"/>
      <c r="AD42" s="56"/>
      <c r="AE42" s="56"/>
      <c r="AF42" s="56"/>
      <c r="AG42" s="56"/>
      <c r="AH42" s="56"/>
      <c r="AI42" s="56">
        <v>58</v>
      </c>
      <c r="AJ42" s="56">
        <v>1</v>
      </c>
      <c r="AK42" s="56">
        <v>31</v>
      </c>
      <c r="AL42" s="56">
        <v>1.45</v>
      </c>
      <c r="AM42" s="56" t="s">
        <v>145</v>
      </c>
      <c r="AN42" s="56">
        <v>86.995999999999995</v>
      </c>
      <c r="AO42" s="56" t="s">
        <v>146</v>
      </c>
      <c r="AP42" s="56" t="s">
        <v>3</v>
      </c>
      <c r="AQ42" s="56" t="s">
        <v>63</v>
      </c>
    </row>
    <row r="43" spans="1:43" s="4" customFormat="1" ht="10.199999999999999" x14ac:dyDescent="0.2">
      <c r="A43" s="8"/>
      <c r="B43" s="8"/>
      <c r="C43" s="8">
        <v>1.45</v>
      </c>
      <c r="D43" s="27"/>
      <c r="E43" s="28" t="s">
        <v>67</v>
      </c>
      <c r="F43" s="29" t="s">
        <v>147</v>
      </c>
      <c r="G43" s="10" t="s">
        <v>148</v>
      </c>
      <c r="H43" s="30">
        <f t="shared" si="1"/>
        <v>0</v>
      </c>
      <c r="I43" s="52" t="str">
        <f>[1]!Plus_ang(I42,[1]!Min_ang(F43,F42))</f>
        <v xml:space="preserve"> 225° 50' 60"</v>
      </c>
      <c r="J43" s="10" t="str">
        <f>[1]!Plus_ang([1]!Plus_ang(J42,[1]!Min_ang(F43,F42)),[1]!DestoDeg(H43/3600))</f>
        <v xml:space="preserve"> 225° 50' 60"</v>
      </c>
      <c r="K43" s="31">
        <v>50.728000000000002</v>
      </c>
      <c r="L43" s="32">
        <f>[1]!Jarakdatar(K43,G43)</f>
        <v>50.721507886643565</v>
      </c>
      <c r="M43" s="33">
        <f>L43*[1]!dsin(J43)</f>
        <v>-36.393631715448905</v>
      </c>
      <c r="N43" s="34">
        <f t="shared" si="2"/>
        <v>0</v>
      </c>
      <c r="O43" s="33">
        <f>L43*[1]!dcos(J43)</f>
        <v>-35.32951928423477</v>
      </c>
      <c r="P43" s="34">
        <f t="shared" si="3"/>
        <v>0</v>
      </c>
      <c r="Q43" s="35">
        <f>L43/[1]!dTAN(G43)-C43+$B$14</f>
        <v>0.53655511529119326</v>
      </c>
      <c r="R43" s="34">
        <f t="shared" si="4"/>
        <v>0</v>
      </c>
      <c r="S43" s="36">
        <f t="shared" si="5"/>
        <v>9963.6063682845506</v>
      </c>
      <c r="T43" s="40">
        <f t="shared" si="6"/>
        <v>9964.6704807157657</v>
      </c>
      <c r="U43" s="37">
        <f t="shared" si="7"/>
        <v>30.502555115291194</v>
      </c>
      <c r="V43" s="38" t="str">
        <f t="shared" si="0"/>
        <v>K21</v>
      </c>
      <c r="W43" s="70"/>
      <c r="X43" s="71"/>
      <c r="Y43" s="71"/>
      <c r="Z43" s="72" t="s">
        <v>67</v>
      </c>
      <c r="AB43" s="56"/>
      <c r="AC43" s="56"/>
      <c r="AD43" s="56"/>
      <c r="AE43" s="56"/>
      <c r="AF43" s="56"/>
      <c r="AG43" s="56"/>
      <c r="AH43" s="56"/>
      <c r="AI43" s="56">
        <v>60</v>
      </c>
      <c r="AJ43" s="56">
        <v>1</v>
      </c>
      <c r="AK43" s="56" t="s">
        <v>67</v>
      </c>
      <c r="AL43" s="56">
        <v>1.45</v>
      </c>
      <c r="AM43" s="56" t="s">
        <v>147</v>
      </c>
      <c r="AN43" s="56">
        <v>50.728000000000002</v>
      </c>
      <c r="AO43" s="56" t="s">
        <v>148</v>
      </c>
      <c r="AP43" s="56" t="s">
        <v>67</v>
      </c>
      <c r="AQ43" s="56" t="s">
        <v>63</v>
      </c>
    </row>
    <row r="44" spans="1:43" s="4" customFormat="1" ht="10.199999999999999" x14ac:dyDescent="0.2">
      <c r="A44" s="8"/>
      <c r="B44" s="8"/>
      <c r="C44" s="8">
        <v>1.45</v>
      </c>
      <c r="D44" s="27"/>
      <c r="E44" s="28">
        <v>33</v>
      </c>
      <c r="F44" s="29" t="s">
        <v>149</v>
      </c>
      <c r="G44" s="10" t="s">
        <v>150</v>
      </c>
      <c r="H44" s="30">
        <f t="shared" si="1"/>
        <v>0</v>
      </c>
      <c r="I44" s="52" t="str">
        <f>[1]!Plus_ang(I43,[1]!Min_ang(F44,F43))</f>
        <v xml:space="preserve"> 224° 52' 56"</v>
      </c>
      <c r="J44" s="10" t="str">
        <f>[1]!Plus_ang([1]!Plus_ang(J43,[1]!Min_ang(F44,F43)),[1]!DestoDeg(H44/3600))</f>
        <v xml:space="preserve"> 224° 52' 56"</v>
      </c>
      <c r="K44" s="31">
        <v>50.624000000000002</v>
      </c>
      <c r="L44" s="32">
        <f>[1]!Jarakdatar(K44,G44)</f>
        <v>50.623825226928517</v>
      </c>
      <c r="M44" s="33">
        <f>L44*[1]!dsin(J44)</f>
        <v>-35.722790988791701</v>
      </c>
      <c r="N44" s="34">
        <f t="shared" si="2"/>
        <v>0</v>
      </c>
      <c r="O44" s="33">
        <f>L44*[1]!dcos(J44)</f>
        <v>-35.869957967325618</v>
      </c>
      <c r="P44" s="34">
        <f t="shared" si="3"/>
        <v>0</v>
      </c>
      <c r="Q44" s="35">
        <f>L44/[1]!dTAN(G44)-C44+$B$14</f>
        <v>-0.40802403315209856</v>
      </c>
      <c r="R44" s="34">
        <f t="shared" si="4"/>
        <v>0</v>
      </c>
      <c r="S44" s="36">
        <f t="shared" si="5"/>
        <v>9964.2772090112085</v>
      </c>
      <c r="T44" s="40">
        <f t="shared" si="6"/>
        <v>9964.1300420326752</v>
      </c>
      <c r="U44" s="37">
        <f t="shared" si="7"/>
        <v>29.557975966847902</v>
      </c>
      <c r="V44" s="38">
        <f t="shared" si="0"/>
        <v>33</v>
      </c>
      <c r="W44" s="70"/>
      <c r="X44" s="71"/>
      <c r="Y44" s="71"/>
      <c r="Z44" s="72" t="s">
        <v>3</v>
      </c>
      <c r="AB44" s="56"/>
      <c r="AC44" s="56"/>
      <c r="AD44" s="56"/>
      <c r="AE44" s="56"/>
      <c r="AF44" s="56"/>
      <c r="AG44" s="56"/>
      <c r="AH44" s="56"/>
      <c r="AI44" s="56">
        <v>62</v>
      </c>
      <c r="AJ44" s="56">
        <v>1</v>
      </c>
      <c r="AK44" s="56">
        <v>33</v>
      </c>
      <c r="AL44" s="56">
        <v>1.45</v>
      </c>
      <c r="AM44" s="56" t="s">
        <v>149</v>
      </c>
      <c r="AN44" s="56">
        <v>50.624000000000002</v>
      </c>
      <c r="AO44" s="56" t="s">
        <v>150</v>
      </c>
      <c r="AP44" s="56" t="s">
        <v>3</v>
      </c>
      <c r="AQ44" s="56" t="s">
        <v>63</v>
      </c>
    </row>
    <row r="45" spans="1:43" s="4" customFormat="1" ht="10.199999999999999" x14ac:dyDescent="0.2">
      <c r="A45" s="8"/>
      <c r="B45" s="8"/>
      <c r="C45" s="8">
        <v>1.45</v>
      </c>
      <c r="D45" s="27"/>
      <c r="E45" s="28">
        <v>34</v>
      </c>
      <c r="F45" s="29" t="s">
        <v>151</v>
      </c>
      <c r="G45" s="10" t="s">
        <v>152</v>
      </c>
      <c r="H45" s="30">
        <f t="shared" si="1"/>
        <v>0</v>
      </c>
      <c r="I45" s="52" t="str">
        <f>[1]!Plus_ang(I44,[1]!Min_ang(F45,F44))</f>
        <v xml:space="preserve"> 172° 58' 0"</v>
      </c>
      <c r="J45" s="10" t="str">
        <f>[1]!Plus_ang([1]!Plus_ang(J44,[1]!Min_ang(F45,F44)),[1]!DestoDeg(H45/3600))</f>
        <v xml:space="preserve"> 172° 58' 0"</v>
      </c>
      <c r="K45" s="31">
        <v>82.587999999999994</v>
      </c>
      <c r="L45" s="32">
        <f>[1]!Jarakdatar(K45,G45)</f>
        <v>82.573666082749099</v>
      </c>
      <c r="M45" s="33">
        <f>L45*[1]!dsin(J45)</f>
        <v>10.110878095486731</v>
      </c>
      <c r="N45" s="34">
        <f t="shared" si="2"/>
        <v>0</v>
      </c>
      <c r="O45" s="33">
        <f>L45*[1]!dcos(J45)</f>
        <v>-81.952306096189602</v>
      </c>
      <c r="P45" s="34">
        <f t="shared" si="3"/>
        <v>0</v>
      </c>
      <c r="Q45" s="35">
        <f>L45/[1]!dTAN(G45)-C45+$B$14</f>
        <v>-1.8136401966186211</v>
      </c>
      <c r="R45" s="34">
        <f t="shared" si="4"/>
        <v>0</v>
      </c>
      <c r="S45" s="36">
        <f t="shared" si="5"/>
        <v>10010.110878095487</v>
      </c>
      <c r="T45" s="40">
        <f t="shared" si="6"/>
        <v>9918.0476939038108</v>
      </c>
      <c r="U45" s="37">
        <f t="shared" si="7"/>
        <v>28.15235980338138</v>
      </c>
      <c r="V45" s="38">
        <f t="shared" si="0"/>
        <v>34</v>
      </c>
      <c r="W45" s="70"/>
      <c r="X45" s="71"/>
      <c r="Y45" s="71"/>
      <c r="Z45" s="72" t="s">
        <v>3</v>
      </c>
      <c r="AB45" s="56"/>
      <c r="AC45" s="56"/>
      <c r="AD45" s="56"/>
      <c r="AE45" s="56"/>
      <c r="AF45" s="56"/>
      <c r="AG45" s="56"/>
      <c r="AH45" s="56"/>
      <c r="AI45" s="56">
        <v>64</v>
      </c>
      <c r="AJ45" s="56">
        <v>1</v>
      </c>
      <c r="AK45" s="56">
        <v>34</v>
      </c>
      <c r="AL45" s="56">
        <v>1.45</v>
      </c>
      <c r="AM45" s="56" t="s">
        <v>151</v>
      </c>
      <c r="AN45" s="56">
        <v>82.587999999999994</v>
      </c>
      <c r="AO45" s="56" t="s">
        <v>152</v>
      </c>
      <c r="AP45" s="56" t="s">
        <v>3</v>
      </c>
      <c r="AQ45" s="56" t="s">
        <v>63</v>
      </c>
    </row>
    <row r="46" spans="1:43" s="4" customFormat="1" ht="10.199999999999999" x14ac:dyDescent="0.2">
      <c r="A46" s="8"/>
      <c r="B46" s="8"/>
      <c r="C46" s="8">
        <v>2.5</v>
      </c>
      <c r="D46" s="27"/>
      <c r="E46" s="28">
        <v>35</v>
      </c>
      <c r="F46" s="29" t="s">
        <v>153</v>
      </c>
      <c r="G46" s="10" t="s">
        <v>154</v>
      </c>
      <c r="H46" s="30">
        <f t="shared" si="1"/>
        <v>0</v>
      </c>
      <c r="I46" s="52" t="str">
        <f>[1]!Plus_ang(I45,[1]!Min_ang(F46,F45))</f>
        <v xml:space="preserve"> 220° 51' 54"</v>
      </c>
      <c r="J46" s="10" t="str">
        <f>[1]!Plus_ang([1]!Plus_ang(J45,[1]!Min_ang(F46,F45)),[1]!DestoDeg(H46/3600))</f>
        <v xml:space="preserve"> 220° 51' 54"</v>
      </c>
      <c r="K46" s="31">
        <v>50.362000000000002</v>
      </c>
      <c r="L46" s="32">
        <f>[1]!Jarakdatar(K46,G46)</f>
        <v>50.328631325880103</v>
      </c>
      <c r="M46" s="33">
        <f>L46*[1]!dsin(J46)</f>
        <v>-32.928964913224405</v>
      </c>
      <c r="N46" s="34">
        <f t="shared" si="2"/>
        <v>0</v>
      </c>
      <c r="O46" s="33">
        <f>L46*[1]!dcos(J46)</f>
        <v>-38.061192846257406</v>
      </c>
      <c r="P46" s="34">
        <f t="shared" si="3"/>
        <v>0</v>
      </c>
      <c r="Q46" s="35">
        <f>L46/[1]!dTAN(G46)-C46+$B$14</f>
        <v>-3.158006509437481</v>
      </c>
      <c r="R46" s="34">
        <f t="shared" si="4"/>
        <v>0</v>
      </c>
      <c r="S46" s="36">
        <f t="shared" si="5"/>
        <v>9967.0710350867757</v>
      </c>
      <c r="T46" s="40">
        <f t="shared" si="6"/>
        <v>9961.9388071537433</v>
      </c>
      <c r="U46" s="37">
        <f t="shared" si="7"/>
        <v>26.80799349056252</v>
      </c>
      <c r="V46" s="38">
        <f t="shared" ref="V46:V77" si="8">IF(A46&lt;&gt;"",D46,E46)</f>
        <v>35</v>
      </c>
      <c r="W46" s="70"/>
      <c r="X46" s="71"/>
      <c r="Y46" s="71"/>
      <c r="Z46" s="72" t="s">
        <v>3</v>
      </c>
      <c r="AB46" s="56"/>
      <c r="AC46" s="56"/>
      <c r="AD46" s="56"/>
      <c r="AE46" s="56"/>
      <c r="AF46" s="56"/>
      <c r="AG46" s="56"/>
      <c r="AH46" s="56"/>
      <c r="AI46" s="56">
        <v>66</v>
      </c>
      <c r="AJ46" s="56">
        <v>1</v>
      </c>
      <c r="AK46" s="56">
        <v>35</v>
      </c>
      <c r="AL46" s="56">
        <v>2.5</v>
      </c>
      <c r="AM46" s="56" t="s">
        <v>153</v>
      </c>
      <c r="AN46" s="56">
        <v>50.362000000000002</v>
      </c>
      <c r="AO46" s="56" t="s">
        <v>154</v>
      </c>
      <c r="AP46" s="56" t="s">
        <v>3</v>
      </c>
      <c r="AQ46" s="56" t="s">
        <v>63</v>
      </c>
    </row>
    <row r="47" spans="1:43" s="4" customFormat="1" ht="10.199999999999999" x14ac:dyDescent="0.2">
      <c r="A47" s="8"/>
      <c r="B47" s="8"/>
      <c r="C47" s="8">
        <v>2.5</v>
      </c>
      <c r="D47" s="27"/>
      <c r="E47" s="28">
        <v>36</v>
      </c>
      <c r="F47" s="29" t="s">
        <v>155</v>
      </c>
      <c r="G47" s="10" t="s">
        <v>156</v>
      </c>
      <c r="H47" s="30">
        <f t="shared" ref="H47:H78" si="9">IF($Y$7="y",$C$416,0)</f>
        <v>0</v>
      </c>
      <c r="I47" s="52" t="str">
        <f>[1]!Plus_ang(I46,[1]!Min_ang(F47,F46))</f>
        <v xml:space="preserve"> 211° 51' 53"</v>
      </c>
      <c r="J47" s="10" t="str">
        <f>[1]!Plus_ang([1]!Plus_ang(J46,[1]!Min_ang(F47,F46)),[1]!DestoDeg(H47/3600))</f>
        <v xml:space="preserve"> 211° 51' 53"</v>
      </c>
      <c r="K47" s="31">
        <v>52.081000000000003</v>
      </c>
      <c r="L47" s="32">
        <f>[1]!Jarakdatar(K47,G47)</f>
        <v>51.952010923296527</v>
      </c>
      <c r="M47" s="33">
        <f>L47*[1]!dsin(J47)</f>
        <v>-27.426272413065771</v>
      </c>
      <c r="N47" s="34">
        <f t="shared" ref="N47:N78" si="10">IF($Y$8="Y",($Y$4*L47/$L$413),0)</f>
        <v>0</v>
      </c>
      <c r="O47" s="33">
        <f>L47*[1]!dcos(J47)</f>
        <v>-44.122681474482363</v>
      </c>
      <c r="P47" s="34">
        <f t="shared" ref="P47:P78" si="11">IF($Y$8="Y",($Y$5*L47/$L$413),0)</f>
        <v>0</v>
      </c>
      <c r="Q47" s="35">
        <f>L47/[1]!dTAN(G47)-C47+$B$14</f>
        <v>-4.988211982083226</v>
      </c>
      <c r="R47" s="34">
        <f t="shared" ref="R47:R78" si="12">IF(AND($Y$8="Y",W47="P"),($Y$6*L47/$L$413),0)</f>
        <v>0</v>
      </c>
      <c r="S47" s="36">
        <f t="shared" ref="S47:S78" si="13">$S$14+M47+N47</f>
        <v>9972.5737275869342</v>
      </c>
      <c r="T47" s="40">
        <f t="shared" ref="T47:T78" si="14">$T$14+O47+P47</f>
        <v>9955.8773185255177</v>
      </c>
      <c r="U47" s="37">
        <f t="shared" ref="U47:U78" si="15">$U$14+Q47+R47</f>
        <v>24.977788017916776</v>
      </c>
      <c r="V47" s="38">
        <f t="shared" si="8"/>
        <v>36</v>
      </c>
      <c r="W47" s="70"/>
      <c r="X47" s="71"/>
      <c r="Y47" s="71"/>
      <c r="Z47" s="72" t="s">
        <v>14</v>
      </c>
      <c r="AB47" s="56"/>
      <c r="AC47" s="56"/>
      <c r="AD47" s="56"/>
      <c r="AE47" s="56"/>
      <c r="AF47" s="56"/>
      <c r="AG47" s="56"/>
      <c r="AH47" s="56"/>
      <c r="AI47" s="56">
        <v>68</v>
      </c>
      <c r="AJ47" s="56">
        <v>1</v>
      </c>
      <c r="AK47" s="56">
        <v>36</v>
      </c>
      <c r="AL47" s="56">
        <v>2.5</v>
      </c>
      <c r="AM47" s="56" t="s">
        <v>155</v>
      </c>
      <c r="AN47" s="56">
        <v>52.081000000000003</v>
      </c>
      <c r="AO47" s="56" t="s">
        <v>156</v>
      </c>
      <c r="AP47" s="56" t="s">
        <v>14</v>
      </c>
      <c r="AQ47" s="56" t="s">
        <v>63</v>
      </c>
    </row>
    <row r="48" spans="1:43" s="4" customFormat="1" ht="10.199999999999999" x14ac:dyDescent="0.2">
      <c r="A48" s="8"/>
      <c r="B48" s="8"/>
      <c r="C48" s="8">
        <v>2.5</v>
      </c>
      <c r="D48" s="27"/>
      <c r="E48" s="28">
        <v>37</v>
      </c>
      <c r="F48" s="29" t="s">
        <v>157</v>
      </c>
      <c r="G48" s="10" t="s">
        <v>158</v>
      </c>
      <c r="H48" s="30">
        <f t="shared" si="9"/>
        <v>0</v>
      </c>
      <c r="I48" s="52" t="str">
        <f>[1]!Plus_ang(I47,[1]!Min_ang(F48,F47))</f>
        <v xml:space="preserve"> 211° 51' 57"</v>
      </c>
      <c r="J48" s="10" t="str">
        <f>[1]!Plus_ang([1]!Plus_ang(J47,[1]!Min_ang(F48,F47)),[1]!DestoDeg(H48/3600))</f>
        <v xml:space="preserve"> 211° 51' 57"</v>
      </c>
      <c r="K48" s="31">
        <v>52.215000000000003</v>
      </c>
      <c r="L48" s="32">
        <f>[1]!Jarakdatar(K48,G48)</f>
        <v>52.081352380873476</v>
      </c>
      <c r="M48" s="33">
        <f>L48*[1]!dsin(J48)</f>
        <v>-27.49541155105608</v>
      </c>
      <c r="N48" s="34">
        <f t="shared" si="10"/>
        <v>0</v>
      </c>
      <c r="O48" s="33">
        <f>L48*[1]!dcos(J48)</f>
        <v>-44.231997574818699</v>
      </c>
      <c r="P48" s="34">
        <f t="shared" si="11"/>
        <v>0</v>
      </c>
      <c r="Q48" s="35">
        <f>L48/[1]!dTAN(G48)-C48+$B$14</f>
        <v>-5.0584915533967179</v>
      </c>
      <c r="R48" s="34">
        <f t="shared" si="12"/>
        <v>0</v>
      </c>
      <c r="S48" s="36">
        <f t="shared" si="13"/>
        <v>9972.5045884489446</v>
      </c>
      <c r="T48" s="40">
        <f t="shared" si="14"/>
        <v>9955.7680024251822</v>
      </c>
      <c r="U48" s="37">
        <f t="shared" si="15"/>
        <v>24.907508446603284</v>
      </c>
      <c r="V48" s="38">
        <f t="shared" si="8"/>
        <v>37</v>
      </c>
      <c r="W48" s="70"/>
      <c r="X48" s="71"/>
      <c r="Y48" s="71"/>
      <c r="Z48" s="72" t="s">
        <v>15</v>
      </c>
      <c r="AB48" s="56"/>
      <c r="AC48" s="56"/>
      <c r="AD48" s="56"/>
      <c r="AE48" s="56"/>
      <c r="AF48" s="56"/>
      <c r="AG48" s="56"/>
      <c r="AH48" s="56"/>
      <c r="AI48" s="56">
        <v>70</v>
      </c>
      <c r="AJ48" s="56">
        <v>1</v>
      </c>
      <c r="AK48" s="56">
        <v>37</v>
      </c>
      <c r="AL48" s="56">
        <v>2.5</v>
      </c>
      <c r="AM48" s="56" t="s">
        <v>157</v>
      </c>
      <c r="AN48" s="56">
        <v>52.215000000000003</v>
      </c>
      <c r="AO48" s="56" t="s">
        <v>158</v>
      </c>
      <c r="AP48" s="56" t="s">
        <v>15</v>
      </c>
      <c r="AQ48" s="56" t="s">
        <v>63</v>
      </c>
    </row>
    <row r="49" spans="1:43" s="4" customFormat="1" ht="10.199999999999999" x14ac:dyDescent="0.2">
      <c r="A49" s="8"/>
      <c r="B49" s="8"/>
      <c r="C49" s="8">
        <v>2.5</v>
      </c>
      <c r="D49" s="27"/>
      <c r="E49" s="28">
        <v>38</v>
      </c>
      <c r="F49" s="29" t="s">
        <v>159</v>
      </c>
      <c r="G49" s="10" t="s">
        <v>160</v>
      </c>
      <c r="H49" s="30">
        <f t="shared" si="9"/>
        <v>0</v>
      </c>
      <c r="I49" s="52" t="str">
        <f>[1]!Plus_ang(I48,[1]!Min_ang(F49,F48))</f>
        <v xml:space="preserve"> 211° 58' 58"</v>
      </c>
      <c r="J49" s="10" t="str">
        <f>[1]!Plus_ang([1]!Plus_ang(J48,[1]!Min_ang(F49,F48)),[1]!DestoDeg(H49/3600))</f>
        <v xml:space="preserve"> 211° 58' 58"</v>
      </c>
      <c r="K49" s="31">
        <v>52.335000000000001</v>
      </c>
      <c r="L49" s="32">
        <f>[1]!Jarakdatar(K49,G49)</f>
        <v>52.19768632174781</v>
      </c>
      <c r="M49" s="33">
        <f>L49*[1]!dsin(J49)</f>
        <v>-27.647252563584129</v>
      </c>
      <c r="N49" s="34">
        <f t="shared" si="10"/>
        <v>0</v>
      </c>
      <c r="O49" s="33">
        <f>L49*[1]!dcos(J49)</f>
        <v>-44.274460844023494</v>
      </c>
      <c r="P49" s="34">
        <f t="shared" si="11"/>
        <v>0</v>
      </c>
      <c r="Q49" s="35">
        <f>L49/[1]!dTAN(G49)-C49+$B$14</f>
        <v>-5.1136366487724265</v>
      </c>
      <c r="R49" s="34">
        <f t="shared" si="12"/>
        <v>0</v>
      </c>
      <c r="S49" s="36">
        <f t="shared" si="13"/>
        <v>9972.3527474364164</v>
      </c>
      <c r="T49" s="40">
        <f t="shared" si="14"/>
        <v>9955.7255391559756</v>
      </c>
      <c r="U49" s="37">
        <f t="shared" si="15"/>
        <v>24.852363351227574</v>
      </c>
      <c r="V49" s="38">
        <f t="shared" si="8"/>
        <v>38</v>
      </c>
      <c r="W49" s="70"/>
      <c r="X49" s="71"/>
      <c r="Y49" s="71"/>
      <c r="Z49" s="72" t="s">
        <v>15</v>
      </c>
      <c r="AB49" s="56"/>
      <c r="AC49" s="56"/>
      <c r="AD49" s="56"/>
      <c r="AE49" s="56"/>
      <c r="AF49" s="56"/>
      <c r="AG49" s="56"/>
      <c r="AH49" s="56"/>
      <c r="AI49" s="56">
        <v>72</v>
      </c>
      <c r="AJ49" s="56">
        <v>1</v>
      </c>
      <c r="AK49" s="56">
        <v>38</v>
      </c>
      <c r="AL49" s="56">
        <v>2.5</v>
      </c>
      <c r="AM49" s="56" t="s">
        <v>159</v>
      </c>
      <c r="AN49" s="56">
        <v>52.335000000000001</v>
      </c>
      <c r="AO49" s="56" t="s">
        <v>160</v>
      </c>
      <c r="AP49" s="56" t="s">
        <v>15</v>
      </c>
      <c r="AQ49" s="56" t="s">
        <v>63</v>
      </c>
    </row>
    <row r="50" spans="1:43" s="4" customFormat="1" ht="10.199999999999999" x14ac:dyDescent="0.2">
      <c r="A50" s="8"/>
      <c r="B50" s="8"/>
      <c r="C50" s="8">
        <v>2.5</v>
      </c>
      <c r="D50" s="27"/>
      <c r="E50" s="28">
        <v>39</v>
      </c>
      <c r="F50" s="29" t="s">
        <v>161</v>
      </c>
      <c r="G50" s="10" t="s">
        <v>162</v>
      </c>
      <c r="H50" s="30">
        <f t="shared" si="9"/>
        <v>0</v>
      </c>
      <c r="I50" s="52" t="str">
        <f>[1]!Plus_ang(I49,[1]!Min_ang(F50,F49))</f>
        <v xml:space="preserve"> 210° 50' 55"</v>
      </c>
      <c r="J50" s="10" t="str">
        <f>[1]!Plus_ang([1]!Plus_ang(J49,[1]!Min_ang(F50,F49)),[1]!DestoDeg(H50/3600))</f>
        <v xml:space="preserve"> 210° 50' 55"</v>
      </c>
      <c r="K50" s="31">
        <v>52.432000000000002</v>
      </c>
      <c r="L50" s="32">
        <f>[1]!Jarakdatar(K50,G50)</f>
        <v>52.300940919152502</v>
      </c>
      <c r="M50" s="33">
        <f>L50*[1]!dsin(J50)</f>
        <v>-26.818428926266719</v>
      </c>
      <c r="N50" s="34">
        <f t="shared" si="10"/>
        <v>0</v>
      </c>
      <c r="O50" s="33">
        <f>L50*[1]!dcos(J50)</f>
        <v>-44.901673587467329</v>
      </c>
      <c r="P50" s="34">
        <f t="shared" si="11"/>
        <v>0</v>
      </c>
      <c r="Q50" s="35">
        <f>L50/[1]!dTAN(G50)-C50+$B$14</f>
        <v>-5.0298890632945552</v>
      </c>
      <c r="R50" s="34">
        <f t="shared" si="12"/>
        <v>0</v>
      </c>
      <c r="S50" s="36">
        <f t="shared" si="13"/>
        <v>9973.1815710737337</v>
      </c>
      <c r="T50" s="40">
        <f t="shared" si="14"/>
        <v>9955.0983264125334</v>
      </c>
      <c r="U50" s="37">
        <f t="shared" si="15"/>
        <v>24.936110936705447</v>
      </c>
      <c r="V50" s="38">
        <f t="shared" si="8"/>
        <v>39</v>
      </c>
      <c r="W50" s="70"/>
      <c r="X50" s="71"/>
      <c r="Y50" s="71"/>
      <c r="Z50" s="72" t="s">
        <v>15</v>
      </c>
      <c r="AB50" s="56"/>
      <c r="AC50" s="56"/>
      <c r="AD50" s="56"/>
      <c r="AE50" s="56"/>
      <c r="AF50" s="56"/>
      <c r="AG50" s="56"/>
      <c r="AH50" s="56"/>
      <c r="AI50" s="56">
        <v>74</v>
      </c>
      <c r="AJ50" s="56">
        <v>1</v>
      </c>
      <c r="AK50" s="56">
        <v>39</v>
      </c>
      <c r="AL50" s="56">
        <v>2.5</v>
      </c>
      <c r="AM50" s="56" t="s">
        <v>161</v>
      </c>
      <c r="AN50" s="56">
        <v>52.432000000000002</v>
      </c>
      <c r="AO50" s="56" t="s">
        <v>162</v>
      </c>
      <c r="AP50" s="56" t="s">
        <v>15</v>
      </c>
      <c r="AQ50" s="56" t="s">
        <v>63</v>
      </c>
    </row>
    <row r="51" spans="1:43" s="4" customFormat="1" ht="10.199999999999999" x14ac:dyDescent="0.2">
      <c r="A51" s="8"/>
      <c r="B51" s="8"/>
      <c r="C51" s="8">
        <v>2.5</v>
      </c>
      <c r="D51" s="27"/>
      <c r="E51" s="28">
        <v>40</v>
      </c>
      <c r="F51" s="29" t="s">
        <v>163</v>
      </c>
      <c r="G51" s="10" t="s">
        <v>164</v>
      </c>
      <c r="H51" s="30">
        <f t="shared" si="9"/>
        <v>0</v>
      </c>
      <c r="I51" s="52" t="str">
        <f>[1]!Plus_ang(I50,[1]!Min_ang(F51,F50))</f>
        <v xml:space="preserve"> 210° 58' 53"</v>
      </c>
      <c r="J51" s="10" t="str">
        <f>[1]!Plus_ang([1]!Plus_ang(J50,[1]!Min_ang(F51,F50)),[1]!DestoDeg(H51/3600))</f>
        <v xml:space="preserve"> 210° 58' 53"</v>
      </c>
      <c r="K51" s="31">
        <v>52.692</v>
      </c>
      <c r="L51" s="32">
        <f>[1]!Jarakdatar(K51,G51)</f>
        <v>52.558170614564794</v>
      </c>
      <c r="M51" s="33">
        <f>L51*[1]!dsin(J51)</f>
        <v>-27.054823840563792</v>
      </c>
      <c r="N51" s="34">
        <f t="shared" si="10"/>
        <v>0</v>
      </c>
      <c r="O51" s="33">
        <f>L51*[1]!dcos(J51)</f>
        <v>-45.059935700195616</v>
      </c>
      <c r="P51" s="34">
        <f t="shared" si="11"/>
        <v>0</v>
      </c>
      <c r="Q51" s="35">
        <f>L51/[1]!dTAN(G51)-C51+$B$14</f>
        <v>-5.0780741599784314</v>
      </c>
      <c r="R51" s="34">
        <f t="shared" si="12"/>
        <v>0</v>
      </c>
      <c r="S51" s="36">
        <f t="shared" si="13"/>
        <v>9972.9451761594355</v>
      </c>
      <c r="T51" s="40">
        <f t="shared" si="14"/>
        <v>9954.9400642998044</v>
      </c>
      <c r="U51" s="37">
        <f t="shared" si="15"/>
        <v>24.88792584002157</v>
      </c>
      <c r="V51" s="38">
        <f t="shared" si="8"/>
        <v>40</v>
      </c>
      <c r="W51" s="70"/>
      <c r="X51" s="71"/>
      <c r="Y51" s="71"/>
      <c r="Z51" s="72" t="s">
        <v>14</v>
      </c>
      <c r="AB51" s="56"/>
      <c r="AC51" s="56"/>
      <c r="AD51" s="56"/>
      <c r="AE51" s="56"/>
      <c r="AF51" s="56"/>
      <c r="AG51" s="56"/>
      <c r="AH51" s="56"/>
      <c r="AI51" s="56">
        <v>76</v>
      </c>
      <c r="AJ51" s="56">
        <v>1</v>
      </c>
      <c r="AK51" s="56">
        <v>40</v>
      </c>
      <c r="AL51" s="56">
        <v>2.5</v>
      </c>
      <c r="AM51" s="56" t="s">
        <v>163</v>
      </c>
      <c r="AN51" s="56">
        <v>52.692</v>
      </c>
      <c r="AO51" s="56" t="s">
        <v>164</v>
      </c>
      <c r="AP51" s="56" t="s">
        <v>14</v>
      </c>
      <c r="AQ51" s="56" t="s">
        <v>63</v>
      </c>
    </row>
    <row r="52" spans="1:43" s="4" customFormat="1" ht="10.199999999999999" x14ac:dyDescent="0.2">
      <c r="A52" s="8"/>
      <c r="B52" s="8"/>
      <c r="C52" s="8">
        <v>2.5</v>
      </c>
      <c r="D52" s="27"/>
      <c r="E52" s="28">
        <v>41</v>
      </c>
      <c r="F52" s="29" t="s">
        <v>165</v>
      </c>
      <c r="G52" s="10" t="s">
        <v>166</v>
      </c>
      <c r="H52" s="30">
        <f t="shared" si="9"/>
        <v>0</v>
      </c>
      <c r="I52" s="52" t="str">
        <f>[1]!Plus_ang(I51,[1]!Min_ang(F52,F51))</f>
        <v xml:space="preserve"> 206° 58' 52"</v>
      </c>
      <c r="J52" s="10" t="str">
        <f>[1]!Plus_ang([1]!Plus_ang(J51,[1]!Min_ang(F52,F51)),[1]!DestoDeg(H52/3600))</f>
        <v xml:space="preserve"> 206° 58' 52"</v>
      </c>
      <c r="K52" s="31">
        <v>53.744999999999997</v>
      </c>
      <c r="L52" s="32">
        <f>[1]!Jarakdatar(K52,G52)</f>
        <v>53.608403349397079</v>
      </c>
      <c r="M52" s="33">
        <f>L52*[1]!dsin(J52)</f>
        <v>-24.321957515114573</v>
      </c>
      <c r="N52" s="34">
        <f t="shared" si="10"/>
        <v>0</v>
      </c>
      <c r="O52" s="33">
        <f>L52*[1]!dcos(J52)</f>
        <v>-47.773458031679155</v>
      </c>
      <c r="P52" s="34">
        <f t="shared" si="11"/>
        <v>0</v>
      </c>
      <c r="Q52" s="35">
        <f>L52/[1]!dTAN(G52)-C52+$B$14</f>
        <v>-5.1543753182929501</v>
      </c>
      <c r="R52" s="34">
        <f t="shared" si="12"/>
        <v>0</v>
      </c>
      <c r="S52" s="36">
        <f t="shared" si="13"/>
        <v>9975.6780424848857</v>
      </c>
      <c r="T52" s="40">
        <f t="shared" si="14"/>
        <v>9952.2265419683208</v>
      </c>
      <c r="U52" s="37">
        <f t="shared" si="15"/>
        <v>24.811624681707052</v>
      </c>
      <c r="V52" s="38">
        <f t="shared" si="8"/>
        <v>41</v>
      </c>
      <c r="W52" s="70"/>
      <c r="X52" s="71"/>
      <c r="Y52" s="71"/>
      <c r="Z52" s="72" t="s">
        <v>3</v>
      </c>
      <c r="AB52" s="56"/>
      <c r="AC52" s="56"/>
      <c r="AD52" s="56"/>
      <c r="AE52" s="56"/>
      <c r="AF52" s="56"/>
      <c r="AG52" s="56"/>
      <c r="AH52" s="56"/>
      <c r="AI52" s="56">
        <v>78</v>
      </c>
      <c r="AJ52" s="56">
        <v>1</v>
      </c>
      <c r="AK52" s="56">
        <v>41</v>
      </c>
      <c r="AL52" s="56">
        <v>2.5</v>
      </c>
      <c r="AM52" s="56" t="s">
        <v>165</v>
      </c>
      <c r="AN52" s="56">
        <v>53.744999999999997</v>
      </c>
      <c r="AO52" s="56" t="s">
        <v>166</v>
      </c>
      <c r="AP52" s="56" t="s">
        <v>3</v>
      </c>
      <c r="AQ52" s="56" t="s">
        <v>63</v>
      </c>
    </row>
    <row r="53" spans="1:43" s="4" customFormat="1" ht="10.199999999999999" x14ac:dyDescent="0.2">
      <c r="A53" s="8"/>
      <c r="B53" s="8"/>
      <c r="C53" s="8">
        <v>2.5</v>
      </c>
      <c r="D53" s="27"/>
      <c r="E53" s="28">
        <v>42</v>
      </c>
      <c r="F53" s="29" t="s">
        <v>167</v>
      </c>
      <c r="G53" s="10" t="s">
        <v>168</v>
      </c>
      <c r="H53" s="30">
        <f t="shared" si="9"/>
        <v>0</v>
      </c>
      <c r="I53" s="52" t="str">
        <f>[1]!Plus_ang(I52,[1]!Min_ang(F53,F52))</f>
        <v xml:space="preserve"> 205° 56' 56"</v>
      </c>
      <c r="J53" s="10" t="str">
        <f>[1]!Plus_ang([1]!Plus_ang(J52,[1]!Min_ang(F53,F52)),[1]!DestoDeg(H53/3600))</f>
        <v xml:space="preserve"> 205° 56' 56"</v>
      </c>
      <c r="K53" s="31">
        <v>54.167999999999999</v>
      </c>
      <c r="L53" s="32">
        <f>[1]!Jarakdatar(K53,G53)</f>
        <v>53.96171415700811</v>
      </c>
      <c r="M53" s="33">
        <f>L53*[1]!dsin(J53)</f>
        <v>-23.611983921564782</v>
      </c>
      <c r="N53" s="34">
        <f t="shared" si="10"/>
        <v>0</v>
      </c>
      <c r="O53" s="33">
        <f>L53*[1]!dcos(J53)</f>
        <v>-48.521549955153077</v>
      </c>
      <c r="P53" s="34">
        <f t="shared" si="11"/>
        <v>0</v>
      </c>
      <c r="Q53" s="35">
        <f>L53/[1]!dTAN(G53)-C53+$B$14</f>
        <v>-6.0478835722840705</v>
      </c>
      <c r="R53" s="34">
        <f t="shared" si="12"/>
        <v>0</v>
      </c>
      <c r="S53" s="36">
        <f t="shared" si="13"/>
        <v>9976.3880160784356</v>
      </c>
      <c r="T53" s="40">
        <f t="shared" si="14"/>
        <v>9951.4784500448477</v>
      </c>
      <c r="U53" s="37">
        <f t="shared" si="15"/>
        <v>23.91811642771593</v>
      </c>
      <c r="V53" s="38">
        <f t="shared" si="8"/>
        <v>42</v>
      </c>
      <c r="W53" s="70"/>
      <c r="X53" s="71"/>
      <c r="Y53" s="71"/>
      <c r="Z53" s="72" t="s">
        <v>64</v>
      </c>
      <c r="AB53" s="56"/>
      <c r="AC53" s="56"/>
      <c r="AD53" s="56"/>
      <c r="AE53" s="56"/>
      <c r="AF53" s="56"/>
      <c r="AG53" s="56"/>
      <c r="AH53" s="56"/>
      <c r="AI53" s="56">
        <v>80</v>
      </c>
      <c r="AJ53" s="56">
        <v>1</v>
      </c>
      <c r="AK53" s="56">
        <v>42</v>
      </c>
      <c r="AL53" s="56">
        <v>2.5</v>
      </c>
      <c r="AM53" s="56" t="s">
        <v>167</v>
      </c>
      <c r="AN53" s="56">
        <v>54.167999999999999</v>
      </c>
      <c r="AO53" s="56" t="s">
        <v>168</v>
      </c>
      <c r="AP53" s="56" t="s">
        <v>64</v>
      </c>
      <c r="AQ53" s="56" t="s">
        <v>63</v>
      </c>
    </row>
    <row r="54" spans="1:43" s="4" customFormat="1" ht="10.199999999999999" x14ac:dyDescent="0.2">
      <c r="A54" s="8"/>
      <c r="B54" s="8"/>
      <c r="C54" s="8">
        <v>1.45</v>
      </c>
      <c r="D54" s="27"/>
      <c r="E54" s="28">
        <v>43</v>
      </c>
      <c r="F54" s="29" t="s">
        <v>169</v>
      </c>
      <c r="G54" s="10" t="s">
        <v>170</v>
      </c>
      <c r="H54" s="30">
        <f t="shared" si="9"/>
        <v>0</v>
      </c>
      <c r="I54" s="52" t="str">
        <f>[1]!Plus_ang(I53,[1]!Min_ang(F54,F53))</f>
        <v xml:space="preserve"> 174° 55' 1"</v>
      </c>
      <c r="J54" s="10" t="str">
        <f>[1]!Plus_ang([1]!Plus_ang(J53,[1]!Min_ang(F54,F53)),[1]!DestoDeg(H54/3600))</f>
        <v xml:space="preserve"> 174° 55' 1"</v>
      </c>
      <c r="K54" s="31">
        <v>78.878</v>
      </c>
      <c r="L54" s="32">
        <f>[1]!Jarakdatar(K54,G54)</f>
        <v>78.761227348385603</v>
      </c>
      <c r="M54" s="33">
        <f>L54*[1]!dsin(J54)</f>
        <v>6.9782232758090705</v>
      </c>
      <c r="N54" s="34">
        <f t="shared" si="10"/>
        <v>0</v>
      </c>
      <c r="O54" s="33">
        <f>L54*[1]!dcos(J54)</f>
        <v>-78.451483946048086</v>
      </c>
      <c r="P54" s="34">
        <f t="shared" si="11"/>
        <v>0</v>
      </c>
      <c r="Q54" s="35">
        <f>L54/[1]!dTAN(G54)-C54+$B$14</f>
        <v>-4.5654487616000852</v>
      </c>
      <c r="R54" s="34">
        <f t="shared" si="12"/>
        <v>0</v>
      </c>
      <c r="S54" s="36">
        <f t="shared" si="13"/>
        <v>10006.97822327581</v>
      </c>
      <c r="T54" s="40">
        <f t="shared" si="14"/>
        <v>9921.548516053952</v>
      </c>
      <c r="U54" s="37">
        <f t="shared" si="15"/>
        <v>25.400551238399917</v>
      </c>
      <c r="V54" s="38">
        <f t="shared" si="8"/>
        <v>43</v>
      </c>
      <c r="W54" s="70"/>
      <c r="X54" s="71"/>
      <c r="Y54" s="71"/>
      <c r="Z54" s="72" t="s">
        <v>14</v>
      </c>
      <c r="AB54" s="56"/>
      <c r="AC54" s="56"/>
      <c r="AD54" s="56"/>
      <c r="AE54" s="56"/>
      <c r="AF54" s="56"/>
      <c r="AG54" s="56"/>
      <c r="AH54" s="56"/>
      <c r="AI54" s="56">
        <v>82</v>
      </c>
      <c r="AJ54" s="56">
        <v>1</v>
      </c>
      <c r="AK54" s="56">
        <v>43</v>
      </c>
      <c r="AL54" s="56">
        <v>1.45</v>
      </c>
      <c r="AM54" s="56" t="s">
        <v>169</v>
      </c>
      <c r="AN54" s="56">
        <v>78.878</v>
      </c>
      <c r="AO54" s="56" t="s">
        <v>170</v>
      </c>
      <c r="AP54" s="56" t="s">
        <v>14</v>
      </c>
      <c r="AQ54" s="56" t="s">
        <v>63</v>
      </c>
    </row>
    <row r="55" spans="1:43" s="4" customFormat="1" ht="10.199999999999999" x14ac:dyDescent="0.2">
      <c r="A55" s="8"/>
      <c r="B55" s="8"/>
      <c r="C55" s="8">
        <v>1.45</v>
      </c>
      <c r="D55" s="27"/>
      <c r="E55" s="28">
        <v>44</v>
      </c>
      <c r="F55" s="29" t="s">
        <v>171</v>
      </c>
      <c r="G55" s="10" t="s">
        <v>172</v>
      </c>
      <c r="H55" s="30">
        <f t="shared" si="9"/>
        <v>0</v>
      </c>
      <c r="I55" s="52" t="str">
        <f>[1]!Plus_ang(I54,[1]!Min_ang(F55,F54))</f>
        <v xml:space="preserve"> 174° 50' 57"</v>
      </c>
      <c r="J55" s="10" t="str">
        <f>[1]!Plus_ang([1]!Plus_ang(J54,[1]!Min_ang(F55,F54)),[1]!DestoDeg(H55/3600))</f>
        <v xml:space="preserve"> 174° 50' 57"</v>
      </c>
      <c r="K55" s="31">
        <v>78.701999999999998</v>
      </c>
      <c r="L55" s="32">
        <f>[1]!Jarakdatar(K55,G55)</f>
        <v>78.507078659881401</v>
      </c>
      <c r="M55" s="33">
        <f>L55*[1]!dsin(J55)</f>
        <v>7.0482052418970946</v>
      </c>
      <c r="N55" s="34">
        <f t="shared" si="10"/>
        <v>0</v>
      </c>
      <c r="O55" s="33">
        <f>L55*[1]!dcos(J55)</f>
        <v>-78.190051813366267</v>
      </c>
      <c r="P55" s="34">
        <f t="shared" si="11"/>
        <v>0</v>
      </c>
      <c r="Q55" s="35">
        <f>L55/[1]!dTAN(G55)-C55+$B$14</f>
        <v>-5.8106484977998525</v>
      </c>
      <c r="R55" s="34">
        <f t="shared" si="12"/>
        <v>0</v>
      </c>
      <c r="S55" s="36">
        <f t="shared" si="13"/>
        <v>10007.048205241897</v>
      </c>
      <c r="T55" s="40">
        <f t="shared" si="14"/>
        <v>9921.8099481866338</v>
      </c>
      <c r="U55" s="37">
        <f t="shared" si="15"/>
        <v>24.155351502200148</v>
      </c>
      <c r="V55" s="38">
        <f t="shared" si="8"/>
        <v>44</v>
      </c>
      <c r="W55" s="70"/>
      <c r="X55" s="71"/>
      <c r="Y55" s="71"/>
      <c r="Z55" s="72" t="s">
        <v>15</v>
      </c>
      <c r="AB55" s="56"/>
      <c r="AC55" s="56"/>
      <c r="AD55" s="56"/>
      <c r="AE55" s="56"/>
      <c r="AF55" s="56"/>
      <c r="AG55" s="56"/>
      <c r="AH55" s="56"/>
      <c r="AI55" s="56">
        <v>84</v>
      </c>
      <c r="AJ55" s="56">
        <v>1</v>
      </c>
      <c r="AK55" s="56">
        <v>44</v>
      </c>
      <c r="AL55" s="56">
        <v>1.45</v>
      </c>
      <c r="AM55" s="56" t="s">
        <v>171</v>
      </c>
      <c r="AN55" s="56">
        <v>78.701999999999998</v>
      </c>
      <c r="AO55" s="56" t="s">
        <v>172</v>
      </c>
      <c r="AP55" s="56" t="s">
        <v>15</v>
      </c>
      <c r="AQ55" s="56" t="s">
        <v>63</v>
      </c>
    </row>
    <row r="56" spans="1:43" s="4" customFormat="1" ht="10.199999999999999" x14ac:dyDescent="0.2">
      <c r="A56" s="8"/>
      <c r="B56" s="8"/>
      <c r="C56" s="8">
        <v>1.45</v>
      </c>
      <c r="D56" s="27"/>
      <c r="E56" s="28">
        <v>45</v>
      </c>
      <c r="F56" s="29" t="s">
        <v>173</v>
      </c>
      <c r="G56" s="10" t="s">
        <v>172</v>
      </c>
      <c r="H56" s="30">
        <f t="shared" si="9"/>
        <v>0</v>
      </c>
      <c r="I56" s="52" t="str">
        <f>[1]!Plus_ang(I55,[1]!Min_ang(F56,F55))</f>
        <v xml:space="preserve"> 175° 51' 54"</v>
      </c>
      <c r="J56" s="10" t="str">
        <f>[1]!Plus_ang([1]!Plus_ang(J55,[1]!Min_ang(F56,F55)),[1]!DestoDeg(H56/3600))</f>
        <v xml:space="preserve"> 175° 51' 54"</v>
      </c>
      <c r="K56" s="31">
        <v>78.430999999999997</v>
      </c>
      <c r="L56" s="32">
        <f>[1]!Jarakdatar(K56,G56)</f>
        <v>78.236749845914431</v>
      </c>
      <c r="M56" s="33">
        <f>L56*[1]!dsin(J56)</f>
        <v>5.6413964206910547</v>
      </c>
      <c r="N56" s="34">
        <f t="shared" si="10"/>
        <v>0</v>
      </c>
      <c r="O56" s="33">
        <f>L56*[1]!dcos(J56)</f>
        <v>-78.033093446798631</v>
      </c>
      <c r="P56" s="34">
        <f t="shared" si="11"/>
        <v>0</v>
      </c>
      <c r="Q56" s="35">
        <f>L56/[1]!dTAN(G56)-C56+$B$14</f>
        <v>-5.791587219269398</v>
      </c>
      <c r="R56" s="34">
        <f t="shared" si="12"/>
        <v>0</v>
      </c>
      <c r="S56" s="36">
        <f t="shared" si="13"/>
        <v>10005.641396420691</v>
      </c>
      <c r="T56" s="40">
        <f t="shared" si="14"/>
        <v>9921.9669065532016</v>
      </c>
      <c r="U56" s="37">
        <f t="shared" si="15"/>
        <v>24.174412780730602</v>
      </c>
      <c r="V56" s="38">
        <f t="shared" si="8"/>
        <v>45</v>
      </c>
      <c r="W56" s="70"/>
      <c r="X56" s="71"/>
      <c r="Y56" s="71"/>
      <c r="Z56" s="72" t="s">
        <v>15</v>
      </c>
      <c r="AB56" s="56"/>
      <c r="AC56" s="56"/>
      <c r="AD56" s="56"/>
      <c r="AE56" s="56"/>
      <c r="AF56" s="56"/>
      <c r="AG56" s="56"/>
      <c r="AH56" s="56"/>
      <c r="AI56" s="56">
        <v>86</v>
      </c>
      <c r="AJ56" s="56">
        <v>1</v>
      </c>
      <c r="AK56" s="56">
        <v>45</v>
      </c>
      <c r="AL56" s="56">
        <v>1.45</v>
      </c>
      <c r="AM56" s="56" t="s">
        <v>173</v>
      </c>
      <c r="AN56" s="56">
        <v>78.430999999999997</v>
      </c>
      <c r="AO56" s="56" t="s">
        <v>172</v>
      </c>
      <c r="AP56" s="56" t="s">
        <v>15</v>
      </c>
      <c r="AQ56" s="56" t="s">
        <v>63</v>
      </c>
    </row>
    <row r="57" spans="1:43" s="4" customFormat="1" ht="10.199999999999999" x14ac:dyDescent="0.2">
      <c r="A57" s="8"/>
      <c r="B57" s="8"/>
      <c r="C57" s="8">
        <v>1.45</v>
      </c>
      <c r="D57" s="27"/>
      <c r="E57" s="28">
        <v>46</v>
      </c>
      <c r="F57" s="29" t="s">
        <v>174</v>
      </c>
      <c r="G57" s="10" t="s">
        <v>175</v>
      </c>
      <c r="H57" s="30">
        <f t="shared" si="9"/>
        <v>0</v>
      </c>
      <c r="I57" s="52" t="str">
        <f>[1]!Plus_ang(I56,[1]!Min_ang(F57,F56))</f>
        <v xml:space="preserve"> 175° 56' 1"</v>
      </c>
      <c r="J57" s="10" t="str">
        <f>[1]!Plus_ang([1]!Plus_ang(J56,[1]!Min_ang(F57,F56)),[1]!DestoDeg(H57/3600))</f>
        <v xml:space="preserve"> 175° 56' 1"</v>
      </c>
      <c r="K57" s="31">
        <v>78.293999999999997</v>
      </c>
      <c r="L57" s="32">
        <f>[1]!Jarakdatar(K57,G57)</f>
        <v>78.181839487253299</v>
      </c>
      <c r="M57" s="33">
        <f>L57*[1]!dsin(J57)</f>
        <v>5.5440547450169211</v>
      </c>
      <c r="N57" s="34">
        <f t="shared" si="10"/>
        <v>0</v>
      </c>
      <c r="O57" s="33">
        <f>L57*[1]!dcos(J57)</f>
        <v>-77.985020886032302</v>
      </c>
      <c r="P57" s="34">
        <f t="shared" si="11"/>
        <v>0</v>
      </c>
      <c r="Q57" s="35">
        <f>L57/[1]!dTAN(G57)-C57+$B$14</f>
        <v>-4.4643209938317652</v>
      </c>
      <c r="R57" s="34">
        <f t="shared" si="12"/>
        <v>0</v>
      </c>
      <c r="S57" s="36">
        <f t="shared" si="13"/>
        <v>10005.544054745016</v>
      </c>
      <c r="T57" s="40">
        <f t="shared" si="14"/>
        <v>9922.0149791139684</v>
      </c>
      <c r="U57" s="37">
        <f t="shared" si="15"/>
        <v>25.501679006168235</v>
      </c>
      <c r="V57" s="38">
        <f t="shared" si="8"/>
        <v>46</v>
      </c>
      <c r="W57" s="70"/>
      <c r="X57" s="71"/>
      <c r="Y57" s="71"/>
      <c r="Z57" s="72" t="s">
        <v>14</v>
      </c>
      <c r="AB57" s="56"/>
      <c r="AC57" s="56"/>
      <c r="AD57" s="56"/>
      <c r="AE57" s="56"/>
      <c r="AF57" s="56"/>
      <c r="AG57" s="56"/>
      <c r="AH57" s="56"/>
      <c r="AI57" s="56">
        <v>88</v>
      </c>
      <c r="AJ57" s="56">
        <v>1</v>
      </c>
      <c r="AK57" s="56">
        <v>46</v>
      </c>
      <c r="AL57" s="56">
        <v>1.45</v>
      </c>
      <c r="AM57" s="56" t="s">
        <v>174</v>
      </c>
      <c r="AN57" s="56">
        <v>78.293999999999997</v>
      </c>
      <c r="AO57" s="56" t="s">
        <v>175</v>
      </c>
      <c r="AP57" s="56" t="s">
        <v>14</v>
      </c>
      <c r="AQ57" s="56" t="s">
        <v>63</v>
      </c>
    </row>
    <row r="58" spans="1:43" s="4" customFormat="1" ht="10.199999999999999" x14ac:dyDescent="0.2">
      <c r="A58" s="8"/>
      <c r="B58" s="8"/>
      <c r="C58" s="8">
        <v>1.45</v>
      </c>
      <c r="D58" s="27"/>
      <c r="E58" s="28">
        <v>47</v>
      </c>
      <c r="F58" s="29" t="s">
        <v>176</v>
      </c>
      <c r="G58" s="10" t="s">
        <v>177</v>
      </c>
      <c r="H58" s="30">
        <f t="shared" si="9"/>
        <v>0</v>
      </c>
      <c r="I58" s="52" t="str">
        <f>[1]!Plus_ang(I57,[1]!Min_ang(F58,F57))</f>
        <v xml:space="preserve"> 175° 57' 59"</v>
      </c>
      <c r="J58" s="10" t="str">
        <f>[1]!Plus_ang([1]!Plus_ang(J57,[1]!Min_ang(F58,F57)),[1]!DestoDeg(H58/3600))</f>
        <v xml:space="preserve"> 175° 57' 59"</v>
      </c>
      <c r="K58" s="31">
        <v>78.215000000000003</v>
      </c>
      <c r="L58" s="32">
        <f>[1]!Jarakdatar(K58,G58)</f>
        <v>78.10772966358725</v>
      </c>
      <c r="M58" s="33">
        <f>L58*[1]!dsin(J58)</f>
        <v>5.4942271504606346</v>
      </c>
      <c r="N58" s="34">
        <f t="shared" si="10"/>
        <v>0</v>
      </c>
      <c r="O58" s="33">
        <f>L58*[1]!dcos(J58)</f>
        <v>-77.914253517691932</v>
      </c>
      <c r="P58" s="34">
        <f t="shared" si="11"/>
        <v>0</v>
      </c>
      <c r="Q58" s="35">
        <f>L58/[1]!dTAN(G58)-C58+$B$14</f>
        <v>-4.3699715261494196</v>
      </c>
      <c r="R58" s="34">
        <f t="shared" si="12"/>
        <v>0</v>
      </c>
      <c r="S58" s="36">
        <f t="shared" si="13"/>
        <v>10005.494227150461</v>
      </c>
      <c r="T58" s="40">
        <f t="shared" si="14"/>
        <v>9922.0857464823075</v>
      </c>
      <c r="U58" s="37">
        <f t="shared" si="15"/>
        <v>25.596028473850581</v>
      </c>
      <c r="V58" s="38">
        <f t="shared" si="8"/>
        <v>47</v>
      </c>
      <c r="W58" s="70"/>
      <c r="X58" s="71"/>
      <c r="Y58" s="71"/>
      <c r="Z58" s="72" t="s">
        <v>14</v>
      </c>
      <c r="AB58" s="56"/>
      <c r="AC58" s="56"/>
      <c r="AD58" s="56"/>
      <c r="AE58" s="56"/>
      <c r="AF58" s="56"/>
      <c r="AG58" s="56"/>
      <c r="AH58" s="56"/>
      <c r="AI58" s="56">
        <v>90</v>
      </c>
      <c r="AJ58" s="56">
        <v>1</v>
      </c>
      <c r="AK58" s="56">
        <v>47</v>
      </c>
      <c r="AL58" s="56">
        <v>1.45</v>
      </c>
      <c r="AM58" s="56" t="s">
        <v>176</v>
      </c>
      <c r="AN58" s="56">
        <v>78.215000000000003</v>
      </c>
      <c r="AO58" s="56" t="s">
        <v>177</v>
      </c>
      <c r="AP58" s="56" t="s">
        <v>14</v>
      </c>
      <c r="AQ58" s="56" t="s">
        <v>63</v>
      </c>
    </row>
    <row r="59" spans="1:43" s="4" customFormat="1" ht="10.199999999999999" x14ac:dyDescent="0.2">
      <c r="A59" s="8"/>
      <c r="B59" s="8"/>
      <c r="C59" s="8">
        <v>1.45</v>
      </c>
      <c r="D59" s="27"/>
      <c r="E59" s="28">
        <v>48</v>
      </c>
      <c r="F59" s="29" t="s">
        <v>178</v>
      </c>
      <c r="G59" s="10" t="s">
        <v>177</v>
      </c>
      <c r="H59" s="30">
        <f t="shared" si="9"/>
        <v>0</v>
      </c>
      <c r="I59" s="52" t="str">
        <f>[1]!Plus_ang(I58,[1]!Min_ang(F59,F58))</f>
        <v xml:space="preserve"> 175° 53' 52"</v>
      </c>
      <c r="J59" s="10" t="str">
        <f>[1]!Plus_ang([1]!Plus_ang(J58,[1]!Min_ang(F59,F58)),[1]!DestoDeg(H59/3600))</f>
        <v xml:space="preserve"> 175° 53' 52"</v>
      </c>
      <c r="K59" s="31">
        <v>78.125</v>
      </c>
      <c r="L59" s="32">
        <f>[1]!Jarakdatar(K59,G59)</f>
        <v>78.017853096819707</v>
      </c>
      <c r="M59" s="33">
        <f>L59*[1]!dsin(J59)</f>
        <v>5.5810952903422626</v>
      </c>
      <c r="N59" s="34">
        <f t="shared" si="10"/>
        <v>0</v>
      </c>
      <c r="O59" s="33">
        <f>L59*[1]!dcos(J59)</f>
        <v>-77.817972070705238</v>
      </c>
      <c r="P59" s="34">
        <f t="shared" si="11"/>
        <v>0</v>
      </c>
      <c r="Q59" s="35">
        <f>L59/[1]!dTAN(G59)-C59+$B$14</f>
        <v>-4.3652595471511004</v>
      </c>
      <c r="R59" s="34">
        <f t="shared" si="12"/>
        <v>0</v>
      </c>
      <c r="S59" s="36">
        <f t="shared" si="13"/>
        <v>10005.581095290343</v>
      </c>
      <c r="T59" s="40">
        <f t="shared" si="14"/>
        <v>9922.1820279292951</v>
      </c>
      <c r="U59" s="37">
        <f t="shared" si="15"/>
        <v>25.6007404528489</v>
      </c>
      <c r="V59" s="38">
        <f t="shared" si="8"/>
        <v>48</v>
      </c>
      <c r="W59" s="70"/>
      <c r="X59" s="71"/>
      <c r="Y59" s="71"/>
      <c r="Z59" s="72" t="s">
        <v>14</v>
      </c>
      <c r="AB59" s="56"/>
      <c r="AC59" s="56"/>
      <c r="AD59" s="56"/>
      <c r="AE59" s="56"/>
      <c r="AF59" s="56"/>
      <c r="AG59" s="56"/>
      <c r="AH59" s="56"/>
      <c r="AI59" s="56">
        <v>92</v>
      </c>
      <c r="AJ59" s="56">
        <v>1</v>
      </c>
      <c r="AK59" s="56">
        <v>48</v>
      </c>
      <c r="AL59" s="56">
        <v>1.45</v>
      </c>
      <c r="AM59" s="56" t="s">
        <v>178</v>
      </c>
      <c r="AN59" s="56">
        <v>78.125</v>
      </c>
      <c r="AO59" s="56" t="s">
        <v>177</v>
      </c>
      <c r="AP59" s="56" t="s">
        <v>14</v>
      </c>
      <c r="AQ59" s="56" t="s">
        <v>63</v>
      </c>
    </row>
    <row r="60" spans="1:43" s="4" customFormat="1" ht="10.199999999999999" x14ac:dyDescent="0.2">
      <c r="A60" s="8"/>
      <c r="B60" s="8"/>
      <c r="C60" s="8">
        <v>1.45</v>
      </c>
      <c r="D60" s="27"/>
      <c r="E60" s="28">
        <v>49</v>
      </c>
      <c r="F60" s="29" t="s">
        <v>179</v>
      </c>
      <c r="G60" s="10" t="s">
        <v>180</v>
      </c>
      <c r="H60" s="30">
        <f t="shared" si="9"/>
        <v>0</v>
      </c>
      <c r="I60" s="52" t="str">
        <f>[1]!Plus_ang(I59,[1]!Min_ang(F60,F59))</f>
        <v xml:space="preserve"> 175° 58' 55"</v>
      </c>
      <c r="J60" s="10" t="str">
        <f>[1]!Plus_ang([1]!Plus_ang(J59,[1]!Min_ang(F60,F59)),[1]!DestoDeg(H60/3600))</f>
        <v xml:space="preserve"> 175° 58' 55"</v>
      </c>
      <c r="K60" s="31">
        <v>78.085999999999999</v>
      </c>
      <c r="L60" s="32">
        <f>[1]!Jarakdatar(K60,G60)</f>
        <v>77.978926403876017</v>
      </c>
      <c r="M60" s="33">
        <f>L60*[1]!dsin(J60)</f>
        <v>5.4640482149263905</v>
      </c>
      <c r="N60" s="34">
        <f t="shared" si="10"/>
        <v>0</v>
      </c>
      <c r="O60" s="33">
        <f>L60*[1]!dcos(J60)</f>
        <v>-77.787255641307155</v>
      </c>
      <c r="P60" s="34">
        <f t="shared" si="11"/>
        <v>0</v>
      </c>
      <c r="Q60" s="35">
        <f>L60/[1]!dTAN(G60)-C60+$B$14</f>
        <v>-4.3628396371295972</v>
      </c>
      <c r="R60" s="34">
        <f t="shared" si="12"/>
        <v>0</v>
      </c>
      <c r="S60" s="36">
        <f t="shared" si="13"/>
        <v>10005.464048214926</v>
      </c>
      <c r="T60" s="40">
        <f t="shared" si="14"/>
        <v>9922.2127443586924</v>
      </c>
      <c r="U60" s="37">
        <f t="shared" si="15"/>
        <v>25.603160362870405</v>
      </c>
      <c r="V60" s="38">
        <f t="shared" si="8"/>
        <v>49</v>
      </c>
      <c r="W60" s="70"/>
      <c r="X60" s="71"/>
      <c r="Y60" s="71"/>
      <c r="Z60" s="72" t="s">
        <v>66</v>
      </c>
      <c r="AB60" s="56"/>
      <c r="AC60" s="56"/>
      <c r="AD60" s="56"/>
      <c r="AE60" s="56"/>
      <c r="AF60" s="56"/>
      <c r="AG60" s="56"/>
      <c r="AH60" s="56"/>
      <c r="AI60" s="56">
        <v>94</v>
      </c>
      <c r="AJ60" s="56">
        <v>1</v>
      </c>
      <c r="AK60" s="56">
        <v>49</v>
      </c>
      <c r="AL60" s="56">
        <v>1.45</v>
      </c>
      <c r="AM60" s="56" t="s">
        <v>179</v>
      </c>
      <c r="AN60" s="56">
        <v>78.085999999999999</v>
      </c>
      <c r="AO60" s="56" t="s">
        <v>180</v>
      </c>
      <c r="AP60" s="56" t="s">
        <v>66</v>
      </c>
      <c r="AQ60" s="56" t="s">
        <v>63</v>
      </c>
    </row>
    <row r="61" spans="1:43" s="4" customFormat="1" ht="10.199999999999999" x14ac:dyDescent="0.2">
      <c r="A61" s="8"/>
      <c r="B61" s="8"/>
      <c r="C61" s="8">
        <v>1.45</v>
      </c>
      <c r="D61" s="27"/>
      <c r="E61" s="28">
        <v>50</v>
      </c>
      <c r="F61" s="29" t="s">
        <v>181</v>
      </c>
      <c r="G61" s="10" t="s">
        <v>182</v>
      </c>
      <c r="H61" s="30">
        <f t="shared" si="9"/>
        <v>0</v>
      </c>
      <c r="I61" s="52" t="str">
        <f>[1]!Plus_ang(I60,[1]!Min_ang(F61,F60))</f>
        <v xml:space="preserve"> 177° 58' 55"</v>
      </c>
      <c r="J61" s="10" t="str">
        <f>[1]!Plus_ang([1]!Plus_ang(J60,[1]!Min_ang(F61,F60)),[1]!DestoDeg(H61/3600))</f>
        <v xml:space="preserve"> 177° 58' 55"</v>
      </c>
      <c r="K61" s="31">
        <v>75.004000000000005</v>
      </c>
      <c r="L61" s="32">
        <f>[1]!Jarakdatar(K61,G61)</f>
        <v>74.891871987582888</v>
      </c>
      <c r="M61" s="33">
        <f>L61*[1]!dsin(J61)</f>
        <v>2.6372747251564914</v>
      </c>
      <c r="N61" s="34">
        <f t="shared" si="10"/>
        <v>0</v>
      </c>
      <c r="O61" s="33">
        <f>L61*[1]!dcos(J61)</f>
        <v>-74.845422517536448</v>
      </c>
      <c r="P61" s="34">
        <f t="shared" si="11"/>
        <v>0</v>
      </c>
      <c r="Q61" s="35">
        <f>L61/[1]!dTAN(G61)-C61+$B$14</f>
        <v>-4.3746983054241646</v>
      </c>
      <c r="R61" s="34">
        <f t="shared" si="12"/>
        <v>0</v>
      </c>
      <c r="S61" s="36">
        <f t="shared" si="13"/>
        <v>10002.637274725157</v>
      </c>
      <c r="T61" s="40">
        <f t="shared" si="14"/>
        <v>9925.1545774824644</v>
      </c>
      <c r="U61" s="37">
        <f t="shared" si="15"/>
        <v>25.591301694575836</v>
      </c>
      <c r="V61" s="38">
        <f t="shared" si="8"/>
        <v>50</v>
      </c>
      <c r="W61" s="70"/>
      <c r="X61" s="71"/>
      <c r="Y61" s="71"/>
      <c r="Z61" s="72" t="s">
        <v>66</v>
      </c>
      <c r="AB61" s="56"/>
      <c r="AC61" s="56"/>
      <c r="AD61" s="56"/>
      <c r="AE61" s="56"/>
      <c r="AF61" s="56"/>
      <c r="AG61" s="56"/>
      <c r="AH61" s="56"/>
      <c r="AI61" s="56">
        <v>96</v>
      </c>
      <c r="AJ61" s="56">
        <v>1</v>
      </c>
      <c r="AK61" s="56">
        <v>50</v>
      </c>
      <c r="AL61" s="56">
        <v>1.45</v>
      </c>
      <c r="AM61" s="56" t="s">
        <v>181</v>
      </c>
      <c r="AN61" s="56">
        <v>75.004000000000005</v>
      </c>
      <c r="AO61" s="56" t="s">
        <v>182</v>
      </c>
      <c r="AP61" s="56" t="s">
        <v>66</v>
      </c>
      <c r="AQ61" s="56" t="s">
        <v>63</v>
      </c>
    </row>
    <row r="62" spans="1:43" s="4" customFormat="1" ht="10.199999999999999" x14ac:dyDescent="0.2">
      <c r="A62" s="8"/>
      <c r="B62" s="8"/>
      <c r="C62" s="8">
        <v>1.45</v>
      </c>
      <c r="D62" s="27"/>
      <c r="E62" s="28">
        <v>51</v>
      </c>
      <c r="F62" s="29" t="s">
        <v>183</v>
      </c>
      <c r="G62" s="10" t="s">
        <v>184</v>
      </c>
      <c r="H62" s="30">
        <f t="shared" si="9"/>
        <v>0</v>
      </c>
      <c r="I62" s="52" t="str">
        <f>[1]!Plus_ang(I61,[1]!Min_ang(F62,F61))</f>
        <v xml:space="preserve"> 177° 53' 55"</v>
      </c>
      <c r="J62" s="10" t="str">
        <f>[1]!Plus_ang([1]!Plus_ang(J61,[1]!Min_ang(F62,F61)),[1]!DestoDeg(H62/3600))</f>
        <v xml:space="preserve"> 177° 53' 55"</v>
      </c>
      <c r="K62" s="31">
        <v>74.834000000000003</v>
      </c>
      <c r="L62" s="32">
        <f>[1]!Jarakdatar(K62,G62)</f>
        <v>74.724355803536838</v>
      </c>
      <c r="M62" s="33">
        <f>L62*[1]!dsin(J62)</f>
        <v>2.7399876795184741</v>
      </c>
      <c r="N62" s="34">
        <f t="shared" si="10"/>
        <v>0</v>
      </c>
      <c r="O62" s="33">
        <f>L62*[1]!dcos(J62)</f>
        <v>-74.674104064057289</v>
      </c>
      <c r="P62" s="34">
        <f t="shared" si="11"/>
        <v>0</v>
      </c>
      <c r="Q62" s="35">
        <f>L62/[1]!dTAN(G62)-C62+$B$14</f>
        <v>-4.3244698105344943</v>
      </c>
      <c r="R62" s="34">
        <f t="shared" si="12"/>
        <v>0</v>
      </c>
      <c r="S62" s="36">
        <f t="shared" si="13"/>
        <v>10002.739987679519</v>
      </c>
      <c r="T62" s="40">
        <f t="shared" si="14"/>
        <v>9925.3258959359428</v>
      </c>
      <c r="U62" s="37">
        <f t="shared" si="15"/>
        <v>25.641530189465506</v>
      </c>
      <c r="V62" s="38">
        <f t="shared" si="8"/>
        <v>51</v>
      </c>
      <c r="W62" s="70"/>
      <c r="X62" s="71"/>
      <c r="Y62" s="71"/>
      <c r="Z62" s="72" t="s">
        <v>3</v>
      </c>
      <c r="AB62" s="56"/>
      <c r="AC62" s="56"/>
      <c r="AD62" s="56"/>
      <c r="AE62" s="56"/>
      <c r="AF62" s="56"/>
      <c r="AG62" s="56"/>
      <c r="AH62" s="56"/>
      <c r="AI62" s="56">
        <v>98</v>
      </c>
      <c r="AJ62" s="56">
        <v>1</v>
      </c>
      <c r="AK62" s="56">
        <v>51</v>
      </c>
      <c r="AL62" s="56">
        <v>1.45</v>
      </c>
      <c r="AM62" s="56" t="s">
        <v>183</v>
      </c>
      <c r="AN62" s="56">
        <v>74.834000000000003</v>
      </c>
      <c r="AO62" s="56" t="s">
        <v>184</v>
      </c>
      <c r="AP62" s="56" t="s">
        <v>3</v>
      </c>
      <c r="AQ62" s="56" t="s">
        <v>63</v>
      </c>
    </row>
    <row r="63" spans="1:43" s="4" customFormat="1" ht="10.199999999999999" x14ac:dyDescent="0.2">
      <c r="A63" s="8"/>
      <c r="B63" s="8"/>
      <c r="C63" s="8">
        <v>1.45</v>
      </c>
      <c r="D63" s="27"/>
      <c r="E63" s="28">
        <v>52</v>
      </c>
      <c r="F63" s="29" t="s">
        <v>185</v>
      </c>
      <c r="G63" s="10" t="s">
        <v>186</v>
      </c>
      <c r="H63" s="30">
        <f t="shared" si="9"/>
        <v>0</v>
      </c>
      <c r="I63" s="52" t="str">
        <f>[1]!Plus_ang(I62,[1]!Min_ang(F63,F62))</f>
        <v xml:space="preserve"> 178° 57' 58"</v>
      </c>
      <c r="J63" s="10" t="str">
        <f>[1]!Plus_ang([1]!Plus_ang(J62,[1]!Min_ang(F63,F62)),[1]!DestoDeg(H63/3600))</f>
        <v xml:space="preserve"> 178° 57' 58"</v>
      </c>
      <c r="K63" s="31">
        <v>73.221000000000004</v>
      </c>
      <c r="L63" s="32">
        <f>[1]!Jarakdatar(K63,G63)</f>
        <v>73.039453656009968</v>
      </c>
      <c r="M63" s="33">
        <f>L63*[1]!dsin(J63)</f>
        <v>1.3179082681725405</v>
      </c>
      <c r="N63" s="34">
        <f t="shared" si="10"/>
        <v>0</v>
      </c>
      <c r="O63" s="33">
        <f>L63*[1]!dcos(J63)</f>
        <v>-73.027562660718104</v>
      </c>
      <c r="P63" s="34">
        <f t="shared" si="11"/>
        <v>0</v>
      </c>
      <c r="Q63" s="35">
        <f>L63/[1]!dTAN(G63)-C63+$B$14</f>
        <v>-5.4279652270874204</v>
      </c>
      <c r="R63" s="34">
        <f t="shared" si="12"/>
        <v>0</v>
      </c>
      <c r="S63" s="36">
        <f t="shared" si="13"/>
        <v>10001.317908268173</v>
      </c>
      <c r="T63" s="40">
        <f t="shared" si="14"/>
        <v>9926.9724373392819</v>
      </c>
      <c r="U63" s="37">
        <f t="shared" si="15"/>
        <v>24.538034772912582</v>
      </c>
      <c r="V63" s="38">
        <f t="shared" si="8"/>
        <v>52</v>
      </c>
      <c r="W63" s="70"/>
      <c r="X63" s="71"/>
      <c r="Y63" s="71"/>
      <c r="Z63" s="72" t="s">
        <v>64</v>
      </c>
      <c r="AB63" s="56"/>
      <c r="AC63" s="56"/>
      <c r="AD63" s="56"/>
      <c r="AE63" s="56"/>
      <c r="AF63" s="56"/>
      <c r="AG63" s="56"/>
      <c r="AH63" s="56"/>
      <c r="AI63" s="56">
        <v>100</v>
      </c>
      <c r="AJ63" s="56">
        <v>1</v>
      </c>
      <c r="AK63" s="56">
        <v>52</v>
      </c>
      <c r="AL63" s="56">
        <v>1.45</v>
      </c>
      <c r="AM63" s="56" t="s">
        <v>185</v>
      </c>
      <c r="AN63" s="56">
        <v>73.221000000000004</v>
      </c>
      <c r="AO63" s="56" t="s">
        <v>186</v>
      </c>
      <c r="AP63" s="56" t="s">
        <v>64</v>
      </c>
      <c r="AQ63" s="56" t="s">
        <v>63</v>
      </c>
    </row>
    <row r="64" spans="1:43" s="4" customFormat="1" ht="10.199999999999999" x14ac:dyDescent="0.2">
      <c r="A64" s="8"/>
      <c r="B64" s="8"/>
      <c r="C64" s="8">
        <v>2.5</v>
      </c>
      <c r="D64" s="27"/>
      <c r="E64" s="28">
        <v>53</v>
      </c>
      <c r="F64" s="29" t="s">
        <v>187</v>
      </c>
      <c r="G64" s="10" t="s">
        <v>188</v>
      </c>
      <c r="H64" s="30">
        <f t="shared" si="9"/>
        <v>0</v>
      </c>
      <c r="I64" s="52" t="str">
        <f>[1]!Plus_ang(I63,[1]!Min_ang(F64,F63))</f>
        <v xml:space="preserve"> 200° 53' 52"</v>
      </c>
      <c r="J64" s="10" t="str">
        <f>[1]!Plus_ang([1]!Plus_ang(J63,[1]!Min_ang(F64,F63)),[1]!DestoDeg(H64/3600))</f>
        <v xml:space="preserve"> 200° 53' 52"</v>
      </c>
      <c r="K64" s="31">
        <v>56.502000000000002</v>
      </c>
      <c r="L64" s="32">
        <f>[1]!Jarakdatar(K64,G64)</f>
        <v>55.93123144376014</v>
      </c>
      <c r="M64" s="33">
        <f>L64*[1]!dsin(J64)</f>
        <v>-19.950769021735276</v>
      </c>
      <c r="N64" s="34">
        <f t="shared" si="10"/>
        <v>0</v>
      </c>
      <c r="O64" s="33">
        <f>L64*[1]!dcos(J64)</f>
        <v>-52.251980500808109</v>
      </c>
      <c r="P64" s="34">
        <f t="shared" si="11"/>
        <v>0</v>
      </c>
      <c r="Q64" s="35">
        <f>L64/[1]!dTAN(G64)-C64+$B$14</f>
        <v>-9.3358272472034542</v>
      </c>
      <c r="R64" s="34">
        <f t="shared" si="12"/>
        <v>0</v>
      </c>
      <c r="S64" s="36">
        <f t="shared" si="13"/>
        <v>9980.0492309782639</v>
      </c>
      <c r="T64" s="40">
        <f t="shared" si="14"/>
        <v>9947.7480194991913</v>
      </c>
      <c r="U64" s="37">
        <f t="shared" si="15"/>
        <v>20.630172752796547</v>
      </c>
      <c r="V64" s="38">
        <f t="shared" si="8"/>
        <v>53</v>
      </c>
      <c r="W64" s="70"/>
      <c r="X64" s="71"/>
      <c r="Y64" s="71"/>
      <c r="Z64" s="72" t="s">
        <v>65</v>
      </c>
      <c r="AB64" s="56"/>
      <c r="AC64" s="56"/>
      <c r="AD64" s="56"/>
      <c r="AE64" s="56"/>
      <c r="AF64" s="56"/>
      <c r="AG64" s="56"/>
      <c r="AH64" s="56"/>
      <c r="AI64" s="56">
        <v>102</v>
      </c>
      <c r="AJ64" s="56">
        <v>1</v>
      </c>
      <c r="AK64" s="56">
        <v>53</v>
      </c>
      <c r="AL64" s="56">
        <v>2.5</v>
      </c>
      <c r="AM64" s="56" t="s">
        <v>187</v>
      </c>
      <c r="AN64" s="56">
        <v>56.502000000000002</v>
      </c>
      <c r="AO64" s="56" t="s">
        <v>188</v>
      </c>
      <c r="AP64" s="56" t="s">
        <v>65</v>
      </c>
      <c r="AQ64" s="56" t="s">
        <v>63</v>
      </c>
    </row>
    <row r="65" spans="1:43" s="4" customFormat="1" ht="10.199999999999999" x14ac:dyDescent="0.2">
      <c r="A65" s="8"/>
      <c r="B65" s="8"/>
      <c r="C65" s="8">
        <v>2.5</v>
      </c>
      <c r="D65" s="27"/>
      <c r="E65" s="28">
        <v>54</v>
      </c>
      <c r="F65" s="29" t="s">
        <v>189</v>
      </c>
      <c r="G65" s="10" t="s">
        <v>190</v>
      </c>
      <c r="H65" s="30">
        <f t="shared" si="9"/>
        <v>0</v>
      </c>
      <c r="I65" s="52" t="str">
        <f>[1]!Plus_ang(I64,[1]!Min_ang(F65,F64))</f>
        <v xml:space="preserve"> 190° 52' 54"</v>
      </c>
      <c r="J65" s="10" t="str">
        <f>[1]!Plus_ang([1]!Plus_ang(J64,[1]!Min_ang(F65,F64)),[1]!DestoDeg(H65/3600))</f>
        <v xml:space="preserve"> 190° 52' 54"</v>
      </c>
      <c r="K65" s="31">
        <v>61.97</v>
      </c>
      <c r="L65" s="32">
        <f>[1]!Jarakdatar(K65,G65)</f>
        <v>61.492467835749082</v>
      </c>
      <c r="M65" s="33">
        <f>L65*[1]!dsin(J65)</f>
        <v>-11.608623657376116</v>
      </c>
      <c r="N65" s="34">
        <f t="shared" si="10"/>
        <v>0</v>
      </c>
      <c r="O65" s="33">
        <f>L65*[1]!dcos(J65)</f>
        <v>-60.38678214073046</v>
      </c>
      <c r="P65" s="34">
        <f t="shared" si="11"/>
        <v>0</v>
      </c>
      <c r="Q65" s="35">
        <f>L65/[1]!dTAN(G65)-C65+$B$14</f>
        <v>-9.0033656769761077</v>
      </c>
      <c r="R65" s="34">
        <f t="shared" si="12"/>
        <v>0</v>
      </c>
      <c r="S65" s="36">
        <f t="shared" si="13"/>
        <v>9988.3913763426244</v>
      </c>
      <c r="T65" s="40">
        <f t="shared" si="14"/>
        <v>9939.6132178592688</v>
      </c>
      <c r="U65" s="37">
        <f t="shared" si="15"/>
        <v>20.962634323023892</v>
      </c>
      <c r="V65" s="38">
        <f t="shared" si="8"/>
        <v>54</v>
      </c>
      <c r="W65" s="70"/>
      <c r="X65" s="71"/>
      <c r="Y65" s="71"/>
      <c r="Z65" s="72" t="s">
        <v>65</v>
      </c>
      <c r="AB65" s="56"/>
      <c r="AC65" s="56"/>
      <c r="AD65" s="56"/>
      <c r="AE65" s="56"/>
      <c r="AF65" s="56"/>
      <c r="AG65" s="56"/>
      <c r="AH65" s="56"/>
      <c r="AI65" s="56">
        <v>104</v>
      </c>
      <c r="AJ65" s="56">
        <v>1</v>
      </c>
      <c r="AK65" s="56">
        <v>54</v>
      </c>
      <c r="AL65" s="56">
        <v>2.5</v>
      </c>
      <c r="AM65" s="56" t="s">
        <v>189</v>
      </c>
      <c r="AN65" s="56">
        <v>61.97</v>
      </c>
      <c r="AO65" s="56" t="s">
        <v>190</v>
      </c>
      <c r="AP65" s="56" t="s">
        <v>65</v>
      </c>
      <c r="AQ65" s="56" t="s">
        <v>63</v>
      </c>
    </row>
    <row r="66" spans="1:43" s="4" customFormat="1" ht="10.199999999999999" x14ac:dyDescent="0.2">
      <c r="A66" s="8"/>
      <c r="B66" s="8"/>
      <c r="C66" s="8">
        <v>2.5</v>
      </c>
      <c r="D66" s="27"/>
      <c r="E66" s="28">
        <v>55</v>
      </c>
      <c r="F66" s="29" t="s">
        <v>191</v>
      </c>
      <c r="G66" s="10" t="s">
        <v>192</v>
      </c>
      <c r="H66" s="30">
        <f t="shared" si="9"/>
        <v>0</v>
      </c>
      <c r="I66" s="52" t="str">
        <f>[1]!Plus_ang(I65,[1]!Min_ang(F66,F65))</f>
        <v xml:space="preserve"> 182° 52' 58"</v>
      </c>
      <c r="J66" s="10" t="str">
        <f>[1]!Plus_ang([1]!Plus_ang(J65,[1]!Min_ang(F66,F65)),[1]!DestoDeg(H66/3600))</f>
        <v xml:space="preserve"> 182° 52' 58"</v>
      </c>
      <c r="K66" s="31">
        <v>69.7</v>
      </c>
      <c r="L66" s="32">
        <f>[1]!Jarakdatar(K66,G66)</f>
        <v>69.303125264451253</v>
      </c>
      <c r="M66" s="33">
        <f>L66*[1]!dsin(J66)</f>
        <v>-3.4854439391606249</v>
      </c>
      <c r="N66" s="34">
        <f t="shared" si="10"/>
        <v>0</v>
      </c>
      <c r="O66" s="33">
        <f>L66*[1]!dcos(J66)</f>
        <v>-69.215423512156534</v>
      </c>
      <c r="P66" s="34">
        <f t="shared" si="11"/>
        <v>0</v>
      </c>
      <c r="Q66" s="35">
        <f>L66/[1]!dTAN(G66)-C66+$B$14</f>
        <v>-8.7524375513886259</v>
      </c>
      <c r="R66" s="34">
        <f t="shared" si="12"/>
        <v>0</v>
      </c>
      <c r="S66" s="36">
        <f t="shared" si="13"/>
        <v>9996.5145560608398</v>
      </c>
      <c r="T66" s="40">
        <f t="shared" si="14"/>
        <v>9930.7845764878439</v>
      </c>
      <c r="U66" s="37">
        <f t="shared" si="15"/>
        <v>21.213562448611377</v>
      </c>
      <c r="V66" s="38">
        <f t="shared" si="8"/>
        <v>55</v>
      </c>
      <c r="W66" s="70"/>
      <c r="X66" s="71"/>
      <c r="Y66" s="71"/>
      <c r="Z66" s="72" t="s">
        <v>65</v>
      </c>
      <c r="AB66" s="56"/>
      <c r="AC66" s="56"/>
      <c r="AD66" s="56"/>
      <c r="AE66" s="56"/>
      <c r="AF66" s="56"/>
      <c r="AG66" s="56"/>
      <c r="AH66" s="56"/>
      <c r="AI66" s="56">
        <v>106</v>
      </c>
      <c r="AJ66" s="56">
        <v>1</v>
      </c>
      <c r="AK66" s="56">
        <v>55</v>
      </c>
      <c r="AL66" s="56">
        <v>2.5</v>
      </c>
      <c r="AM66" s="56" t="s">
        <v>191</v>
      </c>
      <c r="AN66" s="56">
        <v>69.7</v>
      </c>
      <c r="AO66" s="56" t="s">
        <v>192</v>
      </c>
      <c r="AP66" s="56" t="s">
        <v>65</v>
      </c>
      <c r="AQ66" s="56" t="s">
        <v>63</v>
      </c>
    </row>
    <row r="67" spans="1:43" s="4" customFormat="1" ht="10.199999999999999" x14ac:dyDescent="0.2">
      <c r="A67" s="8"/>
      <c r="B67" s="8"/>
      <c r="C67" s="8">
        <v>2.5</v>
      </c>
      <c r="D67" s="27"/>
      <c r="E67" s="28">
        <v>56</v>
      </c>
      <c r="F67" s="29" t="s">
        <v>193</v>
      </c>
      <c r="G67" s="10" t="s">
        <v>194</v>
      </c>
      <c r="H67" s="30">
        <f t="shared" si="9"/>
        <v>0</v>
      </c>
      <c r="I67" s="52" t="str">
        <f>[1]!Plus_ang(I66,[1]!Min_ang(F67,F66))</f>
        <v xml:space="preserve"> 212° 53' 52"</v>
      </c>
      <c r="J67" s="10" t="str">
        <f>[1]!Plus_ang([1]!Plus_ang(J66,[1]!Min_ang(F67,F66)),[1]!DestoDeg(H67/3600))</f>
        <v xml:space="preserve"> 212° 53' 52"</v>
      </c>
      <c r="K67" s="31">
        <v>105.149</v>
      </c>
      <c r="L67" s="32">
        <f>[1]!Jarakdatar(K67,G67)</f>
        <v>104.88854148517223</v>
      </c>
      <c r="M67" s="33">
        <f>L67*[1]!dsin(J67)</f>
        <v>-56.969360116845891</v>
      </c>
      <c r="N67" s="34">
        <f t="shared" si="10"/>
        <v>0</v>
      </c>
      <c r="O67" s="33">
        <f>L67*[1]!dcos(J67)</f>
        <v>-88.068712621247187</v>
      </c>
      <c r="P67" s="34">
        <f t="shared" si="11"/>
        <v>0</v>
      </c>
      <c r="Q67" s="35">
        <f>L67/[1]!dTAN(G67)-C67+$B$14</f>
        <v>-8.7213549207231296</v>
      </c>
      <c r="R67" s="34">
        <f t="shared" si="12"/>
        <v>0</v>
      </c>
      <c r="S67" s="36">
        <f t="shared" si="13"/>
        <v>9943.0306398831544</v>
      </c>
      <c r="T67" s="40">
        <f t="shared" si="14"/>
        <v>9911.931287378753</v>
      </c>
      <c r="U67" s="37">
        <f t="shared" si="15"/>
        <v>21.244645079276872</v>
      </c>
      <c r="V67" s="38">
        <f t="shared" si="8"/>
        <v>56</v>
      </c>
      <c r="W67" s="70"/>
      <c r="X67" s="71"/>
      <c r="Y67" s="71"/>
      <c r="Z67" s="72" t="s">
        <v>65</v>
      </c>
      <c r="AB67" s="56"/>
      <c r="AC67" s="56"/>
      <c r="AD67" s="56"/>
      <c r="AE67" s="56"/>
      <c r="AF67" s="56"/>
      <c r="AG67" s="56"/>
      <c r="AH67" s="56"/>
      <c r="AI67" s="56">
        <v>108</v>
      </c>
      <c r="AJ67" s="56">
        <v>1</v>
      </c>
      <c r="AK67" s="56">
        <v>56</v>
      </c>
      <c r="AL67" s="56">
        <v>2.5</v>
      </c>
      <c r="AM67" s="56" t="s">
        <v>193</v>
      </c>
      <c r="AN67" s="56">
        <v>105.149</v>
      </c>
      <c r="AO67" s="56" t="s">
        <v>194</v>
      </c>
      <c r="AP67" s="56" t="s">
        <v>65</v>
      </c>
      <c r="AQ67" s="56" t="s">
        <v>63</v>
      </c>
    </row>
    <row r="68" spans="1:43" s="4" customFormat="1" ht="10.199999999999999" x14ac:dyDescent="0.2">
      <c r="A68" s="8"/>
      <c r="B68" s="8"/>
      <c r="C68" s="8">
        <v>2.5</v>
      </c>
      <c r="D68" s="27"/>
      <c r="E68" s="28">
        <v>57</v>
      </c>
      <c r="F68" s="29" t="s">
        <v>195</v>
      </c>
      <c r="G68" s="10" t="s">
        <v>196</v>
      </c>
      <c r="H68" s="30">
        <f t="shared" si="9"/>
        <v>0</v>
      </c>
      <c r="I68" s="52" t="str">
        <f>[1]!Plus_ang(I67,[1]!Min_ang(F68,F67))</f>
        <v xml:space="preserve"> 206° 53' 60"</v>
      </c>
      <c r="J68" s="10" t="str">
        <f>[1]!Plus_ang([1]!Plus_ang(J67,[1]!Min_ang(F68,F67)),[1]!DestoDeg(H68/3600))</f>
        <v xml:space="preserve"> 206° 54' 0"</v>
      </c>
      <c r="K68" s="31">
        <v>108.137</v>
      </c>
      <c r="L68" s="32">
        <f>[1]!Jarakdatar(K68,G68)</f>
        <v>107.85342791021473</v>
      </c>
      <c r="M68" s="33">
        <f>L68*[1]!dsin(J68)</f>
        <v>-48.796634304837312</v>
      </c>
      <c r="N68" s="34">
        <f t="shared" si="10"/>
        <v>0</v>
      </c>
      <c r="O68" s="33">
        <f>L68*[1]!dcos(J68)</f>
        <v>-96.18342056978355</v>
      </c>
      <c r="P68" s="34">
        <f t="shared" si="11"/>
        <v>0</v>
      </c>
      <c r="Q68" s="35">
        <f>L68/[1]!dTAN(G68)-C68+$B$14</f>
        <v>-9.1511648983466056</v>
      </c>
      <c r="R68" s="34">
        <f t="shared" si="12"/>
        <v>0</v>
      </c>
      <c r="S68" s="36">
        <f t="shared" si="13"/>
        <v>9951.2033656951626</v>
      </c>
      <c r="T68" s="40">
        <f t="shared" si="14"/>
        <v>9903.8165794302167</v>
      </c>
      <c r="U68" s="37">
        <f t="shared" si="15"/>
        <v>20.814835101653394</v>
      </c>
      <c r="V68" s="38">
        <f t="shared" si="8"/>
        <v>57</v>
      </c>
      <c r="W68" s="70"/>
      <c r="X68" s="71"/>
      <c r="Y68" s="71"/>
      <c r="Z68" s="72" t="s">
        <v>65</v>
      </c>
      <c r="AB68" s="56"/>
      <c r="AC68" s="56"/>
      <c r="AD68" s="56"/>
      <c r="AE68" s="56"/>
      <c r="AF68" s="56"/>
      <c r="AG68" s="56"/>
      <c r="AH68" s="56"/>
      <c r="AI68" s="56">
        <v>110</v>
      </c>
      <c r="AJ68" s="56">
        <v>1</v>
      </c>
      <c r="AK68" s="56">
        <v>57</v>
      </c>
      <c r="AL68" s="56">
        <v>2.5</v>
      </c>
      <c r="AM68" s="56" t="s">
        <v>195</v>
      </c>
      <c r="AN68" s="56">
        <v>108.137</v>
      </c>
      <c r="AO68" s="56" t="s">
        <v>196</v>
      </c>
      <c r="AP68" s="56" t="s">
        <v>65</v>
      </c>
      <c r="AQ68" s="56" t="s">
        <v>63</v>
      </c>
    </row>
    <row r="69" spans="1:43" s="4" customFormat="1" ht="10.199999999999999" x14ac:dyDescent="0.2">
      <c r="A69" s="8"/>
      <c r="B69" s="8"/>
      <c r="C69" s="8">
        <v>2.5</v>
      </c>
      <c r="D69" s="27"/>
      <c r="E69" s="28">
        <v>58</v>
      </c>
      <c r="F69" s="29" t="s">
        <v>197</v>
      </c>
      <c r="G69" s="10" t="s">
        <v>198</v>
      </c>
      <c r="H69" s="30">
        <f t="shared" si="9"/>
        <v>0</v>
      </c>
      <c r="I69" s="52" t="str">
        <f>[1]!Plus_ang(I68,[1]!Min_ang(F69,F68))</f>
        <v xml:space="preserve"> 200° 56' 53"</v>
      </c>
      <c r="J69" s="10" t="str">
        <f>[1]!Plus_ang([1]!Plus_ang(J68,[1]!Min_ang(F69,F68)),[1]!DestoDeg(H69/3600))</f>
        <v xml:space="preserve"> 200° 56' 53"</v>
      </c>
      <c r="K69" s="31">
        <v>112.72499999999999</v>
      </c>
      <c r="L69" s="32">
        <f>[1]!Jarakdatar(K69,G69)</f>
        <v>112.45029318660403</v>
      </c>
      <c r="M69" s="33">
        <f>L69*[1]!dsin(J69)</f>
        <v>-40.203388150002198</v>
      </c>
      <c r="N69" s="34">
        <f t="shared" si="10"/>
        <v>0</v>
      </c>
      <c r="O69" s="33">
        <f>L69*[1]!dcos(J69)</f>
        <v>-105.01788428174254</v>
      </c>
      <c r="P69" s="34">
        <f t="shared" si="11"/>
        <v>0</v>
      </c>
      <c r="Q69" s="35">
        <f>L69/[1]!dTAN(G69)-C69+$B$14</f>
        <v>-9.1899340268557772</v>
      </c>
      <c r="R69" s="34">
        <f t="shared" si="12"/>
        <v>0</v>
      </c>
      <c r="S69" s="36">
        <f t="shared" si="13"/>
        <v>9959.7966118499971</v>
      </c>
      <c r="T69" s="40">
        <f t="shared" si="14"/>
        <v>9894.9821157182578</v>
      </c>
      <c r="U69" s="37">
        <f t="shared" si="15"/>
        <v>20.776065973144224</v>
      </c>
      <c r="V69" s="38">
        <f t="shared" si="8"/>
        <v>58</v>
      </c>
      <c r="W69" s="70"/>
      <c r="X69" s="71"/>
      <c r="Y69" s="71"/>
      <c r="Z69" s="72" t="s">
        <v>65</v>
      </c>
      <c r="AB69" s="56"/>
      <c r="AC69" s="56"/>
      <c r="AD69" s="56"/>
      <c r="AE69" s="56"/>
      <c r="AF69" s="56"/>
      <c r="AG69" s="56"/>
      <c r="AH69" s="56"/>
      <c r="AI69" s="56">
        <v>112</v>
      </c>
      <c r="AJ69" s="56">
        <v>1</v>
      </c>
      <c r="AK69" s="56">
        <v>58</v>
      </c>
      <c r="AL69" s="56">
        <v>2.5</v>
      </c>
      <c r="AM69" s="56" t="s">
        <v>197</v>
      </c>
      <c r="AN69" s="56">
        <v>112.72499999999999</v>
      </c>
      <c r="AO69" s="56" t="s">
        <v>198</v>
      </c>
      <c r="AP69" s="56" t="s">
        <v>65</v>
      </c>
      <c r="AQ69" s="56" t="s">
        <v>63</v>
      </c>
    </row>
    <row r="70" spans="1:43" s="4" customFormat="1" ht="10.199999999999999" x14ac:dyDescent="0.2">
      <c r="A70" s="8"/>
      <c r="B70" s="8"/>
      <c r="C70" s="8">
        <v>1.45</v>
      </c>
      <c r="D70" s="27"/>
      <c r="E70" s="28">
        <v>59</v>
      </c>
      <c r="F70" s="29" t="s">
        <v>199</v>
      </c>
      <c r="G70" s="10" t="s">
        <v>200</v>
      </c>
      <c r="H70" s="30">
        <f t="shared" si="9"/>
        <v>0</v>
      </c>
      <c r="I70" s="52" t="str">
        <f>[1]!Plus_ang(I69,[1]!Min_ang(F70,F69))</f>
        <v xml:space="preserve"> 190° 50' 53"</v>
      </c>
      <c r="J70" s="10" t="str">
        <f>[1]!Plus_ang([1]!Plus_ang(J69,[1]!Min_ang(F70,F69)),[1]!DestoDeg(H70/3600))</f>
        <v xml:space="preserve"> 190° 50' 53"</v>
      </c>
      <c r="K70" s="31">
        <v>124.877</v>
      </c>
      <c r="L70" s="32">
        <f>[1]!Jarakdatar(K70,G70)</f>
        <v>124.87674111873291</v>
      </c>
      <c r="M70" s="33">
        <f>L70*[1]!dsin(J70)</f>
        <v>-23.502442057018627</v>
      </c>
      <c r="N70" s="34">
        <f t="shared" si="10"/>
        <v>0</v>
      </c>
      <c r="O70" s="33">
        <f>L70*[1]!dcos(J70)</f>
        <v>-122.6451617055949</v>
      </c>
      <c r="P70" s="34">
        <f t="shared" si="11"/>
        <v>0</v>
      </c>
      <c r="Q70" s="35">
        <f>L70/[1]!dTAN(G70)-C70+$B$14</f>
        <v>-0.52927655212196378</v>
      </c>
      <c r="R70" s="34">
        <f t="shared" si="12"/>
        <v>0</v>
      </c>
      <c r="S70" s="36">
        <f t="shared" si="13"/>
        <v>9976.4975579429811</v>
      </c>
      <c r="T70" s="40">
        <f t="shared" si="14"/>
        <v>9877.3548382944045</v>
      </c>
      <c r="U70" s="37">
        <f t="shared" si="15"/>
        <v>29.436723447878038</v>
      </c>
      <c r="V70" s="38">
        <f t="shared" si="8"/>
        <v>59</v>
      </c>
      <c r="W70" s="70"/>
      <c r="X70" s="71"/>
      <c r="Y70" s="71"/>
      <c r="Z70" s="72" t="s">
        <v>3</v>
      </c>
      <c r="AB70" s="56"/>
      <c r="AC70" s="56"/>
      <c r="AD70" s="56"/>
      <c r="AE70" s="56"/>
      <c r="AF70" s="56"/>
      <c r="AG70" s="56"/>
      <c r="AH70" s="56"/>
      <c r="AI70" s="56">
        <v>114</v>
      </c>
      <c r="AJ70" s="56">
        <v>1</v>
      </c>
      <c r="AK70" s="56">
        <v>59</v>
      </c>
      <c r="AL70" s="56">
        <v>1.45</v>
      </c>
      <c r="AM70" s="56" t="s">
        <v>199</v>
      </c>
      <c r="AN70" s="56">
        <v>124.877</v>
      </c>
      <c r="AO70" s="56" t="s">
        <v>200</v>
      </c>
      <c r="AP70" s="56" t="s">
        <v>3</v>
      </c>
      <c r="AQ70" s="56" t="s">
        <v>63</v>
      </c>
    </row>
    <row r="71" spans="1:43" s="4" customFormat="1" ht="10.199999999999999" x14ac:dyDescent="0.2">
      <c r="A71" s="8"/>
      <c r="B71" s="8"/>
      <c r="C71" s="8">
        <v>1.45</v>
      </c>
      <c r="D71" s="27"/>
      <c r="E71" s="28">
        <v>60</v>
      </c>
      <c r="F71" s="29" t="s">
        <v>201</v>
      </c>
      <c r="G71" s="10" t="s">
        <v>202</v>
      </c>
      <c r="H71" s="30">
        <f t="shared" si="9"/>
        <v>0</v>
      </c>
      <c r="I71" s="52" t="str">
        <f>[1]!Plus_ang(I70,[1]!Min_ang(F71,F70))</f>
        <v xml:space="preserve"> 192° 56' 55"</v>
      </c>
      <c r="J71" s="10" t="str">
        <f>[1]!Plus_ang([1]!Plus_ang(J70,[1]!Min_ang(F71,F70)),[1]!DestoDeg(H71/3600))</f>
        <v xml:space="preserve"> 192° 56' 55"</v>
      </c>
      <c r="K71" s="31">
        <v>121.512</v>
      </c>
      <c r="L71" s="32">
        <f>[1]!Jarakdatar(K71,G71)</f>
        <v>121.49094337259595</v>
      </c>
      <c r="M71" s="33">
        <f>L71*[1]!dsin(J71)</f>
        <v>-27.223331742677711</v>
      </c>
      <c r="N71" s="34">
        <f t="shared" si="10"/>
        <v>0</v>
      </c>
      <c r="O71" s="33">
        <f>L71*[1]!dcos(J71)</f>
        <v>-118.40160273573763</v>
      </c>
      <c r="P71" s="34">
        <f t="shared" si="11"/>
        <v>0</v>
      </c>
      <c r="Q71" s="35">
        <f>L71/[1]!dTAN(G71)-C71+$B$14</f>
        <v>-2.5370394418938993</v>
      </c>
      <c r="R71" s="34">
        <f t="shared" si="12"/>
        <v>0</v>
      </c>
      <c r="S71" s="36">
        <f t="shared" si="13"/>
        <v>9972.7766682573219</v>
      </c>
      <c r="T71" s="40">
        <f t="shared" si="14"/>
        <v>9881.5983972642625</v>
      </c>
      <c r="U71" s="37">
        <f t="shared" si="15"/>
        <v>27.428960558106102</v>
      </c>
      <c r="V71" s="38">
        <f t="shared" si="8"/>
        <v>60</v>
      </c>
      <c r="W71" s="70"/>
      <c r="X71" s="71"/>
      <c r="Y71" s="71"/>
      <c r="Z71" s="72" t="s">
        <v>3</v>
      </c>
      <c r="AB71" s="56"/>
      <c r="AC71" s="56"/>
      <c r="AD71" s="56"/>
      <c r="AE71" s="56"/>
      <c r="AF71" s="56"/>
      <c r="AG71" s="56"/>
      <c r="AH71" s="56"/>
      <c r="AI71" s="56">
        <v>116</v>
      </c>
      <c r="AJ71" s="56">
        <v>1</v>
      </c>
      <c r="AK71" s="56">
        <v>60</v>
      </c>
      <c r="AL71" s="56">
        <v>1.45</v>
      </c>
      <c r="AM71" s="56" t="s">
        <v>201</v>
      </c>
      <c r="AN71" s="56">
        <v>121.512</v>
      </c>
      <c r="AO71" s="56" t="s">
        <v>202</v>
      </c>
      <c r="AP71" s="56" t="s">
        <v>3</v>
      </c>
      <c r="AQ71" s="56" t="s">
        <v>63</v>
      </c>
    </row>
    <row r="72" spans="1:43" s="4" customFormat="1" ht="10.199999999999999" x14ac:dyDescent="0.2">
      <c r="A72" s="8"/>
      <c r="B72" s="8"/>
      <c r="C72" s="8">
        <v>1.45</v>
      </c>
      <c r="D72" s="27"/>
      <c r="E72" s="28">
        <v>61</v>
      </c>
      <c r="F72" s="29" t="s">
        <v>203</v>
      </c>
      <c r="G72" s="10" t="s">
        <v>204</v>
      </c>
      <c r="H72" s="30">
        <f t="shared" si="9"/>
        <v>0</v>
      </c>
      <c r="I72" s="52" t="str">
        <f>[1]!Plus_ang(I71,[1]!Min_ang(F72,F71))</f>
        <v xml:space="preserve"> 194° 57' 53"</v>
      </c>
      <c r="J72" s="10" t="str">
        <f>[1]!Plus_ang([1]!Plus_ang(J71,[1]!Min_ang(F72,F71)),[1]!DestoDeg(H72/3600))</f>
        <v xml:space="preserve"> 194° 57' 53"</v>
      </c>
      <c r="K72" s="31">
        <v>118.917</v>
      </c>
      <c r="L72" s="32">
        <f>[1]!Jarakdatar(K72,G72)</f>
        <v>118.84204256388357</v>
      </c>
      <c r="M72" s="33">
        <f>L72*[1]!dsin(J72)</f>
        <v>-30.687898810508312</v>
      </c>
      <c r="N72" s="34">
        <f t="shared" si="10"/>
        <v>0</v>
      </c>
      <c r="O72" s="33">
        <f>L72*[1]!dcos(J72)</f>
        <v>-114.81151487264646</v>
      </c>
      <c r="P72" s="34">
        <f t="shared" si="11"/>
        <v>0</v>
      </c>
      <c r="Q72" s="35">
        <f>L72/[1]!dTAN(G72)-C72+$B$14</f>
        <v>-4.4965883555938317</v>
      </c>
      <c r="R72" s="34">
        <f t="shared" si="12"/>
        <v>0</v>
      </c>
      <c r="S72" s="36">
        <f t="shared" si="13"/>
        <v>9969.3121011894909</v>
      </c>
      <c r="T72" s="40">
        <f t="shared" si="14"/>
        <v>9885.1884851273535</v>
      </c>
      <c r="U72" s="37">
        <f t="shared" si="15"/>
        <v>25.469411644406168</v>
      </c>
      <c r="V72" s="38">
        <f t="shared" si="8"/>
        <v>61</v>
      </c>
      <c r="W72" s="70"/>
      <c r="X72" s="71"/>
      <c r="Y72" s="71"/>
      <c r="Z72" s="72" t="s">
        <v>14</v>
      </c>
      <c r="AB72" s="56"/>
      <c r="AC72" s="56"/>
      <c r="AD72" s="56"/>
      <c r="AE72" s="56"/>
      <c r="AF72" s="56"/>
      <c r="AG72" s="56"/>
      <c r="AH72" s="56"/>
      <c r="AI72" s="56">
        <v>118</v>
      </c>
      <c r="AJ72" s="56">
        <v>1</v>
      </c>
      <c r="AK72" s="56">
        <v>61</v>
      </c>
      <c r="AL72" s="56">
        <v>1.45</v>
      </c>
      <c r="AM72" s="56" t="s">
        <v>203</v>
      </c>
      <c r="AN72" s="56">
        <v>118.917</v>
      </c>
      <c r="AO72" s="56" t="s">
        <v>204</v>
      </c>
      <c r="AP72" s="56" t="s">
        <v>14</v>
      </c>
      <c r="AQ72" s="56" t="s">
        <v>63</v>
      </c>
    </row>
    <row r="73" spans="1:43" s="4" customFormat="1" ht="10.199999999999999" x14ac:dyDescent="0.2">
      <c r="A73" s="8"/>
      <c r="B73" s="8"/>
      <c r="C73" s="8">
        <v>1.45</v>
      </c>
      <c r="D73" s="27"/>
      <c r="E73" s="28">
        <v>62</v>
      </c>
      <c r="F73" s="29" t="s">
        <v>205</v>
      </c>
      <c r="G73" s="10" t="s">
        <v>206</v>
      </c>
      <c r="H73" s="30">
        <f t="shared" si="9"/>
        <v>0</v>
      </c>
      <c r="I73" s="52" t="str">
        <f>[1]!Plus_ang(I72,[1]!Min_ang(F73,F72))</f>
        <v xml:space="preserve"> 194° 55' 55"</v>
      </c>
      <c r="J73" s="10" t="str">
        <f>[1]!Plus_ang([1]!Plus_ang(J72,[1]!Min_ang(F73,F72)),[1]!DestoDeg(H73/3600))</f>
        <v xml:space="preserve"> 194° 55' 55"</v>
      </c>
      <c r="K73" s="31">
        <v>118.833</v>
      </c>
      <c r="L73" s="32">
        <f>[1]!Jarakdatar(K73,G73)</f>
        <v>118.75935819456784</v>
      </c>
      <c r="M73" s="33">
        <f>L73*[1]!dsin(J73)</f>
        <v>-30.600906995491098</v>
      </c>
      <c r="N73" s="34">
        <f t="shared" si="10"/>
        <v>0</v>
      </c>
      <c r="O73" s="33">
        <f>L73*[1]!dcos(J73)</f>
        <v>-114.74915969121068</v>
      </c>
      <c r="P73" s="34">
        <f t="shared" si="11"/>
        <v>0</v>
      </c>
      <c r="Q73" s="35">
        <f>L73/[1]!dTAN(G73)-C73+$B$14</f>
        <v>-4.4579093002755856</v>
      </c>
      <c r="R73" s="34">
        <f t="shared" si="12"/>
        <v>0</v>
      </c>
      <c r="S73" s="36">
        <f t="shared" si="13"/>
        <v>9969.3990930045093</v>
      </c>
      <c r="T73" s="40">
        <f t="shared" si="14"/>
        <v>9885.2508403087886</v>
      </c>
      <c r="U73" s="37">
        <f t="shared" si="15"/>
        <v>25.508090699724416</v>
      </c>
      <c r="V73" s="38">
        <f t="shared" si="8"/>
        <v>62</v>
      </c>
      <c r="W73" s="70"/>
      <c r="X73" s="71"/>
      <c r="Y73" s="71"/>
      <c r="Z73" s="72" t="s">
        <v>15</v>
      </c>
      <c r="AB73" s="56"/>
      <c r="AC73" s="56"/>
      <c r="AD73" s="56"/>
      <c r="AE73" s="56"/>
      <c r="AF73" s="56"/>
      <c r="AG73" s="56"/>
      <c r="AH73" s="56"/>
      <c r="AI73" s="56">
        <v>120</v>
      </c>
      <c r="AJ73" s="56">
        <v>1</v>
      </c>
      <c r="AK73" s="56">
        <v>62</v>
      </c>
      <c r="AL73" s="56">
        <v>1.45</v>
      </c>
      <c r="AM73" s="56" t="s">
        <v>205</v>
      </c>
      <c r="AN73" s="56">
        <v>118.833</v>
      </c>
      <c r="AO73" s="56" t="s">
        <v>206</v>
      </c>
      <c r="AP73" s="56" t="s">
        <v>15</v>
      </c>
      <c r="AQ73" s="56" t="s">
        <v>63</v>
      </c>
    </row>
    <row r="74" spans="1:43" s="4" customFormat="1" ht="10.199999999999999" x14ac:dyDescent="0.2">
      <c r="A74" s="8"/>
      <c r="B74" s="8"/>
      <c r="C74" s="8">
        <v>1.45</v>
      </c>
      <c r="D74" s="27"/>
      <c r="E74" s="28">
        <v>63</v>
      </c>
      <c r="F74" s="29" t="s">
        <v>207</v>
      </c>
      <c r="G74" s="10" t="s">
        <v>208</v>
      </c>
      <c r="H74" s="30">
        <f t="shared" si="9"/>
        <v>0</v>
      </c>
      <c r="I74" s="52" t="str">
        <f>[1]!Plus_ang(I73,[1]!Min_ang(F74,F73))</f>
        <v xml:space="preserve"> 194° 51' 1"</v>
      </c>
      <c r="J74" s="10" t="str">
        <f>[1]!Plus_ang([1]!Plus_ang(J73,[1]!Min_ang(F74,F73)),[1]!DestoDeg(H74/3600))</f>
        <v xml:space="preserve"> 194° 51' 1"</v>
      </c>
      <c r="K74" s="31">
        <v>118.73399999999999</v>
      </c>
      <c r="L74" s="32">
        <f>[1]!Jarakdatar(K74,G74)</f>
        <v>118.66039928188071</v>
      </c>
      <c r="M74" s="33">
        <f>L74*[1]!dsin(J74)</f>
        <v>-30.411955414801596</v>
      </c>
      <c r="N74" s="34">
        <f t="shared" si="10"/>
        <v>0</v>
      </c>
      <c r="O74" s="33">
        <f>L74*[1]!dcos(J74)</f>
        <v>-114.69700661126025</v>
      </c>
      <c r="P74" s="34">
        <f t="shared" si="11"/>
        <v>0</v>
      </c>
      <c r="Q74" s="35">
        <f>L74/[1]!dTAN(G74)-C74+$B$14</f>
        <v>-4.454999792421412</v>
      </c>
      <c r="R74" s="34">
        <f t="shared" si="12"/>
        <v>0</v>
      </c>
      <c r="S74" s="36">
        <f t="shared" si="13"/>
        <v>9969.5880445851981</v>
      </c>
      <c r="T74" s="40">
        <f t="shared" si="14"/>
        <v>9885.3029933887392</v>
      </c>
      <c r="U74" s="37">
        <f t="shared" si="15"/>
        <v>25.51100020757859</v>
      </c>
      <c r="V74" s="38">
        <f t="shared" si="8"/>
        <v>63</v>
      </c>
      <c r="W74" s="70"/>
      <c r="X74" s="71"/>
      <c r="Y74" s="71"/>
      <c r="Z74" s="72" t="s">
        <v>15</v>
      </c>
      <c r="AB74" s="56"/>
      <c r="AC74" s="56"/>
      <c r="AD74" s="56"/>
      <c r="AE74" s="56"/>
      <c r="AF74" s="56"/>
      <c r="AG74" s="56"/>
      <c r="AH74" s="56"/>
      <c r="AI74" s="56">
        <v>122</v>
      </c>
      <c r="AJ74" s="56">
        <v>1</v>
      </c>
      <c r="AK74" s="56">
        <v>63</v>
      </c>
      <c r="AL74" s="56">
        <v>1.45</v>
      </c>
      <c r="AM74" s="56" t="s">
        <v>207</v>
      </c>
      <c r="AN74" s="56">
        <v>118.73399999999999</v>
      </c>
      <c r="AO74" s="56" t="s">
        <v>208</v>
      </c>
      <c r="AP74" s="56" t="s">
        <v>15</v>
      </c>
      <c r="AQ74" s="56" t="s">
        <v>63</v>
      </c>
    </row>
    <row r="75" spans="1:43" s="4" customFormat="1" ht="10.199999999999999" x14ac:dyDescent="0.2">
      <c r="A75" s="8"/>
      <c r="B75" s="8"/>
      <c r="C75" s="8">
        <v>1.45</v>
      </c>
      <c r="D75" s="27"/>
      <c r="E75" s="28">
        <v>64</v>
      </c>
      <c r="F75" s="29" t="s">
        <v>209</v>
      </c>
      <c r="G75" s="10" t="s">
        <v>210</v>
      </c>
      <c r="H75" s="30">
        <f t="shared" si="9"/>
        <v>0</v>
      </c>
      <c r="I75" s="52" t="str">
        <f>[1]!Plus_ang(I74,[1]!Min_ang(F75,F74))</f>
        <v xml:space="preserve"> 194° 52' 53"</v>
      </c>
      <c r="J75" s="10" t="str">
        <f>[1]!Plus_ang([1]!Plus_ang(J74,[1]!Min_ang(F75,F74)),[1]!DestoDeg(H75/3600))</f>
        <v xml:space="preserve"> 194° 52' 53"</v>
      </c>
      <c r="K75" s="31">
        <v>118.67400000000001</v>
      </c>
      <c r="L75" s="32">
        <f>[1]!Jarakdatar(K75,G75)</f>
        <v>118.59302781321682</v>
      </c>
      <c r="M75" s="33">
        <f>L75*[1]!dsin(J75)</f>
        <v>-30.456928142884589</v>
      </c>
      <c r="N75" s="34">
        <f t="shared" si="10"/>
        <v>0</v>
      </c>
      <c r="O75" s="33">
        <f>L75*[1]!dcos(J75)</f>
        <v>-114.61536447617127</v>
      </c>
      <c r="P75" s="34">
        <f t="shared" si="11"/>
        <v>0</v>
      </c>
      <c r="Q75" s="35">
        <f>L75/[1]!dTAN(G75)-C75+$B$14</f>
        <v>-4.6581529854184867</v>
      </c>
      <c r="R75" s="34">
        <f t="shared" si="12"/>
        <v>0</v>
      </c>
      <c r="S75" s="36">
        <f t="shared" si="13"/>
        <v>9969.5430718571151</v>
      </c>
      <c r="T75" s="40">
        <f t="shared" si="14"/>
        <v>9885.3846355238293</v>
      </c>
      <c r="U75" s="37">
        <f t="shared" si="15"/>
        <v>25.307847014581515</v>
      </c>
      <c r="V75" s="38">
        <f t="shared" si="8"/>
        <v>64</v>
      </c>
      <c r="W75" s="70"/>
      <c r="X75" s="71"/>
      <c r="Y75" s="71"/>
      <c r="Z75" s="72" t="s">
        <v>14</v>
      </c>
      <c r="AB75" s="56"/>
      <c r="AC75" s="56"/>
      <c r="AD75" s="56"/>
      <c r="AE75" s="56"/>
      <c r="AF75" s="56"/>
      <c r="AG75" s="56"/>
      <c r="AH75" s="56"/>
      <c r="AI75" s="56">
        <v>124</v>
      </c>
      <c r="AJ75" s="56">
        <v>1</v>
      </c>
      <c r="AK75" s="56">
        <v>64</v>
      </c>
      <c r="AL75" s="56">
        <v>1.45</v>
      </c>
      <c r="AM75" s="56" t="s">
        <v>209</v>
      </c>
      <c r="AN75" s="56">
        <v>118.67400000000001</v>
      </c>
      <c r="AO75" s="56" t="s">
        <v>210</v>
      </c>
      <c r="AP75" s="56" t="s">
        <v>14</v>
      </c>
      <c r="AQ75" s="56" t="s">
        <v>63</v>
      </c>
    </row>
    <row r="76" spans="1:43" s="4" customFormat="1" ht="10.199999999999999" x14ac:dyDescent="0.2">
      <c r="A76" s="8"/>
      <c r="B76" s="8"/>
      <c r="C76" s="8">
        <v>1.45</v>
      </c>
      <c r="D76" s="27"/>
      <c r="E76" s="28">
        <v>65</v>
      </c>
      <c r="F76" s="29" t="s">
        <v>211</v>
      </c>
      <c r="G76" s="10" t="s">
        <v>212</v>
      </c>
      <c r="H76" s="30">
        <f t="shared" si="9"/>
        <v>0</v>
      </c>
      <c r="I76" s="52" t="str">
        <f>[1]!Plus_ang(I75,[1]!Min_ang(F76,F75))</f>
        <v xml:space="preserve"> 194° 55' 56"</v>
      </c>
      <c r="J76" s="10" t="str">
        <f>[1]!Plus_ang([1]!Plus_ang(J75,[1]!Min_ang(F76,F75)),[1]!DestoDeg(H76/3600))</f>
        <v xml:space="preserve"> 194° 55' 56"</v>
      </c>
      <c r="K76" s="31">
        <v>118.625</v>
      </c>
      <c r="L76" s="32">
        <f>[1]!Jarakdatar(K76,G76)</f>
        <v>118.54138430950034</v>
      </c>
      <c r="M76" s="33">
        <f>L76*[1]!dsin(J76)</f>
        <v>-30.545296626515171</v>
      </c>
      <c r="N76" s="34">
        <f t="shared" si="10"/>
        <v>0</v>
      </c>
      <c r="O76" s="33">
        <f>L76*[1]!dcos(J76)</f>
        <v>-114.53839813796444</v>
      </c>
      <c r="P76" s="34">
        <f t="shared" si="11"/>
        <v>0</v>
      </c>
      <c r="Q76" s="35">
        <f>L76/[1]!dTAN(G76)-C76+$B$14</f>
        <v>-4.7281821192655666</v>
      </c>
      <c r="R76" s="34">
        <f t="shared" si="12"/>
        <v>0</v>
      </c>
      <c r="S76" s="36">
        <f t="shared" si="13"/>
        <v>9969.4547033734852</v>
      </c>
      <c r="T76" s="40">
        <f t="shared" si="14"/>
        <v>9885.4616018620363</v>
      </c>
      <c r="U76" s="37">
        <f t="shared" si="15"/>
        <v>25.237817880734433</v>
      </c>
      <c r="V76" s="38">
        <f t="shared" si="8"/>
        <v>65</v>
      </c>
      <c r="W76" s="70"/>
      <c r="X76" s="71"/>
      <c r="Y76" s="71"/>
      <c r="Z76" s="72" t="s">
        <v>14</v>
      </c>
      <c r="AB76" s="56"/>
      <c r="AC76" s="56"/>
      <c r="AD76" s="56"/>
      <c r="AE76" s="56"/>
      <c r="AF76" s="56"/>
      <c r="AG76" s="56"/>
      <c r="AH76" s="56"/>
      <c r="AI76" s="56">
        <v>126</v>
      </c>
      <c r="AJ76" s="56">
        <v>1</v>
      </c>
      <c r="AK76" s="56">
        <v>65</v>
      </c>
      <c r="AL76" s="56">
        <v>1.45</v>
      </c>
      <c r="AM76" s="56" t="s">
        <v>211</v>
      </c>
      <c r="AN76" s="56">
        <v>118.625</v>
      </c>
      <c r="AO76" s="56" t="s">
        <v>212</v>
      </c>
      <c r="AP76" s="56" t="s">
        <v>14</v>
      </c>
      <c r="AQ76" s="56" t="s">
        <v>63</v>
      </c>
    </row>
    <row r="77" spans="1:43" s="4" customFormat="1" ht="10.199999999999999" x14ac:dyDescent="0.2">
      <c r="A77" s="8"/>
      <c r="B77" s="8"/>
      <c r="C77" s="8">
        <v>1.45</v>
      </c>
      <c r="D77" s="27"/>
      <c r="E77" s="28">
        <v>66</v>
      </c>
      <c r="F77" s="29" t="s">
        <v>213</v>
      </c>
      <c r="G77" s="10" t="s">
        <v>212</v>
      </c>
      <c r="H77" s="30">
        <f t="shared" si="9"/>
        <v>0</v>
      </c>
      <c r="I77" s="52" t="str">
        <f>[1]!Plus_ang(I76,[1]!Min_ang(F77,F76))</f>
        <v xml:space="preserve"> 194° 59' 53"</v>
      </c>
      <c r="J77" s="10" t="str">
        <f>[1]!Plus_ang([1]!Plus_ang(J76,[1]!Min_ang(F77,F76)),[1]!DestoDeg(H77/3600))</f>
        <v xml:space="preserve"> 194° 59' 53"</v>
      </c>
      <c r="K77" s="31">
        <v>118.51600000000001</v>
      </c>
      <c r="L77" s="32">
        <f>[1]!Jarakdatar(K77,G77)</f>
        <v>118.4324611407776</v>
      </c>
      <c r="M77" s="33">
        <f>L77*[1]!dsin(J77)</f>
        <v>-30.648694198719369</v>
      </c>
      <c r="N77" s="34">
        <f t="shared" si="10"/>
        <v>0</v>
      </c>
      <c r="O77" s="33">
        <f>L77*[1]!dcos(J77)</f>
        <v>-114.39801307616834</v>
      </c>
      <c r="P77" s="34">
        <f t="shared" si="11"/>
        <v>0</v>
      </c>
      <c r="Q77" s="35">
        <f>L77/[1]!dTAN(G77)-C77+$B$14</f>
        <v>-4.7240902596154086</v>
      </c>
      <c r="R77" s="34">
        <f t="shared" si="12"/>
        <v>0</v>
      </c>
      <c r="S77" s="36">
        <f t="shared" si="13"/>
        <v>9969.3513058012813</v>
      </c>
      <c r="T77" s="40">
        <f t="shared" si="14"/>
        <v>9885.6019869238316</v>
      </c>
      <c r="U77" s="37">
        <f t="shared" si="15"/>
        <v>25.241909740384592</v>
      </c>
      <c r="V77" s="38">
        <f t="shared" si="8"/>
        <v>66</v>
      </c>
      <c r="W77" s="70"/>
      <c r="X77" s="71"/>
      <c r="Y77" s="71"/>
      <c r="Z77" s="72" t="s">
        <v>14</v>
      </c>
      <c r="AB77" s="56"/>
      <c r="AC77" s="56"/>
      <c r="AD77" s="56"/>
      <c r="AE77" s="56"/>
      <c r="AF77" s="56"/>
      <c r="AG77" s="56"/>
      <c r="AH77" s="56"/>
      <c r="AI77" s="56">
        <v>128</v>
      </c>
      <c r="AJ77" s="56">
        <v>1</v>
      </c>
      <c r="AK77" s="56">
        <v>66</v>
      </c>
      <c r="AL77" s="56">
        <v>1.45</v>
      </c>
      <c r="AM77" s="56" t="s">
        <v>213</v>
      </c>
      <c r="AN77" s="56">
        <v>118.51600000000001</v>
      </c>
      <c r="AO77" s="56" t="s">
        <v>212</v>
      </c>
      <c r="AP77" s="56" t="s">
        <v>14</v>
      </c>
      <c r="AQ77" s="56" t="s">
        <v>63</v>
      </c>
    </row>
    <row r="78" spans="1:43" s="4" customFormat="1" ht="10.199999999999999" x14ac:dyDescent="0.2">
      <c r="A78" s="8"/>
      <c r="B78" s="8"/>
      <c r="C78" s="8">
        <v>1.45</v>
      </c>
      <c r="D78" s="27"/>
      <c r="E78" s="28">
        <v>67</v>
      </c>
      <c r="F78" s="29" t="s">
        <v>214</v>
      </c>
      <c r="G78" s="10" t="s">
        <v>215</v>
      </c>
      <c r="H78" s="30">
        <f t="shared" si="9"/>
        <v>0</v>
      </c>
      <c r="I78" s="52" t="str">
        <f>[1]!Plus_ang(I77,[1]!Min_ang(F78,F77))</f>
        <v xml:space="preserve"> 194° 51' 58"</v>
      </c>
      <c r="J78" s="10" t="str">
        <f>[1]!Plus_ang([1]!Plus_ang(J77,[1]!Min_ang(F78,F77)),[1]!DestoDeg(H78/3600))</f>
        <v xml:space="preserve"> 194° 51' 58"</v>
      </c>
      <c r="K78" s="31">
        <v>118.46599999999999</v>
      </c>
      <c r="L78" s="32">
        <f>[1]!Jarakdatar(K78,G78)</f>
        <v>118.38504240585559</v>
      </c>
      <c r="M78" s="33">
        <f>L78*[1]!dsin(J78)</f>
        <v>-30.373004179238468</v>
      </c>
      <c r="N78" s="34">
        <f t="shared" si="10"/>
        <v>0</v>
      </c>
      <c r="O78" s="33">
        <f>L78*[1]!dcos(J78)</f>
        <v>-114.42245794669938</v>
      </c>
      <c r="P78" s="34">
        <f t="shared" si="11"/>
        <v>0</v>
      </c>
      <c r="Q78" s="35">
        <f>L78/[1]!dTAN(G78)-C78+$B$14</f>
        <v>-4.6539143133628187</v>
      </c>
      <c r="R78" s="34">
        <f t="shared" si="12"/>
        <v>0</v>
      </c>
      <c r="S78" s="36">
        <f t="shared" si="13"/>
        <v>9969.6269958207613</v>
      </c>
      <c r="T78" s="40">
        <f t="shared" si="14"/>
        <v>9885.5775420533009</v>
      </c>
      <c r="U78" s="37">
        <f t="shared" si="15"/>
        <v>25.312085686637182</v>
      </c>
      <c r="V78" s="38">
        <f t="shared" ref="V78:V92" si="16">IF(A78&lt;&gt;"",D78,E78)</f>
        <v>67</v>
      </c>
      <c r="W78" s="70"/>
      <c r="X78" s="71"/>
      <c r="Y78" s="71"/>
      <c r="Z78" s="72" t="s">
        <v>66</v>
      </c>
      <c r="AB78" s="56"/>
      <c r="AC78" s="56"/>
      <c r="AD78" s="56"/>
      <c r="AE78" s="56"/>
      <c r="AF78" s="56"/>
      <c r="AG78" s="56"/>
      <c r="AH78" s="56"/>
      <c r="AI78" s="56">
        <v>130</v>
      </c>
      <c r="AJ78" s="56">
        <v>1</v>
      </c>
      <c r="AK78" s="56">
        <v>67</v>
      </c>
      <c r="AL78" s="56">
        <v>1.45</v>
      </c>
      <c r="AM78" s="56" t="s">
        <v>214</v>
      </c>
      <c r="AN78" s="56">
        <v>118.46599999999999</v>
      </c>
      <c r="AO78" s="56" t="s">
        <v>215</v>
      </c>
      <c r="AP78" s="56" t="s">
        <v>66</v>
      </c>
      <c r="AQ78" s="56" t="s">
        <v>63</v>
      </c>
    </row>
    <row r="79" spans="1:43" s="4" customFormat="1" ht="10.199999999999999" x14ac:dyDescent="0.2">
      <c r="A79" s="8"/>
      <c r="B79" s="8"/>
      <c r="C79" s="8">
        <v>1.45</v>
      </c>
      <c r="D79" s="27"/>
      <c r="E79" s="28">
        <v>68</v>
      </c>
      <c r="F79" s="29" t="s">
        <v>216</v>
      </c>
      <c r="G79" s="10" t="s">
        <v>217</v>
      </c>
      <c r="H79" s="30">
        <f t="shared" ref="H79:H92" si="17">IF($Y$7="y",$C$416,0)</f>
        <v>0</v>
      </c>
      <c r="I79" s="52" t="str">
        <f>[1]!Plus_ang(I78,[1]!Min_ang(F79,F78))</f>
        <v xml:space="preserve"> 196° 58' 54"</v>
      </c>
      <c r="J79" s="10" t="str">
        <f>[1]!Plus_ang([1]!Plus_ang(J78,[1]!Min_ang(F79,F78)),[1]!DestoDeg(H79/3600))</f>
        <v xml:space="preserve"> 196° 58' 54"</v>
      </c>
      <c r="K79" s="31">
        <v>116.477</v>
      </c>
      <c r="L79" s="32">
        <f>[1]!Jarakdatar(K79,G79)</f>
        <v>116.39616537675703</v>
      </c>
      <c r="M79" s="33">
        <f>L79*[1]!dsin(J79)</f>
        <v>-33.995326843624831</v>
      </c>
      <c r="N79" s="34">
        <f t="shared" ref="N79:N92" si="18">IF($Y$8="Y",($Y$4*L79/$L$413),0)</f>
        <v>0</v>
      </c>
      <c r="O79" s="33">
        <f>L79*[1]!dcos(J79)</f>
        <v>-111.32108994799006</v>
      </c>
      <c r="P79" s="34">
        <f t="shared" ref="P79:P92" si="19">IF($Y$8="Y",($Y$5*L79/$L$413),0)</f>
        <v>0</v>
      </c>
      <c r="Q79" s="35">
        <f>L79/[1]!dTAN(G79)-C79+$B$14</f>
        <v>-4.6136881181563139</v>
      </c>
      <c r="R79" s="34">
        <f t="shared" ref="R79:R92" si="20">IF(AND($Y$8="Y",W79="P"),($Y$6*L79/$L$413),0)</f>
        <v>0</v>
      </c>
      <c r="S79" s="36">
        <f t="shared" ref="S79:S92" si="21">$S$14+M79+N79</f>
        <v>9966.0046731563743</v>
      </c>
      <c r="T79" s="40">
        <f t="shared" ref="T79:T92" si="22">$T$14+O79+P79</f>
        <v>9888.6789100520091</v>
      </c>
      <c r="U79" s="37">
        <f t="shared" ref="U79:U92" si="23">$U$14+Q79+R79</f>
        <v>25.352311881843686</v>
      </c>
      <c r="V79" s="38">
        <f t="shared" si="16"/>
        <v>68</v>
      </c>
      <c r="W79" s="70"/>
      <c r="X79" s="71"/>
      <c r="Y79" s="71"/>
      <c r="Z79" s="72" t="s">
        <v>66</v>
      </c>
      <c r="AB79" s="56"/>
      <c r="AC79" s="56"/>
      <c r="AD79" s="56"/>
      <c r="AE79" s="56"/>
      <c r="AF79" s="56"/>
      <c r="AG79" s="56"/>
      <c r="AH79" s="56"/>
      <c r="AI79" s="56">
        <v>132</v>
      </c>
      <c r="AJ79" s="56">
        <v>1</v>
      </c>
      <c r="AK79" s="56">
        <v>68</v>
      </c>
      <c r="AL79" s="56">
        <v>1.45</v>
      </c>
      <c r="AM79" s="56" t="s">
        <v>216</v>
      </c>
      <c r="AN79" s="56">
        <v>116.477</v>
      </c>
      <c r="AO79" s="56" t="s">
        <v>217</v>
      </c>
      <c r="AP79" s="56" t="s">
        <v>66</v>
      </c>
      <c r="AQ79" s="56" t="s">
        <v>63</v>
      </c>
    </row>
    <row r="80" spans="1:43" s="4" customFormat="1" ht="10.199999999999999" x14ac:dyDescent="0.2">
      <c r="A80" s="8"/>
      <c r="B80" s="8"/>
      <c r="C80" s="8">
        <v>1.45</v>
      </c>
      <c r="D80" s="27"/>
      <c r="E80" s="28">
        <v>69</v>
      </c>
      <c r="F80" s="29" t="s">
        <v>218</v>
      </c>
      <c r="G80" s="10" t="s">
        <v>219</v>
      </c>
      <c r="H80" s="30">
        <f t="shared" si="17"/>
        <v>0</v>
      </c>
      <c r="I80" s="52" t="str">
        <f>[1]!Plus_ang(I79,[1]!Min_ang(F80,F79))</f>
        <v xml:space="preserve"> 196° 55' 53"</v>
      </c>
      <c r="J80" s="10" t="str">
        <f>[1]!Plus_ang([1]!Plus_ang(J79,[1]!Min_ang(F80,F79)),[1]!DestoDeg(H80/3600))</f>
        <v xml:space="preserve"> 196° 55' 53"</v>
      </c>
      <c r="K80" s="31">
        <v>116.184</v>
      </c>
      <c r="L80" s="32">
        <f>[1]!Jarakdatar(K80,G80)</f>
        <v>116.10460188477644</v>
      </c>
      <c r="M80" s="33">
        <f>L80*[1]!dsin(J80)</f>
        <v>-33.812717124490163</v>
      </c>
      <c r="N80" s="34">
        <f t="shared" si="18"/>
        <v>0</v>
      </c>
      <c r="O80" s="33">
        <f>L80*[1]!dcos(J80)</f>
        <v>-111.07195298310749</v>
      </c>
      <c r="P80" s="34">
        <f t="shared" si="19"/>
        <v>0</v>
      </c>
      <c r="Q80" s="35">
        <f>L80/[1]!dTAN(G80)-C80+$B$14</f>
        <v>-4.5695636772048154</v>
      </c>
      <c r="R80" s="34">
        <f t="shared" si="20"/>
        <v>0</v>
      </c>
      <c r="S80" s="36">
        <f t="shared" si="21"/>
        <v>9966.1872828755095</v>
      </c>
      <c r="T80" s="40">
        <f t="shared" si="22"/>
        <v>9888.9280470168924</v>
      </c>
      <c r="U80" s="37">
        <f t="shared" si="23"/>
        <v>25.396436322795186</v>
      </c>
      <c r="V80" s="38">
        <f t="shared" si="16"/>
        <v>69</v>
      </c>
      <c r="W80" s="70"/>
      <c r="X80" s="71"/>
      <c r="Y80" s="71"/>
      <c r="Z80" s="72" t="s">
        <v>3</v>
      </c>
      <c r="AB80" s="56"/>
      <c r="AC80" s="56"/>
      <c r="AD80" s="56"/>
      <c r="AE80" s="56"/>
      <c r="AF80" s="56"/>
      <c r="AG80" s="56"/>
      <c r="AH80" s="56"/>
      <c r="AI80" s="56">
        <v>134</v>
      </c>
      <c r="AJ80" s="56">
        <v>1</v>
      </c>
      <c r="AK80" s="56">
        <v>69</v>
      </c>
      <c r="AL80" s="56">
        <v>1.45</v>
      </c>
      <c r="AM80" s="56" t="s">
        <v>218</v>
      </c>
      <c r="AN80" s="56">
        <v>116.184</v>
      </c>
      <c r="AO80" s="56" t="s">
        <v>219</v>
      </c>
      <c r="AP80" s="56" t="s">
        <v>3</v>
      </c>
      <c r="AQ80" s="56" t="s">
        <v>63</v>
      </c>
    </row>
    <row r="81" spans="1:43" s="4" customFormat="1" ht="10.199999999999999" x14ac:dyDescent="0.2">
      <c r="A81" s="8"/>
      <c r="B81" s="8"/>
      <c r="C81" s="8">
        <v>1.45</v>
      </c>
      <c r="D81" s="27"/>
      <c r="E81" s="28">
        <v>70</v>
      </c>
      <c r="F81" s="29" t="s">
        <v>220</v>
      </c>
      <c r="G81" s="10" t="s">
        <v>221</v>
      </c>
      <c r="H81" s="30">
        <f t="shared" si="17"/>
        <v>0</v>
      </c>
      <c r="I81" s="52" t="str">
        <f>[1]!Plus_ang(I80,[1]!Min_ang(F81,F80))</f>
        <v xml:space="preserve"> 197° 59' 53"</v>
      </c>
      <c r="J81" s="10" t="str">
        <f>[1]!Plus_ang([1]!Plus_ang(J80,[1]!Min_ang(F81,F80)),[1]!DestoDeg(H81/3600))</f>
        <v xml:space="preserve"> 197° 59' 53"</v>
      </c>
      <c r="K81" s="31">
        <v>115.251</v>
      </c>
      <c r="L81" s="32">
        <f>[1]!Jarakdatar(K81,G81)</f>
        <v>115.17829384874193</v>
      </c>
      <c r="M81" s="33">
        <f>L81*[1]!dsin(J81)</f>
        <v>-35.588332671326093</v>
      </c>
      <c r="N81" s="34">
        <f t="shared" si="18"/>
        <v>0</v>
      </c>
      <c r="O81" s="33">
        <f>L81*[1]!dcos(J81)</f>
        <v>-109.54227472342431</v>
      </c>
      <c r="P81" s="34">
        <f t="shared" si="19"/>
        <v>0</v>
      </c>
      <c r="Q81" s="35">
        <f>L81/[1]!dTAN(G81)-C81+$B$14</f>
        <v>-4.368119481869372</v>
      </c>
      <c r="R81" s="34">
        <f t="shared" si="20"/>
        <v>0</v>
      </c>
      <c r="S81" s="36">
        <f t="shared" si="21"/>
        <v>9964.4116673286735</v>
      </c>
      <c r="T81" s="40">
        <f t="shared" si="22"/>
        <v>9890.4577252765757</v>
      </c>
      <c r="U81" s="37">
        <f t="shared" si="23"/>
        <v>25.59788051813063</v>
      </c>
      <c r="V81" s="38">
        <f t="shared" si="16"/>
        <v>70</v>
      </c>
      <c r="W81" s="70"/>
      <c r="X81" s="71"/>
      <c r="Y81" s="71"/>
      <c r="Z81" s="72" t="s">
        <v>64</v>
      </c>
      <c r="AB81" s="56"/>
      <c r="AC81" s="56"/>
      <c r="AD81" s="56"/>
      <c r="AE81" s="56"/>
      <c r="AF81" s="56"/>
      <c r="AG81" s="56"/>
      <c r="AH81" s="56"/>
      <c r="AI81" s="56">
        <v>136</v>
      </c>
      <c r="AJ81" s="56">
        <v>1</v>
      </c>
      <c r="AK81" s="56">
        <v>70</v>
      </c>
      <c r="AL81" s="56">
        <v>1.45</v>
      </c>
      <c r="AM81" s="56" t="s">
        <v>220</v>
      </c>
      <c r="AN81" s="56">
        <v>115.251</v>
      </c>
      <c r="AO81" s="56" t="s">
        <v>221</v>
      </c>
      <c r="AP81" s="56" t="s">
        <v>64</v>
      </c>
      <c r="AQ81" s="56" t="s">
        <v>63</v>
      </c>
    </row>
    <row r="82" spans="1:43" s="4" customFormat="1" ht="10.199999999999999" x14ac:dyDescent="0.2">
      <c r="A82" s="8"/>
      <c r="B82" s="8"/>
      <c r="C82" s="8">
        <v>2.5</v>
      </c>
      <c r="D82" s="27"/>
      <c r="E82" s="28">
        <v>71</v>
      </c>
      <c r="F82" s="29" t="s">
        <v>222</v>
      </c>
      <c r="G82" s="10" t="s">
        <v>223</v>
      </c>
      <c r="H82" s="30">
        <f t="shared" si="17"/>
        <v>0</v>
      </c>
      <c r="I82" s="52" t="str">
        <f>[1]!Plus_ang(I81,[1]!Min_ang(F82,F81))</f>
        <v xml:space="preserve"> 215° 50' 55"</v>
      </c>
      <c r="J82" s="10" t="str">
        <f>[1]!Plus_ang([1]!Plus_ang(J81,[1]!Min_ang(F82,F81)),[1]!DestoDeg(H82/3600))</f>
        <v xml:space="preserve"> 215° 50' 55"</v>
      </c>
      <c r="K82" s="31">
        <v>104.021</v>
      </c>
      <c r="L82" s="32">
        <f>[1]!Jarakdatar(K82,G82)</f>
        <v>103.95326605769071</v>
      </c>
      <c r="M82" s="33">
        <f>L82*[1]!dsin(J82)</f>
        <v>-60.879771867513817</v>
      </c>
      <c r="N82" s="34">
        <f t="shared" si="18"/>
        <v>0</v>
      </c>
      <c r="O82" s="33">
        <f>L82*[1]!dcos(J82)</f>
        <v>-84.261111441877532</v>
      </c>
      <c r="P82" s="34">
        <f t="shared" si="19"/>
        <v>0</v>
      </c>
      <c r="Q82" s="35">
        <f>L82/[1]!dTAN(G82)-C82+$B$14</f>
        <v>-5.0782541799040111</v>
      </c>
      <c r="R82" s="34">
        <f t="shared" si="20"/>
        <v>0</v>
      </c>
      <c r="S82" s="36">
        <f t="shared" si="21"/>
        <v>9939.1202281324859</v>
      </c>
      <c r="T82" s="40">
        <f t="shared" si="22"/>
        <v>9915.7388885581222</v>
      </c>
      <c r="U82" s="37">
        <f t="shared" si="23"/>
        <v>24.88774582009599</v>
      </c>
      <c r="V82" s="38">
        <f t="shared" si="16"/>
        <v>71</v>
      </c>
      <c r="W82" s="70"/>
      <c r="X82" s="71"/>
      <c r="Y82" s="71"/>
      <c r="Z82" s="72" t="s">
        <v>64</v>
      </c>
      <c r="AB82" s="56"/>
      <c r="AC82" s="56"/>
      <c r="AD82" s="56"/>
      <c r="AE82" s="56"/>
      <c r="AF82" s="56"/>
      <c r="AG82" s="56"/>
      <c r="AH82" s="56"/>
      <c r="AI82" s="56">
        <v>138</v>
      </c>
      <c r="AJ82" s="56">
        <v>1</v>
      </c>
      <c r="AK82" s="56">
        <v>71</v>
      </c>
      <c r="AL82" s="56">
        <v>2.5</v>
      </c>
      <c r="AM82" s="56" t="s">
        <v>222</v>
      </c>
      <c r="AN82" s="56">
        <v>104.021</v>
      </c>
      <c r="AO82" s="56" t="s">
        <v>223</v>
      </c>
      <c r="AP82" s="56" t="s">
        <v>64</v>
      </c>
      <c r="AQ82" s="56" t="s">
        <v>63</v>
      </c>
    </row>
    <row r="83" spans="1:43" s="4" customFormat="1" ht="10.199999999999999" x14ac:dyDescent="0.2">
      <c r="A83" s="8"/>
      <c r="B83" s="8"/>
      <c r="C83" s="8">
        <v>2.5</v>
      </c>
      <c r="D83" s="27"/>
      <c r="E83" s="28">
        <v>72</v>
      </c>
      <c r="F83" s="29" t="s">
        <v>224</v>
      </c>
      <c r="G83" s="10" t="s">
        <v>225</v>
      </c>
      <c r="H83" s="30">
        <f t="shared" si="17"/>
        <v>0</v>
      </c>
      <c r="I83" s="52" t="str">
        <f>[1]!Plus_ang(I82,[1]!Min_ang(F83,F82))</f>
        <v xml:space="preserve"> 216° 0' 0"</v>
      </c>
      <c r="J83" s="10" t="str">
        <f>[1]!Plus_ang([1]!Plus_ang(J82,[1]!Min_ang(F83,F82)),[1]!DestoDeg(H83/3600))</f>
        <v xml:space="preserve"> 216° 0' 0"</v>
      </c>
      <c r="K83" s="31">
        <v>103.798</v>
      </c>
      <c r="L83" s="32">
        <f>[1]!Jarakdatar(K83,G83)</f>
        <v>103.72931744012986</v>
      </c>
      <c r="M83" s="33">
        <f>L83*[1]!dsin(J83)</f>
        <v>-60.970563021672753</v>
      </c>
      <c r="N83" s="34">
        <f t="shared" si="18"/>
        <v>0</v>
      </c>
      <c r="O83" s="33">
        <f>L83*[1]!dcos(J83)</f>
        <v>-83.918780623978677</v>
      </c>
      <c r="P83" s="34">
        <f t="shared" si="19"/>
        <v>0</v>
      </c>
      <c r="Q83" s="35">
        <f>L83/[1]!dTAN(G83)-C83+$B$14</f>
        <v>-5.100381756163384</v>
      </c>
      <c r="R83" s="34">
        <f t="shared" si="20"/>
        <v>0</v>
      </c>
      <c r="S83" s="36">
        <f t="shared" si="21"/>
        <v>9939.0294369783278</v>
      </c>
      <c r="T83" s="40">
        <f t="shared" si="22"/>
        <v>9916.0812193760212</v>
      </c>
      <c r="U83" s="37">
        <f t="shared" si="23"/>
        <v>24.865618243836618</v>
      </c>
      <c r="V83" s="38">
        <f t="shared" si="16"/>
        <v>72</v>
      </c>
      <c r="W83" s="70"/>
      <c r="X83" s="71"/>
      <c r="Y83" s="71"/>
      <c r="Z83" s="72" t="s">
        <v>3</v>
      </c>
      <c r="AB83" s="56"/>
      <c r="AC83" s="56"/>
      <c r="AD83" s="56"/>
      <c r="AE83" s="56"/>
      <c r="AF83" s="56"/>
      <c r="AG83" s="56"/>
      <c r="AH83" s="56"/>
      <c r="AI83" s="56">
        <v>140</v>
      </c>
      <c r="AJ83" s="56">
        <v>1</v>
      </c>
      <c r="AK83" s="56">
        <v>72</v>
      </c>
      <c r="AL83" s="56">
        <v>2.5</v>
      </c>
      <c r="AM83" s="56" t="s">
        <v>224</v>
      </c>
      <c r="AN83" s="56">
        <v>103.798</v>
      </c>
      <c r="AO83" s="56" t="s">
        <v>225</v>
      </c>
      <c r="AP83" s="56" t="s">
        <v>3</v>
      </c>
      <c r="AQ83" s="56" t="s">
        <v>63</v>
      </c>
    </row>
    <row r="84" spans="1:43" s="4" customFormat="1" ht="10.199999999999999" x14ac:dyDescent="0.2">
      <c r="A84" s="8"/>
      <c r="B84" s="8"/>
      <c r="C84" s="8">
        <v>2.5</v>
      </c>
      <c r="D84" s="27"/>
      <c r="E84" s="28">
        <v>73</v>
      </c>
      <c r="F84" s="29" t="s">
        <v>226</v>
      </c>
      <c r="G84" s="10" t="s">
        <v>227</v>
      </c>
      <c r="H84" s="30">
        <f t="shared" si="17"/>
        <v>0</v>
      </c>
      <c r="I84" s="52" t="str">
        <f>[1]!Plus_ang(I83,[1]!Min_ang(F84,F83))</f>
        <v xml:space="preserve"> 217° 57' 1"</v>
      </c>
      <c r="J84" s="10" t="str">
        <f>[1]!Plus_ang([1]!Plus_ang(J83,[1]!Min_ang(F84,F83)),[1]!DestoDeg(H84/3600))</f>
        <v xml:space="preserve"> 217° 57' 1"</v>
      </c>
      <c r="K84" s="31">
        <v>102.932</v>
      </c>
      <c r="L84" s="32">
        <f>[1]!Jarakdatar(K84,G84)</f>
        <v>102.86717159001232</v>
      </c>
      <c r="M84" s="33">
        <f>L84*[1]!dsin(J84)</f>
        <v>-63.260985200719695</v>
      </c>
      <c r="N84" s="34">
        <f t="shared" si="18"/>
        <v>0</v>
      </c>
      <c r="O84" s="33">
        <f>L84*[1]!dcos(J84)</f>
        <v>-81.115366869437025</v>
      </c>
      <c r="P84" s="34">
        <f t="shared" si="19"/>
        <v>0</v>
      </c>
      <c r="Q84" s="35">
        <f>L84/[1]!dTAN(G84)-C84+$B$14</f>
        <v>-4.9776200282757586</v>
      </c>
      <c r="R84" s="34">
        <f t="shared" si="20"/>
        <v>0</v>
      </c>
      <c r="S84" s="36">
        <f t="shared" si="21"/>
        <v>9936.739014799281</v>
      </c>
      <c r="T84" s="40">
        <f t="shared" si="22"/>
        <v>9918.8846331305631</v>
      </c>
      <c r="U84" s="37">
        <f t="shared" si="23"/>
        <v>24.988379971724243</v>
      </c>
      <c r="V84" s="38">
        <f t="shared" si="16"/>
        <v>73</v>
      </c>
      <c r="W84" s="70"/>
      <c r="X84" s="71"/>
      <c r="Y84" s="71"/>
      <c r="Z84" s="72" t="s">
        <v>14</v>
      </c>
      <c r="AB84" s="56"/>
      <c r="AC84" s="56"/>
      <c r="AD84" s="56"/>
      <c r="AE84" s="56"/>
      <c r="AF84" s="56"/>
      <c r="AG84" s="56"/>
      <c r="AH84" s="56"/>
      <c r="AI84" s="56">
        <v>142</v>
      </c>
      <c r="AJ84" s="56">
        <v>1</v>
      </c>
      <c r="AK84" s="56">
        <v>73</v>
      </c>
      <c r="AL84" s="56">
        <v>2.5</v>
      </c>
      <c r="AM84" s="56" t="s">
        <v>226</v>
      </c>
      <c r="AN84" s="56">
        <v>102.932</v>
      </c>
      <c r="AO84" s="56" t="s">
        <v>227</v>
      </c>
      <c r="AP84" s="56" t="s">
        <v>14</v>
      </c>
      <c r="AQ84" s="56" t="s">
        <v>63</v>
      </c>
    </row>
    <row r="85" spans="1:43" s="4" customFormat="1" ht="10.199999999999999" x14ac:dyDescent="0.2">
      <c r="A85" s="8"/>
      <c r="B85" s="8"/>
      <c r="C85" s="8">
        <v>2.5</v>
      </c>
      <c r="D85" s="27"/>
      <c r="E85" s="28">
        <v>74</v>
      </c>
      <c r="F85" s="29" t="s">
        <v>228</v>
      </c>
      <c r="G85" s="10" t="s">
        <v>229</v>
      </c>
      <c r="H85" s="30">
        <f t="shared" si="17"/>
        <v>0</v>
      </c>
      <c r="I85" s="52" t="str">
        <f>[1]!Plus_ang(I84,[1]!Min_ang(F85,F84))</f>
        <v xml:space="preserve"> 217° 56' 57"</v>
      </c>
      <c r="J85" s="10" t="str">
        <f>[1]!Plus_ang([1]!Plus_ang(J84,[1]!Min_ang(F85,F84)),[1]!DestoDeg(H85/3600))</f>
        <v xml:space="preserve"> 217° 56' 57"</v>
      </c>
      <c r="K85" s="31">
        <v>102.88</v>
      </c>
      <c r="L85" s="32">
        <f>[1]!Jarakdatar(K85,G85)</f>
        <v>102.8162444022884</v>
      </c>
      <c r="M85" s="33">
        <f>L85*[1]!dsin(J85)</f>
        <v>-63.228093864785265</v>
      </c>
      <c r="N85" s="34">
        <f t="shared" si="18"/>
        <v>0</v>
      </c>
      <c r="O85" s="33">
        <f>L85*[1]!dcos(J85)</f>
        <v>-81.076434672579211</v>
      </c>
      <c r="P85" s="34">
        <f t="shared" si="19"/>
        <v>0</v>
      </c>
      <c r="Q85" s="35">
        <f>L85/[1]!dTAN(G85)-C85+$B$14</f>
        <v>-4.9463653514794057</v>
      </c>
      <c r="R85" s="34">
        <f t="shared" si="20"/>
        <v>0</v>
      </c>
      <c r="S85" s="36">
        <f t="shared" si="21"/>
        <v>9936.7719061352145</v>
      </c>
      <c r="T85" s="40">
        <f t="shared" si="22"/>
        <v>9918.9235653274209</v>
      </c>
      <c r="U85" s="37">
        <f t="shared" si="23"/>
        <v>25.019634648520594</v>
      </c>
      <c r="V85" s="38">
        <f t="shared" si="16"/>
        <v>74</v>
      </c>
      <c r="W85" s="70"/>
      <c r="X85" s="71"/>
      <c r="Y85" s="71"/>
      <c r="Z85" s="72" t="s">
        <v>15</v>
      </c>
      <c r="AB85" s="56"/>
      <c r="AC85" s="56"/>
      <c r="AD85" s="56"/>
      <c r="AE85" s="56"/>
      <c r="AF85" s="56"/>
      <c r="AG85" s="56"/>
      <c r="AH85" s="56"/>
      <c r="AI85" s="56">
        <v>144</v>
      </c>
      <c r="AJ85" s="56">
        <v>1</v>
      </c>
      <c r="AK85" s="56">
        <v>74</v>
      </c>
      <c r="AL85" s="56">
        <v>2.5</v>
      </c>
      <c r="AM85" s="56" t="s">
        <v>228</v>
      </c>
      <c r="AN85" s="56">
        <v>102.88</v>
      </c>
      <c r="AO85" s="56" t="s">
        <v>229</v>
      </c>
      <c r="AP85" s="56" t="s">
        <v>15</v>
      </c>
      <c r="AQ85" s="56" t="s">
        <v>63</v>
      </c>
    </row>
    <row r="86" spans="1:43" s="4" customFormat="1" ht="10.199999999999999" x14ac:dyDescent="0.2">
      <c r="A86" s="8"/>
      <c r="B86" s="8"/>
      <c r="C86" s="8">
        <v>2.5</v>
      </c>
      <c r="D86" s="27"/>
      <c r="E86" s="28">
        <v>75</v>
      </c>
      <c r="F86" s="29" t="s">
        <v>230</v>
      </c>
      <c r="G86" s="10" t="s">
        <v>229</v>
      </c>
      <c r="H86" s="30">
        <f t="shared" si="17"/>
        <v>0</v>
      </c>
      <c r="I86" s="52" t="str">
        <f>[1]!Plus_ang(I85,[1]!Min_ang(F86,F85))</f>
        <v xml:space="preserve"> 218° 54' 60"</v>
      </c>
      <c r="J86" s="10" t="str">
        <f>[1]!Plus_ang([1]!Plus_ang(J85,[1]!Min_ang(F86,F85)),[1]!DestoDeg(H86/3600))</f>
        <v xml:space="preserve"> 218° 54' 60"</v>
      </c>
      <c r="K86" s="31">
        <v>102.876</v>
      </c>
      <c r="L86" s="32">
        <f>[1]!Jarakdatar(K86,G86)</f>
        <v>102.81224688112192</v>
      </c>
      <c r="M86" s="33">
        <f>L86*[1]!dsin(J86)</f>
        <v>-64.585565000363459</v>
      </c>
      <c r="N86" s="34">
        <f t="shared" si="18"/>
        <v>0</v>
      </c>
      <c r="O86" s="33">
        <f>L86*[1]!dcos(J86)</f>
        <v>-79.994142925145411</v>
      </c>
      <c r="P86" s="34">
        <f t="shared" si="19"/>
        <v>0</v>
      </c>
      <c r="Q86" s="35">
        <f>L86/[1]!dTAN(G86)-C86+$B$14</f>
        <v>-4.9462245518934234</v>
      </c>
      <c r="R86" s="34">
        <f t="shared" si="20"/>
        <v>0</v>
      </c>
      <c r="S86" s="36">
        <f t="shared" si="21"/>
        <v>9935.4144349996368</v>
      </c>
      <c r="T86" s="40">
        <f t="shared" si="22"/>
        <v>9920.0058570748552</v>
      </c>
      <c r="U86" s="37">
        <f t="shared" si="23"/>
        <v>25.019775448106579</v>
      </c>
      <c r="V86" s="38">
        <f t="shared" si="16"/>
        <v>75</v>
      </c>
      <c r="W86" s="70"/>
      <c r="X86" s="71"/>
      <c r="Y86" s="71"/>
      <c r="Z86" s="72" t="s">
        <v>15</v>
      </c>
      <c r="AB86" s="56"/>
      <c r="AC86" s="56"/>
      <c r="AD86" s="56"/>
      <c r="AE86" s="56"/>
      <c r="AF86" s="56"/>
      <c r="AG86" s="56"/>
      <c r="AH86" s="56"/>
      <c r="AI86" s="56">
        <v>146</v>
      </c>
      <c r="AJ86" s="56">
        <v>1</v>
      </c>
      <c r="AK86" s="56">
        <v>75</v>
      </c>
      <c r="AL86" s="56">
        <v>2.5</v>
      </c>
      <c r="AM86" s="56" t="s">
        <v>230</v>
      </c>
      <c r="AN86" s="56">
        <v>102.876</v>
      </c>
      <c r="AO86" s="56" t="s">
        <v>229</v>
      </c>
      <c r="AP86" s="56" t="s">
        <v>15</v>
      </c>
      <c r="AQ86" s="56" t="s">
        <v>63</v>
      </c>
    </row>
    <row r="87" spans="1:43" s="4" customFormat="1" ht="10.199999999999999" x14ac:dyDescent="0.2">
      <c r="A87" s="8"/>
      <c r="B87" s="8"/>
      <c r="C87" s="8">
        <v>2.5</v>
      </c>
      <c r="D87" s="27"/>
      <c r="E87" s="28">
        <v>76</v>
      </c>
      <c r="F87" s="29" t="s">
        <v>231</v>
      </c>
      <c r="G87" s="10" t="s">
        <v>232</v>
      </c>
      <c r="H87" s="30">
        <f t="shared" si="17"/>
        <v>0</v>
      </c>
      <c r="I87" s="52" t="str">
        <f>[1]!Plus_ang(I86,[1]!Min_ang(F87,F86))</f>
        <v xml:space="preserve"> 218° 50' 56"</v>
      </c>
      <c r="J87" s="10" t="str">
        <f>[1]!Plus_ang([1]!Plus_ang(J86,[1]!Min_ang(F87,F86)),[1]!DestoDeg(H87/3600))</f>
        <v xml:space="preserve"> 218° 50' 56"</v>
      </c>
      <c r="K87" s="31">
        <v>102.91500000000001</v>
      </c>
      <c r="L87" s="32">
        <f>[1]!Jarakdatar(K87,G87)</f>
        <v>102.85118758196523</v>
      </c>
      <c r="M87" s="33">
        <f>L87*[1]!dsin(J87)</f>
        <v>-64.5153174090172</v>
      </c>
      <c r="N87" s="34">
        <f t="shared" si="18"/>
        <v>0</v>
      </c>
      <c r="O87" s="33">
        <f>L87*[1]!dcos(J87)</f>
        <v>-80.100815268225347</v>
      </c>
      <c r="P87" s="34">
        <f t="shared" si="19"/>
        <v>0</v>
      </c>
      <c r="Q87" s="35">
        <f>L87/[1]!dTAN(G87)-C87+$B$14</f>
        <v>-4.9485946212842498</v>
      </c>
      <c r="R87" s="34">
        <f t="shared" si="20"/>
        <v>0</v>
      </c>
      <c r="S87" s="36">
        <f t="shared" si="21"/>
        <v>9935.4846825909826</v>
      </c>
      <c r="T87" s="40">
        <f t="shared" si="22"/>
        <v>9919.8991847317739</v>
      </c>
      <c r="U87" s="37">
        <f t="shared" si="23"/>
        <v>25.01740537871575</v>
      </c>
      <c r="V87" s="38">
        <f t="shared" si="16"/>
        <v>76</v>
      </c>
      <c r="W87" s="70"/>
      <c r="X87" s="71"/>
      <c r="Y87" s="71"/>
      <c r="Z87" s="72" t="s">
        <v>14</v>
      </c>
      <c r="AB87" s="56"/>
      <c r="AC87" s="56"/>
      <c r="AD87" s="56"/>
      <c r="AE87" s="56"/>
      <c r="AF87" s="56"/>
      <c r="AG87" s="56"/>
      <c r="AH87" s="56"/>
      <c r="AI87" s="56">
        <v>148</v>
      </c>
      <c r="AJ87" s="56">
        <v>1</v>
      </c>
      <c r="AK87" s="56">
        <v>76</v>
      </c>
      <c r="AL87" s="56">
        <v>2.5</v>
      </c>
      <c r="AM87" s="56" t="s">
        <v>231</v>
      </c>
      <c r="AN87" s="56">
        <v>102.91500000000001</v>
      </c>
      <c r="AO87" s="56" t="s">
        <v>232</v>
      </c>
      <c r="AP87" s="56" t="s">
        <v>14</v>
      </c>
      <c r="AQ87" s="56" t="s">
        <v>63</v>
      </c>
    </row>
    <row r="88" spans="1:43" s="4" customFormat="1" ht="10.199999999999999" x14ac:dyDescent="0.2">
      <c r="A88" s="8"/>
      <c r="B88" s="8"/>
      <c r="C88" s="8">
        <v>2.5</v>
      </c>
      <c r="D88" s="27"/>
      <c r="E88" s="28">
        <v>77</v>
      </c>
      <c r="F88" s="29" t="s">
        <v>233</v>
      </c>
      <c r="G88" s="10" t="s">
        <v>234</v>
      </c>
      <c r="H88" s="30">
        <f t="shared" si="17"/>
        <v>0</v>
      </c>
      <c r="I88" s="52" t="str">
        <f>[1]!Plus_ang(I87,[1]!Min_ang(F88,F87))</f>
        <v xml:space="preserve"> 221° 0' 1"</v>
      </c>
      <c r="J88" s="10" t="str">
        <f>[1]!Plus_ang([1]!Plus_ang(J87,[1]!Min_ang(F88,F87)),[1]!DestoDeg(H88/3600))</f>
        <v xml:space="preserve"> 221° 0' 1"</v>
      </c>
      <c r="K88" s="31">
        <v>102.128</v>
      </c>
      <c r="L88" s="32">
        <f>[1]!Jarakdatar(K88,G88)</f>
        <v>102.12798271668503</v>
      </c>
      <c r="M88" s="33">
        <f>L88*[1]!dsin(J88)</f>
        <v>-67.002358852761077</v>
      </c>
      <c r="N88" s="34">
        <f t="shared" si="18"/>
        <v>0</v>
      </c>
      <c r="O88" s="33">
        <f>L88*[1]!dcos(J88)</f>
        <v>-77.076642129411326</v>
      </c>
      <c r="P88" s="34">
        <f t="shared" si="19"/>
        <v>0</v>
      </c>
      <c r="Q88" s="35">
        <f>L88/[1]!dTAN(G88)-C88+$B$14</f>
        <v>-1.384415658597548</v>
      </c>
      <c r="R88" s="34">
        <f t="shared" si="20"/>
        <v>0</v>
      </c>
      <c r="S88" s="36">
        <f t="shared" si="21"/>
        <v>9932.997641147238</v>
      </c>
      <c r="T88" s="40">
        <f t="shared" si="22"/>
        <v>9922.923357870588</v>
      </c>
      <c r="U88" s="37">
        <f t="shared" si="23"/>
        <v>28.581584341402454</v>
      </c>
      <c r="V88" s="38">
        <f t="shared" si="16"/>
        <v>77</v>
      </c>
      <c r="W88" s="70"/>
      <c r="X88" s="71"/>
      <c r="Y88" s="71"/>
      <c r="Z88" s="72" t="s">
        <v>3</v>
      </c>
      <c r="AB88" s="56"/>
      <c r="AC88" s="56"/>
      <c r="AD88" s="56"/>
      <c r="AE88" s="56"/>
      <c r="AF88" s="56"/>
      <c r="AG88" s="56"/>
      <c r="AH88" s="56"/>
      <c r="AI88" s="56">
        <v>150</v>
      </c>
      <c r="AJ88" s="56">
        <v>1</v>
      </c>
      <c r="AK88" s="56">
        <v>77</v>
      </c>
      <c r="AL88" s="56">
        <v>2.5</v>
      </c>
      <c r="AM88" s="56" t="s">
        <v>233</v>
      </c>
      <c r="AN88" s="56">
        <v>102.128</v>
      </c>
      <c r="AO88" s="56" t="s">
        <v>234</v>
      </c>
      <c r="AP88" s="56" t="s">
        <v>3</v>
      </c>
      <c r="AQ88" s="56" t="s">
        <v>63</v>
      </c>
    </row>
    <row r="89" spans="1:43" s="4" customFormat="1" ht="10.199999999999999" x14ac:dyDescent="0.2">
      <c r="A89" s="8"/>
      <c r="B89" s="8"/>
      <c r="C89" s="8">
        <v>2.5</v>
      </c>
      <c r="D89" s="27"/>
      <c r="E89" s="28">
        <v>78</v>
      </c>
      <c r="F89" s="29" t="s">
        <v>235</v>
      </c>
      <c r="G89" s="10" t="s">
        <v>236</v>
      </c>
      <c r="H89" s="30">
        <f t="shared" si="17"/>
        <v>0</v>
      </c>
      <c r="I89" s="52" t="str">
        <f>[1]!Plus_ang(I88,[1]!Min_ang(F89,F88))</f>
        <v xml:space="preserve"> 222° 54' 58"</v>
      </c>
      <c r="J89" s="10" t="str">
        <f>[1]!Plus_ang([1]!Plus_ang(J88,[1]!Min_ang(F89,F88)),[1]!DestoDeg(H89/3600))</f>
        <v xml:space="preserve"> 222° 54' 58"</v>
      </c>
      <c r="K89" s="31">
        <v>101.714</v>
      </c>
      <c r="L89" s="32">
        <f>[1]!Jarakdatar(K89,G89)</f>
        <v>101.71389169877081</v>
      </c>
      <c r="M89" s="33">
        <f>L89*[1]!dsin(J89)</f>
        <v>-69.259717556556481</v>
      </c>
      <c r="N89" s="34">
        <f t="shared" si="18"/>
        <v>0</v>
      </c>
      <c r="O89" s="33">
        <f>L89*[1]!dcos(J89)</f>
        <v>-74.490316743153258</v>
      </c>
      <c r="P89" s="34">
        <f t="shared" si="19"/>
        <v>0</v>
      </c>
      <c r="Q89" s="35">
        <f>L89/[1]!dTAN(G89)-C89+$B$14</f>
        <v>-1.4734300869877834</v>
      </c>
      <c r="R89" s="34">
        <f t="shared" si="20"/>
        <v>0</v>
      </c>
      <c r="S89" s="36">
        <f t="shared" si="21"/>
        <v>9930.740282443443</v>
      </c>
      <c r="T89" s="40">
        <f t="shared" si="22"/>
        <v>9925.509683256847</v>
      </c>
      <c r="U89" s="37">
        <f t="shared" si="23"/>
        <v>28.492569913012218</v>
      </c>
      <c r="V89" s="38">
        <f t="shared" si="16"/>
        <v>78</v>
      </c>
      <c r="W89" s="70"/>
      <c r="X89" s="71"/>
      <c r="Y89" s="71"/>
      <c r="Z89" s="72" t="s">
        <v>3</v>
      </c>
      <c r="AB89" s="56"/>
      <c r="AC89" s="56"/>
      <c r="AD89" s="56"/>
      <c r="AE89" s="56"/>
      <c r="AF89" s="56"/>
      <c r="AG89" s="56"/>
      <c r="AH89" s="56"/>
      <c r="AI89" s="56">
        <v>152</v>
      </c>
      <c r="AJ89" s="56">
        <v>1</v>
      </c>
      <c r="AK89" s="56">
        <v>78</v>
      </c>
      <c r="AL89" s="56">
        <v>2.5</v>
      </c>
      <c r="AM89" s="56" t="s">
        <v>235</v>
      </c>
      <c r="AN89" s="56">
        <v>101.714</v>
      </c>
      <c r="AO89" s="56" t="s">
        <v>236</v>
      </c>
      <c r="AP89" s="56" t="s">
        <v>3</v>
      </c>
      <c r="AQ89" s="56" t="s">
        <v>63</v>
      </c>
    </row>
    <row r="90" spans="1:43" s="4" customFormat="1" ht="10.199999999999999" x14ac:dyDescent="0.2">
      <c r="A90" s="8"/>
      <c r="B90" s="8"/>
      <c r="C90" s="8">
        <v>2.5</v>
      </c>
      <c r="D90" s="27"/>
      <c r="E90" s="28">
        <v>79</v>
      </c>
      <c r="F90" s="29" t="s">
        <v>237</v>
      </c>
      <c r="G90" s="10" t="s">
        <v>238</v>
      </c>
      <c r="H90" s="30">
        <f t="shared" si="17"/>
        <v>0</v>
      </c>
      <c r="I90" s="52" t="str">
        <f>[1]!Plus_ang(I89,[1]!Min_ang(F90,F89))</f>
        <v xml:space="preserve"> 225° 54' 1"</v>
      </c>
      <c r="J90" s="10" t="str">
        <f>[1]!Plus_ang([1]!Plus_ang(J89,[1]!Min_ang(F90,F89)),[1]!DestoDeg(H90/3600))</f>
        <v xml:space="preserve"> 225° 54' 1"</v>
      </c>
      <c r="K90" s="31">
        <v>101.80800000000001</v>
      </c>
      <c r="L90" s="32">
        <f>[1]!Jarakdatar(K90,G90)</f>
        <v>101.79256298506571</v>
      </c>
      <c r="M90" s="33">
        <f>L90*[1]!dsin(J90)</f>
        <v>-73.100259831370209</v>
      </c>
      <c r="N90" s="34">
        <f t="shared" si="18"/>
        <v>0</v>
      </c>
      <c r="O90" s="33">
        <f>L90*[1]!dcos(J90)</f>
        <v>-70.83839278000832</v>
      </c>
      <c r="P90" s="34">
        <f t="shared" si="19"/>
        <v>0</v>
      </c>
      <c r="Q90" s="35">
        <f>L90/[1]!dTAN(G90)-C90+$B$14</f>
        <v>0.44784656172776427</v>
      </c>
      <c r="R90" s="34">
        <f t="shared" si="20"/>
        <v>0</v>
      </c>
      <c r="S90" s="36">
        <f t="shared" si="21"/>
        <v>9926.8997401686302</v>
      </c>
      <c r="T90" s="40">
        <f t="shared" si="22"/>
        <v>9929.1616072199922</v>
      </c>
      <c r="U90" s="37">
        <f t="shared" si="23"/>
        <v>30.413846561727766</v>
      </c>
      <c r="V90" s="38">
        <f t="shared" si="16"/>
        <v>79</v>
      </c>
      <c r="W90" s="70"/>
      <c r="X90" s="71"/>
      <c r="Y90" s="71"/>
      <c r="Z90" s="72" t="s">
        <v>3</v>
      </c>
      <c r="AB90" s="56"/>
      <c r="AC90" s="56"/>
      <c r="AD90" s="56"/>
      <c r="AE90" s="56"/>
      <c r="AF90" s="56"/>
      <c r="AG90" s="56"/>
      <c r="AH90" s="56"/>
      <c r="AI90" s="56">
        <v>154</v>
      </c>
      <c r="AJ90" s="56">
        <v>1</v>
      </c>
      <c r="AK90" s="56">
        <v>79</v>
      </c>
      <c r="AL90" s="56">
        <v>2.5</v>
      </c>
      <c r="AM90" s="56" t="s">
        <v>237</v>
      </c>
      <c r="AN90" s="56">
        <v>101.80800000000001</v>
      </c>
      <c r="AO90" s="56" t="s">
        <v>238</v>
      </c>
      <c r="AP90" s="56" t="s">
        <v>3</v>
      </c>
      <c r="AQ90" s="56" t="s">
        <v>63</v>
      </c>
    </row>
    <row r="91" spans="1:43" s="4" customFormat="1" ht="10.199999999999999" x14ac:dyDescent="0.2">
      <c r="A91" s="8"/>
      <c r="B91" s="8"/>
      <c r="C91" s="8">
        <v>2.5</v>
      </c>
      <c r="D91" s="27"/>
      <c r="E91" s="28">
        <v>80</v>
      </c>
      <c r="F91" s="29" t="s">
        <v>239</v>
      </c>
      <c r="G91" s="10" t="s">
        <v>240</v>
      </c>
      <c r="H91" s="30">
        <f t="shared" si="17"/>
        <v>0</v>
      </c>
      <c r="I91" s="52" t="str">
        <f>[1]!Plus_ang(I90,[1]!Min_ang(F91,F90))</f>
        <v xml:space="preserve"> 233° 53' 1"</v>
      </c>
      <c r="J91" s="10" t="str">
        <f>[1]!Plus_ang([1]!Plus_ang(J90,[1]!Min_ang(F91,F90)),[1]!DestoDeg(H91/3600))</f>
        <v xml:space="preserve"> 233° 53' 1"</v>
      </c>
      <c r="K91" s="31">
        <v>102.01</v>
      </c>
      <c r="L91" s="32">
        <f>[1]!Jarakdatar(K91,G91)</f>
        <v>101.99789229921085</v>
      </c>
      <c r="M91" s="33">
        <f>L91*[1]!dsin(J91)</f>
        <v>-82.396071696277943</v>
      </c>
      <c r="N91" s="34">
        <f t="shared" si="18"/>
        <v>0</v>
      </c>
      <c r="O91" s="33">
        <f>L91*[1]!dcos(J91)</f>
        <v>-60.120357637852081</v>
      </c>
      <c r="P91" s="34">
        <f t="shared" si="19"/>
        <v>0</v>
      </c>
      <c r="Q91" s="35">
        <f>L91/[1]!dTAN(G91)-C91+$B$14</f>
        <v>0.24664452678914173</v>
      </c>
      <c r="R91" s="34">
        <f t="shared" si="20"/>
        <v>0</v>
      </c>
      <c r="S91" s="36">
        <f t="shared" si="21"/>
        <v>9917.6039283037226</v>
      </c>
      <c r="T91" s="40">
        <f t="shared" si="22"/>
        <v>9939.8796423621479</v>
      </c>
      <c r="U91" s="37">
        <f t="shared" si="23"/>
        <v>30.212644526789141</v>
      </c>
      <c r="V91" s="38">
        <f t="shared" si="16"/>
        <v>80</v>
      </c>
      <c r="W91" s="70"/>
      <c r="X91" s="71"/>
      <c r="Y91" s="71"/>
      <c r="Z91" s="72" t="s">
        <v>3</v>
      </c>
      <c r="AB91" s="56"/>
      <c r="AC91" s="56"/>
      <c r="AD91" s="56"/>
      <c r="AE91" s="56"/>
      <c r="AF91" s="56"/>
      <c r="AG91" s="56"/>
      <c r="AH91" s="56"/>
      <c r="AI91" s="56">
        <v>156</v>
      </c>
      <c r="AJ91" s="56">
        <v>1</v>
      </c>
      <c r="AK91" s="56">
        <v>80</v>
      </c>
      <c r="AL91" s="56">
        <v>2.5</v>
      </c>
      <c r="AM91" s="56" t="s">
        <v>239</v>
      </c>
      <c r="AN91" s="56">
        <v>102.01</v>
      </c>
      <c r="AO91" s="56" t="s">
        <v>240</v>
      </c>
      <c r="AP91" s="56" t="s">
        <v>3</v>
      </c>
      <c r="AQ91" s="56" t="s">
        <v>63</v>
      </c>
    </row>
    <row r="92" spans="1:43" s="4" customFormat="1" ht="10.199999999999999" x14ac:dyDescent="0.2">
      <c r="A92" s="8"/>
      <c r="B92" s="8"/>
      <c r="C92" s="8">
        <v>1.45</v>
      </c>
      <c r="D92" s="27"/>
      <c r="E92" s="28" t="s">
        <v>68</v>
      </c>
      <c r="F92" s="29" t="s">
        <v>241</v>
      </c>
      <c r="G92" s="10" t="s">
        <v>242</v>
      </c>
      <c r="H92" s="30">
        <f t="shared" si="17"/>
        <v>0</v>
      </c>
      <c r="I92" s="52" t="str">
        <f>[1]!Plus_ang(I91,[1]!Min_ang(F92,F91))</f>
        <v xml:space="preserve"> 225° 54' 52"</v>
      </c>
      <c r="J92" s="10" t="str">
        <f>[1]!Plus_ang([1]!Plus_ang(J91,[1]!Min_ang(F92,F91)),[1]!DestoDeg(H92/3600))</f>
        <v xml:space="preserve"> 225° 54' 52"</v>
      </c>
      <c r="K92" s="31">
        <v>101.83499999999999</v>
      </c>
      <c r="L92" s="32">
        <f>[1]!Jarakdatar(K92,G92)</f>
        <v>101.82103494651349</v>
      </c>
      <c r="M92" s="33">
        <f>L92*[1]!dsin(J92)</f>
        <v>-73.138224200688597</v>
      </c>
      <c r="N92" s="34">
        <f t="shared" si="18"/>
        <v>0</v>
      </c>
      <c r="O92" s="33">
        <f>L92*[1]!dcos(J92)</f>
        <v>-70.840125058817691</v>
      </c>
      <c r="P92" s="34">
        <f t="shared" si="19"/>
        <v>0</v>
      </c>
      <c r="Q92" s="35">
        <f>L92/[1]!dTAN(G92)-C92+$B$14</f>
        <v>1.4114363079807435</v>
      </c>
      <c r="R92" s="34">
        <f t="shared" si="20"/>
        <v>-1.8269144957361958</v>
      </c>
      <c r="S92" s="36">
        <f t="shared" si="21"/>
        <v>9926.8617757993106</v>
      </c>
      <c r="T92" s="40">
        <f t="shared" si="22"/>
        <v>9929.1598749411824</v>
      </c>
      <c r="U92" s="37">
        <f t="shared" si="23"/>
        <v>29.550521812244547</v>
      </c>
      <c r="V92" s="38" t="str">
        <f t="shared" si="16"/>
        <v>K22</v>
      </c>
      <c r="W92" s="70" t="s">
        <v>92</v>
      </c>
      <c r="X92" s="71"/>
      <c r="Y92" s="71"/>
      <c r="Z92" s="72" t="s">
        <v>68</v>
      </c>
      <c r="AB92" s="56"/>
      <c r="AC92" s="56"/>
      <c r="AD92" s="56"/>
      <c r="AE92" s="56"/>
      <c r="AF92" s="56"/>
      <c r="AG92" s="56"/>
      <c r="AH92" s="56"/>
      <c r="AI92" s="56">
        <v>158</v>
      </c>
      <c r="AJ92" s="56">
        <v>1</v>
      </c>
      <c r="AK92" s="56" t="s">
        <v>68</v>
      </c>
      <c r="AL92" s="56">
        <v>1.45</v>
      </c>
      <c r="AM92" s="56" t="s">
        <v>241</v>
      </c>
      <c r="AN92" s="56">
        <v>101.83499999999999</v>
      </c>
      <c r="AO92" s="56" t="s">
        <v>242</v>
      </c>
      <c r="AP92" s="56" t="s">
        <v>68</v>
      </c>
      <c r="AQ92" s="56" t="s">
        <v>63</v>
      </c>
    </row>
    <row r="93" spans="1:43" s="4" customFormat="1" ht="10.199999999999999" x14ac:dyDescent="0.2">
      <c r="A93" s="8"/>
      <c r="B93" s="8"/>
      <c r="C93" s="8"/>
      <c r="D93" s="27"/>
      <c r="E93" s="28"/>
      <c r="F93" s="29"/>
      <c r="G93" s="10"/>
      <c r="H93" s="30"/>
      <c r="I93" s="52"/>
      <c r="J93" s="10"/>
      <c r="K93" s="31"/>
      <c r="L93" s="32"/>
      <c r="M93" s="33"/>
      <c r="N93" s="34"/>
      <c r="O93" s="33"/>
      <c r="P93" s="34"/>
      <c r="Q93" s="35"/>
      <c r="R93" s="34"/>
      <c r="S93" s="36"/>
      <c r="T93" s="40"/>
      <c r="U93" s="37"/>
      <c r="V93" s="38"/>
      <c r="W93" s="70"/>
      <c r="X93" s="71"/>
      <c r="Y93" s="71"/>
      <c r="Z93" s="72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</row>
    <row r="94" spans="1:43" s="4" customFormat="1" ht="10.199999999999999" x14ac:dyDescent="0.2">
      <c r="A94" s="8">
        <v>2</v>
      </c>
      <c r="B94" s="8">
        <v>1.2050000000000001</v>
      </c>
      <c r="C94" s="8">
        <v>1.45</v>
      </c>
      <c r="D94" s="27" t="s">
        <v>68</v>
      </c>
      <c r="E94" s="28" t="s">
        <v>61</v>
      </c>
      <c r="F94" s="29" t="s">
        <v>243</v>
      </c>
      <c r="G94" s="10" t="s">
        <v>244</v>
      </c>
      <c r="H94" s="30"/>
      <c r="I94" s="52" t="str">
        <f>[1]!Plus_ang(VLOOKUP($D$94,$E$14:$I$92,5),[1]!DestoDeg(180))</f>
        <v xml:space="preserve"> 45° 54' 52"</v>
      </c>
      <c r="J94" s="10" t="str">
        <f>[1]!Plus_ang(VLOOKUP($D$94,$E$14:$J$92,6),[1]!DestoDeg(180))</f>
        <v xml:space="preserve"> 45° 54' 52"</v>
      </c>
      <c r="K94" s="31">
        <v>101.84699999999999</v>
      </c>
      <c r="L94" s="32">
        <f>[1]!Jarakdatar(K94,G94)</f>
        <v>101.83489642636255</v>
      </c>
      <c r="M94" s="33"/>
      <c r="N94" s="34"/>
      <c r="O94" s="33"/>
      <c r="P94" s="34"/>
      <c r="Q94" s="35"/>
      <c r="R94" s="34"/>
      <c r="S94" s="36">
        <f>VLOOKUP($D$94,$E$14:$S$92,15,0)</f>
        <v>9926.8617757993106</v>
      </c>
      <c r="T94" s="40">
        <f>VLOOKUP($D$94,$E$14:$T$92,16,0)</f>
        <v>9929.1598749411824</v>
      </c>
      <c r="U94" s="37">
        <f>VLOOKUP($D$94,$E$14:$U$92,17,0)</f>
        <v>29.550521812244547</v>
      </c>
      <c r="V94" s="38" t="str">
        <f>IF(A94&lt;&gt;"",D94,E94)</f>
        <v>K22</v>
      </c>
      <c r="W94" s="70"/>
      <c r="X94" s="71"/>
      <c r="Y94" s="71"/>
      <c r="Z94" s="72" t="s">
        <v>61</v>
      </c>
      <c r="AB94" s="56">
        <v>3</v>
      </c>
      <c r="AC94" s="56" t="s">
        <v>68</v>
      </c>
      <c r="AD94" s="56">
        <v>1.2050000000000001</v>
      </c>
      <c r="AE94" s="56">
        <v>0</v>
      </c>
      <c r="AF94" s="56">
        <v>0</v>
      </c>
      <c r="AG94" s="56">
        <v>2E-3</v>
      </c>
      <c r="AH94" s="56">
        <v>1E-3</v>
      </c>
      <c r="AI94" s="56">
        <v>2</v>
      </c>
      <c r="AJ94" s="56" t="s">
        <v>68</v>
      </c>
      <c r="AK94" s="56" t="s">
        <v>61</v>
      </c>
      <c r="AL94" s="56">
        <v>1.45</v>
      </c>
      <c r="AM94" s="56" t="s">
        <v>243</v>
      </c>
      <c r="AN94" s="56">
        <v>101.84699999999999</v>
      </c>
      <c r="AO94" s="56" t="s">
        <v>244</v>
      </c>
      <c r="AP94" s="56" t="s">
        <v>61</v>
      </c>
      <c r="AQ94" s="56" t="s">
        <v>63</v>
      </c>
    </row>
    <row r="95" spans="1:43" s="4" customFormat="1" ht="10.199999999999999" x14ac:dyDescent="0.2">
      <c r="A95" s="8"/>
      <c r="B95" s="8"/>
      <c r="C95" s="8">
        <v>1.45</v>
      </c>
      <c r="D95" s="27"/>
      <c r="E95" s="28" t="s">
        <v>69</v>
      </c>
      <c r="F95" s="29" t="s">
        <v>245</v>
      </c>
      <c r="G95" s="10" t="s">
        <v>246</v>
      </c>
      <c r="H95" s="30">
        <f>IF($Y$7="y",$C$416,0)</f>
        <v>0</v>
      </c>
      <c r="I95" s="52" t="str">
        <f>[1]!Plus_ang(I94,[1]!Min_ang(F95,F94))</f>
        <v xml:space="preserve"> 224° 55' 49"</v>
      </c>
      <c r="J95" s="10" t="str">
        <f>[1]!Plus_ang([1]!Plus_ang(J94,[1]!Min_ang(F95,F94)),[1]!DestoDeg(H95/3600))</f>
        <v xml:space="preserve"> 224° 55' 49"</v>
      </c>
      <c r="K95" s="31">
        <v>143.03299999999999</v>
      </c>
      <c r="L95" s="32">
        <f>[1]!Jarakdatar(K95,G95)</f>
        <v>143.03250071474841</v>
      </c>
      <c r="M95" s="33">
        <f>L95*[1]!dsin(J95)</f>
        <v>-101.01610176361146</v>
      </c>
      <c r="N95" s="34">
        <f>IF($Y$8="Y",($Y$4*L95/$L$413),0)</f>
        <v>0</v>
      </c>
      <c r="O95" s="33">
        <f>L95*[1]!dcos(J95)</f>
        <v>-101.26225084007464</v>
      </c>
      <c r="P95" s="34">
        <f>IF($Y$8="Y",($Y$5*L95/$L$413),0)</f>
        <v>0</v>
      </c>
      <c r="Q95" s="35">
        <f>L95/[1]!dTAN(G95)-C95+$B$94</f>
        <v>-0.62292629637023134</v>
      </c>
      <c r="R95" s="34">
        <f>IF(AND($Y$8="Y",W95="P"),($Y$6*L95/$L$413),0)</f>
        <v>-2.5663474060584495</v>
      </c>
      <c r="S95" s="36">
        <f>$S$94+M95+N95</f>
        <v>9825.8456740356996</v>
      </c>
      <c r="T95" s="40">
        <f>$T$94+O95+P95</f>
        <v>9827.8976241011078</v>
      </c>
      <c r="U95" s="37">
        <f>$U$94+Q95+R95</f>
        <v>26.361248109815868</v>
      </c>
      <c r="V95" s="38" t="str">
        <f>IF(A95&lt;&gt;"",D95,E95)</f>
        <v>K25</v>
      </c>
      <c r="W95" s="70" t="s">
        <v>92</v>
      </c>
      <c r="X95" s="71"/>
      <c r="Y95" s="71"/>
      <c r="Z95" s="72" t="s">
        <v>69</v>
      </c>
      <c r="AB95" s="56"/>
      <c r="AC95" s="56"/>
      <c r="AD95" s="56"/>
      <c r="AE95" s="56"/>
      <c r="AF95" s="56"/>
      <c r="AG95" s="56"/>
      <c r="AH95" s="56"/>
      <c r="AI95" s="56">
        <v>4</v>
      </c>
      <c r="AJ95" s="56">
        <v>81</v>
      </c>
      <c r="AK95" s="56" t="s">
        <v>69</v>
      </c>
      <c r="AL95" s="56">
        <v>1.45</v>
      </c>
      <c r="AM95" s="56" t="s">
        <v>245</v>
      </c>
      <c r="AN95" s="56">
        <v>143.03299999999999</v>
      </c>
      <c r="AO95" s="56" t="s">
        <v>246</v>
      </c>
      <c r="AP95" s="56" t="s">
        <v>69</v>
      </c>
      <c r="AQ95" s="56" t="s">
        <v>63</v>
      </c>
    </row>
    <row r="96" spans="1:43" s="4" customFormat="1" ht="10.199999999999999" x14ac:dyDescent="0.2">
      <c r="A96" s="8"/>
      <c r="B96" s="8"/>
      <c r="C96" s="8"/>
      <c r="D96" s="27"/>
      <c r="E96" s="28"/>
      <c r="F96" s="29"/>
      <c r="G96" s="10"/>
      <c r="H96" s="30"/>
      <c r="I96" s="52"/>
      <c r="J96" s="10"/>
      <c r="K96" s="31"/>
      <c r="L96" s="32"/>
      <c r="M96" s="33"/>
      <c r="N96" s="34"/>
      <c r="O96" s="33"/>
      <c r="P96" s="34"/>
      <c r="Q96" s="35"/>
      <c r="R96" s="34"/>
      <c r="S96" s="36"/>
      <c r="T96" s="40"/>
      <c r="U96" s="37"/>
      <c r="V96" s="38"/>
      <c r="W96" s="70"/>
      <c r="X96" s="71"/>
      <c r="Y96" s="71"/>
      <c r="Z96" s="72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</row>
    <row r="97" spans="1:43" s="4" customFormat="1" ht="10.199999999999999" x14ac:dyDescent="0.2">
      <c r="A97" s="8">
        <v>3</v>
      </c>
      <c r="B97" s="8">
        <v>1.1200000000000001</v>
      </c>
      <c r="C97" s="8">
        <v>1.45</v>
      </c>
      <c r="D97" s="27" t="s">
        <v>69</v>
      </c>
      <c r="E97" s="28" t="s">
        <v>68</v>
      </c>
      <c r="F97" s="29" t="s">
        <v>247</v>
      </c>
      <c r="G97" s="10" t="s">
        <v>248</v>
      </c>
      <c r="H97" s="30"/>
      <c r="I97" s="52" t="str">
        <f>[1]!Plus_ang(VLOOKUP($D$97,$E$14:$I$95,5),[1]!DestoDeg(180))</f>
        <v xml:space="preserve"> 44° 55' 49"</v>
      </c>
      <c r="J97" s="10" t="str">
        <f>[1]!Plus_ang(VLOOKUP($D$97,$E$14:$J$95,6),[1]!DestoDeg(180))</f>
        <v xml:space="preserve"> 44° 55' 49"</v>
      </c>
      <c r="K97" s="31">
        <v>143.03399999999999</v>
      </c>
      <c r="L97" s="32">
        <f>[1]!Jarakdatar(K97,G97)</f>
        <v>143.01579437581591</v>
      </c>
      <c r="M97" s="33"/>
      <c r="N97" s="34"/>
      <c r="O97" s="33"/>
      <c r="P97" s="34"/>
      <c r="Q97" s="35"/>
      <c r="R97" s="34"/>
      <c r="S97" s="36">
        <f>VLOOKUP($D$97,$E$14:$S$95,15,0)</f>
        <v>9825.8456740356996</v>
      </c>
      <c r="T97" s="40">
        <f>VLOOKUP($D$97,$E$14:$T$95,16,0)</f>
        <v>9827.8976241011078</v>
      </c>
      <c r="U97" s="37">
        <f>VLOOKUP($D$97,$E$14:$U$95,17,0)</f>
        <v>26.361248109815868</v>
      </c>
      <c r="V97" s="38" t="str">
        <f t="shared" ref="V97:V128" si="24">IF(A97&lt;&gt;"",D97,E97)</f>
        <v>K25</v>
      </c>
      <c r="W97" s="70"/>
      <c r="X97" s="71"/>
      <c r="Y97" s="71"/>
      <c r="Z97" s="72" t="s">
        <v>68</v>
      </c>
      <c r="AB97" s="56">
        <v>5</v>
      </c>
      <c r="AC97" s="56" t="s">
        <v>69</v>
      </c>
      <c r="AD97" s="56">
        <v>1.1200000000000001</v>
      </c>
      <c r="AE97" s="56">
        <v>0</v>
      </c>
      <c r="AF97" s="56">
        <v>0</v>
      </c>
      <c r="AG97" s="56">
        <v>2E-3</v>
      </c>
      <c r="AH97" s="56">
        <v>1E-3</v>
      </c>
      <c r="AI97" s="56">
        <v>1</v>
      </c>
      <c r="AJ97" s="56" t="s">
        <v>69</v>
      </c>
      <c r="AK97" s="56" t="s">
        <v>68</v>
      </c>
      <c r="AL97" s="56">
        <v>1.45</v>
      </c>
      <c r="AM97" s="56" t="s">
        <v>247</v>
      </c>
      <c r="AN97" s="56">
        <v>143.03399999999999</v>
      </c>
      <c r="AO97" s="56" t="s">
        <v>248</v>
      </c>
      <c r="AP97" s="56" t="s">
        <v>68</v>
      </c>
      <c r="AQ97" s="56" t="s">
        <v>63</v>
      </c>
    </row>
    <row r="98" spans="1:43" s="4" customFormat="1" ht="10.199999999999999" x14ac:dyDescent="0.2">
      <c r="A98" s="8"/>
      <c r="B98" s="8"/>
      <c r="C98" s="8">
        <v>1.45</v>
      </c>
      <c r="D98" s="27"/>
      <c r="E98" s="28" t="s">
        <v>68</v>
      </c>
      <c r="F98" s="29" t="s">
        <v>249</v>
      </c>
      <c r="G98" s="10" t="s">
        <v>250</v>
      </c>
      <c r="H98" s="30">
        <f t="shared" ref="H98:H129" si="25">IF($Y$7="y",$C$416,0)</f>
        <v>0</v>
      </c>
      <c r="I98" s="52" t="str">
        <f>[1]!Plus_ang(I97,[1]!Min_ang(F98,F97))</f>
        <v xml:space="preserve"> 44° 55' 45"</v>
      </c>
      <c r="J98" s="10" t="str">
        <f>[1]!Plus_ang([1]!Plus_ang(J97,[1]!Min_ang(F98,F97)),[1]!DestoDeg(H98/3600))</f>
        <v xml:space="preserve"> 44° 55' 45"</v>
      </c>
      <c r="K98" s="31">
        <v>143.03399999999999</v>
      </c>
      <c r="L98" s="32">
        <f>[1]!Jarakdatar(K98,G98)</f>
        <v>143.01578331048401</v>
      </c>
      <c r="M98" s="33">
        <f>L98*[1]!dsin(J98)</f>
        <v>101.002331644737</v>
      </c>
      <c r="N98" s="34">
        <f t="shared" ref="N98:N129" si="26">IF($Y$8="Y",($Y$4*L98/$L$413),0)</f>
        <v>0</v>
      </c>
      <c r="O98" s="33">
        <f>L98*[1]!dcos(J98)</f>
        <v>101.25237418568453</v>
      </c>
      <c r="P98" s="34">
        <f t="shared" ref="P98:P129" si="27">IF($Y$8="Y",($Y$5*L98/$L$413),0)</f>
        <v>0</v>
      </c>
      <c r="Q98" s="35">
        <f>L98/[1]!dTAN(G98)-C98+$B$97</f>
        <v>1.9527352208867967</v>
      </c>
      <c r="R98" s="34">
        <f t="shared" ref="R98:R129" si="28">IF(AND($Y$8="Y",W98="P"),($Y$6*L98/$L$413),0)</f>
        <v>0</v>
      </c>
      <c r="S98" s="36">
        <f t="shared" ref="S98:S129" si="29">$S$97+M98+N98</f>
        <v>9926.8480056804365</v>
      </c>
      <c r="T98" s="40">
        <f t="shared" ref="T98:T129" si="30">$T$97+O98+P98</f>
        <v>9929.1499982867917</v>
      </c>
      <c r="U98" s="37">
        <f t="shared" ref="U98:U129" si="31">$U$97+Q98+R98</f>
        <v>28.313983330702666</v>
      </c>
      <c r="V98" s="38" t="str">
        <f t="shared" si="24"/>
        <v>K22</v>
      </c>
      <c r="W98" s="70"/>
      <c r="X98" s="71"/>
      <c r="Y98" s="71"/>
      <c r="Z98" s="72" t="s">
        <v>68</v>
      </c>
      <c r="AB98" s="56"/>
      <c r="AC98" s="56"/>
      <c r="AD98" s="56"/>
      <c r="AE98" s="56"/>
      <c r="AF98" s="56"/>
      <c r="AG98" s="56"/>
      <c r="AH98" s="56"/>
      <c r="AI98" s="56">
        <v>2</v>
      </c>
      <c r="AJ98" s="56">
        <v>83</v>
      </c>
      <c r="AK98" s="56" t="s">
        <v>68</v>
      </c>
      <c r="AL98" s="56">
        <v>1.45</v>
      </c>
      <c r="AM98" s="56" t="s">
        <v>249</v>
      </c>
      <c r="AN98" s="56">
        <v>143.03399999999999</v>
      </c>
      <c r="AO98" s="56" t="s">
        <v>250</v>
      </c>
      <c r="AP98" s="56" t="s">
        <v>68</v>
      </c>
      <c r="AQ98" s="56" t="s">
        <v>63</v>
      </c>
    </row>
    <row r="99" spans="1:43" s="4" customFormat="1" ht="10.199999999999999" x14ac:dyDescent="0.2">
      <c r="A99" s="8"/>
      <c r="B99" s="8"/>
      <c r="C99" s="8">
        <v>1.45</v>
      </c>
      <c r="D99" s="27"/>
      <c r="E99" s="28" t="s">
        <v>70</v>
      </c>
      <c r="F99" s="29" t="s">
        <v>251</v>
      </c>
      <c r="G99" s="10" t="s">
        <v>252</v>
      </c>
      <c r="H99" s="30">
        <f t="shared" si="25"/>
        <v>0</v>
      </c>
      <c r="I99" s="52" t="str">
        <f>[1]!Plus_ang(I98,[1]!Min_ang(F99,F98))</f>
        <v xml:space="preserve"> 44° 56' 51"</v>
      </c>
      <c r="J99" s="10" t="str">
        <f>[1]!Plus_ang([1]!Plus_ang(J98,[1]!Min_ang(F99,F98)),[1]!DestoDeg(H99/3600))</f>
        <v xml:space="preserve"> 44° 56' 51"</v>
      </c>
      <c r="K99" s="31">
        <v>92.364000000000004</v>
      </c>
      <c r="L99" s="32">
        <f>[1]!Jarakdatar(K99,G99)</f>
        <v>92.35134857080044</v>
      </c>
      <c r="M99" s="33">
        <f>L99*[1]!dsin(J99)</f>
        <v>65.242401095225418</v>
      </c>
      <c r="N99" s="34">
        <f t="shared" si="26"/>
        <v>0</v>
      </c>
      <c r="O99" s="33">
        <f>L99*[1]!dcos(J99)</f>
        <v>65.362073729152854</v>
      </c>
      <c r="P99" s="34">
        <f t="shared" si="27"/>
        <v>0</v>
      </c>
      <c r="Q99" s="35">
        <f>L99/[1]!dTAN(G99)-C99+$B$97</f>
        <v>1.1986965541002712</v>
      </c>
      <c r="R99" s="34">
        <f t="shared" si="28"/>
        <v>0</v>
      </c>
      <c r="S99" s="36">
        <f t="shared" si="29"/>
        <v>9891.0880751309251</v>
      </c>
      <c r="T99" s="40">
        <f t="shared" si="30"/>
        <v>9893.2596978302608</v>
      </c>
      <c r="U99" s="37">
        <f t="shared" si="31"/>
        <v>27.559944663916138</v>
      </c>
      <c r="V99" s="38" t="str">
        <f t="shared" si="24"/>
        <v>K23</v>
      </c>
      <c r="W99" s="70"/>
      <c r="X99" s="71"/>
      <c r="Y99" s="71"/>
      <c r="Z99" s="72" t="s">
        <v>70</v>
      </c>
      <c r="AB99" s="56"/>
      <c r="AC99" s="56"/>
      <c r="AD99" s="56"/>
      <c r="AE99" s="56"/>
      <c r="AF99" s="56"/>
      <c r="AG99" s="56"/>
      <c r="AH99" s="56"/>
      <c r="AI99" s="56">
        <v>4</v>
      </c>
      <c r="AJ99" s="56">
        <v>83</v>
      </c>
      <c r="AK99" s="56" t="s">
        <v>70</v>
      </c>
      <c r="AL99" s="56">
        <v>1.45</v>
      </c>
      <c r="AM99" s="56" t="s">
        <v>251</v>
      </c>
      <c r="AN99" s="56">
        <v>92.364000000000004</v>
      </c>
      <c r="AO99" s="56" t="s">
        <v>252</v>
      </c>
      <c r="AP99" s="56" t="s">
        <v>70</v>
      </c>
      <c r="AQ99" s="56" t="s">
        <v>63</v>
      </c>
    </row>
    <row r="100" spans="1:43" s="4" customFormat="1" ht="10.199999999999999" x14ac:dyDescent="0.2">
      <c r="A100" s="8"/>
      <c r="B100" s="8"/>
      <c r="C100" s="8">
        <v>1.45</v>
      </c>
      <c r="D100" s="27"/>
      <c r="E100" s="28" t="s">
        <v>71</v>
      </c>
      <c r="F100" s="29" t="s">
        <v>253</v>
      </c>
      <c r="G100" s="10" t="s">
        <v>254</v>
      </c>
      <c r="H100" s="30">
        <f t="shared" si="25"/>
        <v>0</v>
      </c>
      <c r="I100" s="52" t="str">
        <f>[1]!Plus_ang(I99,[1]!Min_ang(F100,F99))</f>
        <v xml:space="preserve"> 44° 57' 52"</v>
      </c>
      <c r="J100" s="10" t="str">
        <f>[1]!Plus_ang([1]!Plus_ang(J99,[1]!Min_ang(F100,F99)),[1]!DestoDeg(H100/3600))</f>
        <v xml:space="preserve"> 44° 57' 52"</v>
      </c>
      <c r="K100" s="31">
        <v>45.220999999999997</v>
      </c>
      <c r="L100" s="32">
        <f>[1]!Jarakdatar(K100,G100)</f>
        <v>45.215843348901672</v>
      </c>
      <c r="M100" s="33">
        <f>L100*[1]!dsin(J100)</f>
        <v>31.952582434958401</v>
      </c>
      <c r="N100" s="34">
        <f t="shared" si="26"/>
        <v>0</v>
      </c>
      <c r="O100" s="33">
        <f>L100*[1]!dcos(J100)</f>
        <v>31.992264150722487</v>
      </c>
      <c r="P100" s="34">
        <f t="shared" si="27"/>
        <v>0</v>
      </c>
      <c r="Q100" s="35">
        <f>L100/[1]!dTAN(G100)-C100+$B$97</f>
        <v>0.35289914891166285</v>
      </c>
      <c r="R100" s="34">
        <f t="shared" si="28"/>
        <v>0</v>
      </c>
      <c r="S100" s="36">
        <f t="shared" si="29"/>
        <v>9857.7982564706581</v>
      </c>
      <c r="T100" s="40">
        <f t="shared" si="30"/>
        <v>9859.8898882518297</v>
      </c>
      <c r="U100" s="37">
        <f t="shared" si="31"/>
        <v>26.714147258727532</v>
      </c>
      <c r="V100" s="38" t="str">
        <f t="shared" si="24"/>
        <v>K24</v>
      </c>
      <c r="W100" s="70"/>
      <c r="X100" s="71"/>
      <c r="Y100" s="71"/>
      <c r="Z100" s="72" t="s">
        <v>71</v>
      </c>
      <c r="AB100" s="56"/>
      <c r="AC100" s="56"/>
      <c r="AD100" s="56"/>
      <c r="AE100" s="56"/>
      <c r="AF100" s="56"/>
      <c r="AG100" s="56"/>
      <c r="AH100" s="56"/>
      <c r="AI100" s="56">
        <v>6</v>
      </c>
      <c r="AJ100" s="56">
        <v>83</v>
      </c>
      <c r="AK100" s="56" t="s">
        <v>71</v>
      </c>
      <c r="AL100" s="56">
        <v>1.45</v>
      </c>
      <c r="AM100" s="56" t="s">
        <v>253</v>
      </c>
      <c r="AN100" s="56">
        <v>45.220999999999997</v>
      </c>
      <c r="AO100" s="56" t="s">
        <v>254</v>
      </c>
      <c r="AP100" s="56" t="s">
        <v>71</v>
      </c>
      <c r="AQ100" s="56" t="s">
        <v>63</v>
      </c>
    </row>
    <row r="101" spans="1:43" s="4" customFormat="1" ht="10.199999999999999" x14ac:dyDescent="0.2">
      <c r="A101" s="8"/>
      <c r="B101" s="8"/>
      <c r="C101" s="8">
        <v>1.45</v>
      </c>
      <c r="D101" s="27"/>
      <c r="E101" s="28">
        <v>87</v>
      </c>
      <c r="F101" s="29" t="s">
        <v>255</v>
      </c>
      <c r="G101" s="10" t="s">
        <v>256</v>
      </c>
      <c r="H101" s="30">
        <f t="shared" si="25"/>
        <v>0</v>
      </c>
      <c r="I101" s="52" t="str">
        <f>[1]!Plus_ang(I100,[1]!Min_ang(F101,F100))</f>
        <v xml:space="preserve"> 32° 50' 44"</v>
      </c>
      <c r="J101" s="10" t="str">
        <f>[1]!Plus_ang([1]!Plus_ang(J100,[1]!Min_ang(F101,F100)),[1]!DestoDeg(H101/3600))</f>
        <v xml:space="preserve"> 32° 50' 44"</v>
      </c>
      <c r="K101" s="31">
        <v>94.9</v>
      </c>
      <c r="L101" s="32">
        <f>[1]!Jarakdatar(K101,G101)</f>
        <v>94.888321311671589</v>
      </c>
      <c r="M101" s="33">
        <f>L101*[1]!dsin(J101)</f>
        <v>51.465183156020728</v>
      </c>
      <c r="N101" s="34">
        <f t="shared" si="26"/>
        <v>0</v>
      </c>
      <c r="O101" s="33">
        <f>L101*[1]!dcos(J101)</f>
        <v>79.719059478046205</v>
      </c>
      <c r="P101" s="34">
        <f t="shared" si="27"/>
        <v>0</v>
      </c>
      <c r="Q101" s="35">
        <f>L101/[1]!dTAN(G101)-C101+$B$97</f>
        <v>1.1587842869178744</v>
      </c>
      <c r="R101" s="34">
        <f t="shared" si="28"/>
        <v>0</v>
      </c>
      <c r="S101" s="36">
        <f t="shared" si="29"/>
        <v>9877.3108571917201</v>
      </c>
      <c r="T101" s="40">
        <f t="shared" si="30"/>
        <v>9907.6166835791537</v>
      </c>
      <c r="U101" s="37">
        <f t="shared" si="31"/>
        <v>27.520032396733743</v>
      </c>
      <c r="V101" s="38">
        <f t="shared" si="24"/>
        <v>87</v>
      </c>
      <c r="W101" s="70"/>
      <c r="X101" s="71"/>
      <c r="Y101" s="71"/>
      <c r="Z101" s="72" t="s">
        <v>16</v>
      </c>
      <c r="AB101" s="56"/>
      <c r="AC101" s="56"/>
      <c r="AD101" s="56"/>
      <c r="AE101" s="56"/>
      <c r="AF101" s="56"/>
      <c r="AG101" s="56"/>
      <c r="AH101" s="56"/>
      <c r="AI101" s="56">
        <v>8</v>
      </c>
      <c r="AJ101" s="56">
        <v>83</v>
      </c>
      <c r="AK101" s="56">
        <v>87</v>
      </c>
      <c r="AL101" s="56">
        <v>1.45</v>
      </c>
      <c r="AM101" s="56" t="s">
        <v>255</v>
      </c>
      <c r="AN101" s="56">
        <v>94.9</v>
      </c>
      <c r="AO101" s="56" t="s">
        <v>256</v>
      </c>
      <c r="AP101" s="56" t="s">
        <v>16</v>
      </c>
      <c r="AQ101" s="56" t="s">
        <v>63</v>
      </c>
    </row>
    <row r="102" spans="1:43" s="4" customFormat="1" ht="10.199999999999999" x14ac:dyDescent="0.2">
      <c r="A102" s="8"/>
      <c r="B102" s="8"/>
      <c r="C102" s="8">
        <v>1.45</v>
      </c>
      <c r="D102" s="27"/>
      <c r="E102" s="28">
        <v>88</v>
      </c>
      <c r="F102" s="29" t="s">
        <v>257</v>
      </c>
      <c r="G102" s="10" t="s">
        <v>258</v>
      </c>
      <c r="H102" s="30">
        <f t="shared" si="25"/>
        <v>0</v>
      </c>
      <c r="I102" s="52" t="str">
        <f>[1]!Plus_ang(I101,[1]!Min_ang(F102,F101))</f>
        <v xml:space="preserve"> 38° 56' 47"</v>
      </c>
      <c r="J102" s="10" t="str">
        <f>[1]!Plus_ang([1]!Plus_ang(J101,[1]!Min_ang(F102,F101)),[1]!DestoDeg(H102/3600))</f>
        <v xml:space="preserve"> 38° 56' 47"</v>
      </c>
      <c r="K102" s="31">
        <v>93.257000000000005</v>
      </c>
      <c r="L102" s="32">
        <f>[1]!Jarakdatar(K102,G102)</f>
        <v>93.245101210522918</v>
      </c>
      <c r="M102" s="33">
        <f>L102*[1]!dsin(J102)</f>
        <v>58.613213023537348</v>
      </c>
      <c r="N102" s="34">
        <f t="shared" si="26"/>
        <v>0</v>
      </c>
      <c r="O102" s="33">
        <f>L102*[1]!dcos(J102)</f>
        <v>72.519929390603352</v>
      </c>
      <c r="P102" s="34">
        <f t="shared" si="27"/>
        <v>0</v>
      </c>
      <c r="Q102" s="35">
        <f>L102/[1]!dTAN(G102)-C102+$B$97</f>
        <v>1.1596809186324681</v>
      </c>
      <c r="R102" s="34">
        <f t="shared" si="28"/>
        <v>0</v>
      </c>
      <c r="S102" s="36">
        <f t="shared" si="29"/>
        <v>9884.4588870592361</v>
      </c>
      <c r="T102" s="40">
        <f t="shared" si="30"/>
        <v>9900.4175534917104</v>
      </c>
      <c r="U102" s="37">
        <f t="shared" si="31"/>
        <v>27.520929028448336</v>
      </c>
      <c r="V102" s="38">
        <f t="shared" si="24"/>
        <v>88</v>
      </c>
      <c r="W102" s="70"/>
      <c r="X102" s="71"/>
      <c r="Y102" s="71"/>
      <c r="Z102" s="72" t="s">
        <v>16</v>
      </c>
      <c r="AB102" s="56"/>
      <c r="AC102" s="56"/>
      <c r="AD102" s="56"/>
      <c r="AE102" s="56"/>
      <c r="AF102" s="56"/>
      <c r="AG102" s="56"/>
      <c r="AH102" s="56"/>
      <c r="AI102" s="56">
        <v>10</v>
      </c>
      <c r="AJ102" s="56">
        <v>83</v>
      </c>
      <c r="AK102" s="56">
        <v>88</v>
      </c>
      <c r="AL102" s="56">
        <v>1.45</v>
      </c>
      <c r="AM102" s="56" t="s">
        <v>257</v>
      </c>
      <c r="AN102" s="56">
        <v>93.257000000000005</v>
      </c>
      <c r="AO102" s="56" t="s">
        <v>258</v>
      </c>
      <c r="AP102" s="56" t="s">
        <v>16</v>
      </c>
      <c r="AQ102" s="56" t="s">
        <v>63</v>
      </c>
    </row>
    <row r="103" spans="1:43" s="4" customFormat="1" ht="10.199999999999999" x14ac:dyDescent="0.2">
      <c r="A103" s="8"/>
      <c r="B103" s="8"/>
      <c r="C103" s="8">
        <v>1.45</v>
      </c>
      <c r="D103" s="27"/>
      <c r="E103" s="28">
        <v>89</v>
      </c>
      <c r="F103" s="29" t="s">
        <v>259</v>
      </c>
      <c r="G103" s="10" t="s">
        <v>260</v>
      </c>
      <c r="H103" s="30">
        <f t="shared" si="25"/>
        <v>0</v>
      </c>
      <c r="I103" s="52" t="str">
        <f>[1]!Plus_ang(I102,[1]!Min_ang(F103,F102))</f>
        <v xml:space="preserve"> 38° 55' 52"</v>
      </c>
      <c r="J103" s="10" t="str">
        <f>[1]!Plus_ang([1]!Plus_ang(J102,[1]!Min_ang(F103,F102)),[1]!DestoDeg(H103/3600))</f>
        <v xml:space="preserve"> 38° 55' 52"</v>
      </c>
      <c r="K103" s="31">
        <v>93.35</v>
      </c>
      <c r="L103" s="32">
        <f>[1]!Jarakdatar(K103,G103)</f>
        <v>93.337666350467757</v>
      </c>
      <c r="M103" s="33">
        <f>L103*[1]!dsin(J103)</f>
        <v>58.652040276233748</v>
      </c>
      <c r="N103" s="34">
        <f t="shared" si="26"/>
        <v>0</v>
      </c>
      <c r="O103" s="33">
        <f>L103*[1]!dcos(J103)</f>
        <v>72.607562493078476</v>
      </c>
      <c r="P103" s="34">
        <f t="shared" si="27"/>
        <v>0</v>
      </c>
      <c r="Q103" s="35">
        <f>L103/[1]!dTAN(G103)-C103+$B$97</f>
        <v>1.1874123529084735</v>
      </c>
      <c r="R103" s="34">
        <f t="shared" si="28"/>
        <v>0</v>
      </c>
      <c r="S103" s="36">
        <f t="shared" si="29"/>
        <v>9884.497714311934</v>
      </c>
      <c r="T103" s="40">
        <f t="shared" si="30"/>
        <v>9900.5051865941859</v>
      </c>
      <c r="U103" s="37">
        <f t="shared" si="31"/>
        <v>27.548660462724342</v>
      </c>
      <c r="V103" s="38">
        <f t="shared" si="24"/>
        <v>89</v>
      </c>
      <c r="W103" s="70"/>
      <c r="X103" s="71"/>
      <c r="Y103" s="71"/>
      <c r="Z103" s="72" t="s">
        <v>3</v>
      </c>
      <c r="AB103" s="56"/>
      <c r="AC103" s="56"/>
      <c r="AD103" s="56"/>
      <c r="AE103" s="56"/>
      <c r="AF103" s="56"/>
      <c r="AG103" s="56"/>
      <c r="AH103" s="56"/>
      <c r="AI103" s="56">
        <v>12</v>
      </c>
      <c r="AJ103" s="56">
        <v>83</v>
      </c>
      <c r="AK103" s="56">
        <v>89</v>
      </c>
      <c r="AL103" s="56">
        <v>1.45</v>
      </c>
      <c r="AM103" s="56" t="s">
        <v>259</v>
      </c>
      <c r="AN103" s="56">
        <v>93.35</v>
      </c>
      <c r="AO103" s="56" t="s">
        <v>260</v>
      </c>
      <c r="AP103" s="56" t="s">
        <v>3</v>
      </c>
      <c r="AQ103" s="56" t="s">
        <v>63</v>
      </c>
    </row>
    <row r="104" spans="1:43" s="4" customFormat="1" ht="10.199999999999999" x14ac:dyDescent="0.2">
      <c r="A104" s="8"/>
      <c r="B104" s="8"/>
      <c r="C104" s="8">
        <v>1.45</v>
      </c>
      <c r="D104" s="27"/>
      <c r="E104" s="28">
        <v>90</v>
      </c>
      <c r="F104" s="29" t="s">
        <v>261</v>
      </c>
      <c r="G104" s="10" t="s">
        <v>262</v>
      </c>
      <c r="H104" s="30">
        <f t="shared" si="25"/>
        <v>0</v>
      </c>
      <c r="I104" s="52" t="str">
        <f>[1]!Plus_ang(I103,[1]!Min_ang(F104,F103))</f>
        <v xml:space="preserve"> 44° 51' 47"</v>
      </c>
      <c r="J104" s="10" t="str">
        <f>[1]!Plus_ang([1]!Plus_ang(J103,[1]!Min_ang(F104,F103)),[1]!DestoDeg(H104/3600))</f>
        <v xml:space="preserve"> 44° 51' 47"</v>
      </c>
      <c r="K104" s="31">
        <v>92.355999999999995</v>
      </c>
      <c r="L104" s="32">
        <f>[1]!Jarakdatar(K104,G104)</f>
        <v>92.342398690692377</v>
      </c>
      <c r="M104" s="33">
        <f>L104*[1]!dsin(J104)</f>
        <v>65.139684074148676</v>
      </c>
      <c r="N104" s="34">
        <f t="shared" si="26"/>
        <v>0</v>
      </c>
      <c r="O104" s="33">
        <f>L104*[1]!dcos(J104)</f>
        <v>65.451815518523915</v>
      </c>
      <c r="P104" s="34">
        <f t="shared" si="27"/>
        <v>0</v>
      </c>
      <c r="Q104" s="35">
        <f>L104/[1]!dTAN(G104)-C104+$B$97</f>
        <v>1.2549732014185428</v>
      </c>
      <c r="R104" s="34">
        <f t="shared" si="28"/>
        <v>0</v>
      </c>
      <c r="S104" s="36">
        <f t="shared" si="29"/>
        <v>9890.9853581098487</v>
      </c>
      <c r="T104" s="40">
        <f t="shared" si="30"/>
        <v>9893.3494396196311</v>
      </c>
      <c r="U104" s="37">
        <f t="shared" si="31"/>
        <v>27.616221311234412</v>
      </c>
      <c r="V104" s="38">
        <f t="shared" si="24"/>
        <v>90</v>
      </c>
      <c r="W104" s="70"/>
      <c r="X104" s="71"/>
      <c r="Y104" s="71"/>
      <c r="Z104" s="72" t="s">
        <v>3</v>
      </c>
      <c r="AB104" s="56"/>
      <c r="AC104" s="56"/>
      <c r="AD104" s="56"/>
      <c r="AE104" s="56"/>
      <c r="AF104" s="56"/>
      <c r="AG104" s="56"/>
      <c r="AH104" s="56"/>
      <c r="AI104" s="56">
        <v>14</v>
      </c>
      <c r="AJ104" s="56">
        <v>83</v>
      </c>
      <c r="AK104" s="56">
        <v>90</v>
      </c>
      <c r="AL104" s="56">
        <v>1.45</v>
      </c>
      <c r="AM104" s="56" t="s">
        <v>261</v>
      </c>
      <c r="AN104" s="56">
        <v>92.355999999999995</v>
      </c>
      <c r="AO104" s="56" t="s">
        <v>262</v>
      </c>
      <c r="AP104" s="56" t="s">
        <v>3</v>
      </c>
      <c r="AQ104" s="56" t="s">
        <v>63</v>
      </c>
    </row>
    <row r="105" spans="1:43" s="4" customFormat="1" ht="10.199999999999999" x14ac:dyDescent="0.2">
      <c r="A105" s="8"/>
      <c r="B105" s="8"/>
      <c r="C105" s="8">
        <v>1.45</v>
      </c>
      <c r="D105" s="27"/>
      <c r="E105" s="28">
        <v>91</v>
      </c>
      <c r="F105" s="29" t="s">
        <v>263</v>
      </c>
      <c r="G105" s="10" t="s">
        <v>264</v>
      </c>
      <c r="H105" s="30">
        <f t="shared" si="25"/>
        <v>0</v>
      </c>
      <c r="I105" s="52" t="str">
        <f>[1]!Plus_ang(I104,[1]!Min_ang(F105,F104))</f>
        <v xml:space="preserve"> 47° 57' 44"</v>
      </c>
      <c r="J105" s="10" t="str">
        <f>[1]!Plus_ang([1]!Plus_ang(J104,[1]!Min_ang(F105,F104)),[1]!DestoDeg(H105/3600))</f>
        <v xml:space="preserve"> 47° 57' 44"</v>
      </c>
      <c r="K105" s="31">
        <v>92.951999999999998</v>
      </c>
      <c r="L105" s="32">
        <f>[1]!Jarakdatar(K105,G105)</f>
        <v>92.937367138823362</v>
      </c>
      <c r="M105" s="33">
        <f>L105*[1]!dsin(J105)</f>
        <v>69.024905529334362</v>
      </c>
      <c r="N105" s="34">
        <f t="shared" si="26"/>
        <v>0</v>
      </c>
      <c r="O105" s="33">
        <f>L105*[1]!dcos(J105)</f>
        <v>62.232761688381721</v>
      </c>
      <c r="P105" s="34">
        <f t="shared" si="27"/>
        <v>0</v>
      </c>
      <c r="Q105" s="35">
        <f>L105/[1]!dTAN(G105)-C105+$B$97</f>
        <v>-1.9792705367995254</v>
      </c>
      <c r="R105" s="34">
        <f t="shared" si="28"/>
        <v>0</v>
      </c>
      <c r="S105" s="36">
        <f t="shared" si="29"/>
        <v>9894.8705795650349</v>
      </c>
      <c r="T105" s="40">
        <f t="shared" si="30"/>
        <v>9890.1303857894891</v>
      </c>
      <c r="U105" s="37">
        <f t="shared" si="31"/>
        <v>24.381977573016343</v>
      </c>
      <c r="V105" s="38">
        <f t="shared" si="24"/>
        <v>91</v>
      </c>
      <c r="W105" s="70"/>
      <c r="X105" s="71"/>
      <c r="Y105" s="71"/>
      <c r="Z105" s="72" t="s">
        <v>3</v>
      </c>
      <c r="AB105" s="56"/>
      <c r="AC105" s="56"/>
      <c r="AD105" s="56"/>
      <c r="AE105" s="56"/>
      <c r="AF105" s="56"/>
      <c r="AG105" s="56"/>
      <c r="AH105" s="56"/>
      <c r="AI105" s="56">
        <v>16</v>
      </c>
      <c r="AJ105" s="56">
        <v>83</v>
      </c>
      <c r="AK105" s="56">
        <v>91</v>
      </c>
      <c r="AL105" s="56">
        <v>1.45</v>
      </c>
      <c r="AM105" s="56" t="s">
        <v>263</v>
      </c>
      <c r="AN105" s="56">
        <v>92.951999999999998</v>
      </c>
      <c r="AO105" s="56" t="s">
        <v>264</v>
      </c>
      <c r="AP105" s="56" t="s">
        <v>3</v>
      </c>
      <c r="AQ105" s="56" t="s">
        <v>63</v>
      </c>
    </row>
    <row r="106" spans="1:43" s="4" customFormat="1" ht="10.199999999999999" x14ac:dyDescent="0.2">
      <c r="A106" s="8"/>
      <c r="B106" s="8"/>
      <c r="C106" s="8">
        <v>1.45</v>
      </c>
      <c r="D106" s="27"/>
      <c r="E106" s="28">
        <v>92</v>
      </c>
      <c r="F106" s="29" t="s">
        <v>265</v>
      </c>
      <c r="G106" s="10" t="s">
        <v>266</v>
      </c>
      <c r="H106" s="30">
        <f t="shared" si="25"/>
        <v>0</v>
      </c>
      <c r="I106" s="52" t="str">
        <f>[1]!Plus_ang(I105,[1]!Min_ang(F106,F105))</f>
        <v xml:space="preserve"> 49° 51' 48"</v>
      </c>
      <c r="J106" s="10" t="str">
        <f>[1]!Plus_ang([1]!Plus_ang(J105,[1]!Min_ang(F106,F105)),[1]!DestoDeg(H106/3600))</f>
        <v xml:space="preserve"> 49° 51' 48"</v>
      </c>
      <c r="K106" s="31">
        <v>92.289000000000001</v>
      </c>
      <c r="L106" s="32">
        <f>[1]!Jarakdatar(K106,G106)</f>
        <v>92.272940677886055</v>
      </c>
      <c r="M106" s="33">
        <f>L106*[1]!dsin(J106)</f>
        <v>70.543496814124794</v>
      </c>
      <c r="N106" s="34">
        <f t="shared" si="26"/>
        <v>0</v>
      </c>
      <c r="O106" s="33">
        <f>L106*[1]!dcos(J106)</f>
        <v>59.480338252066502</v>
      </c>
      <c r="P106" s="34">
        <f t="shared" si="27"/>
        <v>0</v>
      </c>
      <c r="Q106" s="35">
        <f>L106/[1]!dTAN(G106)-C106+$B$97</f>
        <v>-2.051609611765087</v>
      </c>
      <c r="R106" s="34">
        <f t="shared" si="28"/>
        <v>0</v>
      </c>
      <c r="S106" s="36">
        <f t="shared" si="29"/>
        <v>9896.3891708498249</v>
      </c>
      <c r="T106" s="40">
        <f t="shared" si="30"/>
        <v>9887.3779623531736</v>
      </c>
      <c r="U106" s="37">
        <f t="shared" si="31"/>
        <v>24.309638498050781</v>
      </c>
      <c r="V106" s="38">
        <f t="shared" si="24"/>
        <v>92</v>
      </c>
      <c r="W106" s="70"/>
      <c r="X106" s="71"/>
      <c r="Y106" s="71"/>
      <c r="Z106" s="72" t="s">
        <v>3</v>
      </c>
      <c r="AB106" s="56"/>
      <c r="AC106" s="56"/>
      <c r="AD106" s="56"/>
      <c r="AE106" s="56"/>
      <c r="AF106" s="56"/>
      <c r="AG106" s="56"/>
      <c r="AH106" s="56"/>
      <c r="AI106" s="56">
        <v>18</v>
      </c>
      <c r="AJ106" s="56">
        <v>83</v>
      </c>
      <c r="AK106" s="56">
        <v>92</v>
      </c>
      <c r="AL106" s="56">
        <v>1.45</v>
      </c>
      <c r="AM106" s="56" t="s">
        <v>265</v>
      </c>
      <c r="AN106" s="56">
        <v>92.289000000000001</v>
      </c>
      <c r="AO106" s="56" t="s">
        <v>266</v>
      </c>
      <c r="AP106" s="56" t="s">
        <v>3</v>
      </c>
      <c r="AQ106" s="56" t="s">
        <v>63</v>
      </c>
    </row>
    <row r="107" spans="1:43" s="4" customFormat="1" ht="10.199999999999999" x14ac:dyDescent="0.2">
      <c r="A107" s="8"/>
      <c r="B107" s="8"/>
      <c r="C107" s="8">
        <v>1.45</v>
      </c>
      <c r="D107" s="27"/>
      <c r="E107" s="28">
        <v>93</v>
      </c>
      <c r="F107" s="29" t="s">
        <v>267</v>
      </c>
      <c r="G107" s="10" t="s">
        <v>268</v>
      </c>
      <c r="H107" s="30">
        <f t="shared" si="25"/>
        <v>0</v>
      </c>
      <c r="I107" s="52" t="str">
        <f>[1]!Plus_ang(I106,[1]!Min_ang(F107,F106))</f>
        <v xml:space="preserve"> 52° 53' 46"</v>
      </c>
      <c r="J107" s="10" t="str">
        <f>[1]!Plus_ang([1]!Plus_ang(J106,[1]!Min_ang(F107,F106)),[1]!DestoDeg(H107/3600))</f>
        <v xml:space="preserve"> 52° 53' 46"</v>
      </c>
      <c r="K107" s="31">
        <v>92.736000000000004</v>
      </c>
      <c r="L107" s="32">
        <f>[1]!Jarakdatar(K107,G107)</f>
        <v>92.673668490971167</v>
      </c>
      <c r="M107" s="33">
        <f>L107*[1]!dsin(J107)</f>
        <v>73.911234189938526</v>
      </c>
      <c r="N107" s="34">
        <f t="shared" si="26"/>
        <v>0</v>
      </c>
      <c r="O107" s="33">
        <f>L107*[1]!dcos(J107)</f>
        <v>55.906513861038448</v>
      </c>
      <c r="P107" s="34">
        <f t="shared" si="27"/>
        <v>0</v>
      </c>
      <c r="Q107" s="35">
        <f>L107/[1]!dTAN(G107)-C107+$B$97</f>
        <v>-3.7295388548416106</v>
      </c>
      <c r="R107" s="34">
        <f t="shared" si="28"/>
        <v>0</v>
      </c>
      <c r="S107" s="36">
        <f t="shared" si="29"/>
        <v>9899.7569082256377</v>
      </c>
      <c r="T107" s="40">
        <f t="shared" si="30"/>
        <v>9883.8041379621463</v>
      </c>
      <c r="U107" s="37">
        <f t="shared" si="31"/>
        <v>22.631709254974258</v>
      </c>
      <c r="V107" s="38">
        <f t="shared" si="24"/>
        <v>93</v>
      </c>
      <c r="W107" s="70"/>
      <c r="X107" s="71"/>
      <c r="Y107" s="71"/>
      <c r="Z107" s="72" t="s">
        <v>14</v>
      </c>
      <c r="AB107" s="56"/>
      <c r="AC107" s="56"/>
      <c r="AD107" s="56"/>
      <c r="AE107" s="56"/>
      <c r="AF107" s="56"/>
      <c r="AG107" s="56"/>
      <c r="AH107" s="56"/>
      <c r="AI107" s="56">
        <v>20</v>
      </c>
      <c r="AJ107" s="56">
        <v>83</v>
      </c>
      <c r="AK107" s="56">
        <v>93</v>
      </c>
      <c r="AL107" s="56">
        <v>1.45</v>
      </c>
      <c r="AM107" s="56" t="s">
        <v>267</v>
      </c>
      <c r="AN107" s="56">
        <v>92.736000000000004</v>
      </c>
      <c r="AO107" s="56" t="s">
        <v>268</v>
      </c>
      <c r="AP107" s="56" t="s">
        <v>14</v>
      </c>
      <c r="AQ107" s="56" t="s">
        <v>63</v>
      </c>
    </row>
    <row r="108" spans="1:43" s="4" customFormat="1" ht="10.199999999999999" x14ac:dyDescent="0.2">
      <c r="A108" s="8"/>
      <c r="B108" s="8"/>
      <c r="C108" s="8">
        <v>1.45</v>
      </c>
      <c r="D108" s="27"/>
      <c r="E108" s="28">
        <v>94</v>
      </c>
      <c r="F108" s="29" t="s">
        <v>269</v>
      </c>
      <c r="G108" s="10" t="s">
        <v>270</v>
      </c>
      <c r="H108" s="30">
        <f t="shared" si="25"/>
        <v>0</v>
      </c>
      <c r="I108" s="52" t="str">
        <f>[1]!Plus_ang(I107,[1]!Min_ang(F108,F107))</f>
        <v xml:space="preserve"> 52° 55' 44"</v>
      </c>
      <c r="J108" s="10" t="str">
        <f>[1]!Plus_ang([1]!Plus_ang(J107,[1]!Min_ang(F108,F107)),[1]!DestoDeg(H108/3600))</f>
        <v xml:space="preserve"> 52° 55' 44"</v>
      </c>
      <c r="K108" s="31">
        <v>92.891999999999996</v>
      </c>
      <c r="L108" s="32">
        <f>[1]!Jarakdatar(K108,G108)</f>
        <v>92.755922213324837</v>
      </c>
      <c r="M108" s="33">
        <f>L108*[1]!dsin(J108)</f>
        <v>74.008834355446126</v>
      </c>
      <c r="N108" s="34">
        <f t="shared" si="26"/>
        <v>0</v>
      </c>
      <c r="O108" s="33">
        <f>L108*[1]!dcos(J108)</f>
        <v>55.913804583416649</v>
      </c>
      <c r="P108" s="34">
        <f t="shared" si="27"/>
        <v>0</v>
      </c>
      <c r="Q108" s="35">
        <f>L108/[1]!dTAN(G108)-C108+$B$97</f>
        <v>-5.356187258313426</v>
      </c>
      <c r="R108" s="34">
        <f t="shared" si="28"/>
        <v>0</v>
      </c>
      <c r="S108" s="36">
        <f t="shared" si="29"/>
        <v>9899.8545083911449</v>
      </c>
      <c r="T108" s="40">
        <f t="shared" si="30"/>
        <v>9883.8114286845248</v>
      </c>
      <c r="U108" s="37">
        <f t="shared" si="31"/>
        <v>21.005060851502442</v>
      </c>
      <c r="V108" s="38">
        <f t="shared" si="24"/>
        <v>94</v>
      </c>
      <c r="W108" s="70"/>
      <c r="X108" s="71"/>
      <c r="Y108" s="71"/>
      <c r="Z108" s="72" t="s">
        <v>15</v>
      </c>
      <c r="AB108" s="56"/>
      <c r="AC108" s="56"/>
      <c r="AD108" s="56"/>
      <c r="AE108" s="56"/>
      <c r="AF108" s="56"/>
      <c r="AG108" s="56"/>
      <c r="AH108" s="56"/>
      <c r="AI108" s="56">
        <v>22</v>
      </c>
      <c r="AJ108" s="56">
        <v>83</v>
      </c>
      <c r="AK108" s="56">
        <v>94</v>
      </c>
      <c r="AL108" s="56">
        <v>1.45</v>
      </c>
      <c r="AM108" s="56" t="s">
        <v>269</v>
      </c>
      <c r="AN108" s="56">
        <v>92.891999999999996</v>
      </c>
      <c r="AO108" s="56" t="s">
        <v>270</v>
      </c>
      <c r="AP108" s="56" t="s">
        <v>15</v>
      </c>
      <c r="AQ108" s="56" t="s">
        <v>63</v>
      </c>
    </row>
    <row r="109" spans="1:43" s="4" customFormat="1" ht="10.199999999999999" x14ac:dyDescent="0.2">
      <c r="A109" s="8"/>
      <c r="B109" s="8"/>
      <c r="C109" s="8">
        <v>1.45</v>
      </c>
      <c r="D109" s="27"/>
      <c r="E109" s="28">
        <v>95</v>
      </c>
      <c r="F109" s="29" t="s">
        <v>271</v>
      </c>
      <c r="G109" s="10" t="s">
        <v>272</v>
      </c>
      <c r="H109" s="30">
        <f t="shared" si="25"/>
        <v>0</v>
      </c>
      <c r="I109" s="52" t="str">
        <f>[1]!Plus_ang(I108,[1]!Min_ang(F109,F108))</f>
        <v xml:space="preserve"> 52° 55' 44"</v>
      </c>
      <c r="J109" s="10" t="str">
        <f>[1]!Plus_ang([1]!Plus_ang(J108,[1]!Min_ang(F109,F108)),[1]!DestoDeg(H109/3600))</f>
        <v xml:space="preserve"> 52° 55' 44"</v>
      </c>
      <c r="K109" s="31">
        <v>92.938000000000002</v>
      </c>
      <c r="L109" s="32">
        <f>[1]!Jarakdatar(K109,G109)</f>
        <v>92.804692324131835</v>
      </c>
      <c r="M109" s="33">
        <f>L109*[1]!dsin(J109)</f>
        <v>74.047747440088969</v>
      </c>
      <c r="N109" s="34">
        <f t="shared" si="26"/>
        <v>0</v>
      </c>
      <c r="O109" s="33">
        <f>L109*[1]!dcos(J109)</f>
        <v>55.943203487336795</v>
      </c>
      <c r="P109" s="34">
        <f t="shared" si="27"/>
        <v>0</v>
      </c>
      <c r="Q109" s="35">
        <f>L109/[1]!dTAN(G109)-C109+$B$97</f>
        <v>-5.3060352313087007</v>
      </c>
      <c r="R109" s="34">
        <f t="shared" si="28"/>
        <v>0</v>
      </c>
      <c r="S109" s="36">
        <f t="shared" si="29"/>
        <v>9899.8934214757883</v>
      </c>
      <c r="T109" s="40">
        <f t="shared" si="30"/>
        <v>9883.8408275884449</v>
      </c>
      <c r="U109" s="37">
        <f t="shared" si="31"/>
        <v>21.055212878507167</v>
      </c>
      <c r="V109" s="38">
        <f t="shared" si="24"/>
        <v>95</v>
      </c>
      <c r="W109" s="70"/>
      <c r="X109" s="71"/>
      <c r="Y109" s="71"/>
      <c r="Z109" s="72" t="s">
        <v>15</v>
      </c>
      <c r="AB109" s="56"/>
      <c r="AC109" s="56"/>
      <c r="AD109" s="56"/>
      <c r="AE109" s="56"/>
      <c r="AF109" s="56"/>
      <c r="AG109" s="56"/>
      <c r="AH109" s="56"/>
      <c r="AI109" s="56">
        <v>24</v>
      </c>
      <c r="AJ109" s="56">
        <v>83</v>
      </c>
      <c r="AK109" s="56">
        <v>95</v>
      </c>
      <c r="AL109" s="56">
        <v>1.45</v>
      </c>
      <c r="AM109" s="56" t="s">
        <v>271</v>
      </c>
      <c r="AN109" s="56">
        <v>92.938000000000002</v>
      </c>
      <c r="AO109" s="56" t="s">
        <v>272</v>
      </c>
      <c r="AP109" s="56" t="s">
        <v>15</v>
      </c>
      <c r="AQ109" s="56" t="s">
        <v>63</v>
      </c>
    </row>
    <row r="110" spans="1:43" s="4" customFormat="1" ht="10.199999999999999" x14ac:dyDescent="0.2">
      <c r="A110" s="8"/>
      <c r="B110" s="8"/>
      <c r="C110" s="8">
        <v>1.45</v>
      </c>
      <c r="D110" s="27"/>
      <c r="E110" s="28">
        <v>96</v>
      </c>
      <c r="F110" s="29" t="s">
        <v>273</v>
      </c>
      <c r="G110" s="10" t="s">
        <v>274</v>
      </c>
      <c r="H110" s="30">
        <f t="shared" si="25"/>
        <v>0</v>
      </c>
      <c r="I110" s="52" t="str">
        <f>[1]!Plus_ang(I109,[1]!Min_ang(F110,F109))</f>
        <v xml:space="preserve"> 52° 50' 45"</v>
      </c>
      <c r="J110" s="10" t="str">
        <f>[1]!Plus_ang([1]!Plus_ang(J109,[1]!Min_ang(F110,F109)),[1]!DestoDeg(H110/3600))</f>
        <v xml:space="preserve"> 52° 50' 45"</v>
      </c>
      <c r="K110" s="31">
        <v>92.983000000000004</v>
      </c>
      <c r="L110" s="32">
        <f>[1]!Jarakdatar(K110,G110)</f>
        <v>92.919473704556083</v>
      </c>
      <c r="M110" s="33">
        <f>L110*[1]!dsin(J110)</f>
        <v>74.058057086242556</v>
      </c>
      <c r="N110" s="34">
        <f t="shared" si="26"/>
        <v>0</v>
      </c>
      <c r="O110" s="33">
        <f>L110*[1]!dcos(J110)</f>
        <v>56.119807324531394</v>
      </c>
      <c r="P110" s="34">
        <f t="shared" si="27"/>
        <v>0</v>
      </c>
      <c r="Q110" s="35">
        <f>L110/[1]!dTAN(G110)-C110+$B$97</f>
        <v>-3.7665237476719149</v>
      </c>
      <c r="R110" s="34">
        <f t="shared" si="28"/>
        <v>0</v>
      </c>
      <c r="S110" s="36">
        <f t="shared" si="29"/>
        <v>9899.9037311219417</v>
      </c>
      <c r="T110" s="40">
        <f t="shared" si="30"/>
        <v>9884.0174314256401</v>
      </c>
      <c r="U110" s="37">
        <f t="shared" si="31"/>
        <v>22.594724362143953</v>
      </c>
      <c r="V110" s="38">
        <f t="shared" si="24"/>
        <v>96</v>
      </c>
      <c r="W110" s="70"/>
      <c r="X110" s="71"/>
      <c r="Y110" s="71"/>
      <c r="Z110" s="72" t="s">
        <v>15</v>
      </c>
      <c r="AB110" s="56"/>
      <c r="AC110" s="56"/>
      <c r="AD110" s="56"/>
      <c r="AE110" s="56"/>
      <c r="AF110" s="56"/>
      <c r="AG110" s="56"/>
      <c r="AH110" s="56"/>
      <c r="AI110" s="56">
        <v>26</v>
      </c>
      <c r="AJ110" s="56">
        <v>83</v>
      </c>
      <c r="AK110" s="56">
        <v>96</v>
      </c>
      <c r="AL110" s="56">
        <v>1.45</v>
      </c>
      <c r="AM110" s="56" t="s">
        <v>273</v>
      </c>
      <c r="AN110" s="56">
        <v>92.983000000000004</v>
      </c>
      <c r="AO110" s="56" t="s">
        <v>274</v>
      </c>
      <c r="AP110" s="56" t="s">
        <v>15</v>
      </c>
      <c r="AQ110" s="56" t="s">
        <v>63</v>
      </c>
    </row>
    <row r="111" spans="1:43" s="4" customFormat="1" ht="10.199999999999999" x14ac:dyDescent="0.2">
      <c r="A111" s="8"/>
      <c r="B111" s="8"/>
      <c r="C111" s="8">
        <v>1.45</v>
      </c>
      <c r="D111" s="27"/>
      <c r="E111" s="28">
        <v>97</v>
      </c>
      <c r="F111" s="29" t="s">
        <v>275</v>
      </c>
      <c r="G111" s="10" t="s">
        <v>276</v>
      </c>
      <c r="H111" s="30">
        <f t="shared" si="25"/>
        <v>0</v>
      </c>
      <c r="I111" s="52" t="str">
        <f>[1]!Plus_ang(I110,[1]!Min_ang(F111,F110))</f>
        <v xml:space="preserve"> 55° 52' 44"</v>
      </c>
      <c r="J111" s="10" t="str">
        <f>[1]!Plus_ang([1]!Plus_ang(J110,[1]!Min_ang(F111,F110)),[1]!DestoDeg(H111/3600))</f>
        <v xml:space="preserve"> 55° 52' 44"</v>
      </c>
      <c r="K111" s="31">
        <v>93.528000000000006</v>
      </c>
      <c r="L111" s="32">
        <f>[1]!Jarakdatar(K111,G111)</f>
        <v>93.467049549875341</v>
      </c>
      <c r="M111" s="33">
        <f>L111*[1]!dsin(J111)</f>
        <v>77.377043384189975</v>
      </c>
      <c r="N111" s="34">
        <f t="shared" si="26"/>
        <v>0</v>
      </c>
      <c r="O111" s="33">
        <f>L111*[1]!dcos(J111)</f>
        <v>52.429786464184993</v>
      </c>
      <c r="P111" s="34">
        <f t="shared" si="27"/>
        <v>0</v>
      </c>
      <c r="Q111" s="35">
        <f>L111/[1]!dTAN(G111)-C111+$B$97</f>
        <v>-3.7060083591647306</v>
      </c>
      <c r="R111" s="34">
        <f t="shared" si="28"/>
        <v>0</v>
      </c>
      <c r="S111" s="36">
        <f t="shared" si="29"/>
        <v>9903.2227174198888</v>
      </c>
      <c r="T111" s="40">
        <f t="shared" si="30"/>
        <v>9880.3274105652927</v>
      </c>
      <c r="U111" s="37">
        <f t="shared" si="31"/>
        <v>22.655239750651138</v>
      </c>
      <c r="V111" s="38">
        <f t="shared" si="24"/>
        <v>97</v>
      </c>
      <c r="W111" s="70"/>
      <c r="X111" s="71"/>
      <c r="Y111" s="71"/>
      <c r="Z111" s="72" t="s">
        <v>3</v>
      </c>
      <c r="AB111" s="56"/>
      <c r="AC111" s="56"/>
      <c r="AD111" s="56"/>
      <c r="AE111" s="56"/>
      <c r="AF111" s="56"/>
      <c r="AG111" s="56"/>
      <c r="AH111" s="56"/>
      <c r="AI111" s="56">
        <v>28</v>
      </c>
      <c r="AJ111" s="56">
        <v>83</v>
      </c>
      <c r="AK111" s="56">
        <v>97</v>
      </c>
      <c r="AL111" s="56">
        <v>1.45</v>
      </c>
      <c r="AM111" s="56" t="s">
        <v>275</v>
      </c>
      <c r="AN111" s="56">
        <v>93.528000000000006</v>
      </c>
      <c r="AO111" s="56" t="s">
        <v>276</v>
      </c>
      <c r="AP111" s="56" t="s">
        <v>3</v>
      </c>
      <c r="AQ111" s="56" t="s">
        <v>63</v>
      </c>
    </row>
    <row r="112" spans="1:43" s="4" customFormat="1" ht="10.199999999999999" x14ac:dyDescent="0.2">
      <c r="A112" s="8"/>
      <c r="B112" s="8"/>
      <c r="C112" s="8">
        <v>1.45</v>
      </c>
      <c r="D112" s="27"/>
      <c r="E112" s="28">
        <v>98</v>
      </c>
      <c r="F112" s="29" t="s">
        <v>277</v>
      </c>
      <c r="G112" s="10" t="s">
        <v>278</v>
      </c>
      <c r="H112" s="30">
        <f t="shared" si="25"/>
        <v>0</v>
      </c>
      <c r="I112" s="52" t="str">
        <f>[1]!Plus_ang(I111,[1]!Min_ang(F112,F111))</f>
        <v xml:space="preserve"> 55° 58' 47"</v>
      </c>
      <c r="J112" s="10" t="str">
        <f>[1]!Plus_ang([1]!Plus_ang(J111,[1]!Min_ang(F112,F111)),[1]!DestoDeg(H112/3600))</f>
        <v xml:space="preserve"> 55° 58' 47"</v>
      </c>
      <c r="K112" s="31">
        <v>93.744</v>
      </c>
      <c r="L112" s="32">
        <f>[1]!Jarakdatar(K112,G112)</f>
        <v>93.61536055123662</v>
      </c>
      <c r="M112" s="33">
        <f>L112*[1]!dsin(J112)</f>
        <v>77.592119345743384</v>
      </c>
      <c r="N112" s="34">
        <f t="shared" si="26"/>
        <v>0</v>
      </c>
      <c r="O112" s="33">
        <f>L112*[1]!dcos(J112)</f>
        <v>52.376509492079975</v>
      </c>
      <c r="P112" s="34">
        <f t="shared" si="27"/>
        <v>0</v>
      </c>
      <c r="Q112" s="35">
        <f>L112/[1]!dTAN(G112)-C112+$B$97</f>
        <v>-5.2393589053940168</v>
      </c>
      <c r="R112" s="34">
        <f t="shared" si="28"/>
        <v>0</v>
      </c>
      <c r="S112" s="36">
        <f t="shared" si="29"/>
        <v>9903.437793381443</v>
      </c>
      <c r="T112" s="40">
        <f t="shared" si="30"/>
        <v>9880.2741335931878</v>
      </c>
      <c r="U112" s="37">
        <f t="shared" si="31"/>
        <v>21.121889204421851</v>
      </c>
      <c r="V112" s="38">
        <f t="shared" si="24"/>
        <v>98</v>
      </c>
      <c r="W112" s="70"/>
      <c r="X112" s="71"/>
      <c r="Y112" s="71"/>
      <c r="Z112" s="72" t="s">
        <v>64</v>
      </c>
      <c r="AB112" s="56"/>
      <c r="AC112" s="56"/>
      <c r="AD112" s="56"/>
      <c r="AE112" s="56"/>
      <c r="AF112" s="56"/>
      <c r="AG112" s="56"/>
      <c r="AH112" s="56"/>
      <c r="AI112" s="56">
        <v>30</v>
      </c>
      <c r="AJ112" s="56">
        <v>83</v>
      </c>
      <c r="AK112" s="56">
        <v>98</v>
      </c>
      <c r="AL112" s="56">
        <v>1.45</v>
      </c>
      <c r="AM112" s="56" t="s">
        <v>277</v>
      </c>
      <c r="AN112" s="56">
        <v>93.744</v>
      </c>
      <c r="AO112" s="56" t="s">
        <v>278</v>
      </c>
      <c r="AP112" s="56" t="s">
        <v>64</v>
      </c>
      <c r="AQ112" s="56" t="s">
        <v>63</v>
      </c>
    </row>
    <row r="113" spans="1:43" s="4" customFormat="1" ht="10.199999999999999" x14ac:dyDescent="0.2">
      <c r="A113" s="8"/>
      <c r="B113" s="8"/>
      <c r="C113" s="8">
        <v>1.45</v>
      </c>
      <c r="D113" s="27"/>
      <c r="E113" s="28">
        <v>99</v>
      </c>
      <c r="F113" s="29" t="s">
        <v>279</v>
      </c>
      <c r="G113" s="10" t="s">
        <v>280</v>
      </c>
      <c r="H113" s="30">
        <f t="shared" si="25"/>
        <v>0</v>
      </c>
      <c r="I113" s="52" t="str">
        <f>[1]!Plus_ang(I112,[1]!Min_ang(F113,F112))</f>
        <v xml:space="preserve"> 83° 56' 51"</v>
      </c>
      <c r="J113" s="10" t="str">
        <f>[1]!Plus_ang([1]!Plus_ang(J112,[1]!Min_ang(F113,F112)),[1]!DestoDeg(H113/3600))</f>
        <v xml:space="preserve"> 83° 56' 51"</v>
      </c>
      <c r="K113" s="31">
        <v>115.657</v>
      </c>
      <c r="L113" s="32">
        <f>[1]!Jarakdatar(K113,G113)</f>
        <v>115.65668421933142</v>
      </c>
      <c r="M113" s="33">
        <f>L113*[1]!dsin(J113)</f>
        <v>115.01197901108267</v>
      </c>
      <c r="N113" s="34">
        <f t="shared" si="26"/>
        <v>0</v>
      </c>
      <c r="O113" s="33">
        <f>L113*[1]!dcos(J113)</f>
        <v>12.194805802653251</v>
      </c>
      <c r="P113" s="34">
        <f t="shared" si="27"/>
        <v>0</v>
      </c>
      <c r="Q113" s="35">
        <f>L113/[1]!dTAN(G113)-C113+$B$97</f>
        <v>-0.60026725634318479</v>
      </c>
      <c r="R113" s="34">
        <f t="shared" si="28"/>
        <v>0</v>
      </c>
      <c r="S113" s="36">
        <f t="shared" si="29"/>
        <v>9940.8576530467817</v>
      </c>
      <c r="T113" s="40">
        <f t="shared" si="30"/>
        <v>9840.0924299037615</v>
      </c>
      <c r="U113" s="37">
        <f t="shared" si="31"/>
        <v>25.760980853472685</v>
      </c>
      <c r="V113" s="38">
        <f t="shared" si="24"/>
        <v>99</v>
      </c>
      <c r="W113" s="70"/>
      <c r="X113" s="71"/>
      <c r="Y113" s="71"/>
      <c r="Z113" s="72" t="s">
        <v>3</v>
      </c>
      <c r="AB113" s="56"/>
      <c r="AC113" s="56"/>
      <c r="AD113" s="56"/>
      <c r="AE113" s="56"/>
      <c r="AF113" s="56"/>
      <c r="AG113" s="56"/>
      <c r="AH113" s="56"/>
      <c r="AI113" s="56">
        <v>32</v>
      </c>
      <c r="AJ113" s="56">
        <v>83</v>
      </c>
      <c r="AK113" s="56">
        <v>99</v>
      </c>
      <c r="AL113" s="56">
        <v>1.45</v>
      </c>
      <c r="AM113" s="56" t="s">
        <v>279</v>
      </c>
      <c r="AN113" s="56">
        <v>115.657</v>
      </c>
      <c r="AO113" s="56" t="s">
        <v>280</v>
      </c>
      <c r="AP113" s="56" t="s">
        <v>3</v>
      </c>
      <c r="AQ113" s="56" t="s">
        <v>63</v>
      </c>
    </row>
    <row r="114" spans="1:43" s="4" customFormat="1" ht="10.199999999999999" x14ac:dyDescent="0.2">
      <c r="A114" s="8"/>
      <c r="B114" s="8"/>
      <c r="C114" s="8">
        <v>1.45</v>
      </c>
      <c r="D114" s="27"/>
      <c r="E114" s="28">
        <v>100</v>
      </c>
      <c r="F114" s="29" t="s">
        <v>281</v>
      </c>
      <c r="G114" s="10" t="s">
        <v>282</v>
      </c>
      <c r="H114" s="30">
        <f t="shared" si="25"/>
        <v>0</v>
      </c>
      <c r="I114" s="52" t="str">
        <f>[1]!Plus_ang(I113,[1]!Min_ang(F114,F113))</f>
        <v xml:space="preserve"> 80° 58' 44"</v>
      </c>
      <c r="J114" s="10" t="str">
        <f>[1]!Plus_ang([1]!Plus_ang(J113,[1]!Min_ang(F114,F113)),[1]!DestoDeg(H114/3600))</f>
        <v xml:space="preserve"> 80° 58' 44"</v>
      </c>
      <c r="K114" s="31">
        <v>111.92700000000001</v>
      </c>
      <c r="L114" s="32">
        <f>[1]!Jarakdatar(K114,G114)</f>
        <v>111.92699494364012</v>
      </c>
      <c r="M114" s="33">
        <f>L114*[1]!dsin(J114)</f>
        <v>110.54252897331841</v>
      </c>
      <c r="N114" s="34">
        <f t="shared" si="26"/>
        <v>0</v>
      </c>
      <c r="O114" s="33">
        <f>L114*[1]!dcos(J114)</f>
        <v>17.549971091050281</v>
      </c>
      <c r="P114" s="34">
        <f t="shared" si="27"/>
        <v>0</v>
      </c>
      <c r="Q114" s="35">
        <f>L114/[1]!dTAN(G114)-C114+$B$97</f>
        <v>-0.36364351884240609</v>
      </c>
      <c r="R114" s="34">
        <f t="shared" si="28"/>
        <v>0</v>
      </c>
      <c r="S114" s="36">
        <f t="shared" si="29"/>
        <v>9936.3882030090172</v>
      </c>
      <c r="T114" s="40">
        <f t="shared" si="30"/>
        <v>9845.4475951921577</v>
      </c>
      <c r="U114" s="37">
        <f t="shared" si="31"/>
        <v>25.997604590973463</v>
      </c>
      <c r="V114" s="38">
        <f t="shared" si="24"/>
        <v>100</v>
      </c>
      <c r="W114" s="70"/>
      <c r="X114" s="71"/>
      <c r="Y114" s="71"/>
      <c r="Z114" s="72" t="s">
        <v>3</v>
      </c>
      <c r="AB114" s="56"/>
      <c r="AC114" s="56"/>
      <c r="AD114" s="56"/>
      <c r="AE114" s="56"/>
      <c r="AF114" s="56"/>
      <c r="AG114" s="56"/>
      <c r="AH114" s="56"/>
      <c r="AI114" s="56">
        <v>34</v>
      </c>
      <c r="AJ114" s="56">
        <v>83</v>
      </c>
      <c r="AK114" s="56">
        <v>100</v>
      </c>
      <c r="AL114" s="56">
        <v>1.45</v>
      </c>
      <c r="AM114" s="56" t="s">
        <v>281</v>
      </c>
      <c r="AN114" s="56">
        <v>111.92700000000001</v>
      </c>
      <c r="AO114" s="56" t="s">
        <v>282</v>
      </c>
      <c r="AP114" s="56" t="s">
        <v>3</v>
      </c>
      <c r="AQ114" s="56" t="s">
        <v>63</v>
      </c>
    </row>
    <row r="115" spans="1:43" s="4" customFormat="1" ht="10.199999999999999" x14ac:dyDescent="0.2">
      <c r="A115" s="8"/>
      <c r="B115" s="8"/>
      <c r="C115" s="8">
        <v>1.45</v>
      </c>
      <c r="D115" s="27"/>
      <c r="E115" s="28">
        <v>101</v>
      </c>
      <c r="F115" s="29" t="s">
        <v>283</v>
      </c>
      <c r="G115" s="10" t="s">
        <v>284</v>
      </c>
      <c r="H115" s="30">
        <f t="shared" si="25"/>
        <v>0</v>
      </c>
      <c r="I115" s="52" t="str">
        <f>[1]!Plus_ang(I114,[1]!Min_ang(F115,F114))</f>
        <v xml:space="preserve"> 78° 57' 46"</v>
      </c>
      <c r="J115" s="10" t="str">
        <f>[1]!Plus_ang([1]!Plus_ang(J114,[1]!Min_ang(F115,F114)),[1]!DestoDeg(H115/3600))</f>
        <v xml:space="preserve"> 78° 57' 46"</v>
      </c>
      <c r="K115" s="31">
        <v>109.482</v>
      </c>
      <c r="L115" s="32">
        <f>[1]!Jarakdatar(K115,G115)</f>
        <v>109.40492856937742</v>
      </c>
      <c r="M115" s="33">
        <f>L115*[1]!dsin(J115)</f>
        <v>107.38126748557502</v>
      </c>
      <c r="N115" s="34">
        <f t="shared" si="26"/>
        <v>0</v>
      </c>
      <c r="O115" s="33">
        <f>L115*[1]!dcos(J115)</f>
        <v>20.945209200720946</v>
      </c>
      <c r="P115" s="34">
        <f t="shared" si="27"/>
        <v>0</v>
      </c>
      <c r="Q115" s="35">
        <f>L115/[1]!dTAN(G115)-C115+$B$97</f>
        <v>-4.4373018795100583</v>
      </c>
      <c r="R115" s="34">
        <f t="shared" si="28"/>
        <v>0</v>
      </c>
      <c r="S115" s="36">
        <f t="shared" si="29"/>
        <v>9933.2269415212741</v>
      </c>
      <c r="T115" s="40">
        <f t="shared" si="30"/>
        <v>9848.8428333018292</v>
      </c>
      <c r="U115" s="37">
        <f t="shared" si="31"/>
        <v>21.923946230305809</v>
      </c>
      <c r="V115" s="38">
        <f t="shared" si="24"/>
        <v>101</v>
      </c>
      <c r="W115" s="70"/>
      <c r="X115" s="71"/>
      <c r="Y115" s="71"/>
      <c r="Z115" s="72" t="s">
        <v>14</v>
      </c>
      <c r="AB115" s="56"/>
      <c r="AC115" s="56"/>
      <c r="AD115" s="56"/>
      <c r="AE115" s="56"/>
      <c r="AF115" s="56"/>
      <c r="AG115" s="56"/>
      <c r="AH115" s="56"/>
      <c r="AI115" s="56">
        <v>36</v>
      </c>
      <c r="AJ115" s="56">
        <v>83</v>
      </c>
      <c r="AK115" s="56">
        <v>101</v>
      </c>
      <c r="AL115" s="56">
        <v>1.45</v>
      </c>
      <c r="AM115" s="56" t="s">
        <v>283</v>
      </c>
      <c r="AN115" s="56">
        <v>109.482</v>
      </c>
      <c r="AO115" s="56" t="s">
        <v>284</v>
      </c>
      <c r="AP115" s="56" t="s">
        <v>14</v>
      </c>
      <c r="AQ115" s="56" t="s">
        <v>63</v>
      </c>
    </row>
    <row r="116" spans="1:43" s="4" customFormat="1" ht="10.199999999999999" x14ac:dyDescent="0.2">
      <c r="A116" s="8"/>
      <c r="B116" s="8"/>
      <c r="C116" s="8">
        <v>1.45</v>
      </c>
      <c r="D116" s="27"/>
      <c r="E116" s="28">
        <v>102</v>
      </c>
      <c r="F116" s="29" t="s">
        <v>285</v>
      </c>
      <c r="G116" s="10" t="s">
        <v>286</v>
      </c>
      <c r="H116" s="30">
        <f t="shared" si="25"/>
        <v>0</v>
      </c>
      <c r="I116" s="52" t="str">
        <f>[1]!Plus_ang(I115,[1]!Min_ang(F116,F115))</f>
        <v xml:space="preserve"> 78° 54' 46"</v>
      </c>
      <c r="J116" s="10" t="str">
        <f>[1]!Plus_ang([1]!Plus_ang(J115,[1]!Min_ang(F116,F115)),[1]!DestoDeg(H116/3600))</f>
        <v xml:space="preserve"> 78° 54' 46"</v>
      </c>
      <c r="K116" s="31">
        <v>109.437</v>
      </c>
      <c r="L116" s="32">
        <f>[1]!Jarakdatar(K116,G116)</f>
        <v>109.3645475441422</v>
      </c>
      <c r="M116" s="33">
        <f>L116*[1]!dsin(J116)</f>
        <v>107.32332112038038</v>
      </c>
      <c r="N116" s="34">
        <f t="shared" si="26"/>
        <v>0</v>
      </c>
      <c r="O116" s="33">
        <f>L116*[1]!dcos(J116)</f>
        <v>21.031143649993275</v>
      </c>
      <c r="P116" s="34">
        <f t="shared" si="27"/>
        <v>0</v>
      </c>
      <c r="Q116" s="35">
        <f>L116/[1]!dTAN(G116)-C116+$B$97</f>
        <v>-4.3115461148978964</v>
      </c>
      <c r="R116" s="34">
        <f t="shared" si="28"/>
        <v>0</v>
      </c>
      <c r="S116" s="36">
        <f t="shared" si="29"/>
        <v>9933.1689951560802</v>
      </c>
      <c r="T116" s="40">
        <f t="shared" si="30"/>
        <v>9848.9287677511002</v>
      </c>
      <c r="U116" s="37">
        <f t="shared" si="31"/>
        <v>22.049701994917971</v>
      </c>
      <c r="V116" s="38">
        <f t="shared" si="24"/>
        <v>102</v>
      </c>
      <c r="W116" s="70"/>
      <c r="X116" s="71"/>
      <c r="Y116" s="71"/>
      <c r="Z116" s="72" t="s">
        <v>15</v>
      </c>
      <c r="AB116" s="56"/>
      <c r="AC116" s="56"/>
      <c r="AD116" s="56"/>
      <c r="AE116" s="56"/>
      <c r="AF116" s="56"/>
      <c r="AG116" s="56"/>
      <c r="AH116" s="56"/>
      <c r="AI116" s="56">
        <v>38</v>
      </c>
      <c r="AJ116" s="56">
        <v>83</v>
      </c>
      <c r="AK116" s="56">
        <v>102</v>
      </c>
      <c r="AL116" s="56">
        <v>1.45</v>
      </c>
      <c r="AM116" s="56" t="s">
        <v>285</v>
      </c>
      <c r="AN116" s="56">
        <v>109.437</v>
      </c>
      <c r="AO116" s="56" t="s">
        <v>286</v>
      </c>
      <c r="AP116" s="56" t="s">
        <v>15</v>
      </c>
      <c r="AQ116" s="56" t="s">
        <v>63</v>
      </c>
    </row>
    <row r="117" spans="1:43" s="4" customFormat="1" ht="10.199999999999999" x14ac:dyDescent="0.2">
      <c r="A117" s="8"/>
      <c r="B117" s="8"/>
      <c r="C117" s="8">
        <v>1.45</v>
      </c>
      <c r="D117" s="27"/>
      <c r="E117" s="28">
        <v>103</v>
      </c>
      <c r="F117" s="29" t="s">
        <v>287</v>
      </c>
      <c r="G117" s="10" t="s">
        <v>288</v>
      </c>
      <c r="H117" s="30">
        <f t="shared" si="25"/>
        <v>0</v>
      </c>
      <c r="I117" s="52" t="str">
        <f>[1]!Plus_ang(I116,[1]!Min_ang(F117,F116))</f>
        <v xml:space="preserve"> 78° 56' 44"</v>
      </c>
      <c r="J117" s="10" t="str">
        <f>[1]!Plus_ang([1]!Plus_ang(J116,[1]!Min_ang(F117,F116)),[1]!DestoDeg(H117/3600))</f>
        <v xml:space="preserve"> 78° 56' 44"</v>
      </c>
      <c r="K117" s="31">
        <v>109.214</v>
      </c>
      <c r="L117" s="32">
        <f>[1]!Jarakdatar(K117,G117)</f>
        <v>109.14173370302262</v>
      </c>
      <c r="M117" s="33">
        <f>L117*[1]!dsin(J117)</f>
        <v>107.11665543182208</v>
      </c>
      <c r="N117" s="34">
        <f t="shared" si="26"/>
        <v>0</v>
      </c>
      <c r="O117" s="33">
        <f>L117*[1]!dcos(J117)</f>
        <v>20.927019969451123</v>
      </c>
      <c r="P117" s="34">
        <f t="shared" si="27"/>
        <v>0</v>
      </c>
      <c r="Q117" s="35">
        <f>L117/[1]!dTAN(G117)-C117+$B$97</f>
        <v>-4.3023746422631248</v>
      </c>
      <c r="R117" s="34">
        <f t="shared" si="28"/>
        <v>0</v>
      </c>
      <c r="S117" s="36">
        <f t="shared" si="29"/>
        <v>9932.9623294675221</v>
      </c>
      <c r="T117" s="40">
        <f t="shared" si="30"/>
        <v>9848.8246440705589</v>
      </c>
      <c r="U117" s="37">
        <f t="shared" si="31"/>
        <v>22.058873467552743</v>
      </c>
      <c r="V117" s="38">
        <f t="shared" si="24"/>
        <v>103</v>
      </c>
      <c r="W117" s="70"/>
      <c r="X117" s="71"/>
      <c r="Y117" s="71"/>
      <c r="Z117" s="72" t="s">
        <v>15</v>
      </c>
      <c r="AB117" s="56"/>
      <c r="AC117" s="56"/>
      <c r="AD117" s="56"/>
      <c r="AE117" s="56"/>
      <c r="AF117" s="56"/>
      <c r="AG117" s="56"/>
      <c r="AH117" s="56"/>
      <c r="AI117" s="56">
        <v>40</v>
      </c>
      <c r="AJ117" s="56">
        <v>83</v>
      </c>
      <c r="AK117" s="56">
        <v>103</v>
      </c>
      <c r="AL117" s="56">
        <v>1.45</v>
      </c>
      <c r="AM117" s="56" t="s">
        <v>287</v>
      </c>
      <c r="AN117" s="56">
        <v>109.214</v>
      </c>
      <c r="AO117" s="56" t="s">
        <v>288</v>
      </c>
      <c r="AP117" s="56" t="s">
        <v>15</v>
      </c>
      <c r="AQ117" s="56" t="s">
        <v>63</v>
      </c>
    </row>
    <row r="118" spans="1:43" s="4" customFormat="1" ht="10.199999999999999" x14ac:dyDescent="0.2">
      <c r="A118" s="8"/>
      <c r="B118" s="8"/>
      <c r="C118" s="8">
        <v>1.45</v>
      </c>
      <c r="D118" s="27"/>
      <c r="E118" s="28">
        <v>104</v>
      </c>
      <c r="F118" s="29" t="s">
        <v>289</v>
      </c>
      <c r="G118" s="10" t="s">
        <v>290</v>
      </c>
      <c r="H118" s="30">
        <f t="shared" si="25"/>
        <v>0</v>
      </c>
      <c r="I118" s="52" t="str">
        <f>[1]!Plus_ang(I117,[1]!Min_ang(F118,F117))</f>
        <v xml:space="preserve"> 78° 52' 49"</v>
      </c>
      <c r="J118" s="10" t="str">
        <f>[1]!Plus_ang([1]!Plus_ang(J117,[1]!Min_ang(F118,F117)),[1]!DestoDeg(H118/3600))</f>
        <v xml:space="preserve"> 78° 52' 49"</v>
      </c>
      <c r="K118" s="31">
        <v>109.09699999999999</v>
      </c>
      <c r="L118" s="32">
        <f>[1]!Jarakdatar(K118,G118)</f>
        <v>109.02825121984451</v>
      </c>
      <c r="M118" s="33">
        <f>L118*[1]!dsin(J118)</f>
        <v>106.9813915072147</v>
      </c>
      <c r="N118" s="34">
        <f t="shared" si="26"/>
        <v>0</v>
      </c>
      <c r="O118" s="33">
        <f>L118*[1]!dcos(J118)</f>
        <v>21.027159466689227</v>
      </c>
      <c r="P118" s="34">
        <f t="shared" si="27"/>
        <v>0</v>
      </c>
      <c r="Q118" s="35">
        <f>L118/[1]!dTAN(G118)-C118+$B$97</f>
        <v>-4.2024468934348285</v>
      </c>
      <c r="R118" s="34">
        <f t="shared" si="28"/>
        <v>0</v>
      </c>
      <c r="S118" s="36">
        <f t="shared" si="29"/>
        <v>9932.8270655429151</v>
      </c>
      <c r="T118" s="40">
        <f t="shared" si="30"/>
        <v>9848.9247835677961</v>
      </c>
      <c r="U118" s="37">
        <f t="shared" si="31"/>
        <v>22.15880121638104</v>
      </c>
      <c r="V118" s="38">
        <f t="shared" si="24"/>
        <v>104</v>
      </c>
      <c r="W118" s="70"/>
      <c r="X118" s="71"/>
      <c r="Y118" s="71"/>
      <c r="Z118" s="72" t="s">
        <v>14</v>
      </c>
      <c r="AB118" s="56"/>
      <c r="AC118" s="56"/>
      <c r="AD118" s="56"/>
      <c r="AE118" s="56"/>
      <c r="AF118" s="56"/>
      <c r="AG118" s="56"/>
      <c r="AH118" s="56"/>
      <c r="AI118" s="56">
        <v>42</v>
      </c>
      <c r="AJ118" s="56">
        <v>83</v>
      </c>
      <c r="AK118" s="56">
        <v>104</v>
      </c>
      <c r="AL118" s="56">
        <v>1.45</v>
      </c>
      <c r="AM118" s="56" t="s">
        <v>289</v>
      </c>
      <c r="AN118" s="56">
        <v>109.09699999999999</v>
      </c>
      <c r="AO118" s="56" t="s">
        <v>290</v>
      </c>
      <c r="AP118" s="56" t="s">
        <v>14</v>
      </c>
      <c r="AQ118" s="56" t="s">
        <v>63</v>
      </c>
    </row>
    <row r="119" spans="1:43" s="4" customFormat="1" ht="10.199999999999999" x14ac:dyDescent="0.2">
      <c r="A119" s="8"/>
      <c r="B119" s="8"/>
      <c r="C119" s="8">
        <v>1.45</v>
      </c>
      <c r="D119" s="27"/>
      <c r="E119" s="28">
        <v>105</v>
      </c>
      <c r="F119" s="29" t="s">
        <v>291</v>
      </c>
      <c r="G119" s="10" t="s">
        <v>292</v>
      </c>
      <c r="H119" s="30">
        <f t="shared" si="25"/>
        <v>0</v>
      </c>
      <c r="I119" s="52" t="str">
        <f>[1]!Plus_ang(I118,[1]!Min_ang(F119,F118))</f>
        <v xml:space="preserve"> 78° 59' 50"</v>
      </c>
      <c r="J119" s="10" t="str">
        <f>[1]!Plus_ang([1]!Plus_ang(J118,[1]!Min_ang(F119,F118)),[1]!DestoDeg(H119/3600))</f>
        <v xml:space="preserve"> 78° 59' 50"</v>
      </c>
      <c r="K119" s="31">
        <v>109.05200000000001</v>
      </c>
      <c r="L119" s="32">
        <f>[1]!Jarakdatar(K119,G119)</f>
        <v>108.98104730727081</v>
      </c>
      <c r="M119" s="33">
        <f>L119*[1]!dsin(J119)</f>
        <v>106.97775024277017</v>
      </c>
      <c r="N119" s="34">
        <f t="shared" si="26"/>
        <v>0</v>
      </c>
      <c r="O119" s="33">
        <f>L119*[1]!dcos(J119)</f>
        <v>20.799750603915545</v>
      </c>
      <c r="P119" s="34">
        <f t="shared" si="27"/>
        <v>0</v>
      </c>
      <c r="Q119" s="35">
        <f>L119/[1]!dTAN(G119)-C119+$B$97</f>
        <v>-4.2631961316977582</v>
      </c>
      <c r="R119" s="34">
        <f t="shared" si="28"/>
        <v>0</v>
      </c>
      <c r="S119" s="36">
        <f t="shared" si="29"/>
        <v>9932.8234242784692</v>
      </c>
      <c r="T119" s="40">
        <f t="shared" si="30"/>
        <v>9848.6973747050233</v>
      </c>
      <c r="U119" s="37">
        <f t="shared" si="31"/>
        <v>22.098051978118111</v>
      </c>
      <c r="V119" s="38">
        <f t="shared" si="24"/>
        <v>105</v>
      </c>
      <c r="W119" s="70"/>
      <c r="X119" s="71"/>
      <c r="Y119" s="71"/>
      <c r="Z119" s="72" t="s">
        <v>14</v>
      </c>
      <c r="AB119" s="56"/>
      <c r="AC119" s="56"/>
      <c r="AD119" s="56"/>
      <c r="AE119" s="56"/>
      <c r="AF119" s="56"/>
      <c r="AG119" s="56"/>
      <c r="AH119" s="56"/>
      <c r="AI119" s="56">
        <v>44</v>
      </c>
      <c r="AJ119" s="56">
        <v>83</v>
      </c>
      <c r="AK119" s="56">
        <v>105</v>
      </c>
      <c r="AL119" s="56">
        <v>1.45</v>
      </c>
      <c r="AM119" s="56" t="s">
        <v>291</v>
      </c>
      <c r="AN119" s="56">
        <v>109.05200000000001</v>
      </c>
      <c r="AO119" s="56" t="s">
        <v>292</v>
      </c>
      <c r="AP119" s="56" t="s">
        <v>14</v>
      </c>
      <c r="AQ119" s="56" t="s">
        <v>63</v>
      </c>
    </row>
    <row r="120" spans="1:43" s="4" customFormat="1" ht="10.199999999999999" x14ac:dyDescent="0.2">
      <c r="A120" s="8"/>
      <c r="B120" s="8"/>
      <c r="C120" s="8">
        <v>1.45</v>
      </c>
      <c r="D120" s="27"/>
      <c r="E120" s="28">
        <v>106</v>
      </c>
      <c r="F120" s="29" t="s">
        <v>293</v>
      </c>
      <c r="G120" s="10" t="s">
        <v>294</v>
      </c>
      <c r="H120" s="30">
        <f t="shared" si="25"/>
        <v>0</v>
      </c>
      <c r="I120" s="52" t="str">
        <f>[1]!Plus_ang(I119,[1]!Min_ang(F120,F119))</f>
        <v xml:space="preserve"> 78° 55' 45"</v>
      </c>
      <c r="J120" s="10" t="str">
        <f>[1]!Plus_ang([1]!Plus_ang(J119,[1]!Min_ang(F120,F119)),[1]!DestoDeg(H120/3600))</f>
        <v xml:space="preserve"> 78° 55' 45"</v>
      </c>
      <c r="K120" s="31">
        <v>108.94799999999999</v>
      </c>
      <c r="L120" s="32">
        <f>[1]!Jarakdatar(K120,G120)</f>
        <v>108.87709592120476</v>
      </c>
      <c r="M120" s="33">
        <f>L120*[1]!dsin(J120)</f>
        <v>106.85095206765835</v>
      </c>
      <c r="N120" s="34">
        <f t="shared" si="26"/>
        <v>0</v>
      </c>
      <c r="O120" s="33">
        <f>L120*[1]!dcos(J120)</f>
        <v>20.906842384018642</v>
      </c>
      <c r="P120" s="34">
        <f t="shared" si="27"/>
        <v>0</v>
      </c>
      <c r="Q120" s="35">
        <f>L120/[1]!dTAN(G120)-C120+$B$97</f>
        <v>-4.2599729979704239</v>
      </c>
      <c r="R120" s="34">
        <f t="shared" si="28"/>
        <v>0</v>
      </c>
      <c r="S120" s="36">
        <f t="shared" si="29"/>
        <v>9932.6966261033576</v>
      </c>
      <c r="T120" s="40">
        <f t="shared" si="30"/>
        <v>9848.8044664851259</v>
      </c>
      <c r="U120" s="37">
        <f t="shared" si="31"/>
        <v>22.101275111845446</v>
      </c>
      <c r="V120" s="38">
        <f t="shared" si="24"/>
        <v>106</v>
      </c>
      <c r="W120" s="70"/>
      <c r="X120" s="71"/>
      <c r="Y120" s="71"/>
      <c r="Z120" s="72" t="s">
        <v>14</v>
      </c>
      <c r="AB120" s="56"/>
      <c r="AC120" s="56"/>
      <c r="AD120" s="56"/>
      <c r="AE120" s="56"/>
      <c r="AF120" s="56"/>
      <c r="AG120" s="56"/>
      <c r="AH120" s="56"/>
      <c r="AI120" s="56">
        <v>46</v>
      </c>
      <c r="AJ120" s="56">
        <v>83</v>
      </c>
      <c r="AK120" s="56">
        <v>106</v>
      </c>
      <c r="AL120" s="56">
        <v>1.45</v>
      </c>
      <c r="AM120" s="56" t="s">
        <v>293</v>
      </c>
      <c r="AN120" s="56">
        <v>108.94799999999999</v>
      </c>
      <c r="AO120" s="56" t="s">
        <v>294</v>
      </c>
      <c r="AP120" s="56" t="s">
        <v>14</v>
      </c>
      <c r="AQ120" s="56" t="s">
        <v>63</v>
      </c>
    </row>
    <row r="121" spans="1:43" s="4" customFormat="1" ht="10.199999999999999" x14ac:dyDescent="0.2">
      <c r="A121" s="8"/>
      <c r="B121" s="8"/>
      <c r="C121" s="8">
        <v>1.45</v>
      </c>
      <c r="D121" s="27"/>
      <c r="E121" s="28">
        <v>107</v>
      </c>
      <c r="F121" s="29" t="s">
        <v>295</v>
      </c>
      <c r="G121" s="10" t="s">
        <v>296</v>
      </c>
      <c r="H121" s="30">
        <f t="shared" si="25"/>
        <v>0</v>
      </c>
      <c r="I121" s="52" t="str">
        <f>[1]!Plus_ang(I120,[1]!Min_ang(F121,F120))</f>
        <v xml:space="preserve"> 78° 53' 51"</v>
      </c>
      <c r="J121" s="10" t="str">
        <f>[1]!Plus_ang([1]!Plus_ang(J120,[1]!Min_ang(F121,F120)),[1]!DestoDeg(H121/3600))</f>
        <v xml:space="preserve"> 78° 53' 51"</v>
      </c>
      <c r="K121" s="31">
        <v>108.839</v>
      </c>
      <c r="L121" s="32">
        <f>[1]!Jarakdatar(K121,G121)</f>
        <v>108.7692665301289</v>
      </c>
      <c r="M121" s="33">
        <f>L121*[1]!dsin(J121)</f>
        <v>106.73356951172346</v>
      </c>
      <c r="N121" s="34">
        <f t="shared" si="26"/>
        <v>0</v>
      </c>
      <c r="O121" s="33">
        <f>L121*[1]!dcos(J121)</f>
        <v>20.945130240423776</v>
      </c>
      <c r="P121" s="34">
        <f t="shared" si="27"/>
        <v>0</v>
      </c>
      <c r="Q121" s="35">
        <f>L121/[1]!dTAN(G121)-C121+$B$97</f>
        <v>-4.2254562631070014</v>
      </c>
      <c r="R121" s="34">
        <f t="shared" si="28"/>
        <v>0</v>
      </c>
      <c r="S121" s="36">
        <f t="shared" si="29"/>
        <v>9932.5792435474232</v>
      </c>
      <c r="T121" s="40">
        <f t="shared" si="30"/>
        <v>9848.842754341531</v>
      </c>
      <c r="U121" s="37">
        <f t="shared" si="31"/>
        <v>22.135791846708866</v>
      </c>
      <c r="V121" s="38">
        <f t="shared" si="24"/>
        <v>107</v>
      </c>
      <c r="W121" s="70"/>
      <c r="X121" s="71"/>
      <c r="Y121" s="71"/>
      <c r="Z121" s="72" t="s">
        <v>66</v>
      </c>
      <c r="AB121" s="56"/>
      <c r="AC121" s="56"/>
      <c r="AD121" s="56"/>
      <c r="AE121" s="56"/>
      <c r="AF121" s="56"/>
      <c r="AG121" s="56"/>
      <c r="AH121" s="56"/>
      <c r="AI121" s="56">
        <v>48</v>
      </c>
      <c r="AJ121" s="56">
        <v>83</v>
      </c>
      <c r="AK121" s="56">
        <v>107</v>
      </c>
      <c r="AL121" s="56">
        <v>1.45</v>
      </c>
      <c r="AM121" s="56" t="s">
        <v>295</v>
      </c>
      <c r="AN121" s="56">
        <v>108.839</v>
      </c>
      <c r="AO121" s="56" t="s">
        <v>296</v>
      </c>
      <c r="AP121" s="56" t="s">
        <v>66</v>
      </c>
      <c r="AQ121" s="56" t="s">
        <v>63</v>
      </c>
    </row>
    <row r="122" spans="1:43" s="4" customFormat="1" ht="10.199999999999999" x14ac:dyDescent="0.2">
      <c r="A122" s="8"/>
      <c r="B122" s="8"/>
      <c r="C122" s="8">
        <v>1.45</v>
      </c>
      <c r="D122" s="27"/>
      <c r="E122" s="28">
        <v>108</v>
      </c>
      <c r="F122" s="29" t="s">
        <v>297</v>
      </c>
      <c r="G122" s="10" t="s">
        <v>298</v>
      </c>
      <c r="H122" s="30">
        <f t="shared" si="25"/>
        <v>0</v>
      </c>
      <c r="I122" s="52" t="str">
        <f>[1]!Plus_ang(I121,[1]!Min_ang(F122,F121))</f>
        <v xml:space="preserve"> 76° 50' 53"</v>
      </c>
      <c r="J122" s="10" t="str">
        <f>[1]!Plus_ang([1]!Plus_ang(J121,[1]!Min_ang(F122,F121)),[1]!DestoDeg(H122/3600))</f>
        <v xml:space="preserve"> 76° 50' 53"</v>
      </c>
      <c r="K122" s="31">
        <v>106.733</v>
      </c>
      <c r="L122" s="32">
        <f>[1]!Jarakdatar(K122,G122)</f>
        <v>106.66353745785098</v>
      </c>
      <c r="M122" s="33">
        <f>L122*[1]!dsin(J122)</f>
        <v>103.8657618945647</v>
      </c>
      <c r="N122" s="34">
        <f t="shared" si="26"/>
        <v>0</v>
      </c>
      <c r="O122" s="33">
        <f>L122*[1]!dcos(J122)</f>
        <v>24.269605045899905</v>
      </c>
      <c r="P122" s="34">
        <f t="shared" si="27"/>
        <v>0</v>
      </c>
      <c r="Q122" s="35">
        <f>L122/[1]!dTAN(G122)-C122+$B$97</f>
        <v>-4.1800735028855724</v>
      </c>
      <c r="R122" s="34">
        <f t="shared" si="28"/>
        <v>0</v>
      </c>
      <c r="S122" s="36">
        <f t="shared" si="29"/>
        <v>9929.711435930265</v>
      </c>
      <c r="T122" s="40">
        <f t="shared" si="30"/>
        <v>9852.1672291470077</v>
      </c>
      <c r="U122" s="37">
        <f t="shared" si="31"/>
        <v>22.181174606930295</v>
      </c>
      <c r="V122" s="38">
        <f t="shared" si="24"/>
        <v>108</v>
      </c>
      <c r="W122" s="70"/>
      <c r="X122" s="71"/>
      <c r="Y122" s="71"/>
      <c r="Z122" s="72" t="s">
        <v>66</v>
      </c>
      <c r="AB122" s="56"/>
      <c r="AC122" s="56"/>
      <c r="AD122" s="56"/>
      <c r="AE122" s="56"/>
      <c r="AF122" s="56"/>
      <c r="AG122" s="56"/>
      <c r="AH122" s="56"/>
      <c r="AI122" s="56">
        <v>50</v>
      </c>
      <c r="AJ122" s="56">
        <v>83</v>
      </c>
      <c r="AK122" s="56">
        <v>108</v>
      </c>
      <c r="AL122" s="56">
        <v>1.45</v>
      </c>
      <c r="AM122" s="56" t="s">
        <v>297</v>
      </c>
      <c r="AN122" s="56">
        <v>106.733</v>
      </c>
      <c r="AO122" s="56" t="s">
        <v>298</v>
      </c>
      <c r="AP122" s="56" t="s">
        <v>66</v>
      </c>
      <c r="AQ122" s="56" t="s">
        <v>63</v>
      </c>
    </row>
    <row r="123" spans="1:43" s="4" customFormat="1" ht="10.199999999999999" x14ac:dyDescent="0.2">
      <c r="A123" s="8"/>
      <c r="B123" s="8"/>
      <c r="C123" s="8">
        <v>1.45</v>
      </c>
      <c r="D123" s="27"/>
      <c r="E123" s="28">
        <v>109</v>
      </c>
      <c r="F123" s="29" t="s">
        <v>299</v>
      </c>
      <c r="G123" s="10" t="s">
        <v>300</v>
      </c>
      <c r="H123" s="30">
        <f t="shared" si="25"/>
        <v>0</v>
      </c>
      <c r="I123" s="52" t="str">
        <f>[1]!Plus_ang(I122,[1]!Min_ang(F123,F122))</f>
        <v xml:space="preserve"> 75° 59' 47"</v>
      </c>
      <c r="J123" s="10" t="str">
        <f>[1]!Plus_ang([1]!Plus_ang(J122,[1]!Min_ang(F123,F122)),[1]!DestoDeg(H123/3600))</f>
        <v xml:space="preserve"> 75° 59' 47"</v>
      </c>
      <c r="K123" s="31">
        <v>106.297</v>
      </c>
      <c r="L123" s="32">
        <f>[1]!Jarakdatar(K123,G123)</f>
        <v>106.23099981760028</v>
      </c>
      <c r="M123" s="33">
        <f>L123*[1]!dsin(J123)</f>
        <v>103.07386517872027</v>
      </c>
      <c r="N123" s="34">
        <f t="shared" si="26"/>
        <v>0</v>
      </c>
      <c r="O123" s="33">
        <f>L123*[1]!dcos(J123)</f>
        <v>25.706101208973486</v>
      </c>
      <c r="P123" s="34">
        <f t="shared" si="27"/>
        <v>0</v>
      </c>
      <c r="Q123" s="35">
        <f>L123/[1]!dTAN(G123)-C123+$B$97</f>
        <v>-4.0752485569061738</v>
      </c>
      <c r="R123" s="34">
        <f t="shared" si="28"/>
        <v>0</v>
      </c>
      <c r="S123" s="36">
        <f t="shared" si="29"/>
        <v>9928.9195392144193</v>
      </c>
      <c r="T123" s="40">
        <f t="shared" si="30"/>
        <v>9853.6037253100822</v>
      </c>
      <c r="U123" s="37">
        <f t="shared" si="31"/>
        <v>22.285999552909693</v>
      </c>
      <c r="V123" s="38">
        <f t="shared" si="24"/>
        <v>109</v>
      </c>
      <c r="W123" s="70"/>
      <c r="X123" s="71"/>
      <c r="Y123" s="71"/>
      <c r="Z123" s="72" t="s">
        <v>3</v>
      </c>
      <c r="AB123" s="56"/>
      <c r="AC123" s="56"/>
      <c r="AD123" s="56"/>
      <c r="AE123" s="56"/>
      <c r="AF123" s="56"/>
      <c r="AG123" s="56"/>
      <c r="AH123" s="56"/>
      <c r="AI123" s="56">
        <v>52</v>
      </c>
      <c r="AJ123" s="56">
        <v>83</v>
      </c>
      <c r="AK123" s="56">
        <v>109</v>
      </c>
      <c r="AL123" s="56">
        <v>1.45</v>
      </c>
      <c r="AM123" s="56" t="s">
        <v>299</v>
      </c>
      <c r="AN123" s="56">
        <v>106.297</v>
      </c>
      <c r="AO123" s="56" t="s">
        <v>300</v>
      </c>
      <c r="AP123" s="56" t="s">
        <v>3</v>
      </c>
      <c r="AQ123" s="56" t="s">
        <v>63</v>
      </c>
    </row>
    <row r="124" spans="1:43" s="4" customFormat="1" ht="10.199999999999999" x14ac:dyDescent="0.2">
      <c r="A124" s="8"/>
      <c r="B124" s="8"/>
      <c r="C124" s="8">
        <v>1.45</v>
      </c>
      <c r="D124" s="27"/>
      <c r="E124" s="28">
        <v>110</v>
      </c>
      <c r="F124" s="29" t="s">
        <v>301</v>
      </c>
      <c r="G124" s="10" t="s">
        <v>302</v>
      </c>
      <c r="H124" s="30">
        <f t="shared" si="25"/>
        <v>0</v>
      </c>
      <c r="I124" s="52" t="str">
        <f>[1]!Plus_ang(I123,[1]!Min_ang(F124,F123))</f>
        <v xml:space="preserve"> 75° 58' 53"</v>
      </c>
      <c r="J124" s="10" t="str">
        <f>[1]!Plus_ang([1]!Plus_ang(J123,[1]!Min_ang(F124,F123)),[1]!DestoDeg(H124/3600))</f>
        <v xml:space="preserve"> 75° 58' 53"</v>
      </c>
      <c r="K124" s="31">
        <v>105.70099999999999</v>
      </c>
      <c r="L124" s="32">
        <f>[1]!Jarakdatar(K124,G124)</f>
        <v>105.62758660565814</v>
      </c>
      <c r="M124" s="33">
        <f>L124*[1]!dsin(J124)</f>
        <v>102.4816899927235</v>
      </c>
      <c r="N124" s="34">
        <f t="shared" si="26"/>
        <v>0</v>
      </c>
      <c r="O124" s="33">
        <f>L124*[1]!dcos(J124)</f>
        <v>25.586915960528049</v>
      </c>
      <c r="P124" s="34">
        <f t="shared" si="27"/>
        <v>0</v>
      </c>
      <c r="Q124" s="35">
        <f>L124/[1]!dTAN(G124)-C124+$B$97</f>
        <v>-4.2688258230327136</v>
      </c>
      <c r="R124" s="34">
        <f t="shared" si="28"/>
        <v>0</v>
      </c>
      <c r="S124" s="36">
        <f t="shared" si="29"/>
        <v>9928.3273640284224</v>
      </c>
      <c r="T124" s="40">
        <f t="shared" si="30"/>
        <v>9853.4845400616359</v>
      </c>
      <c r="U124" s="37">
        <f t="shared" si="31"/>
        <v>22.092422286783155</v>
      </c>
      <c r="V124" s="38">
        <f t="shared" si="24"/>
        <v>110</v>
      </c>
      <c r="W124" s="70"/>
      <c r="X124" s="71"/>
      <c r="Y124" s="71"/>
      <c r="Z124" s="72" t="s">
        <v>64</v>
      </c>
      <c r="AB124" s="56"/>
      <c r="AC124" s="56"/>
      <c r="AD124" s="56"/>
      <c r="AE124" s="56"/>
      <c r="AF124" s="56"/>
      <c r="AG124" s="56"/>
      <c r="AH124" s="56"/>
      <c r="AI124" s="56">
        <v>54</v>
      </c>
      <c r="AJ124" s="56">
        <v>83</v>
      </c>
      <c r="AK124" s="56">
        <v>110</v>
      </c>
      <c r="AL124" s="56">
        <v>1.45</v>
      </c>
      <c r="AM124" s="56" t="s">
        <v>301</v>
      </c>
      <c r="AN124" s="56">
        <v>105.70099999999999</v>
      </c>
      <c r="AO124" s="56" t="s">
        <v>302</v>
      </c>
      <c r="AP124" s="56" t="s">
        <v>64</v>
      </c>
      <c r="AQ124" s="56" t="s">
        <v>63</v>
      </c>
    </row>
    <row r="125" spans="1:43" s="4" customFormat="1" ht="10.199999999999999" x14ac:dyDescent="0.2">
      <c r="A125" s="8"/>
      <c r="B125" s="8"/>
      <c r="C125" s="8">
        <v>2.5</v>
      </c>
      <c r="D125" s="27"/>
      <c r="E125" s="28">
        <v>111</v>
      </c>
      <c r="F125" s="29" t="s">
        <v>303</v>
      </c>
      <c r="G125" s="10" t="s">
        <v>304</v>
      </c>
      <c r="H125" s="30">
        <f t="shared" si="25"/>
        <v>0</v>
      </c>
      <c r="I125" s="52" t="str">
        <f>[1]!Plus_ang(I124,[1]!Min_ang(F125,F124))</f>
        <v xml:space="preserve"> 59° 54' 46"</v>
      </c>
      <c r="J125" s="10" t="str">
        <f>[1]!Plus_ang([1]!Plus_ang(J124,[1]!Min_ang(F125,F124)),[1]!DestoDeg(H125/3600))</f>
        <v xml:space="preserve"> 59° 54' 46"</v>
      </c>
      <c r="K125" s="31">
        <v>94.581999999999994</v>
      </c>
      <c r="L125" s="32">
        <f>[1]!Jarakdatar(K125,G125)</f>
        <v>94.337940126749544</v>
      </c>
      <c r="M125" s="33">
        <f>L125*[1]!dsin(J125)</f>
        <v>81.627152023057874</v>
      </c>
      <c r="N125" s="34">
        <f t="shared" si="26"/>
        <v>0</v>
      </c>
      <c r="O125" s="33">
        <f>L125*[1]!dcos(J125)</f>
        <v>47.293287049673133</v>
      </c>
      <c r="P125" s="34">
        <f t="shared" si="27"/>
        <v>0</v>
      </c>
      <c r="Q125" s="35">
        <f>L125/[1]!dTAN(G125)-C125+$B$97</f>
        <v>-8.1702707340587928</v>
      </c>
      <c r="R125" s="34">
        <f t="shared" si="28"/>
        <v>0</v>
      </c>
      <c r="S125" s="36">
        <f t="shared" si="29"/>
        <v>9907.4728260587581</v>
      </c>
      <c r="T125" s="40">
        <f t="shared" si="30"/>
        <v>9875.1909111507812</v>
      </c>
      <c r="U125" s="37">
        <f t="shared" si="31"/>
        <v>18.190977375757075</v>
      </c>
      <c r="V125" s="38">
        <f t="shared" si="24"/>
        <v>111</v>
      </c>
      <c r="W125" s="70"/>
      <c r="X125" s="71"/>
      <c r="Y125" s="71"/>
      <c r="Z125" s="72" t="s">
        <v>65</v>
      </c>
      <c r="AB125" s="56"/>
      <c r="AC125" s="56"/>
      <c r="AD125" s="56"/>
      <c r="AE125" s="56"/>
      <c r="AF125" s="56"/>
      <c r="AG125" s="56"/>
      <c r="AH125" s="56"/>
      <c r="AI125" s="56">
        <v>56</v>
      </c>
      <c r="AJ125" s="56">
        <v>83</v>
      </c>
      <c r="AK125" s="56">
        <v>111</v>
      </c>
      <c r="AL125" s="56">
        <v>2.5</v>
      </c>
      <c r="AM125" s="56" t="s">
        <v>303</v>
      </c>
      <c r="AN125" s="56">
        <v>94.581999999999994</v>
      </c>
      <c r="AO125" s="56" t="s">
        <v>304</v>
      </c>
      <c r="AP125" s="56" t="s">
        <v>65</v>
      </c>
      <c r="AQ125" s="56" t="s">
        <v>63</v>
      </c>
    </row>
    <row r="126" spans="1:43" s="4" customFormat="1" ht="10.199999999999999" x14ac:dyDescent="0.2">
      <c r="A126" s="8"/>
      <c r="B126" s="8"/>
      <c r="C126" s="8">
        <v>1.45</v>
      </c>
      <c r="D126" s="27"/>
      <c r="E126" s="28">
        <v>112</v>
      </c>
      <c r="F126" s="29" t="s">
        <v>305</v>
      </c>
      <c r="G126" s="10" t="s">
        <v>306</v>
      </c>
      <c r="H126" s="30">
        <f t="shared" si="25"/>
        <v>0</v>
      </c>
      <c r="I126" s="52" t="str">
        <f>[1]!Plus_ang(I125,[1]!Min_ang(F126,F125))</f>
        <v xml:space="preserve"> 75° 52' 44"</v>
      </c>
      <c r="J126" s="10" t="str">
        <f>[1]!Plus_ang([1]!Plus_ang(J125,[1]!Min_ang(F126,F125)),[1]!DestoDeg(H126/3600))</f>
        <v xml:space="preserve"> 75° 52' 44"</v>
      </c>
      <c r="K126" s="31">
        <v>104.837</v>
      </c>
      <c r="L126" s="32">
        <f>[1]!Jarakdatar(K126,G126)</f>
        <v>104.7720316329968</v>
      </c>
      <c r="M126" s="33">
        <f>L126*[1]!dsin(J126)</f>
        <v>101.60605002106935</v>
      </c>
      <c r="N126" s="34">
        <f t="shared" si="26"/>
        <v>0</v>
      </c>
      <c r="O126" s="33">
        <f>L126*[1]!dcos(J126)</f>
        <v>25.561479057786066</v>
      </c>
      <c r="P126" s="34">
        <f t="shared" si="27"/>
        <v>0</v>
      </c>
      <c r="Q126" s="35">
        <f>L126/[1]!dTAN(G126)-C126+$B$97</f>
        <v>-4.0202515489215251</v>
      </c>
      <c r="R126" s="34">
        <f t="shared" si="28"/>
        <v>0</v>
      </c>
      <c r="S126" s="36">
        <f t="shared" si="29"/>
        <v>9927.4517240567693</v>
      </c>
      <c r="T126" s="40">
        <f t="shared" si="30"/>
        <v>9853.4591031588934</v>
      </c>
      <c r="U126" s="37">
        <f t="shared" si="31"/>
        <v>22.340996560894343</v>
      </c>
      <c r="V126" s="38">
        <f t="shared" si="24"/>
        <v>112</v>
      </c>
      <c r="W126" s="70"/>
      <c r="X126" s="71"/>
      <c r="Y126" s="71"/>
      <c r="Z126" s="72" t="s">
        <v>64</v>
      </c>
      <c r="AB126" s="56"/>
      <c r="AC126" s="56"/>
      <c r="AD126" s="56"/>
      <c r="AE126" s="56"/>
      <c r="AF126" s="56"/>
      <c r="AG126" s="56"/>
      <c r="AH126" s="56"/>
      <c r="AI126" s="56">
        <v>58</v>
      </c>
      <c r="AJ126" s="56">
        <v>83</v>
      </c>
      <c r="AK126" s="56">
        <v>112</v>
      </c>
      <c r="AL126" s="56">
        <v>1.45</v>
      </c>
      <c r="AM126" s="56" t="s">
        <v>305</v>
      </c>
      <c r="AN126" s="56">
        <v>104.837</v>
      </c>
      <c r="AO126" s="56" t="s">
        <v>306</v>
      </c>
      <c r="AP126" s="56" t="s">
        <v>64</v>
      </c>
      <c r="AQ126" s="56" t="s">
        <v>63</v>
      </c>
    </row>
    <row r="127" spans="1:43" s="4" customFormat="1" ht="10.199999999999999" x14ac:dyDescent="0.2">
      <c r="A127" s="8"/>
      <c r="B127" s="8"/>
      <c r="C127" s="8">
        <v>2.5</v>
      </c>
      <c r="D127" s="27"/>
      <c r="E127" s="28">
        <v>113</v>
      </c>
      <c r="F127" s="29" t="s">
        <v>307</v>
      </c>
      <c r="G127" s="10" t="s">
        <v>308</v>
      </c>
      <c r="H127" s="30">
        <f t="shared" si="25"/>
        <v>0</v>
      </c>
      <c r="I127" s="52" t="str">
        <f>[1]!Plus_ang(I126,[1]!Min_ang(F127,F126))</f>
        <v xml:space="preserve"> 72° 56' 47"</v>
      </c>
      <c r="J127" s="10" t="str">
        <f>[1]!Plus_ang([1]!Plus_ang(J126,[1]!Min_ang(F127,F126)),[1]!DestoDeg(H127/3600))</f>
        <v xml:space="preserve"> 72° 56' 47"</v>
      </c>
      <c r="K127" s="31">
        <v>102.43600000000001</v>
      </c>
      <c r="L127" s="32">
        <f>[1]!Jarakdatar(K127,G127)</f>
        <v>102.16924361325593</v>
      </c>
      <c r="M127" s="33">
        <f>L127*[1]!dsin(J127)</f>
        <v>97.676940434904196</v>
      </c>
      <c r="N127" s="34">
        <f t="shared" si="26"/>
        <v>0</v>
      </c>
      <c r="O127" s="33">
        <f>L127*[1]!dcos(J127)</f>
        <v>29.962804404478128</v>
      </c>
      <c r="P127" s="34">
        <f t="shared" si="27"/>
        <v>0</v>
      </c>
      <c r="Q127" s="35">
        <f>L127/[1]!dTAN(G127)-C127+$B$97</f>
        <v>-8.7678112790706138</v>
      </c>
      <c r="R127" s="34">
        <f t="shared" si="28"/>
        <v>0</v>
      </c>
      <c r="S127" s="36">
        <f t="shared" si="29"/>
        <v>9923.522614470603</v>
      </c>
      <c r="T127" s="40">
        <f t="shared" si="30"/>
        <v>9857.8604285055862</v>
      </c>
      <c r="U127" s="37">
        <f t="shared" si="31"/>
        <v>17.593436830745254</v>
      </c>
      <c r="V127" s="38">
        <f t="shared" si="24"/>
        <v>113</v>
      </c>
      <c r="W127" s="70"/>
      <c r="X127" s="71"/>
      <c r="Y127" s="71"/>
      <c r="Z127" s="72" t="s">
        <v>65</v>
      </c>
      <c r="AB127" s="56"/>
      <c r="AC127" s="56"/>
      <c r="AD127" s="56"/>
      <c r="AE127" s="56"/>
      <c r="AF127" s="56"/>
      <c r="AG127" s="56"/>
      <c r="AH127" s="56"/>
      <c r="AI127" s="56">
        <v>60</v>
      </c>
      <c r="AJ127" s="56">
        <v>83</v>
      </c>
      <c r="AK127" s="56">
        <v>113</v>
      </c>
      <c r="AL127" s="56">
        <v>2.5</v>
      </c>
      <c r="AM127" s="56" t="s">
        <v>307</v>
      </c>
      <c r="AN127" s="56">
        <v>102.43600000000001</v>
      </c>
      <c r="AO127" s="56" t="s">
        <v>308</v>
      </c>
      <c r="AP127" s="56" t="s">
        <v>65</v>
      </c>
      <c r="AQ127" s="56" t="s">
        <v>63</v>
      </c>
    </row>
    <row r="128" spans="1:43" s="4" customFormat="1" ht="10.199999999999999" x14ac:dyDescent="0.2">
      <c r="A128" s="8"/>
      <c r="B128" s="8"/>
      <c r="C128" s="8">
        <v>2.5</v>
      </c>
      <c r="D128" s="27"/>
      <c r="E128" s="28">
        <v>114</v>
      </c>
      <c r="F128" s="29" t="s">
        <v>309</v>
      </c>
      <c r="G128" s="10" t="s">
        <v>310</v>
      </c>
      <c r="H128" s="30">
        <f t="shared" si="25"/>
        <v>0</v>
      </c>
      <c r="I128" s="52" t="str">
        <f>[1]!Plus_ang(I127,[1]!Min_ang(F128,F127))</f>
        <v xml:space="preserve"> 67° 56' 48"</v>
      </c>
      <c r="J128" s="10" t="str">
        <f>[1]!Plus_ang([1]!Plus_ang(J127,[1]!Min_ang(F128,F127)),[1]!DestoDeg(H128/3600))</f>
        <v xml:space="preserve"> 67° 56' 48"</v>
      </c>
      <c r="K128" s="31">
        <v>98.805000000000007</v>
      </c>
      <c r="L128" s="32">
        <f>[1]!Jarakdatar(K128,G128)</f>
        <v>98.549871097059992</v>
      </c>
      <c r="M128" s="33">
        <f>L128*[1]!dsin(J128)</f>
        <v>91.3394454639201</v>
      </c>
      <c r="N128" s="34">
        <f t="shared" si="26"/>
        <v>0</v>
      </c>
      <c r="O128" s="33">
        <f>L128*[1]!dcos(J128)</f>
        <v>37.002470128232076</v>
      </c>
      <c r="P128" s="34">
        <f t="shared" si="27"/>
        <v>0</v>
      </c>
      <c r="Q128" s="35">
        <f>L128/[1]!dTAN(G128)-C128+$B$97</f>
        <v>-8.475839045022159</v>
      </c>
      <c r="R128" s="34">
        <f t="shared" si="28"/>
        <v>0</v>
      </c>
      <c r="S128" s="36">
        <f t="shared" si="29"/>
        <v>9917.1851194996198</v>
      </c>
      <c r="T128" s="40">
        <f t="shared" si="30"/>
        <v>9864.9000942293405</v>
      </c>
      <c r="U128" s="37">
        <f t="shared" si="31"/>
        <v>17.885409064793709</v>
      </c>
      <c r="V128" s="38">
        <f t="shared" si="24"/>
        <v>114</v>
      </c>
      <c r="W128" s="70"/>
      <c r="X128" s="71"/>
      <c r="Y128" s="71"/>
      <c r="Z128" s="72" t="s">
        <v>65</v>
      </c>
      <c r="AB128" s="56"/>
      <c r="AC128" s="56"/>
      <c r="AD128" s="56"/>
      <c r="AE128" s="56"/>
      <c r="AF128" s="56"/>
      <c r="AG128" s="56"/>
      <c r="AH128" s="56"/>
      <c r="AI128" s="56">
        <v>62</v>
      </c>
      <c r="AJ128" s="56">
        <v>83</v>
      </c>
      <c r="AK128" s="56">
        <v>114</v>
      </c>
      <c r="AL128" s="56">
        <v>2.5</v>
      </c>
      <c r="AM128" s="56" t="s">
        <v>309</v>
      </c>
      <c r="AN128" s="56">
        <v>98.805000000000007</v>
      </c>
      <c r="AO128" s="56" t="s">
        <v>310</v>
      </c>
      <c r="AP128" s="56" t="s">
        <v>65</v>
      </c>
      <c r="AQ128" s="56" t="s">
        <v>63</v>
      </c>
    </row>
    <row r="129" spans="1:43" s="4" customFormat="1" ht="10.199999999999999" x14ac:dyDescent="0.2">
      <c r="A129" s="8"/>
      <c r="B129" s="8"/>
      <c r="C129" s="8">
        <v>1.45</v>
      </c>
      <c r="D129" s="27"/>
      <c r="E129" s="28">
        <v>115</v>
      </c>
      <c r="F129" s="29" t="s">
        <v>311</v>
      </c>
      <c r="G129" s="10" t="s">
        <v>312</v>
      </c>
      <c r="H129" s="30">
        <f t="shared" si="25"/>
        <v>0</v>
      </c>
      <c r="I129" s="52" t="str">
        <f>[1]!Plus_ang(I128,[1]!Min_ang(F129,F128))</f>
        <v xml:space="preserve"> 24° 54' 44"</v>
      </c>
      <c r="J129" s="10" t="str">
        <f>[1]!Plus_ang([1]!Plus_ang(J128,[1]!Min_ang(F129,F128)),[1]!DestoDeg(H129/3600))</f>
        <v xml:space="preserve"> 24° 54' 44"</v>
      </c>
      <c r="K129" s="31">
        <v>47.176000000000002</v>
      </c>
      <c r="L129" s="32">
        <f>[1]!Jarakdatar(K129,G129)</f>
        <v>47.175900797769913</v>
      </c>
      <c r="M129" s="33">
        <f>L129*[1]!dsin(J129)</f>
        <v>19.871871321727319</v>
      </c>
      <c r="N129" s="34">
        <f t="shared" si="26"/>
        <v>0</v>
      </c>
      <c r="O129" s="33">
        <f>L129*[1]!dcos(J129)</f>
        <v>42.786380382707527</v>
      </c>
      <c r="P129" s="34">
        <f t="shared" si="27"/>
        <v>0</v>
      </c>
      <c r="Q129" s="35">
        <f>L129/[1]!dTAN(G129)-C129+$B$97</f>
        <v>-0.42674667421730761</v>
      </c>
      <c r="R129" s="34">
        <f t="shared" si="28"/>
        <v>0</v>
      </c>
      <c r="S129" s="36">
        <f t="shared" si="29"/>
        <v>9845.7175453574273</v>
      </c>
      <c r="T129" s="40">
        <f t="shared" si="30"/>
        <v>9870.6840044838154</v>
      </c>
      <c r="U129" s="37">
        <f t="shared" si="31"/>
        <v>25.934501435598559</v>
      </c>
      <c r="V129" s="38">
        <f t="shared" ref="V129:V160" si="32">IF(A129&lt;&gt;"",D129,E129)</f>
        <v>115</v>
      </c>
      <c r="W129" s="70"/>
      <c r="X129" s="71"/>
      <c r="Y129" s="71"/>
      <c r="Z129" s="72" t="s">
        <v>16</v>
      </c>
      <c r="AB129" s="56"/>
      <c r="AC129" s="56"/>
      <c r="AD129" s="56"/>
      <c r="AE129" s="56"/>
      <c r="AF129" s="56"/>
      <c r="AG129" s="56"/>
      <c r="AH129" s="56"/>
      <c r="AI129" s="56">
        <v>64</v>
      </c>
      <c r="AJ129" s="56">
        <v>83</v>
      </c>
      <c r="AK129" s="56">
        <v>115</v>
      </c>
      <c r="AL129" s="56">
        <v>1.45</v>
      </c>
      <c r="AM129" s="56" t="s">
        <v>311</v>
      </c>
      <c r="AN129" s="56">
        <v>47.176000000000002</v>
      </c>
      <c r="AO129" s="56" t="s">
        <v>312</v>
      </c>
      <c r="AP129" s="56" t="s">
        <v>16</v>
      </c>
      <c r="AQ129" s="56" t="s">
        <v>63</v>
      </c>
    </row>
    <row r="130" spans="1:43" s="4" customFormat="1" ht="10.199999999999999" x14ac:dyDescent="0.2">
      <c r="A130" s="8"/>
      <c r="B130" s="8"/>
      <c r="C130" s="8">
        <v>1.45</v>
      </c>
      <c r="D130" s="27"/>
      <c r="E130" s="28">
        <v>116</v>
      </c>
      <c r="F130" s="29" t="s">
        <v>313</v>
      </c>
      <c r="G130" s="10" t="s">
        <v>314</v>
      </c>
      <c r="H130" s="30">
        <f t="shared" ref="H130:H161" si="33">IF($Y$7="y",$C$416,0)</f>
        <v>0</v>
      </c>
      <c r="I130" s="52" t="str">
        <f>[1]!Plus_ang(I129,[1]!Min_ang(F130,F129))</f>
        <v xml:space="preserve"> 37° 55' 53"</v>
      </c>
      <c r="J130" s="10" t="str">
        <f>[1]!Plus_ang([1]!Plus_ang(J129,[1]!Min_ang(F130,F129)),[1]!DestoDeg(H130/3600))</f>
        <v xml:space="preserve"> 37° 55' 53"</v>
      </c>
      <c r="K130" s="31">
        <v>45.518000000000001</v>
      </c>
      <c r="L130" s="32">
        <f>[1]!Jarakdatar(K130,G130)</f>
        <v>45.517992167982712</v>
      </c>
      <c r="M130" s="33">
        <f>L130*[1]!dsin(J130)</f>
        <v>27.980701766580719</v>
      </c>
      <c r="N130" s="34">
        <f t="shared" ref="N130:N161" si="34">IF($Y$8="Y",($Y$4*L130/$L$413),0)</f>
        <v>0</v>
      </c>
      <c r="O130" s="33">
        <f>L130*[1]!dcos(J130)</f>
        <v>35.902199649244366</v>
      </c>
      <c r="P130" s="34">
        <f t="shared" ref="P130:P161" si="35">IF($Y$8="Y",($Y$5*L130/$L$413),0)</f>
        <v>0</v>
      </c>
      <c r="Q130" s="35">
        <f>L130/[1]!dTAN(G130)-C130+$B$97</f>
        <v>-0.35670197492397548</v>
      </c>
      <c r="R130" s="34">
        <f t="shared" ref="R130:R161" si="36">IF(AND($Y$8="Y",W130="P"),($Y$6*L130/$L$413),0)</f>
        <v>0</v>
      </c>
      <c r="S130" s="36">
        <f t="shared" ref="S130:S161" si="37">$S$97+M130+N130</f>
        <v>9853.8263758022804</v>
      </c>
      <c r="T130" s="40">
        <f t="shared" ref="T130:T161" si="38">$T$97+O130+P130</f>
        <v>9863.7998237503525</v>
      </c>
      <c r="U130" s="37">
        <f t="shared" ref="U130:U161" si="39">$U$97+Q130+R130</f>
        <v>26.004546134891893</v>
      </c>
      <c r="V130" s="38">
        <f t="shared" si="32"/>
        <v>116</v>
      </c>
      <c r="W130" s="70"/>
      <c r="X130" s="71"/>
      <c r="Y130" s="71"/>
      <c r="Z130" s="72" t="s">
        <v>16</v>
      </c>
      <c r="AB130" s="56"/>
      <c r="AC130" s="56"/>
      <c r="AD130" s="56"/>
      <c r="AE130" s="56"/>
      <c r="AF130" s="56"/>
      <c r="AG130" s="56"/>
      <c r="AH130" s="56"/>
      <c r="AI130" s="56">
        <v>66</v>
      </c>
      <c r="AJ130" s="56">
        <v>83</v>
      </c>
      <c r="AK130" s="56">
        <v>116</v>
      </c>
      <c r="AL130" s="56">
        <v>1.45</v>
      </c>
      <c r="AM130" s="56" t="s">
        <v>313</v>
      </c>
      <c r="AN130" s="56">
        <v>45.518000000000001</v>
      </c>
      <c r="AO130" s="56" t="s">
        <v>314</v>
      </c>
      <c r="AP130" s="56" t="s">
        <v>16</v>
      </c>
      <c r="AQ130" s="56" t="s">
        <v>63</v>
      </c>
    </row>
    <row r="131" spans="1:43" s="4" customFormat="1" ht="10.199999999999999" x14ac:dyDescent="0.2">
      <c r="A131" s="8"/>
      <c r="B131" s="8"/>
      <c r="C131" s="8">
        <v>1.45</v>
      </c>
      <c r="D131" s="27"/>
      <c r="E131" s="28">
        <v>117</v>
      </c>
      <c r="F131" s="29" t="s">
        <v>315</v>
      </c>
      <c r="G131" s="10" t="s">
        <v>316</v>
      </c>
      <c r="H131" s="30">
        <f t="shared" si="33"/>
        <v>0</v>
      </c>
      <c r="I131" s="52" t="str">
        <f>[1]!Plus_ang(I130,[1]!Min_ang(F131,F130))</f>
        <v xml:space="preserve"> 38° 55' 49"</v>
      </c>
      <c r="J131" s="10" t="str">
        <f>[1]!Plus_ang([1]!Plus_ang(J130,[1]!Min_ang(F131,F130)),[1]!DestoDeg(H131/3600))</f>
        <v xml:space="preserve"> 38° 55' 49"</v>
      </c>
      <c r="K131" s="31">
        <v>45.517000000000003</v>
      </c>
      <c r="L131" s="32">
        <f>[1]!Jarakdatar(K131,G131)</f>
        <v>45.510978997019137</v>
      </c>
      <c r="M131" s="33">
        <f>L131*[1]!dsin(J131)</f>
        <v>28.59792639007274</v>
      </c>
      <c r="N131" s="34">
        <f t="shared" si="34"/>
        <v>0</v>
      </c>
      <c r="O131" s="33">
        <f>L131*[1]!dcos(J131)</f>
        <v>35.403500045265268</v>
      </c>
      <c r="P131" s="34">
        <f t="shared" si="35"/>
        <v>0</v>
      </c>
      <c r="Q131" s="35">
        <f>L131/[1]!dTAN(G131)-C131+$B$97</f>
        <v>0.41032407287819916</v>
      </c>
      <c r="R131" s="34">
        <f t="shared" si="36"/>
        <v>0</v>
      </c>
      <c r="S131" s="36">
        <f t="shared" si="37"/>
        <v>9854.4436004257732</v>
      </c>
      <c r="T131" s="40">
        <f t="shared" si="38"/>
        <v>9863.3011241463737</v>
      </c>
      <c r="U131" s="37">
        <f t="shared" si="39"/>
        <v>26.771572182694069</v>
      </c>
      <c r="V131" s="38">
        <f t="shared" si="32"/>
        <v>117</v>
      </c>
      <c r="W131" s="70"/>
      <c r="X131" s="71"/>
      <c r="Y131" s="71"/>
      <c r="Z131" s="72" t="s">
        <v>3</v>
      </c>
      <c r="AB131" s="56"/>
      <c r="AC131" s="56"/>
      <c r="AD131" s="56"/>
      <c r="AE131" s="56"/>
      <c r="AF131" s="56"/>
      <c r="AG131" s="56"/>
      <c r="AH131" s="56"/>
      <c r="AI131" s="56">
        <v>68</v>
      </c>
      <c r="AJ131" s="56">
        <v>83</v>
      </c>
      <c r="AK131" s="56">
        <v>117</v>
      </c>
      <c r="AL131" s="56">
        <v>1.45</v>
      </c>
      <c r="AM131" s="56" t="s">
        <v>315</v>
      </c>
      <c r="AN131" s="56">
        <v>45.517000000000003</v>
      </c>
      <c r="AO131" s="56" t="s">
        <v>316</v>
      </c>
      <c r="AP131" s="56" t="s">
        <v>3</v>
      </c>
      <c r="AQ131" s="56" t="s">
        <v>63</v>
      </c>
    </row>
    <row r="132" spans="1:43" s="4" customFormat="1" ht="10.199999999999999" x14ac:dyDescent="0.2">
      <c r="A132" s="8"/>
      <c r="B132" s="8"/>
      <c r="C132" s="8">
        <v>1.45</v>
      </c>
      <c r="D132" s="27"/>
      <c r="E132" s="28">
        <v>118</v>
      </c>
      <c r="F132" s="29" t="s">
        <v>317</v>
      </c>
      <c r="G132" s="10" t="s">
        <v>318</v>
      </c>
      <c r="H132" s="30">
        <f t="shared" si="33"/>
        <v>0</v>
      </c>
      <c r="I132" s="52" t="str">
        <f>[1]!Plus_ang(I131,[1]!Min_ang(F132,F131))</f>
        <v xml:space="preserve"> 44° 53' 47"</v>
      </c>
      <c r="J132" s="10" t="str">
        <f>[1]!Plus_ang([1]!Plus_ang(J131,[1]!Min_ang(F132,F131)),[1]!DestoDeg(H132/3600))</f>
        <v xml:space="preserve"> 44° 53' 47"</v>
      </c>
      <c r="K132" s="31">
        <v>45.273000000000003</v>
      </c>
      <c r="L132" s="32">
        <f>[1]!Jarakdatar(K132,G132)</f>
        <v>45.26742856420767</v>
      </c>
      <c r="M132" s="33">
        <f>L132*[1]!dsin(J132)</f>
        <v>31.950969933609887</v>
      </c>
      <c r="N132" s="34">
        <f t="shared" si="34"/>
        <v>0</v>
      </c>
      <c r="O132" s="33">
        <f>L132*[1]!dcos(J132)</f>
        <v>32.066736801820063</v>
      </c>
      <c r="P132" s="34">
        <f t="shared" si="35"/>
        <v>0</v>
      </c>
      <c r="Q132" s="35">
        <f>L132/[1]!dTAN(G132)-C132+$B$97</f>
        <v>0.3802395260446042</v>
      </c>
      <c r="R132" s="34">
        <f t="shared" si="36"/>
        <v>0</v>
      </c>
      <c r="S132" s="36">
        <f t="shared" si="37"/>
        <v>9857.79664396931</v>
      </c>
      <c r="T132" s="40">
        <f t="shared" si="38"/>
        <v>9859.9643609029281</v>
      </c>
      <c r="U132" s="37">
        <f t="shared" si="39"/>
        <v>26.741487635860473</v>
      </c>
      <c r="V132" s="38">
        <f t="shared" si="32"/>
        <v>118</v>
      </c>
      <c r="W132" s="70"/>
      <c r="X132" s="71"/>
      <c r="Y132" s="71"/>
      <c r="Z132" s="72" t="s">
        <v>3</v>
      </c>
      <c r="AB132" s="56"/>
      <c r="AC132" s="56"/>
      <c r="AD132" s="56"/>
      <c r="AE132" s="56"/>
      <c r="AF132" s="56"/>
      <c r="AG132" s="56"/>
      <c r="AH132" s="56"/>
      <c r="AI132" s="56">
        <v>70</v>
      </c>
      <c r="AJ132" s="56">
        <v>83</v>
      </c>
      <c r="AK132" s="56">
        <v>118</v>
      </c>
      <c r="AL132" s="56">
        <v>1.45</v>
      </c>
      <c r="AM132" s="56" t="s">
        <v>317</v>
      </c>
      <c r="AN132" s="56">
        <v>45.273000000000003</v>
      </c>
      <c r="AO132" s="56" t="s">
        <v>318</v>
      </c>
      <c r="AP132" s="56" t="s">
        <v>3</v>
      </c>
      <c r="AQ132" s="56" t="s">
        <v>63</v>
      </c>
    </row>
    <row r="133" spans="1:43" s="4" customFormat="1" ht="10.199999999999999" x14ac:dyDescent="0.2">
      <c r="A133" s="8"/>
      <c r="B133" s="8"/>
      <c r="C133" s="8">
        <v>1.45</v>
      </c>
      <c r="D133" s="27"/>
      <c r="E133" s="28">
        <v>119</v>
      </c>
      <c r="F133" s="29" t="s">
        <v>319</v>
      </c>
      <c r="G133" s="10" t="s">
        <v>320</v>
      </c>
      <c r="H133" s="30">
        <f t="shared" si="33"/>
        <v>0</v>
      </c>
      <c r="I133" s="52" t="str">
        <f>[1]!Plus_ang(I132,[1]!Min_ang(F133,F132))</f>
        <v xml:space="preserve"> 49° 56' 47"</v>
      </c>
      <c r="J133" s="10" t="str">
        <f>[1]!Plus_ang([1]!Plus_ang(J132,[1]!Min_ang(F133,F132)),[1]!DestoDeg(H133/3600))</f>
        <v xml:space="preserve"> 49° 56' 47"</v>
      </c>
      <c r="K133" s="31">
        <v>45.795999999999999</v>
      </c>
      <c r="L133" s="32">
        <f>[1]!Jarakdatar(K133,G133)</f>
        <v>45.766650420028682</v>
      </c>
      <c r="M133" s="33">
        <f>L133*[1]!dsin(J133)</f>
        <v>35.031746529974598</v>
      </c>
      <c r="N133" s="34">
        <f t="shared" si="34"/>
        <v>0</v>
      </c>
      <c r="O133" s="33">
        <f>L133*[1]!dcos(J133)</f>
        <v>29.451027583578878</v>
      </c>
      <c r="P133" s="34">
        <f t="shared" si="35"/>
        <v>0</v>
      </c>
      <c r="Q133" s="35">
        <f>L133/[1]!dTAN(G133)-C133+$B$97</f>
        <v>-1.9693063566303501</v>
      </c>
      <c r="R133" s="34">
        <f t="shared" si="36"/>
        <v>0</v>
      </c>
      <c r="S133" s="36">
        <f t="shared" si="37"/>
        <v>9860.8774205656737</v>
      </c>
      <c r="T133" s="40">
        <f t="shared" si="38"/>
        <v>9857.348651684686</v>
      </c>
      <c r="U133" s="37">
        <f t="shared" si="39"/>
        <v>24.391941753185517</v>
      </c>
      <c r="V133" s="38">
        <f t="shared" si="32"/>
        <v>119</v>
      </c>
      <c r="W133" s="70"/>
      <c r="X133" s="71"/>
      <c r="Y133" s="71"/>
      <c r="Z133" s="72" t="s">
        <v>3</v>
      </c>
      <c r="AB133" s="56"/>
      <c r="AC133" s="56"/>
      <c r="AD133" s="56"/>
      <c r="AE133" s="56"/>
      <c r="AF133" s="56"/>
      <c r="AG133" s="56"/>
      <c r="AH133" s="56"/>
      <c r="AI133" s="56">
        <v>72</v>
      </c>
      <c r="AJ133" s="56">
        <v>83</v>
      </c>
      <c r="AK133" s="56">
        <v>119</v>
      </c>
      <c r="AL133" s="56">
        <v>1.45</v>
      </c>
      <c r="AM133" s="56" t="s">
        <v>319</v>
      </c>
      <c r="AN133" s="56">
        <v>45.795999999999999</v>
      </c>
      <c r="AO133" s="56" t="s">
        <v>320</v>
      </c>
      <c r="AP133" s="56" t="s">
        <v>3</v>
      </c>
      <c r="AQ133" s="56" t="s">
        <v>63</v>
      </c>
    </row>
    <row r="134" spans="1:43" s="4" customFormat="1" ht="10.199999999999999" x14ac:dyDescent="0.2">
      <c r="A134" s="8"/>
      <c r="B134" s="8"/>
      <c r="C134" s="8">
        <v>1.45</v>
      </c>
      <c r="D134" s="27"/>
      <c r="E134" s="28">
        <v>120</v>
      </c>
      <c r="F134" s="29" t="s">
        <v>321</v>
      </c>
      <c r="G134" s="10" t="s">
        <v>322</v>
      </c>
      <c r="H134" s="30">
        <f t="shared" si="33"/>
        <v>0</v>
      </c>
      <c r="I134" s="52" t="str">
        <f>[1]!Plus_ang(I133,[1]!Min_ang(F134,F133))</f>
        <v xml:space="preserve"> 53° 53' 44"</v>
      </c>
      <c r="J134" s="10" t="str">
        <f>[1]!Plus_ang([1]!Plus_ang(J133,[1]!Min_ang(F134,F133)),[1]!DestoDeg(H134/3600))</f>
        <v xml:space="preserve"> 53° 53' 44"</v>
      </c>
      <c r="K134" s="31">
        <v>46.308999999999997</v>
      </c>
      <c r="L134" s="32">
        <f>[1]!Jarakdatar(K134,G134)</f>
        <v>46.278813185342131</v>
      </c>
      <c r="M134" s="33">
        <f>L134*[1]!dsin(J134)</f>
        <v>37.390697649820346</v>
      </c>
      <c r="N134" s="34">
        <f t="shared" si="34"/>
        <v>0</v>
      </c>
      <c r="O134" s="33">
        <f>L134*[1]!dcos(J134)</f>
        <v>27.270208636963442</v>
      </c>
      <c r="P134" s="34">
        <f t="shared" si="35"/>
        <v>0</v>
      </c>
      <c r="Q134" s="35">
        <f>L134/[1]!dTAN(G134)-C134+$B$97</f>
        <v>-2.0018047601927522</v>
      </c>
      <c r="R134" s="34">
        <f t="shared" si="36"/>
        <v>0</v>
      </c>
      <c r="S134" s="36">
        <f t="shared" si="37"/>
        <v>9863.2363716855198</v>
      </c>
      <c r="T134" s="40">
        <f t="shared" si="38"/>
        <v>9855.1678327380705</v>
      </c>
      <c r="U134" s="37">
        <f t="shared" si="39"/>
        <v>24.359443349623117</v>
      </c>
      <c r="V134" s="38">
        <f t="shared" si="32"/>
        <v>120</v>
      </c>
      <c r="W134" s="70"/>
      <c r="X134" s="71"/>
      <c r="Y134" s="71"/>
      <c r="Z134" s="72" t="s">
        <v>3</v>
      </c>
      <c r="AB134" s="56"/>
      <c r="AC134" s="56"/>
      <c r="AD134" s="56"/>
      <c r="AE134" s="56"/>
      <c r="AF134" s="56"/>
      <c r="AG134" s="56"/>
      <c r="AH134" s="56"/>
      <c r="AI134" s="56">
        <v>74</v>
      </c>
      <c r="AJ134" s="56">
        <v>83</v>
      </c>
      <c r="AK134" s="56">
        <v>120</v>
      </c>
      <c r="AL134" s="56">
        <v>1.45</v>
      </c>
      <c r="AM134" s="56" t="s">
        <v>321</v>
      </c>
      <c r="AN134" s="56">
        <v>46.308999999999997</v>
      </c>
      <c r="AO134" s="56" t="s">
        <v>322</v>
      </c>
      <c r="AP134" s="56" t="s">
        <v>3</v>
      </c>
      <c r="AQ134" s="56" t="s">
        <v>63</v>
      </c>
    </row>
    <row r="135" spans="1:43" s="4" customFormat="1" ht="10.199999999999999" x14ac:dyDescent="0.2">
      <c r="A135" s="8"/>
      <c r="B135" s="8"/>
      <c r="C135" s="8">
        <v>1.45</v>
      </c>
      <c r="D135" s="27"/>
      <c r="E135" s="28">
        <v>121</v>
      </c>
      <c r="F135" s="29" t="s">
        <v>323</v>
      </c>
      <c r="G135" s="10" t="s">
        <v>324</v>
      </c>
      <c r="H135" s="30">
        <f t="shared" si="33"/>
        <v>0</v>
      </c>
      <c r="I135" s="52" t="str">
        <f>[1]!Plus_ang(I134,[1]!Min_ang(F135,F134))</f>
        <v xml:space="preserve"> 59° 56' 48"</v>
      </c>
      <c r="J135" s="10" t="str">
        <f>[1]!Plus_ang([1]!Plus_ang(J134,[1]!Min_ang(F135,F134)),[1]!DestoDeg(H135/3600))</f>
        <v xml:space="preserve"> 59° 56' 48"</v>
      </c>
      <c r="K135" s="31">
        <v>47.673000000000002</v>
      </c>
      <c r="L135" s="32">
        <f>[1]!Jarakdatar(K135,G135)</f>
        <v>47.486559831115038</v>
      </c>
      <c r="M135" s="33">
        <f>L135*[1]!dsin(J135)</f>
        <v>41.102448090201406</v>
      </c>
      <c r="N135" s="34">
        <f t="shared" si="34"/>
        <v>0</v>
      </c>
      <c r="O135" s="33">
        <f>L135*[1]!dcos(J135)</f>
        <v>23.781550108989254</v>
      </c>
      <c r="P135" s="34">
        <f t="shared" si="35"/>
        <v>0</v>
      </c>
      <c r="Q135" s="35">
        <f>L135/[1]!dTAN(G135)-C135+$B$97</f>
        <v>-4.5420736467839795</v>
      </c>
      <c r="R135" s="34">
        <f t="shared" si="36"/>
        <v>0</v>
      </c>
      <c r="S135" s="36">
        <f t="shared" si="37"/>
        <v>9866.9481221259011</v>
      </c>
      <c r="T135" s="40">
        <f t="shared" si="38"/>
        <v>9851.6791742100977</v>
      </c>
      <c r="U135" s="37">
        <f t="shared" si="39"/>
        <v>21.819174463031889</v>
      </c>
      <c r="V135" s="38">
        <f t="shared" si="32"/>
        <v>121</v>
      </c>
      <c r="W135" s="70"/>
      <c r="X135" s="71"/>
      <c r="Y135" s="71"/>
      <c r="Z135" s="72" t="s">
        <v>14</v>
      </c>
      <c r="AB135" s="56"/>
      <c r="AC135" s="56"/>
      <c r="AD135" s="56"/>
      <c r="AE135" s="56"/>
      <c r="AF135" s="56"/>
      <c r="AG135" s="56"/>
      <c r="AH135" s="56"/>
      <c r="AI135" s="56">
        <v>76</v>
      </c>
      <c r="AJ135" s="56">
        <v>83</v>
      </c>
      <c r="AK135" s="56">
        <v>121</v>
      </c>
      <c r="AL135" s="56">
        <v>1.45</v>
      </c>
      <c r="AM135" s="56" t="s">
        <v>323</v>
      </c>
      <c r="AN135" s="56">
        <v>47.673000000000002</v>
      </c>
      <c r="AO135" s="56" t="s">
        <v>324</v>
      </c>
      <c r="AP135" s="56" t="s">
        <v>14</v>
      </c>
      <c r="AQ135" s="56" t="s">
        <v>63</v>
      </c>
    </row>
    <row r="136" spans="1:43" s="4" customFormat="1" ht="10.199999999999999" x14ac:dyDescent="0.2">
      <c r="A136" s="8"/>
      <c r="B136" s="8"/>
      <c r="C136" s="8">
        <v>1.45</v>
      </c>
      <c r="D136" s="27"/>
      <c r="E136" s="28">
        <v>122</v>
      </c>
      <c r="F136" s="29" t="s">
        <v>325</v>
      </c>
      <c r="G136" s="10" t="s">
        <v>326</v>
      </c>
      <c r="H136" s="30">
        <f t="shared" si="33"/>
        <v>0</v>
      </c>
      <c r="I136" s="52" t="str">
        <f>[1]!Plus_ang(I135,[1]!Min_ang(F136,F135))</f>
        <v xml:space="preserve"> 59° 51' 45"</v>
      </c>
      <c r="J136" s="10" t="str">
        <f>[1]!Plus_ang([1]!Plus_ang(J135,[1]!Min_ang(F136,F135)),[1]!DestoDeg(H136/3600))</f>
        <v xml:space="preserve"> 59° 51' 45"</v>
      </c>
      <c r="K136" s="31">
        <v>47.768000000000001</v>
      </c>
      <c r="L136" s="32">
        <f>[1]!Jarakdatar(K136,G136)</f>
        <v>47.501726774241391</v>
      </c>
      <c r="M136" s="33">
        <f>L136*[1]!dsin(J136)</f>
        <v>41.080585724948193</v>
      </c>
      <c r="N136" s="34">
        <f t="shared" si="34"/>
        <v>0</v>
      </c>
      <c r="O136" s="33">
        <f>L136*[1]!dcos(J136)</f>
        <v>23.84951829764837</v>
      </c>
      <c r="P136" s="34">
        <f t="shared" si="35"/>
        <v>0</v>
      </c>
      <c r="Q136" s="35">
        <f>L136/[1]!dTAN(G136)-C136+$B$97</f>
        <v>-5.3666434721269161</v>
      </c>
      <c r="R136" s="34">
        <f t="shared" si="36"/>
        <v>0</v>
      </c>
      <c r="S136" s="36">
        <f t="shared" si="37"/>
        <v>9866.9262597606485</v>
      </c>
      <c r="T136" s="40">
        <f t="shared" si="38"/>
        <v>9851.7471423987554</v>
      </c>
      <c r="U136" s="37">
        <f t="shared" si="39"/>
        <v>20.994604637688951</v>
      </c>
      <c r="V136" s="38">
        <f t="shared" si="32"/>
        <v>122</v>
      </c>
      <c r="W136" s="70"/>
      <c r="X136" s="71"/>
      <c r="Y136" s="71"/>
      <c r="Z136" s="72" t="s">
        <v>15</v>
      </c>
      <c r="AB136" s="56"/>
      <c r="AC136" s="56"/>
      <c r="AD136" s="56"/>
      <c r="AE136" s="56"/>
      <c r="AF136" s="56"/>
      <c r="AG136" s="56"/>
      <c r="AH136" s="56"/>
      <c r="AI136" s="56">
        <v>78</v>
      </c>
      <c r="AJ136" s="56">
        <v>83</v>
      </c>
      <c r="AK136" s="56">
        <v>122</v>
      </c>
      <c r="AL136" s="56">
        <v>1.45</v>
      </c>
      <c r="AM136" s="56" t="s">
        <v>325</v>
      </c>
      <c r="AN136" s="56">
        <v>47.768000000000001</v>
      </c>
      <c r="AO136" s="56" t="s">
        <v>326</v>
      </c>
      <c r="AP136" s="56" t="s">
        <v>15</v>
      </c>
      <c r="AQ136" s="56" t="s">
        <v>63</v>
      </c>
    </row>
    <row r="137" spans="1:43" s="4" customFormat="1" ht="10.199999999999999" x14ac:dyDescent="0.2">
      <c r="A137" s="8"/>
      <c r="B137" s="8"/>
      <c r="C137" s="8">
        <v>1.45</v>
      </c>
      <c r="D137" s="27"/>
      <c r="E137" s="28">
        <v>123</v>
      </c>
      <c r="F137" s="29" t="s">
        <v>327</v>
      </c>
      <c r="G137" s="10" t="s">
        <v>328</v>
      </c>
      <c r="H137" s="30">
        <f t="shared" si="33"/>
        <v>0</v>
      </c>
      <c r="I137" s="52" t="str">
        <f>[1]!Plus_ang(I136,[1]!Min_ang(F137,F136))</f>
        <v xml:space="preserve"> 60° 59' 50"</v>
      </c>
      <c r="J137" s="10" t="str">
        <f>[1]!Plus_ang([1]!Plus_ang(J136,[1]!Min_ang(F137,F136)),[1]!DestoDeg(H137/3600))</f>
        <v xml:space="preserve"> 60° 59' 50"</v>
      </c>
      <c r="K137" s="31">
        <v>47.866999999999997</v>
      </c>
      <c r="L137" s="32">
        <f>[1]!Jarakdatar(K137,G137)</f>
        <v>47.600395093594386</v>
      </c>
      <c r="M137" s="33">
        <f>L137*[1]!dsin(J137)</f>
        <v>41.631124756743652</v>
      </c>
      <c r="N137" s="34">
        <f t="shared" si="34"/>
        <v>0</v>
      </c>
      <c r="O137" s="33">
        <f>L137*[1]!dcos(J137)</f>
        <v>23.07914782990763</v>
      </c>
      <c r="P137" s="34">
        <f t="shared" si="35"/>
        <v>0</v>
      </c>
      <c r="Q137" s="35">
        <f>L137/[1]!dTAN(G137)-C137+$B$97</f>
        <v>-5.3750050479375266</v>
      </c>
      <c r="R137" s="34">
        <f t="shared" si="36"/>
        <v>0</v>
      </c>
      <c r="S137" s="36">
        <f t="shared" si="37"/>
        <v>9867.4767987924424</v>
      </c>
      <c r="T137" s="40">
        <f t="shared" si="38"/>
        <v>9850.9767719310148</v>
      </c>
      <c r="U137" s="37">
        <f t="shared" si="39"/>
        <v>20.986243061878341</v>
      </c>
      <c r="V137" s="38">
        <f t="shared" si="32"/>
        <v>123</v>
      </c>
      <c r="W137" s="70"/>
      <c r="X137" s="71"/>
      <c r="Y137" s="71"/>
      <c r="Z137" s="72" t="s">
        <v>15</v>
      </c>
      <c r="AB137" s="56"/>
      <c r="AC137" s="56"/>
      <c r="AD137" s="56"/>
      <c r="AE137" s="56"/>
      <c r="AF137" s="56"/>
      <c r="AG137" s="56"/>
      <c r="AH137" s="56"/>
      <c r="AI137" s="56">
        <v>80</v>
      </c>
      <c r="AJ137" s="56">
        <v>83</v>
      </c>
      <c r="AK137" s="56">
        <v>123</v>
      </c>
      <c r="AL137" s="56">
        <v>1.45</v>
      </c>
      <c r="AM137" s="56" t="s">
        <v>327</v>
      </c>
      <c r="AN137" s="56">
        <v>47.866999999999997</v>
      </c>
      <c r="AO137" s="56" t="s">
        <v>328</v>
      </c>
      <c r="AP137" s="56" t="s">
        <v>15</v>
      </c>
      <c r="AQ137" s="56" t="s">
        <v>63</v>
      </c>
    </row>
    <row r="138" spans="1:43" s="4" customFormat="1" ht="10.199999999999999" x14ac:dyDescent="0.2">
      <c r="A138" s="8"/>
      <c r="B138" s="8"/>
      <c r="C138" s="8">
        <v>1.45</v>
      </c>
      <c r="D138" s="27"/>
      <c r="E138" s="28">
        <v>124</v>
      </c>
      <c r="F138" s="29" t="s">
        <v>329</v>
      </c>
      <c r="G138" s="10" t="s">
        <v>330</v>
      </c>
      <c r="H138" s="30">
        <f t="shared" si="33"/>
        <v>0</v>
      </c>
      <c r="I138" s="52" t="str">
        <f>[1]!Plus_ang(I137,[1]!Min_ang(F138,F137))</f>
        <v xml:space="preserve"> 60° 51' 51"</v>
      </c>
      <c r="J138" s="10" t="str">
        <f>[1]!Plus_ang([1]!Plus_ang(J137,[1]!Min_ang(F138,F137)),[1]!DestoDeg(H138/3600))</f>
        <v xml:space="preserve"> 60° 51' 51"</v>
      </c>
      <c r="K138" s="31">
        <v>47.905000000000001</v>
      </c>
      <c r="L138" s="32">
        <f>[1]!Jarakdatar(K138,G138)</f>
        <v>47.716542802681708</v>
      </c>
      <c r="M138" s="33">
        <f>L138*[1]!dsin(J138)</f>
        <v>41.678868119015611</v>
      </c>
      <c r="N138" s="34">
        <f t="shared" si="34"/>
        <v>0</v>
      </c>
      <c r="O138" s="33">
        <f>L138*[1]!dcos(J138)</f>
        <v>23.232313904513674</v>
      </c>
      <c r="P138" s="34">
        <f t="shared" si="35"/>
        <v>0</v>
      </c>
      <c r="Q138" s="35">
        <f>L138/[1]!dTAN(G138)-C138+$B$97</f>
        <v>-4.5750639523857064</v>
      </c>
      <c r="R138" s="34">
        <f t="shared" si="36"/>
        <v>0</v>
      </c>
      <c r="S138" s="36">
        <f t="shared" si="37"/>
        <v>9867.5245421547152</v>
      </c>
      <c r="T138" s="40">
        <f t="shared" si="38"/>
        <v>9851.1299380056207</v>
      </c>
      <c r="U138" s="37">
        <f t="shared" si="39"/>
        <v>21.786184157430164</v>
      </c>
      <c r="V138" s="38">
        <f t="shared" si="32"/>
        <v>124</v>
      </c>
      <c r="W138" s="70"/>
      <c r="X138" s="71"/>
      <c r="Y138" s="71"/>
      <c r="Z138" s="72" t="s">
        <v>14</v>
      </c>
      <c r="AB138" s="56"/>
      <c r="AC138" s="56"/>
      <c r="AD138" s="56"/>
      <c r="AE138" s="56"/>
      <c r="AF138" s="56"/>
      <c r="AG138" s="56"/>
      <c r="AH138" s="56"/>
      <c r="AI138" s="56">
        <v>82</v>
      </c>
      <c r="AJ138" s="56">
        <v>83</v>
      </c>
      <c r="AK138" s="56">
        <v>124</v>
      </c>
      <c r="AL138" s="56">
        <v>1.45</v>
      </c>
      <c r="AM138" s="56" t="s">
        <v>329</v>
      </c>
      <c r="AN138" s="56">
        <v>47.905000000000001</v>
      </c>
      <c r="AO138" s="56" t="s">
        <v>330</v>
      </c>
      <c r="AP138" s="56" t="s">
        <v>14</v>
      </c>
      <c r="AQ138" s="56" t="s">
        <v>63</v>
      </c>
    </row>
    <row r="139" spans="1:43" s="4" customFormat="1" ht="10.199999999999999" x14ac:dyDescent="0.2">
      <c r="A139" s="8"/>
      <c r="B139" s="8"/>
      <c r="C139" s="8">
        <v>1.45</v>
      </c>
      <c r="D139" s="27"/>
      <c r="E139" s="28">
        <v>125</v>
      </c>
      <c r="F139" s="29" t="s">
        <v>331</v>
      </c>
      <c r="G139" s="10" t="s">
        <v>332</v>
      </c>
      <c r="H139" s="30">
        <f t="shared" si="33"/>
        <v>0</v>
      </c>
      <c r="I139" s="52" t="str">
        <f>[1]!Plus_ang(I138,[1]!Min_ang(F139,F138))</f>
        <v xml:space="preserve"> 65° 51' 52"</v>
      </c>
      <c r="J139" s="10" t="str">
        <f>[1]!Plus_ang([1]!Plus_ang(J138,[1]!Min_ang(F139,F138)),[1]!DestoDeg(H139/3600))</f>
        <v xml:space="preserve"> 65° 51' 52"</v>
      </c>
      <c r="K139" s="31">
        <v>48.982999999999997</v>
      </c>
      <c r="L139" s="32">
        <f>[1]!Jarakdatar(K139,G139)</f>
        <v>48.789079507015721</v>
      </c>
      <c r="M139" s="33">
        <f>L139*[1]!dsin(J139)</f>
        <v>44.523967806941563</v>
      </c>
      <c r="N139" s="34">
        <f t="shared" si="34"/>
        <v>0</v>
      </c>
      <c r="O139" s="33">
        <f>L139*[1]!dcos(J139)</f>
        <v>19.949700996965664</v>
      </c>
      <c r="P139" s="34">
        <f t="shared" si="35"/>
        <v>0</v>
      </c>
      <c r="Q139" s="35">
        <f>L139/[1]!dTAN(G139)-C139+$B$97</f>
        <v>-4.684309343408902</v>
      </c>
      <c r="R139" s="34">
        <f t="shared" si="36"/>
        <v>0</v>
      </c>
      <c r="S139" s="36">
        <f t="shared" si="37"/>
        <v>9870.3696418426407</v>
      </c>
      <c r="T139" s="40">
        <f t="shared" si="38"/>
        <v>9847.8473250980733</v>
      </c>
      <c r="U139" s="37">
        <f t="shared" si="39"/>
        <v>21.676938766406966</v>
      </c>
      <c r="V139" s="38">
        <f t="shared" si="32"/>
        <v>125</v>
      </c>
      <c r="W139" s="70"/>
      <c r="X139" s="71"/>
      <c r="Y139" s="71"/>
      <c r="Z139" s="72" t="s">
        <v>3</v>
      </c>
      <c r="AB139" s="56"/>
      <c r="AC139" s="56"/>
      <c r="AD139" s="56"/>
      <c r="AE139" s="56"/>
      <c r="AF139" s="56"/>
      <c r="AG139" s="56"/>
      <c r="AH139" s="56"/>
      <c r="AI139" s="56">
        <v>84</v>
      </c>
      <c r="AJ139" s="56">
        <v>83</v>
      </c>
      <c r="AK139" s="56">
        <v>125</v>
      </c>
      <c r="AL139" s="56">
        <v>1.45</v>
      </c>
      <c r="AM139" s="56" t="s">
        <v>331</v>
      </c>
      <c r="AN139" s="56">
        <v>48.982999999999997</v>
      </c>
      <c r="AO139" s="56" t="s">
        <v>332</v>
      </c>
      <c r="AP139" s="56" t="s">
        <v>3</v>
      </c>
      <c r="AQ139" s="56" t="s">
        <v>63</v>
      </c>
    </row>
    <row r="140" spans="1:43" s="4" customFormat="1" ht="10.199999999999999" x14ac:dyDescent="0.2">
      <c r="A140" s="8"/>
      <c r="B140" s="8"/>
      <c r="C140" s="8">
        <v>1.45</v>
      </c>
      <c r="D140" s="27"/>
      <c r="E140" s="28">
        <v>126</v>
      </c>
      <c r="F140" s="29" t="s">
        <v>333</v>
      </c>
      <c r="G140" s="10" t="s">
        <v>334</v>
      </c>
      <c r="H140" s="30">
        <f t="shared" si="33"/>
        <v>0</v>
      </c>
      <c r="I140" s="52" t="str">
        <f>[1]!Plus_ang(I139,[1]!Min_ang(F140,F139))</f>
        <v xml:space="preserve"> 66° 54' 51"</v>
      </c>
      <c r="J140" s="10" t="str">
        <f>[1]!Plus_ang([1]!Plus_ang(J139,[1]!Min_ang(F140,F139)),[1]!DestoDeg(H140/3600))</f>
        <v xml:space="preserve"> 66° 54' 51"</v>
      </c>
      <c r="K140" s="31">
        <v>49.384</v>
      </c>
      <c r="L140" s="32">
        <f>[1]!Jarakdatar(K140,G140)</f>
        <v>49.110231290385684</v>
      </c>
      <c r="M140" s="33">
        <f>L140*[1]!dsin(J140)</f>
        <v>45.177409149655254</v>
      </c>
      <c r="N140" s="34">
        <f t="shared" si="34"/>
        <v>0</v>
      </c>
      <c r="O140" s="33">
        <f>L140*[1]!dcos(J140)</f>
        <v>19.256596789667238</v>
      </c>
      <c r="P140" s="34">
        <f t="shared" si="35"/>
        <v>0</v>
      </c>
      <c r="Q140" s="35">
        <f>L140/[1]!dTAN(G140)-C140+$B$97</f>
        <v>-5.5227486560417098</v>
      </c>
      <c r="R140" s="34">
        <f t="shared" si="36"/>
        <v>0</v>
      </c>
      <c r="S140" s="36">
        <f t="shared" si="37"/>
        <v>9871.0230831853551</v>
      </c>
      <c r="T140" s="40">
        <f t="shared" si="38"/>
        <v>9847.1542208907758</v>
      </c>
      <c r="U140" s="37">
        <f t="shared" si="39"/>
        <v>20.838499453774158</v>
      </c>
      <c r="V140" s="38">
        <f t="shared" si="32"/>
        <v>126</v>
      </c>
      <c r="W140" s="70"/>
      <c r="X140" s="71"/>
      <c r="Y140" s="71"/>
      <c r="Z140" s="72" t="s">
        <v>64</v>
      </c>
      <c r="AB140" s="56"/>
      <c r="AC140" s="56"/>
      <c r="AD140" s="56"/>
      <c r="AE140" s="56"/>
      <c r="AF140" s="56"/>
      <c r="AG140" s="56"/>
      <c r="AH140" s="56"/>
      <c r="AI140" s="56">
        <v>86</v>
      </c>
      <c r="AJ140" s="56">
        <v>83</v>
      </c>
      <c r="AK140" s="56">
        <v>126</v>
      </c>
      <c r="AL140" s="56">
        <v>1.45</v>
      </c>
      <c r="AM140" s="56" t="s">
        <v>333</v>
      </c>
      <c r="AN140" s="56">
        <v>49.384</v>
      </c>
      <c r="AO140" s="56" t="s">
        <v>334</v>
      </c>
      <c r="AP140" s="56" t="s">
        <v>64</v>
      </c>
      <c r="AQ140" s="56" t="s">
        <v>63</v>
      </c>
    </row>
    <row r="141" spans="1:43" s="4" customFormat="1" ht="10.199999999999999" x14ac:dyDescent="0.2">
      <c r="A141" s="8"/>
      <c r="B141" s="8"/>
      <c r="C141" s="8">
        <v>1.45</v>
      </c>
      <c r="D141" s="27"/>
      <c r="E141" s="28">
        <v>127</v>
      </c>
      <c r="F141" s="29" t="s">
        <v>335</v>
      </c>
      <c r="G141" s="10" t="s">
        <v>336</v>
      </c>
      <c r="H141" s="30">
        <f t="shared" si="33"/>
        <v>0</v>
      </c>
      <c r="I141" s="52" t="str">
        <f>[1]!Plus_ang(I140,[1]!Min_ang(F141,F140))</f>
        <v xml:space="preserve"> 94° 54' 44"</v>
      </c>
      <c r="J141" s="10" t="str">
        <f>[1]!Plus_ang([1]!Plus_ang(J140,[1]!Min_ang(F141,F140)),[1]!DestoDeg(H141/3600))</f>
        <v xml:space="preserve"> 94° 54' 44"</v>
      </c>
      <c r="K141" s="31">
        <v>69.143000000000001</v>
      </c>
      <c r="L141" s="32">
        <f>[1]!Jarakdatar(K141,G141)</f>
        <v>68.964510846648921</v>
      </c>
      <c r="M141" s="33">
        <f>L141*[1]!dsin(J141)</f>
        <v>68.711207822602304</v>
      </c>
      <c r="N141" s="34">
        <f t="shared" si="34"/>
        <v>0</v>
      </c>
      <c r="O141" s="33">
        <f>L141*[1]!dcos(J141)</f>
        <v>-5.9053937952275284</v>
      </c>
      <c r="P141" s="34">
        <f t="shared" si="35"/>
        <v>0</v>
      </c>
      <c r="Q141" s="35">
        <f>L141/[1]!dTAN(G141)-C141+$B$97</f>
        <v>-5.2949463927060041</v>
      </c>
      <c r="R141" s="34">
        <f t="shared" si="36"/>
        <v>0</v>
      </c>
      <c r="S141" s="36">
        <f t="shared" si="37"/>
        <v>9894.5568818583015</v>
      </c>
      <c r="T141" s="40">
        <f t="shared" si="38"/>
        <v>9821.9922303058811</v>
      </c>
      <c r="U141" s="37">
        <f t="shared" si="39"/>
        <v>21.066301717109866</v>
      </c>
      <c r="V141" s="38">
        <f t="shared" si="32"/>
        <v>127</v>
      </c>
      <c r="W141" s="70"/>
      <c r="X141" s="71"/>
      <c r="Y141" s="71"/>
      <c r="Z141" s="72" t="s">
        <v>64</v>
      </c>
      <c r="AB141" s="56"/>
      <c r="AC141" s="56"/>
      <c r="AD141" s="56"/>
      <c r="AE141" s="56"/>
      <c r="AF141" s="56"/>
      <c r="AG141" s="56"/>
      <c r="AH141" s="56"/>
      <c r="AI141" s="56">
        <v>88</v>
      </c>
      <c r="AJ141" s="56">
        <v>83</v>
      </c>
      <c r="AK141" s="56">
        <v>127</v>
      </c>
      <c r="AL141" s="56">
        <v>1.45</v>
      </c>
      <c r="AM141" s="56" t="s">
        <v>335</v>
      </c>
      <c r="AN141" s="56">
        <v>69.143000000000001</v>
      </c>
      <c r="AO141" s="56" t="s">
        <v>336</v>
      </c>
      <c r="AP141" s="56" t="s">
        <v>64</v>
      </c>
      <c r="AQ141" s="56" t="s">
        <v>63</v>
      </c>
    </row>
    <row r="142" spans="1:43" s="4" customFormat="1" ht="10.199999999999999" x14ac:dyDescent="0.2">
      <c r="A142" s="8"/>
      <c r="B142" s="8"/>
      <c r="C142" s="8">
        <v>1.45</v>
      </c>
      <c r="D142" s="27"/>
      <c r="E142" s="28">
        <v>128</v>
      </c>
      <c r="F142" s="29" t="s">
        <v>337</v>
      </c>
      <c r="G142" s="10" t="s">
        <v>338</v>
      </c>
      <c r="H142" s="30">
        <f t="shared" si="33"/>
        <v>0</v>
      </c>
      <c r="I142" s="52" t="str">
        <f>[1]!Plus_ang(I141,[1]!Min_ang(F142,F141))</f>
        <v xml:space="preserve"> 94° 54' 46"</v>
      </c>
      <c r="J142" s="10" t="str">
        <f>[1]!Plus_ang([1]!Plus_ang(J141,[1]!Min_ang(F142,F141)),[1]!DestoDeg(H142/3600))</f>
        <v xml:space="preserve"> 94° 54' 46"</v>
      </c>
      <c r="K142" s="31">
        <v>70.171000000000006</v>
      </c>
      <c r="L142" s="32">
        <f>[1]!Jarakdatar(K142,G142)</f>
        <v>70.070476136869388</v>
      </c>
      <c r="M142" s="33">
        <f>L142*[1]!dsin(J142)</f>
        <v>69.813052778569457</v>
      </c>
      <c r="N142" s="34">
        <f t="shared" si="34"/>
        <v>0</v>
      </c>
      <c r="O142" s="33">
        <f>L142*[1]!dcos(J142)</f>
        <v>-6.0007739321072773</v>
      </c>
      <c r="P142" s="34">
        <f t="shared" si="35"/>
        <v>0</v>
      </c>
      <c r="Q142" s="35">
        <f>L142/[1]!dTAN(G142)-C142+$B$97</f>
        <v>-4.084679074490623</v>
      </c>
      <c r="R142" s="34">
        <f t="shared" si="36"/>
        <v>0</v>
      </c>
      <c r="S142" s="36">
        <f t="shared" si="37"/>
        <v>9895.6587268142684</v>
      </c>
      <c r="T142" s="40">
        <f t="shared" si="38"/>
        <v>9821.8968501689997</v>
      </c>
      <c r="U142" s="37">
        <f t="shared" si="39"/>
        <v>22.276569035325245</v>
      </c>
      <c r="V142" s="38">
        <f t="shared" si="32"/>
        <v>128</v>
      </c>
      <c r="W142" s="70"/>
      <c r="X142" s="71"/>
      <c r="Y142" s="71"/>
      <c r="Z142" s="72" t="s">
        <v>3</v>
      </c>
      <c r="AB142" s="56"/>
      <c r="AC142" s="56"/>
      <c r="AD142" s="56"/>
      <c r="AE142" s="56"/>
      <c r="AF142" s="56"/>
      <c r="AG142" s="56"/>
      <c r="AH142" s="56"/>
      <c r="AI142" s="56">
        <v>90</v>
      </c>
      <c r="AJ142" s="56">
        <v>83</v>
      </c>
      <c r="AK142" s="56">
        <v>128</v>
      </c>
      <c r="AL142" s="56">
        <v>1.45</v>
      </c>
      <c r="AM142" s="56" t="s">
        <v>337</v>
      </c>
      <c r="AN142" s="56">
        <v>70.171000000000006</v>
      </c>
      <c r="AO142" s="56" t="s">
        <v>338</v>
      </c>
      <c r="AP142" s="56" t="s">
        <v>3</v>
      </c>
      <c r="AQ142" s="56" t="s">
        <v>63</v>
      </c>
    </row>
    <row r="143" spans="1:43" s="4" customFormat="1" ht="10.199999999999999" x14ac:dyDescent="0.2">
      <c r="A143" s="8"/>
      <c r="B143" s="8"/>
      <c r="C143" s="8">
        <v>1.45</v>
      </c>
      <c r="D143" s="27"/>
      <c r="E143" s="28">
        <v>129</v>
      </c>
      <c r="F143" s="29" t="s">
        <v>339</v>
      </c>
      <c r="G143" s="10" t="s">
        <v>340</v>
      </c>
      <c r="H143" s="30">
        <f t="shared" si="33"/>
        <v>0</v>
      </c>
      <c r="I143" s="52" t="str">
        <f>[1]!Plus_ang(I142,[1]!Min_ang(F143,F142))</f>
        <v xml:space="preserve"> 95° 52' 44"</v>
      </c>
      <c r="J143" s="10" t="str">
        <f>[1]!Plus_ang([1]!Plus_ang(J142,[1]!Min_ang(F143,F142)),[1]!DestoDeg(H143/3600))</f>
        <v xml:space="preserve"> 95° 52' 44"</v>
      </c>
      <c r="K143" s="31">
        <v>71.028000000000006</v>
      </c>
      <c r="L143" s="32">
        <f>[1]!Jarakdatar(K143,G143)</f>
        <v>70.921646482355726</v>
      </c>
      <c r="M143" s="33">
        <f>L143*[1]!dsin(J143)</f>
        <v>70.548642903100131</v>
      </c>
      <c r="N143" s="34">
        <f t="shared" si="34"/>
        <v>0</v>
      </c>
      <c r="O143" s="33">
        <f>L143*[1]!dcos(J143)</f>
        <v>-7.264222208819036</v>
      </c>
      <c r="P143" s="34">
        <f t="shared" si="35"/>
        <v>0</v>
      </c>
      <c r="Q143" s="35">
        <f>L143/[1]!dTAN(G143)-C143+$B$97</f>
        <v>-4.2154657676731579</v>
      </c>
      <c r="R143" s="34">
        <f t="shared" si="36"/>
        <v>0</v>
      </c>
      <c r="S143" s="36">
        <f t="shared" si="37"/>
        <v>9896.3943169388003</v>
      </c>
      <c r="T143" s="40">
        <f t="shared" si="38"/>
        <v>9820.633401892288</v>
      </c>
      <c r="U143" s="37">
        <f t="shared" si="39"/>
        <v>22.145782342142709</v>
      </c>
      <c r="V143" s="38">
        <f t="shared" si="32"/>
        <v>129</v>
      </c>
      <c r="W143" s="70"/>
      <c r="X143" s="71"/>
      <c r="Y143" s="71"/>
      <c r="Z143" s="72" t="s">
        <v>66</v>
      </c>
      <c r="AB143" s="56"/>
      <c r="AC143" s="56"/>
      <c r="AD143" s="56"/>
      <c r="AE143" s="56"/>
      <c r="AF143" s="56"/>
      <c r="AG143" s="56"/>
      <c r="AH143" s="56"/>
      <c r="AI143" s="56">
        <v>92</v>
      </c>
      <c r="AJ143" s="56">
        <v>83</v>
      </c>
      <c r="AK143" s="56">
        <v>129</v>
      </c>
      <c r="AL143" s="56">
        <v>1.45</v>
      </c>
      <c r="AM143" s="56" t="s">
        <v>339</v>
      </c>
      <c r="AN143" s="56">
        <v>71.028000000000006</v>
      </c>
      <c r="AO143" s="56" t="s">
        <v>340</v>
      </c>
      <c r="AP143" s="56" t="s">
        <v>66</v>
      </c>
      <c r="AQ143" s="56" t="s">
        <v>63</v>
      </c>
    </row>
    <row r="144" spans="1:43" s="4" customFormat="1" ht="10.199999999999999" x14ac:dyDescent="0.2">
      <c r="A144" s="8"/>
      <c r="B144" s="8"/>
      <c r="C144" s="8">
        <v>1.45</v>
      </c>
      <c r="D144" s="27"/>
      <c r="E144" s="28">
        <v>130</v>
      </c>
      <c r="F144" s="29" t="s">
        <v>341</v>
      </c>
      <c r="G144" s="10" t="s">
        <v>342</v>
      </c>
      <c r="H144" s="30">
        <f t="shared" si="33"/>
        <v>0</v>
      </c>
      <c r="I144" s="52" t="str">
        <f>[1]!Plus_ang(I143,[1]!Min_ang(F144,F143))</f>
        <v xml:space="preserve"> 97° 59' 46"</v>
      </c>
      <c r="J144" s="10" t="str">
        <f>[1]!Plus_ang([1]!Plus_ang(J143,[1]!Min_ang(F144,F143)),[1]!DestoDeg(H144/3600))</f>
        <v xml:space="preserve"> 97° 59' 46"</v>
      </c>
      <c r="K144" s="31">
        <v>74.994</v>
      </c>
      <c r="L144" s="32">
        <f>[1]!Jarakdatar(K144,G144)</f>
        <v>74.882977303745406</v>
      </c>
      <c r="M144" s="33">
        <f>L144*[1]!dsin(J144)</f>
        <v>74.154928506711954</v>
      </c>
      <c r="N144" s="34">
        <f t="shared" si="34"/>
        <v>0</v>
      </c>
      <c r="O144" s="33">
        <f>L144*[1]!dcos(J144)</f>
        <v>-10.416662999141749</v>
      </c>
      <c r="P144" s="34">
        <f t="shared" si="35"/>
        <v>0</v>
      </c>
      <c r="Q144" s="35">
        <f>L144/[1]!dTAN(G144)-C144+$B$97</f>
        <v>-4.409184492855255</v>
      </c>
      <c r="R144" s="34">
        <f t="shared" si="36"/>
        <v>0</v>
      </c>
      <c r="S144" s="36">
        <f t="shared" si="37"/>
        <v>9900.0006025424118</v>
      </c>
      <c r="T144" s="40">
        <f t="shared" si="38"/>
        <v>9817.4809611019664</v>
      </c>
      <c r="U144" s="37">
        <f t="shared" si="39"/>
        <v>21.952063616960615</v>
      </c>
      <c r="V144" s="38">
        <f t="shared" si="32"/>
        <v>130</v>
      </c>
      <c r="W144" s="70"/>
      <c r="X144" s="71"/>
      <c r="Y144" s="71"/>
      <c r="Z144" s="72" t="s">
        <v>66</v>
      </c>
      <c r="AB144" s="56"/>
      <c r="AC144" s="56"/>
      <c r="AD144" s="56"/>
      <c r="AE144" s="56"/>
      <c r="AF144" s="56"/>
      <c r="AG144" s="56"/>
      <c r="AH144" s="56"/>
      <c r="AI144" s="56">
        <v>94</v>
      </c>
      <c r="AJ144" s="56">
        <v>83</v>
      </c>
      <c r="AK144" s="56">
        <v>130</v>
      </c>
      <c r="AL144" s="56">
        <v>1.45</v>
      </c>
      <c r="AM144" s="56" t="s">
        <v>341</v>
      </c>
      <c r="AN144" s="56">
        <v>74.994</v>
      </c>
      <c r="AO144" s="56" t="s">
        <v>342</v>
      </c>
      <c r="AP144" s="56" t="s">
        <v>66</v>
      </c>
      <c r="AQ144" s="56" t="s">
        <v>63</v>
      </c>
    </row>
    <row r="145" spans="1:43" s="4" customFormat="1" ht="10.199999999999999" x14ac:dyDescent="0.2">
      <c r="A145" s="8"/>
      <c r="B145" s="8"/>
      <c r="C145" s="8">
        <v>1.45</v>
      </c>
      <c r="D145" s="27"/>
      <c r="E145" s="28">
        <v>131</v>
      </c>
      <c r="F145" s="29" t="s">
        <v>343</v>
      </c>
      <c r="G145" s="10" t="s">
        <v>344</v>
      </c>
      <c r="H145" s="30">
        <f t="shared" si="33"/>
        <v>0</v>
      </c>
      <c r="I145" s="52" t="str">
        <f>[1]!Plus_ang(I144,[1]!Min_ang(F145,F144))</f>
        <v xml:space="preserve"> 97° 53' 50"</v>
      </c>
      <c r="J145" s="10" t="str">
        <f>[1]!Plus_ang([1]!Plus_ang(J144,[1]!Min_ang(F145,F144)),[1]!DestoDeg(H145/3600))</f>
        <v xml:space="preserve"> 97° 53' 50"</v>
      </c>
      <c r="K145" s="31">
        <v>75.096000000000004</v>
      </c>
      <c r="L145" s="32">
        <f>[1]!Jarakdatar(K145,G145)</f>
        <v>74.986109794817196</v>
      </c>
      <c r="M145" s="33">
        <f>L145*[1]!dsin(J145)</f>
        <v>74.274950945819114</v>
      </c>
      <c r="N145" s="34">
        <f t="shared" si="34"/>
        <v>0</v>
      </c>
      <c r="O145" s="33">
        <f>L145*[1]!dcos(J145)</f>
        <v>-10.302830880711578</v>
      </c>
      <c r="P145" s="34">
        <f t="shared" si="35"/>
        <v>0</v>
      </c>
      <c r="Q145" s="35">
        <f>L145/[1]!dTAN(G145)-C145+$B$97</f>
        <v>-4.3911025399046784</v>
      </c>
      <c r="R145" s="34">
        <f t="shared" si="36"/>
        <v>0</v>
      </c>
      <c r="S145" s="36">
        <f t="shared" si="37"/>
        <v>9900.1206249815186</v>
      </c>
      <c r="T145" s="40">
        <f t="shared" si="38"/>
        <v>9817.5947932203962</v>
      </c>
      <c r="U145" s="37">
        <f t="shared" si="39"/>
        <v>21.970145569911189</v>
      </c>
      <c r="V145" s="38">
        <f t="shared" si="32"/>
        <v>131</v>
      </c>
      <c r="W145" s="70"/>
      <c r="X145" s="71"/>
      <c r="Y145" s="71"/>
      <c r="Z145" s="72" t="s">
        <v>14</v>
      </c>
      <c r="AB145" s="56"/>
      <c r="AC145" s="56"/>
      <c r="AD145" s="56"/>
      <c r="AE145" s="56"/>
      <c r="AF145" s="56"/>
      <c r="AG145" s="56"/>
      <c r="AH145" s="56"/>
      <c r="AI145" s="56">
        <v>96</v>
      </c>
      <c r="AJ145" s="56">
        <v>83</v>
      </c>
      <c r="AK145" s="56">
        <v>131</v>
      </c>
      <c r="AL145" s="56">
        <v>1.45</v>
      </c>
      <c r="AM145" s="56" t="s">
        <v>343</v>
      </c>
      <c r="AN145" s="56">
        <v>75.096000000000004</v>
      </c>
      <c r="AO145" s="56" t="s">
        <v>344</v>
      </c>
      <c r="AP145" s="56" t="s">
        <v>14</v>
      </c>
      <c r="AQ145" s="56" t="s">
        <v>63</v>
      </c>
    </row>
    <row r="146" spans="1:43" s="4" customFormat="1" ht="10.199999999999999" x14ac:dyDescent="0.2">
      <c r="A146" s="8"/>
      <c r="B146" s="8"/>
      <c r="C146" s="8">
        <v>1.45</v>
      </c>
      <c r="D146" s="27"/>
      <c r="E146" s="28">
        <v>132</v>
      </c>
      <c r="F146" s="29" t="s">
        <v>345</v>
      </c>
      <c r="G146" s="10" t="s">
        <v>346</v>
      </c>
      <c r="H146" s="30">
        <f t="shared" si="33"/>
        <v>0</v>
      </c>
      <c r="I146" s="52" t="str">
        <f>[1]!Plus_ang(I145,[1]!Min_ang(F146,F145))</f>
        <v xml:space="preserve"> 97° 56' 51"</v>
      </c>
      <c r="J146" s="10" t="str">
        <f>[1]!Plus_ang([1]!Plus_ang(J145,[1]!Min_ang(F146,F145)),[1]!DestoDeg(H146/3600))</f>
        <v xml:space="preserve"> 97° 56' 51"</v>
      </c>
      <c r="K146" s="31">
        <v>75.203000000000003</v>
      </c>
      <c r="L146" s="32">
        <f>[1]!Jarakdatar(K146,G146)</f>
        <v>75.092874337085433</v>
      </c>
      <c r="M146" s="33">
        <f>L146*[1]!dsin(J146)</f>
        <v>74.371620572209778</v>
      </c>
      <c r="N146" s="34">
        <f t="shared" si="34"/>
        <v>0</v>
      </c>
      <c r="O146" s="33">
        <f>L146*[1]!dcos(J146)</f>
        <v>-10.382765993152679</v>
      </c>
      <c r="P146" s="34">
        <f t="shared" si="35"/>
        <v>0</v>
      </c>
      <c r="Q146" s="35">
        <f>L146/[1]!dTAN(G146)-C146+$B$97</f>
        <v>-4.3983452157722569</v>
      </c>
      <c r="R146" s="34">
        <f t="shared" si="36"/>
        <v>0</v>
      </c>
      <c r="S146" s="36">
        <f t="shared" si="37"/>
        <v>9900.2172946079099</v>
      </c>
      <c r="T146" s="40">
        <f t="shared" si="38"/>
        <v>9817.5148581079557</v>
      </c>
      <c r="U146" s="37">
        <f t="shared" si="39"/>
        <v>21.962902894043612</v>
      </c>
      <c r="V146" s="38">
        <f t="shared" si="32"/>
        <v>132</v>
      </c>
      <c r="W146" s="70"/>
      <c r="X146" s="71"/>
      <c r="Y146" s="71"/>
      <c r="Z146" s="72" t="s">
        <v>14</v>
      </c>
      <c r="AB146" s="56"/>
      <c r="AC146" s="56"/>
      <c r="AD146" s="56"/>
      <c r="AE146" s="56"/>
      <c r="AF146" s="56"/>
      <c r="AG146" s="56"/>
      <c r="AH146" s="56"/>
      <c r="AI146" s="56">
        <v>98</v>
      </c>
      <c r="AJ146" s="56">
        <v>83</v>
      </c>
      <c r="AK146" s="56">
        <v>132</v>
      </c>
      <c r="AL146" s="56">
        <v>1.45</v>
      </c>
      <c r="AM146" s="56" t="s">
        <v>345</v>
      </c>
      <c r="AN146" s="56">
        <v>75.203000000000003</v>
      </c>
      <c r="AO146" s="56" t="s">
        <v>346</v>
      </c>
      <c r="AP146" s="56" t="s">
        <v>14</v>
      </c>
      <c r="AQ146" s="56" t="s">
        <v>63</v>
      </c>
    </row>
    <row r="147" spans="1:43" s="4" customFormat="1" ht="10.199999999999999" x14ac:dyDescent="0.2">
      <c r="A147" s="8"/>
      <c r="B147" s="8"/>
      <c r="C147" s="8">
        <v>1.45</v>
      </c>
      <c r="D147" s="27"/>
      <c r="E147" s="28">
        <v>133</v>
      </c>
      <c r="F147" s="29" t="s">
        <v>347</v>
      </c>
      <c r="G147" s="10" t="s">
        <v>348</v>
      </c>
      <c r="H147" s="30">
        <f t="shared" si="33"/>
        <v>0</v>
      </c>
      <c r="I147" s="52" t="str">
        <f>[1]!Plus_ang(I146,[1]!Min_ang(F147,F146))</f>
        <v xml:space="preserve"> 97° 59' 50"</v>
      </c>
      <c r="J147" s="10" t="str">
        <f>[1]!Plus_ang([1]!Plus_ang(J146,[1]!Min_ang(F147,F146)),[1]!DestoDeg(H147/3600))</f>
        <v xml:space="preserve"> 97° 59' 50"</v>
      </c>
      <c r="K147" s="31">
        <v>75.325999999999993</v>
      </c>
      <c r="L147" s="32">
        <f>[1]!Jarakdatar(K147,G147)</f>
        <v>75.212169686377706</v>
      </c>
      <c r="M147" s="33">
        <f>L147*[1]!dsin(J147)</f>
        <v>74.48071741291001</v>
      </c>
      <c r="N147" s="34">
        <f t="shared" si="34"/>
        <v>0</v>
      </c>
      <c r="O147" s="33">
        <f>L147*[1]!dcos(J147)</f>
        <v>-10.463899970408562</v>
      </c>
      <c r="P147" s="34">
        <f t="shared" si="35"/>
        <v>0</v>
      </c>
      <c r="Q147" s="35">
        <f>L147/[1]!dTAN(G147)-C147+$B$97</f>
        <v>-4.4695418910220246</v>
      </c>
      <c r="R147" s="34">
        <f t="shared" si="36"/>
        <v>0</v>
      </c>
      <c r="S147" s="36">
        <f t="shared" si="37"/>
        <v>9900.3263914486088</v>
      </c>
      <c r="T147" s="40">
        <f t="shared" si="38"/>
        <v>9817.4337241306985</v>
      </c>
      <c r="U147" s="37">
        <f t="shared" si="39"/>
        <v>21.891706218793843</v>
      </c>
      <c r="V147" s="38">
        <f t="shared" si="32"/>
        <v>133</v>
      </c>
      <c r="W147" s="70"/>
      <c r="X147" s="71"/>
      <c r="Y147" s="71"/>
      <c r="Z147" s="72" t="s">
        <v>14</v>
      </c>
      <c r="AB147" s="56"/>
      <c r="AC147" s="56"/>
      <c r="AD147" s="56"/>
      <c r="AE147" s="56"/>
      <c r="AF147" s="56"/>
      <c r="AG147" s="56"/>
      <c r="AH147" s="56"/>
      <c r="AI147" s="56">
        <v>100</v>
      </c>
      <c r="AJ147" s="56">
        <v>83</v>
      </c>
      <c r="AK147" s="56">
        <v>133</v>
      </c>
      <c r="AL147" s="56">
        <v>1.45</v>
      </c>
      <c r="AM147" s="56" t="s">
        <v>347</v>
      </c>
      <c r="AN147" s="56">
        <v>75.325999999999993</v>
      </c>
      <c r="AO147" s="56" t="s">
        <v>348</v>
      </c>
      <c r="AP147" s="56" t="s">
        <v>14</v>
      </c>
      <c r="AQ147" s="56" t="s">
        <v>63</v>
      </c>
    </row>
    <row r="148" spans="1:43" s="4" customFormat="1" ht="10.199999999999999" x14ac:dyDescent="0.2">
      <c r="A148" s="8"/>
      <c r="B148" s="8"/>
      <c r="C148" s="8">
        <v>1.45</v>
      </c>
      <c r="D148" s="27"/>
      <c r="E148" s="28">
        <v>134</v>
      </c>
      <c r="F148" s="29" t="s">
        <v>349</v>
      </c>
      <c r="G148" s="10" t="s">
        <v>350</v>
      </c>
      <c r="H148" s="30">
        <f t="shared" si="33"/>
        <v>0</v>
      </c>
      <c r="I148" s="52" t="str">
        <f>[1]!Plus_ang(I147,[1]!Min_ang(F148,F147))</f>
        <v xml:space="preserve"> 97° 55' 45"</v>
      </c>
      <c r="J148" s="10" t="str">
        <f>[1]!Plus_ang([1]!Plus_ang(J147,[1]!Min_ang(F148,F147)),[1]!DestoDeg(H148/3600))</f>
        <v xml:space="preserve"> 97° 55' 45"</v>
      </c>
      <c r="K148" s="31">
        <v>75.554000000000002</v>
      </c>
      <c r="L148" s="32">
        <f>[1]!Jarakdatar(K148,G148)</f>
        <v>75.447987522503965</v>
      </c>
      <c r="M148" s="33">
        <f>L148*[1]!dsin(J148)</f>
        <v>74.726657090483656</v>
      </c>
      <c r="N148" s="34">
        <f t="shared" si="34"/>
        <v>0</v>
      </c>
      <c r="O148" s="33">
        <f>L148*[1]!dcos(J148)</f>
        <v>-10.407955672329809</v>
      </c>
      <c r="P148" s="34">
        <f t="shared" si="35"/>
        <v>0</v>
      </c>
      <c r="Q148" s="35">
        <f>L148/[1]!dTAN(G148)-C148+$B$97</f>
        <v>-4.331011722563054</v>
      </c>
      <c r="R148" s="34">
        <f t="shared" si="36"/>
        <v>0</v>
      </c>
      <c r="S148" s="36">
        <f t="shared" si="37"/>
        <v>9900.5723311261827</v>
      </c>
      <c r="T148" s="40">
        <f t="shared" si="38"/>
        <v>9817.4896684287778</v>
      </c>
      <c r="U148" s="37">
        <f t="shared" si="39"/>
        <v>22.030236387252813</v>
      </c>
      <c r="V148" s="38">
        <f t="shared" si="32"/>
        <v>134</v>
      </c>
      <c r="W148" s="70"/>
      <c r="X148" s="71"/>
      <c r="Y148" s="71"/>
      <c r="Z148" s="72" t="s">
        <v>15</v>
      </c>
      <c r="AB148" s="56"/>
      <c r="AC148" s="56"/>
      <c r="AD148" s="56"/>
      <c r="AE148" s="56"/>
      <c r="AF148" s="56"/>
      <c r="AG148" s="56"/>
      <c r="AH148" s="56"/>
      <c r="AI148" s="56">
        <v>102</v>
      </c>
      <c r="AJ148" s="56">
        <v>83</v>
      </c>
      <c r="AK148" s="56">
        <v>134</v>
      </c>
      <c r="AL148" s="56">
        <v>1.45</v>
      </c>
      <c r="AM148" s="56" t="s">
        <v>349</v>
      </c>
      <c r="AN148" s="56">
        <v>75.554000000000002</v>
      </c>
      <c r="AO148" s="56" t="s">
        <v>350</v>
      </c>
      <c r="AP148" s="56" t="s">
        <v>15</v>
      </c>
      <c r="AQ148" s="56" t="s">
        <v>63</v>
      </c>
    </row>
    <row r="149" spans="1:43" s="4" customFormat="1" ht="10.199999999999999" x14ac:dyDescent="0.2">
      <c r="A149" s="8"/>
      <c r="B149" s="8"/>
      <c r="C149" s="8">
        <v>1.45</v>
      </c>
      <c r="D149" s="27"/>
      <c r="E149" s="28">
        <v>135</v>
      </c>
      <c r="F149" s="29" t="s">
        <v>351</v>
      </c>
      <c r="G149" s="10" t="s">
        <v>352</v>
      </c>
      <c r="H149" s="30">
        <f t="shared" si="33"/>
        <v>0</v>
      </c>
      <c r="I149" s="52" t="str">
        <f>[1]!Plus_ang(I148,[1]!Min_ang(F149,F148))</f>
        <v xml:space="preserve"> 97° 59' 49"</v>
      </c>
      <c r="J149" s="10" t="str">
        <f>[1]!Plus_ang([1]!Plus_ang(J148,[1]!Min_ang(F149,F148)),[1]!DestoDeg(H149/3600))</f>
        <v xml:space="preserve"> 97° 59' 49"</v>
      </c>
      <c r="K149" s="31">
        <v>75.638000000000005</v>
      </c>
      <c r="L149" s="32">
        <f>[1]!Jarakdatar(K149,G149)</f>
        <v>75.523536927324159</v>
      </c>
      <c r="M149" s="33">
        <f>L149*[1]!dsin(J149)</f>
        <v>74.789107489354109</v>
      </c>
      <c r="N149" s="34">
        <f t="shared" si="34"/>
        <v>0</v>
      </c>
      <c r="O149" s="33">
        <f>L149*[1]!dcos(J149)</f>
        <v>-10.506856378514566</v>
      </c>
      <c r="P149" s="34">
        <f t="shared" si="35"/>
        <v>0</v>
      </c>
      <c r="Q149" s="35">
        <f>L149/[1]!dTAN(G149)-C149+$B$97</f>
        <v>-4.4896170481315272</v>
      </c>
      <c r="R149" s="34">
        <f t="shared" si="36"/>
        <v>0</v>
      </c>
      <c r="S149" s="36">
        <f t="shared" si="37"/>
        <v>9900.6347815250538</v>
      </c>
      <c r="T149" s="40">
        <f t="shared" si="38"/>
        <v>9817.3907677225925</v>
      </c>
      <c r="U149" s="37">
        <f t="shared" si="39"/>
        <v>21.87163106168434</v>
      </c>
      <c r="V149" s="38">
        <f t="shared" si="32"/>
        <v>135</v>
      </c>
      <c r="W149" s="70"/>
      <c r="X149" s="71"/>
      <c r="Y149" s="71"/>
      <c r="Z149" s="72" t="s">
        <v>15</v>
      </c>
      <c r="AB149" s="56"/>
      <c r="AC149" s="56"/>
      <c r="AD149" s="56"/>
      <c r="AE149" s="56"/>
      <c r="AF149" s="56"/>
      <c r="AG149" s="56"/>
      <c r="AH149" s="56"/>
      <c r="AI149" s="56">
        <v>104</v>
      </c>
      <c r="AJ149" s="56">
        <v>83</v>
      </c>
      <c r="AK149" s="56">
        <v>135</v>
      </c>
      <c r="AL149" s="56">
        <v>1.45</v>
      </c>
      <c r="AM149" s="56" t="s">
        <v>351</v>
      </c>
      <c r="AN149" s="56">
        <v>75.638000000000005</v>
      </c>
      <c r="AO149" s="56" t="s">
        <v>352</v>
      </c>
      <c r="AP149" s="56" t="s">
        <v>15</v>
      </c>
      <c r="AQ149" s="56" t="s">
        <v>63</v>
      </c>
    </row>
    <row r="150" spans="1:43" s="4" customFormat="1" ht="10.199999999999999" x14ac:dyDescent="0.2">
      <c r="A150" s="8"/>
      <c r="B150" s="8"/>
      <c r="C150" s="8">
        <v>1.45</v>
      </c>
      <c r="D150" s="27"/>
      <c r="E150" s="28">
        <v>136</v>
      </c>
      <c r="F150" s="29" t="s">
        <v>353</v>
      </c>
      <c r="G150" s="10" t="s">
        <v>354</v>
      </c>
      <c r="H150" s="30">
        <f t="shared" si="33"/>
        <v>0</v>
      </c>
      <c r="I150" s="52" t="str">
        <f>[1]!Plus_ang(I149,[1]!Min_ang(F150,F149))</f>
        <v xml:space="preserve"> 97° 54' 52"</v>
      </c>
      <c r="J150" s="10" t="str">
        <f>[1]!Plus_ang([1]!Plus_ang(J149,[1]!Min_ang(F150,F149)),[1]!DestoDeg(H150/3600))</f>
        <v xml:space="preserve"> 97° 54' 52"</v>
      </c>
      <c r="K150" s="31">
        <v>75.856999999999999</v>
      </c>
      <c r="L150" s="32">
        <f>[1]!Jarakdatar(K150,G150)</f>
        <v>75.74718629430852</v>
      </c>
      <c r="M150" s="33">
        <f>L150*[1]!dsin(J150)</f>
        <v>75.025677798957503</v>
      </c>
      <c r="N150" s="34">
        <f t="shared" si="34"/>
        <v>0</v>
      </c>
      <c r="O150" s="33">
        <f>L150*[1]!dcos(J150)</f>
        <v>-10.429952172071326</v>
      </c>
      <c r="P150" s="34">
        <f t="shared" si="35"/>
        <v>0</v>
      </c>
      <c r="Q150" s="35">
        <f>L150/[1]!dTAN(G150)-C150+$B$97</f>
        <v>-4.4102227261901756</v>
      </c>
      <c r="R150" s="34">
        <f t="shared" si="36"/>
        <v>0</v>
      </c>
      <c r="S150" s="36">
        <f t="shared" si="37"/>
        <v>9900.8713518346576</v>
      </c>
      <c r="T150" s="40">
        <f t="shared" si="38"/>
        <v>9817.4676719290364</v>
      </c>
      <c r="U150" s="37">
        <f t="shared" si="39"/>
        <v>21.951025383625691</v>
      </c>
      <c r="V150" s="38">
        <f t="shared" si="32"/>
        <v>136</v>
      </c>
      <c r="W150" s="70"/>
      <c r="X150" s="71"/>
      <c r="Y150" s="71"/>
      <c r="Z150" s="72" t="s">
        <v>15</v>
      </c>
      <c r="AB150" s="56"/>
      <c r="AC150" s="56"/>
      <c r="AD150" s="56"/>
      <c r="AE150" s="56"/>
      <c r="AF150" s="56"/>
      <c r="AG150" s="56"/>
      <c r="AH150" s="56"/>
      <c r="AI150" s="56">
        <v>106</v>
      </c>
      <c r="AJ150" s="56">
        <v>83</v>
      </c>
      <c r="AK150" s="56">
        <v>136</v>
      </c>
      <c r="AL150" s="56">
        <v>1.45</v>
      </c>
      <c r="AM150" s="56" t="s">
        <v>353</v>
      </c>
      <c r="AN150" s="56">
        <v>75.856999999999999</v>
      </c>
      <c r="AO150" s="56" t="s">
        <v>354</v>
      </c>
      <c r="AP150" s="56" t="s">
        <v>15</v>
      </c>
      <c r="AQ150" s="56" t="s">
        <v>63</v>
      </c>
    </row>
    <row r="151" spans="1:43" s="4" customFormat="1" ht="10.199999999999999" x14ac:dyDescent="0.2">
      <c r="A151" s="8"/>
      <c r="B151" s="8"/>
      <c r="C151" s="8">
        <v>1.45</v>
      </c>
      <c r="D151" s="27"/>
      <c r="E151" s="28">
        <v>137</v>
      </c>
      <c r="F151" s="29" t="s">
        <v>355</v>
      </c>
      <c r="G151" s="10" t="s">
        <v>356</v>
      </c>
      <c r="H151" s="30">
        <f t="shared" si="33"/>
        <v>0</v>
      </c>
      <c r="I151" s="52" t="str">
        <f>[1]!Plus_ang(I150,[1]!Min_ang(F151,F150))</f>
        <v xml:space="preserve"> 99° 55' 47"</v>
      </c>
      <c r="J151" s="10" t="str">
        <f>[1]!Plus_ang([1]!Plus_ang(J150,[1]!Min_ang(F151,F150)),[1]!DestoDeg(H151/3600))</f>
        <v xml:space="preserve"> 99° 55' 47"</v>
      </c>
      <c r="K151" s="31">
        <v>79.989999999999995</v>
      </c>
      <c r="L151" s="32">
        <f>[1]!Jarakdatar(K151,G151)</f>
        <v>79.976935420988525</v>
      </c>
      <c r="M151" s="33">
        <f>L151*[1]!dsin(J151)</f>
        <v>78.778881350710321</v>
      </c>
      <c r="N151" s="34">
        <f t="shared" si="34"/>
        <v>0</v>
      </c>
      <c r="O151" s="33">
        <f>L151*[1]!dcos(J151)</f>
        <v>-13.791230998851173</v>
      </c>
      <c r="P151" s="34">
        <f t="shared" si="35"/>
        <v>0</v>
      </c>
      <c r="Q151" s="35">
        <f>L151/[1]!dTAN(G151)-C151+$B$97</f>
        <v>-1.7756488740456891</v>
      </c>
      <c r="R151" s="34">
        <f t="shared" si="36"/>
        <v>0</v>
      </c>
      <c r="S151" s="36">
        <f t="shared" si="37"/>
        <v>9904.6245553864101</v>
      </c>
      <c r="T151" s="40">
        <f t="shared" si="38"/>
        <v>9814.1063931022563</v>
      </c>
      <c r="U151" s="37">
        <f t="shared" si="39"/>
        <v>24.585599235770179</v>
      </c>
      <c r="V151" s="38">
        <f t="shared" si="32"/>
        <v>137</v>
      </c>
      <c r="W151" s="70"/>
      <c r="X151" s="71"/>
      <c r="Y151" s="71"/>
      <c r="Z151" s="72" t="s">
        <v>15</v>
      </c>
      <c r="AB151" s="56"/>
      <c r="AC151" s="56"/>
      <c r="AD151" s="56"/>
      <c r="AE151" s="56"/>
      <c r="AF151" s="56"/>
      <c r="AG151" s="56"/>
      <c r="AH151" s="56"/>
      <c r="AI151" s="56">
        <v>108</v>
      </c>
      <c r="AJ151" s="56">
        <v>83</v>
      </c>
      <c r="AK151" s="56">
        <v>137</v>
      </c>
      <c r="AL151" s="56">
        <v>1.45</v>
      </c>
      <c r="AM151" s="56" t="s">
        <v>355</v>
      </c>
      <c r="AN151" s="56">
        <v>79.989999999999995</v>
      </c>
      <c r="AO151" s="56" t="s">
        <v>356</v>
      </c>
      <c r="AP151" s="56" t="s">
        <v>15</v>
      </c>
      <c r="AQ151" s="56" t="s">
        <v>63</v>
      </c>
    </row>
    <row r="152" spans="1:43" s="4" customFormat="1" ht="10.199999999999999" x14ac:dyDescent="0.2">
      <c r="A152" s="8"/>
      <c r="B152" s="8"/>
      <c r="C152" s="8">
        <v>1.45</v>
      </c>
      <c r="D152" s="27"/>
      <c r="E152" s="28">
        <v>138</v>
      </c>
      <c r="F152" s="29" t="s">
        <v>357</v>
      </c>
      <c r="G152" s="10" t="s">
        <v>358</v>
      </c>
      <c r="H152" s="30">
        <f t="shared" si="33"/>
        <v>0</v>
      </c>
      <c r="I152" s="52" t="str">
        <f>[1]!Plus_ang(I151,[1]!Min_ang(F152,F151))</f>
        <v xml:space="preserve"> 102° 52' 53"</v>
      </c>
      <c r="J152" s="10" t="str">
        <f>[1]!Plus_ang([1]!Plus_ang(J151,[1]!Min_ang(F152,F151)),[1]!DestoDeg(H152/3600))</f>
        <v xml:space="preserve"> 102° 52' 53"</v>
      </c>
      <c r="K152" s="31">
        <v>84.423000000000002</v>
      </c>
      <c r="L152" s="32">
        <f>[1]!Jarakdatar(K152,G152)</f>
        <v>84.422985712935727</v>
      </c>
      <c r="M152" s="33">
        <f>L152*[1]!dsin(J152)</f>
        <v>82.298368152510349</v>
      </c>
      <c r="N152" s="34">
        <f t="shared" si="34"/>
        <v>0</v>
      </c>
      <c r="O152" s="33">
        <f>L152*[1]!dcos(J152)</f>
        <v>-18.820709766648569</v>
      </c>
      <c r="P152" s="34">
        <f t="shared" si="35"/>
        <v>0</v>
      </c>
      <c r="Q152" s="35">
        <f>L152/[1]!dTAN(G152)-C152+$B$97</f>
        <v>-0.37911530770974466</v>
      </c>
      <c r="R152" s="34">
        <f t="shared" si="36"/>
        <v>0</v>
      </c>
      <c r="S152" s="36">
        <f t="shared" si="37"/>
        <v>9908.1440421882107</v>
      </c>
      <c r="T152" s="40">
        <f t="shared" si="38"/>
        <v>9809.0769143344587</v>
      </c>
      <c r="U152" s="37">
        <f t="shared" si="39"/>
        <v>25.982132802106122</v>
      </c>
      <c r="V152" s="38">
        <f t="shared" si="32"/>
        <v>138</v>
      </c>
      <c r="W152" s="70"/>
      <c r="X152" s="71"/>
      <c r="Y152" s="71"/>
      <c r="Z152" s="72" t="s">
        <v>3</v>
      </c>
      <c r="AB152" s="56"/>
      <c r="AC152" s="56"/>
      <c r="AD152" s="56"/>
      <c r="AE152" s="56"/>
      <c r="AF152" s="56"/>
      <c r="AG152" s="56"/>
      <c r="AH152" s="56"/>
      <c r="AI152" s="56">
        <v>110</v>
      </c>
      <c r="AJ152" s="56">
        <v>83</v>
      </c>
      <c r="AK152" s="56">
        <v>138</v>
      </c>
      <c r="AL152" s="56">
        <v>1.45</v>
      </c>
      <c r="AM152" s="56" t="s">
        <v>357</v>
      </c>
      <c r="AN152" s="56">
        <v>84.423000000000002</v>
      </c>
      <c r="AO152" s="56" t="s">
        <v>358</v>
      </c>
      <c r="AP152" s="56" t="s">
        <v>3</v>
      </c>
      <c r="AQ152" s="56" t="s">
        <v>63</v>
      </c>
    </row>
    <row r="153" spans="1:43" s="4" customFormat="1" ht="10.199999999999999" x14ac:dyDescent="0.2">
      <c r="A153" s="8"/>
      <c r="B153" s="8"/>
      <c r="C153" s="8">
        <v>2.5</v>
      </c>
      <c r="D153" s="27"/>
      <c r="E153" s="28">
        <v>139</v>
      </c>
      <c r="F153" s="29" t="s">
        <v>359</v>
      </c>
      <c r="G153" s="10" t="s">
        <v>360</v>
      </c>
      <c r="H153" s="30">
        <f t="shared" si="33"/>
        <v>0</v>
      </c>
      <c r="I153" s="52" t="str">
        <f>[1]!Plus_ang(I152,[1]!Min_ang(F153,F152))</f>
        <v xml:space="preserve"> 71° 50' 50"</v>
      </c>
      <c r="J153" s="10" t="str">
        <f>[1]!Plus_ang([1]!Plus_ang(J152,[1]!Min_ang(F153,F152)),[1]!DestoDeg(H153/3600))</f>
        <v xml:space="preserve"> 71° 50' 50"</v>
      </c>
      <c r="K153" s="31">
        <v>51.546999999999997</v>
      </c>
      <c r="L153" s="32">
        <f>[1]!Jarakdatar(K153,G153)</f>
        <v>51.043189453653618</v>
      </c>
      <c r="M153" s="33">
        <f>L153*[1]!dsin(J153)</f>
        <v>48.502726530827445</v>
      </c>
      <c r="N153" s="34">
        <f t="shared" si="34"/>
        <v>0</v>
      </c>
      <c r="O153" s="33">
        <f>L153*[1]!dcos(J153)</f>
        <v>15.902600689111937</v>
      </c>
      <c r="P153" s="34">
        <f t="shared" si="35"/>
        <v>0</v>
      </c>
      <c r="Q153" s="35">
        <f>L153/[1]!dTAN(G153)-C153+$B$97</f>
        <v>-8.5692989504139803</v>
      </c>
      <c r="R153" s="34">
        <f t="shared" si="36"/>
        <v>0</v>
      </c>
      <c r="S153" s="36">
        <f t="shared" si="37"/>
        <v>9874.3484005665268</v>
      </c>
      <c r="T153" s="40">
        <f t="shared" si="38"/>
        <v>9843.8002247902205</v>
      </c>
      <c r="U153" s="37">
        <f t="shared" si="39"/>
        <v>17.791949159401888</v>
      </c>
      <c r="V153" s="38">
        <f t="shared" si="32"/>
        <v>139</v>
      </c>
      <c r="W153" s="70"/>
      <c r="X153" s="71"/>
      <c r="Y153" s="71"/>
      <c r="Z153" s="72" t="s">
        <v>65</v>
      </c>
      <c r="AB153" s="56"/>
      <c r="AC153" s="56"/>
      <c r="AD153" s="56"/>
      <c r="AE153" s="56"/>
      <c r="AF153" s="56"/>
      <c r="AG153" s="56"/>
      <c r="AH153" s="56"/>
      <c r="AI153" s="56">
        <v>112</v>
      </c>
      <c r="AJ153" s="56">
        <v>83</v>
      </c>
      <c r="AK153" s="56">
        <v>139</v>
      </c>
      <c r="AL153" s="56">
        <v>2.5</v>
      </c>
      <c r="AM153" s="56" t="s">
        <v>359</v>
      </c>
      <c r="AN153" s="56">
        <v>51.546999999999997</v>
      </c>
      <c r="AO153" s="56" t="s">
        <v>360</v>
      </c>
      <c r="AP153" s="56" t="s">
        <v>65</v>
      </c>
      <c r="AQ153" s="56" t="s">
        <v>63</v>
      </c>
    </row>
    <row r="154" spans="1:43" s="4" customFormat="1" ht="10.199999999999999" x14ac:dyDescent="0.2">
      <c r="A154" s="8"/>
      <c r="B154" s="8"/>
      <c r="C154" s="8">
        <v>2.5</v>
      </c>
      <c r="D154" s="27"/>
      <c r="E154" s="28">
        <v>140</v>
      </c>
      <c r="F154" s="29" t="s">
        <v>361</v>
      </c>
      <c r="G154" s="10" t="s">
        <v>362</v>
      </c>
      <c r="H154" s="30">
        <f t="shared" si="33"/>
        <v>0</v>
      </c>
      <c r="I154" s="52" t="str">
        <f>[1]!Plus_ang(I153,[1]!Min_ang(F154,F153))</f>
        <v xml:space="preserve"> 82° 53' 44"</v>
      </c>
      <c r="J154" s="10" t="str">
        <f>[1]!Plus_ang([1]!Plus_ang(J153,[1]!Min_ang(F154,F153)),[1]!DestoDeg(H154/3600))</f>
        <v xml:space="preserve"> 82° 53' 44"</v>
      </c>
      <c r="K154" s="31">
        <v>58.164000000000001</v>
      </c>
      <c r="L154" s="32">
        <f>[1]!Jarakdatar(K154,G154)</f>
        <v>57.721889975691106</v>
      </c>
      <c r="M154" s="33">
        <f>L154*[1]!dsin(J154)</f>
        <v>57.278721340308316</v>
      </c>
      <c r="N154" s="34">
        <f t="shared" si="34"/>
        <v>0</v>
      </c>
      <c r="O154" s="33">
        <f>L154*[1]!dcos(J154)</f>
        <v>7.1389539839599792</v>
      </c>
      <c r="P154" s="34">
        <f t="shared" si="35"/>
        <v>0</v>
      </c>
      <c r="Q154" s="35">
        <f>L154/[1]!dTAN(G154)-C154+$B$97</f>
        <v>-8.5378148644828258</v>
      </c>
      <c r="R154" s="34">
        <f t="shared" si="36"/>
        <v>0</v>
      </c>
      <c r="S154" s="36">
        <f t="shared" si="37"/>
        <v>9883.1243953760077</v>
      </c>
      <c r="T154" s="40">
        <f t="shared" si="38"/>
        <v>9835.036578085068</v>
      </c>
      <c r="U154" s="37">
        <f t="shared" si="39"/>
        <v>17.823433245333042</v>
      </c>
      <c r="V154" s="38">
        <f t="shared" si="32"/>
        <v>140</v>
      </c>
      <c r="W154" s="70"/>
      <c r="X154" s="71"/>
      <c r="Y154" s="71"/>
      <c r="Z154" s="72" t="s">
        <v>65</v>
      </c>
      <c r="AB154" s="56"/>
      <c r="AC154" s="56"/>
      <c r="AD154" s="56"/>
      <c r="AE154" s="56"/>
      <c r="AF154" s="56"/>
      <c r="AG154" s="56"/>
      <c r="AH154" s="56"/>
      <c r="AI154" s="56">
        <v>114</v>
      </c>
      <c r="AJ154" s="56">
        <v>83</v>
      </c>
      <c r="AK154" s="56">
        <v>140</v>
      </c>
      <c r="AL154" s="56">
        <v>2.5</v>
      </c>
      <c r="AM154" s="56" t="s">
        <v>361</v>
      </c>
      <c r="AN154" s="56">
        <v>58.164000000000001</v>
      </c>
      <c r="AO154" s="56" t="s">
        <v>362</v>
      </c>
      <c r="AP154" s="56" t="s">
        <v>65</v>
      </c>
      <c r="AQ154" s="56" t="s">
        <v>63</v>
      </c>
    </row>
    <row r="155" spans="1:43" s="4" customFormat="1" ht="10.199999999999999" x14ac:dyDescent="0.2">
      <c r="A155" s="8"/>
      <c r="B155" s="8"/>
      <c r="C155" s="8">
        <v>2.5</v>
      </c>
      <c r="D155" s="27"/>
      <c r="E155" s="28">
        <v>141</v>
      </c>
      <c r="F155" s="29" t="s">
        <v>363</v>
      </c>
      <c r="G155" s="10" t="s">
        <v>364</v>
      </c>
      <c r="H155" s="30">
        <f t="shared" si="33"/>
        <v>0</v>
      </c>
      <c r="I155" s="52" t="str">
        <f>[1]!Plus_ang(I154,[1]!Min_ang(F155,F154))</f>
        <v xml:space="preserve"> 90° 57' 47"</v>
      </c>
      <c r="J155" s="10" t="str">
        <f>[1]!Plus_ang([1]!Plus_ang(J154,[1]!Min_ang(F155,F154)),[1]!DestoDeg(H155/3600))</f>
        <v xml:space="preserve"> 90° 57' 47"</v>
      </c>
      <c r="K155" s="31">
        <v>65.893000000000001</v>
      </c>
      <c r="L155" s="32">
        <f>[1]!Jarakdatar(K155,G155)</f>
        <v>65.513637847870925</v>
      </c>
      <c r="M155" s="33">
        <f>L155*[1]!dsin(J155)</f>
        <v>65.504383434125614</v>
      </c>
      <c r="N155" s="34">
        <f t="shared" si="34"/>
        <v>0</v>
      </c>
      <c r="O155" s="33">
        <f>L155*[1]!dcos(J155)</f>
        <v>-1.1011334964641357</v>
      </c>
      <c r="P155" s="34">
        <f t="shared" si="35"/>
        <v>0</v>
      </c>
      <c r="Q155" s="35">
        <f>L155/[1]!dTAN(G155)-C155+$B$97</f>
        <v>-8.4405031646487245</v>
      </c>
      <c r="R155" s="34">
        <f t="shared" si="36"/>
        <v>0</v>
      </c>
      <c r="S155" s="36">
        <f t="shared" si="37"/>
        <v>9891.3500574698246</v>
      </c>
      <c r="T155" s="40">
        <f t="shared" si="38"/>
        <v>9826.7964906046436</v>
      </c>
      <c r="U155" s="37">
        <f t="shared" si="39"/>
        <v>17.920744945167144</v>
      </c>
      <c r="V155" s="38">
        <f t="shared" si="32"/>
        <v>141</v>
      </c>
      <c r="W155" s="70"/>
      <c r="X155" s="71"/>
      <c r="Y155" s="71"/>
      <c r="Z155" s="72" t="s">
        <v>65</v>
      </c>
      <c r="AB155" s="56"/>
      <c r="AC155" s="56"/>
      <c r="AD155" s="56"/>
      <c r="AE155" s="56"/>
      <c r="AF155" s="56"/>
      <c r="AG155" s="56"/>
      <c r="AH155" s="56"/>
      <c r="AI155" s="56">
        <v>116</v>
      </c>
      <c r="AJ155" s="56">
        <v>83</v>
      </c>
      <c r="AK155" s="56">
        <v>141</v>
      </c>
      <c r="AL155" s="56">
        <v>2.5</v>
      </c>
      <c r="AM155" s="56" t="s">
        <v>363</v>
      </c>
      <c r="AN155" s="56">
        <v>65.893000000000001</v>
      </c>
      <c r="AO155" s="56" t="s">
        <v>364</v>
      </c>
      <c r="AP155" s="56" t="s">
        <v>65</v>
      </c>
      <c r="AQ155" s="56" t="s">
        <v>63</v>
      </c>
    </row>
    <row r="156" spans="1:43" s="4" customFormat="1" ht="10.199999999999999" x14ac:dyDescent="0.2">
      <c r="A156" s="8"/>
      <c r="B156" s="8"/>
      <c r="C156" s="8">
        <v>2.5</v>
      </c>
      <c r="D156" s="27"/>
      <c r="E156" s="28">
        <v>142</v>
      </c>
      <c r="F156" s="29" t="s">
        <v>365</v>
      </c>
      <c r="G156" s="10" t="s">
        <v>366</v>
      </c>
      <c r="H156" s="30">
        <f t="shared" si="33"/>
        <v>0</v>
      </c>
      <c r="I156" s="52" t="str">
        <f>[1]!Plus_ang(I155,[1]!Min_ang(F156,F155))</f>
        <v xml:space="preserve"> 137° 56' 48"</v>
      </c>
      <c r="J156" s="10" t="str">
        <f>[1]!Plus_ang([1]!Plus_ang(J155,[1]!Min_ang(F156,F155)),[1]!DestoDeg(H156/3600))</f>
        <v xml:space="preserve"> 137° 56' 48"</v>
      </c>
      <c r="K156" s="31">
        <v>47.392000000000003</v>
      </c>
      <c r="L156" s="32">
        <f>[1]!Jarakdatar(K156,G156)</f>
        <v>46.788627441890505</v>
      </c>
      <c r="M156" s="33">
        <f>L156*[1]!dsin(J156)</f>
        <v>31.340055144456336</v>
      </c>
      <c r="N156" s="34">
        <f t="shared" si="34"/>
        <v>0</v>
      </c>
      <c r="O156" s="33">
        <f>L156*[1]!dcos(J156)</f>
        <v>-34.741568782057975</v>
      </c>
      <c r="P156" s="34">
        <f t="shared" si="35"/>
        <v>0</v>
      </c>
      <c r="Q156" s="35">
        <f>L156/[1]!dTAN(G156)-C156+$B$97</f>
        <v>-8.9183026009819351</v>
      </c>
      <c r="R156" s="34">
        <f t="shared" si="36"/>
        <v>0</v>
      </c>
      <c r="S156" s="36">
        <f t="shared" si="37"/>
        <v>9857.1857291801552</v>
      </c>
      <c r="T156" s="40">
        <f t="shared" si="38"/>
        <v>9793.1560553190502</v>
      </c>
      <c r="U156" s="37">
        <f t="shared" si="39"/>
        <v>17.442945508833933</v>
      </c>
      <c r="V156" s="38">
        <f t="shared" si="32"/>
        <v>142</v>
      </c>
      <c r="W156" s="70"/>
      <c r="X156" s="71"/>
      <c r="Y156" s="71"/>
      <c r="Z156" s="72" t="s">
        <v>65</v>
      </c>
      <c r="AB156" s="56"/>
      <c r="AC156" s="56"/>
      <c r="AD156" s="56"/>
      <c r="AE156" s="56"/>
      <c r="AF156" s="56"/>
      <c r="AG156" s="56"/>
      <c r="AH156" s="56"/>
      <c r="AI156" s="56">
        <v>118</v>
      </c>
      <c r="AJ156" s="56">
        <v>83</v>
      </c>
      <c r="AK156" s="56">
        <v>142</v>
      </c>
      <c r="AL156" s="56">
        <v>2.5</v>
      </c>
      <c r="AM156" s="56" t="s">
        <v>365</v>
      </c>
      <c r="AN156" s="56">
        <v>47.392000000000003</v>
      </c>
      <c r="AO156" s="56" t="s">
        <v>366</v>
      </c>
      <c r="AP156" s="56" t="s">
        <v>65</v>
      </c>
      <c r="AQ156" s="56" t="s">
        <v>63</v>
      </c>
    </row>
    <row r="157" spans="1:43" s="4" customFormat="1" ht="10.199999999999999" x14ac:dyDescent="0.2">
      <c r="A157" s="8"/>
      <c r="B157" s="8"/>
      <c r="C157" s="8">
        <v>2.5</v>
      </c>
      <c r="D157" s="27"/>
      <c r="E157" s="28">
        <v>143</v>
      </c>
      <c r="F157" s="29" t="s">
        <v>367</v>
      </c>
      <c r="G157" s="10" t="s">
        <v>368</v>
      </c>
      <c r="H157" s="30">
        <f t="shared" si="33"/>
        <v>0</v>
      </c>
      <c r="I157" s="52" t="str">
        <f>[1]!Plus_ang(I156,[1]!Min_ang(F157,F156))</f>
        <v xml:space="preserve"> 137° 50' 44"</v>
      </c>
      <c r="J157" s="10" t="str">
        <f>[1]!Plus_ang([1]!Plus_ang(J156,[1]!Min_ang(F157,F156)),[1]!DestoDeg(H157/3600))</f>
        <v xml:space="preserve"> 137° 50' 44"</v>
      </c>
      <c r="K157" s="31">
        <v>37.15</v>
      </c>
      <c r="L157" s="32">
        <f>[1]!Jarakdatar(K157,G157)</f>
        <v>36.457101412988841</v>
      </c>
      <c r="M157" s="33">
        <f>L157*[1]!dsin(J157)</f>
        <v>24.467504324529642</v>
      </c>
      <c r="N157" s="34">
        <f t="shared" si="34"/>
        <v>0</v>
      </c>
      <c r="O157" s="33">
        <f>L157*[1]!dcos(J157)</f>
        <v>-27.027050811475455</v>
      </c>
      <c r="P157" s="34">
        <f t="shared" si="35"/>
        <v>0</v>
      </c>
      <c r="Q157" s="35">
        <f>L157/[1]!dTAN(G157)-C157+$B$97</f>
        <v>-8.5215864178099068</v>
      </c>
      <c r="R157" s="34">
        <f t="shared" si="36"/>
        <v>0</v>
      </c>
      <c r="S157" s="36">
        <f t="shared" si="37"/>
        <v>9850.3131783602294</v>
      </c>
      <c r="T157" s="40">
        <f t="shared" si="38"/>
        <v>9800.8705732896324</v>
      </c>
      <c r="U157" s="37">
        <f t="shared" si="39"/>
        <v>17.839661692005961</v>
      </c>
      <c r="V157" s="38">
        <f t="shared" si="32"/>
        <v>143</v>
      </c>
      <c r="W157" s="70"/>
      <c r="X157" s="71"/>
      <c r="Y157" s="71"/>
      <c r="Z157" s="72" t="s">
        <v>65</v>
      </c>
      <c r="AB157" s="56"/>
      <c r="AC157" s="56"/>
      <c r="AD157" s="56"/>
      <c r="AE157" s="56"/>
      <c r="AF157" s="56"/>
      <c r="AG157" s="56"/>
      <c r="AH157" s="56"/>
      <c r="AI157" s="56">
        <v>120</v>
      </c>
      <c r="AJ157" s="56">
        <v>83</v>
      </c>
      <c r="AK157" s="56">
        <v>143</v>
      </c>
      <c r="AL157" s="56">
        <v>2.5</v>
      </c>
      <c r="AM157" s="56" t="s">
        <v>367</v>
      </c>
      <c r="AN157" s="56">
        <v>37.15</v>
      </c>
      <c r="AO157" s="56" t="s">
        <v>368</v>
      </c>
      <c r="AP157" s="56" t="s">
        <v>65</v>
      </c>
      <c r="AQ157" s="56" t="s">
        <v>63</v>
      </c>
    </row>
    <row r="158" spans="1:43" s="4" customFormat="1" ht="10.199999999999999" x14ac:dyDescent="0.2">
      <c r="A158" s="8"/>
      <c r="B158" s="8"/>
      <c r="C158" s="8">
        <v>2.5</v>
      </c>
      <c r="D158" s="27"/>
      <c r="E158" s="28">
        <v>144</v>
      </c>
      <c r="F158" s="29" t="s">
        <v>369</v>
      </c>
      <c r="G158" s="10" t="s">
        <v>370</v>
      </c>
      <c r="H158" s="30">
        <f t="shared" si="33"/>
        <v>0</v>
      </c>
      <c r="I158" s="52" t="str">
        <f>[1]!Plus_ang(I157,[1]!Min_ang(F158,F157))</f>
        <v xml:space="preserve"> 137° 50' 48"</v>
      </c>
      <c r="J158" s="10" t="str">
        <f>[1]!Plus_ang([1]!Plus_ang(J157,[1]!Min_ang(F158,F157)),[1]!DestoDeg(H158/3600))</f>
        <v xml:space="preserve"> 137° 50' 48"</v>
      </c>
      <c r="K158" s="31">
        <v>24.594000000000001</v>
      </c>
      <c r="L158" s="32">
        <f>[1]!Jarakdatar(K158,G158)</f>
        <v>23.38116631405547</v>
      </c>
      <c r="M158" s="33">
        <f>L158*[1]!dsin(J158)</f>
        <v>15.691497980003181</v>
      </c>
      <c r="N158" s="34">
        <f t="shared" si="34"/>
        <v>0</v>
      </c>
      <c r="O158" s="33">
        <f>L158*[1]!dcos(J158)</f>
        <v>-17.333661740932826</v>
      </c>
      <c r="P158" s="34">
        <f t="shared" si="35"/>
        <v>0</v>
      </c>
      <c r="Q158" s="35">
        <f>L158/[1]!dTAN(G158)-C158+$B$97</f>
        <v>-9.0079681301430412</v>
      </c>
      <c r="R158" s="34">
        <f t="shared" si="36"/>
        <v>0</v>
      </c>
      <c r="S158" s="36">
        <f t="shared" si="37"/>
        <v>9841.5371720157036</v>
      </c>
      <c r="T158" s="40">
        <f t="shared" si="38"/>
        <v>9810.5639623601746</v>
      </c>
      <c r="U158" s="37">
        <f t="shared" si="39"/>
        <v>17.353279979672827</v>
      </c>
      <c r="V158" s="38">
        <f t="shared" si="32"/>
        <v>144</v>
      </c>
      <c r="W158" s="70"/>
      <c r="X158" s="71"/>
      <c r="Y158" s="71"/>
      <c r="Z158" s="72" t="s">
        <v>65</v>
      </c>
      <c r="AB158" s="56"/>
      <c r="AC158" s="56"/>
      <c r="AD158" s="56"/>
      <c r="AE158" s="56"/>
      <c r="AF158" s="56"/>
      <c r="AG158" s="56"/>
      <c r="AH158" s="56"/>
      <c r="AI158" s="56">
        <v>122</v>
      </c>
      <c r="AJ158" s="56">
        <v>83</v>
      </c>
      <c r="AK158" s="56">
        <v>144</v>
      </c>
      <c r="AL158" s="56">
        <v>2.5</v>
      </c>
      <c r="AM158" s="56" t="s">
        <v>369</v>
      </c>
      <c r="AN158" s="56">
        <v>24.594000000000001</v>
      </c>
      <c r="AO158" s="56" t="s">
        <v>370</v>
      </c>
      <c r="AP158" s="56" t="s">
        <v>65</v>
      </c>
      <c r="AQ158" s="56" t="s">
        <v>63</v>
      </c>
    </row>
    <row r="159" spans="1:43" s="4" customFormat="1" ht="10.199999999999999" x14ac:dyDescent="0.2">
      <c r="A159" s="8"/>
      <c r="B159" s="8"/>
      <c r="C159" s="8">
        <v>1.45</v>
      </c>
      <c r="D159" s="27"/>
      <c r="E159" s="28">
        <v>145</v>
      </c>
      <c r="F159" s="29" t="s">
        <v>371</v>
      </c>
      <c r="G159" s="10" t="s">
        <v>372</v>
      </c>
      <c r="H159" s="30">
        <f t="shared" si="33"/>
        <v>0</v>
      </c>
      <c r="I159" s="52" t="str">
        <f>[1]!Plus_ang(I158,[1]!Min_ang(F159,F158))</f>
        <v xml:space="preserve"> 137° 50' 45"</v>
      </c>
      <c r="J159" s="10" t="str">
        <f>[1]!Plus_ang([1]!Plus_ang(J158,[1]!Min_ang(F159,F158)),[1]!DestoDeg(H159/3600))</f>
        <v xml:space="preserve"> 137° 50' 45"</v>
      </c>
      <c r="K159" s="31">
        <v>52.677999999999997</v>
      </c>
      <c r="L159" s="32">
        <f>[1]!Jarakdatar(K159,G159)</f>
        <v>52.467904606932024</v>
      </c>
      <c r="M159" s="33">
        <f>L159*[1]!dsin(J159)</f>
        <v>35.212667990194333</v>
      </c>
      <c r="N159" s="34">
        <f t="shared" si="34"/>
        <v>0</v>
      </c>
      <c r="O159" s="33">
        <f>L159*[1]!dcos(J159)</f>
        <v>-38.896645444748344</v>
      </c>
      <c r="P159" s="34">
        <f t="shared" si="35"/>
        <v>0</v>
      </c>
      <c r="Q159" s="35">
        <f>L159/[1]!dTAN(G159)-C159+$B$97</f>
        <v>-5.0300712928508622</v>
      </c>
      <c r="R159" s="34">
        <f t="shared" si="36"/>
        <v>0</v>
      </c>
      <c r="S159" s="36">
        <f t="shared" si="37"/>
        <v>9861.0583420258936</v>
      </c>
      <c r="T159" s="40">
        <f t="shared" si="38"/>
        <v>9789.0009786563587</v>
      </c>
      <c r="U159" s="37">
        <f t="shared" si="39"/>
        <v>21.331176816965005</v>
      </c>
      <c r="V159" s="38">
        <f t="shared" si="32"/>
        <v>145</v>
      </c>
      <c r="W159" s="70"/>
      <c r="X159" s="71"/>
      <c r="Y159" s="71"/>
      <c r="Z159" s="72" t="s">
        <v>64</v>
      </c>
      <c r="AB159" s="56"/>
      <c r="AC159" s="56"/>
      <c r="AD159" s="56"/>
      <c r="AE159" s="56"/>
      <c r="AF159" s="56"/>
      <c r="AG159" s="56"/>
      <c r="AH159" s="56"/>
      <c r="AI159" s="56">
        <v>124</v>
      </c>
      <c r="AJ159" s="56">
        <v>83</v>
      </c>
      <c r="AK159" s="56">
        <v>145</v>
      </c>
      <c r="AL159" s="56">
        <v>1.45</v>
      </c>
      <c r="AM159" s="56" t="s">
        <v>371</v>
      </c>
      <c r="AN159" s="56">
        <v>52.677999999999997</v>
      </c>
      <c r="AO159" s="56" t="s">
        <v>372</v>
      </c>
      <c r="AP159" s="56" t="s">
        <v>64</v>
      </c>
      <c r="AQ159" s="56" t="s">
        <v>63</v>
      </c>
    </row>
    <row r="160" spans="1:43" s="4" customFormat="1" ht="10.199999999999999" x14ac:dyDescent="0.2">
      <c r="A160" s="8"/>
      <c r="B160" s="8"/>
      <c r="C160" s="8">
        <v>1.45</v>
      </c>
      <c r="D160" s="27"/>
      <c r="E160" s="28">
        <v>146</v>
      </c>
      <c r="F160" s="29" t="s">
        <v>373</v>
      </c>
      <c r="G160" s="10" t="s">
        <v>374</v>
      </c>
      <c r="H160" s="30">
        <f t="shared" si="33"/>
        <v>0</v>
      </c>
      <c r="I160" s="52" t="str">
        <f>[1]!Plus_ang(I159,[1]!Min_ang(F160,F159))</f>
        <v xml:space="preserve"> 137° 56' 52"</v>
      </c>
      <c r="J160" s="10" t="str">
        <f>[1]!Plus_ang([1]!Plus_ang(J159,[1]!Min_ang(F160,F159)),[1]!DestoDeg(H160/3600))</f>
        <v xml:space="preserve"> 137° 56' 52"</v>
      </c>
      <c r="K160" s="31">
        <v>54.234000000000002</v>
      </c>
      <c r="L160" s="32">
        <f>[1]!Jarakdatar(K160,G160)</f>
        <v>54.100767514294262</v>
      </c>
      <c r="M160" s="33">
        <f>L160*[1]!dsin(J160)</f>
        <v>36.237108897171602</v>
      </c>
      <c r="N160" s="34">
        <f t="shared" si="34"/>
        <v>0</v>
      </c>
      <c r="O160" s="33">
        <f>L160*[1]!dcos(J160)</f>
        <v>-40.171693820527956</v>
      </c>
      <c r="P160" s="34">
        <f t="shared" si="35"/>
        <v>0</v>
      </c>
      <c r="Q160" s="35">
        <f>L160/[1]!dTAN(G160)-C160+$B$97</f>
        <v>-4.1291723262156159</v>
      </c>
      <c r="R160" s="34">
        <f t="shared" si="36"/>
        <v>0</v>
      </c>
      <c r="S160" s="36">
        <f t="shared" si="37"/>
        <v>9862.0827829328719</v>
      </c>
      <c r="T160" s="40">
        <f t="shared" si="38"/>
        <v>9787.7259302805796</v>
      </c>
      <c r="U160" s="37">
        <f t="shared" si="39"/>
        <v>22.232075783600251</v>
      </c>
      <c r="V160" s="38">
        <f t="shared" si="32"/>
        <v>146</v>
      </c>
      <c r="W160" s="70"/>
      <c r="X160" s="71"/>
      <c r="Y160" s="71"/>
      <c r="Z160" s="72" t="s">
        <v>3</v>
      </c>
      <c r="AB160" s="56"/>
      <c r="AC160" s="56"/>
      <c r="AD160" s="56"/>
      <c r="AE160" s="56"/>
      <c r="AF160" s="56"/>
      <c r="AG160" s="56"/>
      <c r="AH160" s="56"/>
      <c r="AI160" s="56">
        <v>126</v>
      </c>
      <c r="AJ160" s="56">
        <v>83</v>
      </c>
      <c r="AK160" s="56">
        <v>146</v>
      </c>
      <c r="AL160" s="56">
        <v>1.45</v>
      </c>
      <c r="AM160" s="56" t="s">
        <v>373</v>
      </c>
      <c r="AN160" s="56">
        <v>54.234000000000002</v>
      </c>
      <c r="AO160" s="56" t="s">
        <v>374</v>
      </c>
      <c r="AP160" s="56" t="s">
        <v>3</v>
      </c>
      <c r="AQ160" s="56" t="s">
        <v>63</v>
      </c>
    </row>
    <row r="161" spans="1:43" s="4" customFormat="1" ht="10.199999999999999" x14ac:dyDescent="0.2">
      <c r="A161" s="8"/>
      <c r="B161" s="8"/>
      <c r="C161" s="8">
        <v>1.45</v>
      </c>
      <c r="D161" s="27"/>
      <c r="E161" s="28">
        <v>147</v>
      </c>
      <c r="F161" s="29" t="s">
        <v>375</v>
      </c>
      <c r="G161" s="10" t="s">
        <v>376</v>
      </c>
      <c r="H161" s="30">
        <f t="shared" si="33"/>
        <v>0</v>
      </c>
      <c r="I161" s="52" t="str">
        <f>[1]!Plus_ang(I160,[1]!Min_ang(F161,F160))</f>
        <v xml:space="preserve"> 137° 56' 51"</v>
      </c>
      <c r="J161" s="10" t="str">
        <f>[1]!Plus_ang([1]!Plus_ang(J160,[1]!Min_ang(F161,F160)),[1]!DestoDeg(H161/3600))</f>
        <v xml:space="preserve"> 137° 56' 51"</v>
      </c>
      <c r="K161" s="31">
        <v>55.283999999999999</v>
      </c>
      <c r="L161" s="32">
        <f>[1]!Jarakdatar(K161,G161)</f>
        <v>55.142516243554304</v>
      </c>
      <c r="M161" s="33">
        <f>L161*[1]!dsin(J161)</f>
        <v>36.93507869124344</v>
      </c>
      <c r="N161" s="34">
        <f t="shared" si="34"/>
        <v>0</v>
      </c>
      <c r="O161" s="33">
        <f>L161*[1]!dcos(J161)</f>
        <v>-40.945049270239068</v>
      </c>
      <c r="P161" s="34">
        <f t="shared" si="35"/>
        <v>0</v>
      </c>
      <c r="Q161" s="35">
        <f>L161/[1]!dTAN(G161)-C161+$B$97</f>
        <v>-4.282664712488204</v>
      </c>
      <c r="R161" s="34">
        <f t="shared" si="36"/>
        <v>0</v>
      </c>
      <c r="S161" s="36">
        <f t="shared" si="37"/>
        <v>9862.7807527269433</v>
      </c>
      <c r="T161" s="40">
        <f t="shared" si="38"/>
        <v>9786.9525748308679</v>
      </c>
      <c r="U161" s="37">
        <f t="shared" si="39"/>
        <v>22.078583397327662</v>
      </c>
      <c r="V161" s="38">
        <f t="shared" ref="V161:V192" si="40">IF(A161&lt;&gt;"",D161,E161)</f>
        <v>147</v>
      </c>
      <c r="W161" s="70"/>
      <c r="X161" s="71"/>
      <c r="Y161" s="71"/>
      <c r="Z161" s="72" t="s">
        <v>66</v>
      </c>
      <c r="AB161" s="56"/>
      <c r="AC161" s="56"/>
      <c r="AD161" s="56"/>
      <c r="AE161" s="56"/>
      <c r="AF161" s="56"/>
      <c r="AG161" s="56"/>
      <c r="AH161" s="56"/>
      <c r="AI161" s="56">
        <v>128</v>
      </c>
      <c r="AJ161" s="56">
        <v>83</v>
      </c>
      <c r="AK161" s="56">
        <v>147</v>
      </c>
      <c r="AL161" s="56">
        <v>1.45</v>
      </c>
      <c r="AM161" s="56" t="s">
        <v>375</v>
      </c>
      <c r="AN161" s="56">
        <v>55.283999999999999</v>
      </c>
      <c r="AO161" s="56" t="s">
        <v>376</v>
      </c>
      <c r="AP161" s="56" t="s">
        <v>66</v>
      </c>
      <c r="AQ161" s="56" t="s">
        <v>63</v>
      </c>
    </row>
    <row r="162" spans="1:43" s="4" customFormat="1" ht="10.199999999999999" x14ac:dyDescent="0.2">
      <c r="A162" s="8"/>
      <c r="B162" s="8"/>
      <c r="C162" s="8">
        <v>1.45</v>
      </c>
      <c r="D162" s="27"/>
      <c r="E162" s="28">
        <v>148</v>
      </c>
      <c r="F162" s="29" t="s">
        <v>373</v>
      </c>
      <c r="G162" s="10" t="s">
        <v>377</v>
      </c>
      <c r="H162" s="30">
        <f t="shared" ref="H162:H193" si="41">IF($Y$7="y",$C$416,0)</f>
        <v>0</v>
      </c>
      <c r="I162" s="52" t="str">
        <f>[1]!Plus_ang(I161,[1]!Min_ang(F162,F161))</f>
        <v xml:space="preserve"> 137° 56' 52"</v>
      </c>
      <c r="J162" s="10" t="str">
        <f>[1]!Plus_ang([1]!Plus_ang(J161,[1]!Min_ang(F162,F161)),[1]!DestoDeg(H162/3600))</f>
        <v xml:space="preserve"> 137° 56' 52"</v>
      </c>
      <c r="K162" s="31">
        <v>59.481000000000002</v>
      </c>
      <c r="L162" s="32">
        <f>[1]!Jarakdatar(K162,G162)</f>
        <v>59.326207873844162</v>
      </c>
      <c r="M162" s="33">
        <f>L162*[1]!dsin(J162)</f>
        <v>39.737148915913572</v>
      </c>
      <c r="N162" s="34">
        <f t="shared" ref="N162:N193" si="42">IF($Y$8="Y",($Y$4*L162/$L$413),0)</f>
        <v>0</v>
      </c>
      <c r="O162" s="33">
        <f>L162*[1]!dcos(J162)</f>
        <v>-44.051764286179029</v>
      </c>
      <c r="P162" s="34">
        <f t="shared" ref="P162:P193" si="43">IF($Y$8="Y",($Y$5*L162/$L$413),0)</f>
        <v>0</v>
      </c>
      <c r="Q162" s="35">
        <f>L162/[1]!dTAN(G162)-C162+$B$97</f>
        <v>-4.6184053340876234</v>
      </c>
      <c r="R162" s="34">
        <f t="shared" ref="R162:R193" si="44">IF(AND($Y$8="Y",W162="P"),($Y$6*L162/$L$413),0)</f>
        <v>0</v>
      </c>
      <c r="S162" s="36">
        <f t="shared" ref="S162:S193" si="45">$S$97+M162+N162</f>
        <v>9865.5828229516137</v>
      </c>
      <c r="T162" s="40">
        <f t="shared" ref="T162:T193" si="46">$T$97+O162+P162</f>
        <v>9783.8458598149282</v>
      </c>
      <c r="U162" s="37">
        <f t="shared" ref="U162:U193" si="47">$U$97+Q162+R162</f>
        <v>21.742842775728246</v>
      </c>
      <c r="V162" s="38">
        <f t="shared" si="40"/>
        <v>148</v>
      </c>
      <c r="W162" s="70"/>
      <c r="X162" s="71"/>
      <c r="Y162" s="71"/>
      <c r="Z162" s="72" t="s">
        <v>66</v>
      </c>
      <c r="AB162" s="56"/>
      <c r="AC162" s="56"/>
      <c r="AD162" s="56"/>
      <c r="AE162" s="56"/>
      <c r="AF162" s="56"/>
      <c r="AG162" s="56"/>
      <c r="AH162" s="56"/>
      <c r="AI162" s="56">
        <v>130</v>
      </c>
      <c r="AJ162" s="56">
        <v>83</v>
      </c>
      <c r="AK162" s="56">
        <v>148</v>
      </c>
      <c r="AL162" s="56">
        <v>1.45</v>
      </c>
      <c r="AM162" s="56" t="s">
        <v>373</v>
      </c>
      <c r="AN162" s="56">
        <v>59.481000000000002</v>
      </c>
      <c r="AO162" s="56" t="s">
        <v>377</v>
      </c>
      <c r="AP162" s="56" t="s">
        <v>66</v>
      </c>
      <c r="AQ162" s="56" t="s">
        <v>63</v>
      </c>
    </row>
    <row r="163" spans="1:43" s="4" customFormat="1" ht="10.199999999999999" x14ac:dyDescent="0.2">
      <c r="A163" s="8"/>
      <c r="B163" s="8"/>
      <c r="C163" s="8">
        <v>1.45</v>
      </c>
      <c r="D163" s="27"/>
      <c r="E163" s="28">
        <v>149</v>
      </c>
      <c r="F163" s="29" t="s">
        <v>378</v>
      </c>
      <c r="G163" s="10" t="s">
        <v>379</v>
      </c>
      <c r="H163" s="30">
        <f t="shared" si="41"/>
        <v>0</v>
      </c>
      <c r="I163" s="52" t="str">
        <f>[1]!Plus_ang(I162,[1]!Min_ang(F163,F162))</f>
        <v xml:space="preserve"> 137° 59' 52"</v>
      </c>
      <c r="J163" s="10" t="str">
        <f>[1]!Plus_ang([1]!Plus_ang(J162,[1]!Min_ang(F163,F162)),[1]!DestoDeg(H163/3600))</f>
        <v xml:space="preserve"> 137° 59' 52"</v>
      </c>
      <c r="K163" s="31">
        <v>59.570999999999998</v>
      </c>
      <c r="L163" s="32">
        <f>[1]!Jarakdatar(K163,G163)</f>
        <v>59.41846227256849</v>
      </c>
      <c r="M163" s="33">
        <f>L163*[1]!dsin(J163)</f>
        <v>39.760424274358222</v>
      </c>
      <c r="N163" s="34">
        <f t="shared" si="42"/>
        <v>0</v>
      </c>
      <c r="O163" s="33">
        <f>L163*[1]!dcos(J163)</f>
        <v>-44.154980697081839</v>
      </c>
      <c r="P163" s="34">
        <f t="shared" si="43"/>
        <v>0</v>
      </c>
      <c r="Q163" s="35">
        <f>L163/[1]!dTAN(G163)-C163+$B$97</f>
        <v>-4.5903265324802636</v>
      </c>
      <c r="R163" s="34">
        <f t="shared" si="44"/>
        <v>0</v>
      </c>
      <c r="S163" s="36">
        <f t="shared" si="45"/>
        <v>9865.6060983100579</v>
      </c>
      <c r="T163" s="40">
        <f t="shared" si="46"/>
        <v>9783.7426434040262</v>
      </c>
      <c r="U163" s="37">
        <f t="shared" si="47"/>
        <v>21.770921577335606</v>
      </c>
      <c r="V163" s="38">
        <f t="shared" si="40"/>
        <v>149</v>
      </c>
      <c r="W163" s="70"/>
      <c r="X163" s="71"/>
      <c r="Y163" s="71"/>
      <c r="Z163" s="72" t="s">
        <v>14</v>
      </c>
      <c r="AB163" s="56"/>
      <c r="AC163" s="56"/>
      <c r="AD163" s="56"/>
      <c r="AE163" s="56"/>
      <c r="AF163" s="56"/>
      <c r="AG163" s="56"/>
      <c r="AH163" s="56"/>
      <c r="AI163" s="56">
        <v>132</v>
      </c>
      <c r="AJ163" s="56">
        <v>83</v>
      </c>
      <c r="AK163" s="56">
        <v>149</v>
      </c>
      <c r="AL163" s="56">
        <v>1.45</v>
      </c>
      <c r="AM163" s="56" t="s">
        <v>378</v>
      </c>
      <c r="AN163" s="56">
        <v>59.570999999999998</v>
      </c>
      <c r="AO163" s="56" t="s">
        <v>379</v>
      </c>
      <c r="AP163" s="56" t="s">
        <v>14</v>
      </c>
      <c r="AQ163" s="56" t="s">
        <v>63</v>
      </c>
    </row>
    <row r="164" spans="1:43" s="4" customFormat="1" ht="10.199999999999999" x14ac:dyDescent="0.2">
      <c r="A164" s="8"/>
      <c r="B164" s="8"/>
      <c r="C164" s="8">
        <v>1.45</v>
      </c>
      <c r="D164" s="27"/>
      <c r="E164" s="28">
        <v>150</v>
      </c>
      <c r="F164" s="29" t="s">
        <v>380</v>
      </c>
      <c r="G164" s="10" t="s">
        <v>381</v>
      </c>
      <c r="H164" s="30">
        <f t="shared" si="41"/>
        <v>0</v>
      </c>
      <c r="I164" s="52" t="str">
        <f>[1]!Plus_ang(I163,[1]!Min_ang(F164,F163))</f>
        <v xml:space="preserve"> 137° 59' 44"</v>
      </c>
      <c r="J164" s="10" t="str">
        <f>[1]!Plus_ang([1]!Plus_ang(J163,[1]!Min_ang(F164,F163)),[1]!DestoDeg(H164/3600))</f>
        <v xml:space="preserve"> 137° 59' 44"</v>
      </c>
      <c r="K164" s="31">
        <v>59.499000000000002</v>
      </c>
      <c r="L164" s="32">
        <f>[1]!Jarakdatar(K164,G164)</f>
        <v>59.344202622360982</v>
      </c>
      <c r="M164" s="33">
        <f>L164*[1]!dsin(J164)</f>
        <v>39.712443114165723</v>
      </c>
      <c r="N164" s="34">
        <f t="shared" si="42"/>
        <v>0</v>
      </c>
      <c r="O164" s="33">
        <f>L164*[1]!dcos(J164)</f>
        <v>-44.09825673184811</v>
      </c>
      <c r="P164" s="34">
        <f t="shared" si="43"/>
        <v>0</v>
      </c>
      <c r="Q164" s="35">
        <f>L164/[1]!dTAN(G164)-C164+$B$97</f>
        <v>-4.6191276637755037</v>
      </c>
      <c r="R164" s="34">
        <f t="shared" si="44"/>
        <v>0</v>
      </c>
      <c r="S164" s="36">
        <f t="shared" si="45"/>
        <v>9865.5581171498652</v>
      </c>
      <c r="T164" s="40">
        <f t="shared" si="46"/>
        <v>9783.7993673692599</v>
      </c>
      <c r="U164" s="37">
        <f t="shared" si="47"/>
        <v>21.742120446040364</v>
      </c>
      <c r="V164" s="38">
        <f t="shared" si="40"/>
        <v>150</v>
      </c>
      <c r="W164" s="70"/>
      <c r="X164" s="71"/>
      <c r="Y164" s="71"/>
      <c r="Z164" s="72" t="s">
        <v>66</v>
      </c>
      <c r="AB164" s="56"/>
      <c r="AC164" s="56"/>
      <c r="AD164" s="56"/>
      <c r="AE164" s="56"/>
      <c r="AF164" s="56"/>
      <c r="AG164" s="56"/>
      <c r="AH164" s="56"/>
      <c r="AI164" s="56">
        <v>134</v>
      </c>
      <c r="AJ164" s="56">
        <v>83</v>
      </c>
      <c r="AK164" s="56">
        <v>150</v>
      </c>
      <c r="AL164" s="56">
        <v>1.45</v>
      </c>
      <c r="AM164" s="56" t="s">
        <v>380</v>
      </c>
      <c r="AN164" s="56">
        <v>59.499000000000002</v>
      </c>
      <c r="AO164" s="56" t="s">
        <v>381</v>
      </c>
      <c r="AP164" s="56" t="s">
        <v>66</v>
      </c>
      <c r="AQ164" s="56" t="s">
        <v>63</v>
      </c>
    </row>
    <row r="165" spans="1:43" s="4" customFormat="1" ht="10.199999999999999" x14ac:dyDescent="0.2">
      <c r="A165" s="8"/>
      <c r="B165" s="8"/>
      <c r="C165" s="8">
        <v>1.45</v>
      </c>
      <c r="D165" s="27"/>
      <c r="E165" s="28">
        <v>151</v>
      </c>
      <c r="F165" s="29" t="s">
        <v>382</v>
      </c>
      <c r="G165" s="10" t="s">
        <v>383</v>
      </c>
      <c r="H165" s="30">
        <f t="shared" si="41"/>
        <v>0</v>
      </c>
      <c r="I165" s="52" t="str">
        <f>[1]!Plus_ang(I164,[1]!Min_ang(F165,F164))</f>
        <v xml:space="preserve"> 137° 59' 53"</v>
      </c>
      <c r="J165" s="10" t="str">
        <f>[1]!Plus_ang([1]!Plus_ang(J164,[1]!Min_ang(F165,F164)),[1]!DestoDeg(H165/3600))</f>
        <v xml:space="preserve"> 137° 59' 53"</v>
      </c>
      <c r="K165" s="31">
        <v>59.564</v>
      </c>
      <c r="L165" s="32">
        <f>[1]!Jarakdatar(K165,G165)</f>
        <v>59.411500848315519</v>
      </c>
      <c r="M165" s="33">
        <f>L165*[1]!dsin(J165)</f>
        <v>39.755551926907174</v>
      </c>
      <c r="N165" s="34">
        <f t="shared" si="42"/>
        <v>0</v>
      </c>
      <c r="O165" s="33">
        <f>L165*[1]!dcos(J165)</f>
        <v>-44.150000272212715</v>
      </c>
      <c r="P165" s="34">
        <f t="shared" si="43"/>
        <v>0</v>
      </c>
      <c r="Q165" s="35">
        <f>L165/[1]!dTAN(G165)-C165+$B$97</f>
        <v>-4.5895378799353868</v>
      </c>
      <c r="R165" s="34">
        <f t="shared" si="44"/>
        <v>0</v>
      </c>
      <c r="S165" s="36">
        <f t="shared" si="45"/>
        <v>9865.6012259626077</v>
      </c>
      <c r="T165" s="40">
        <f t="shared" si="46"/>
        <v>9783.7476238288946</v>
      </c>
      <c r="U165" s="37">
        <f t="shared" si="47"/>
        <v>21.771710229880483</v>
      </c>
      <c r="V165" s="38">
        <f t="shared" si="40"/>
        <v>151</v>
      </c>
      <c r="W165" s="70"/>
      <c r="X165" s="71"/>
      <c r="Y165" s="71"/>
      <c r="Z165" s="72" t="s">
        <v>14</v>
      </c>
      <c r="AB165" s="56"/>
      <c r="AC165" s="56"/>
      <c r="AD165" s="56"/>
      <c r="AE165" s="56"/>
      <c r="AF165" s="56"/>
      <c r="AG165" s="56"/>
      <c r="AH165" s="56"/>
      <c r="AI165" s="56">
        <v>136</v>
      </c>
      <c r="AJ165" s="56">
        <v>83</v>
      </c>
      <c r="AK165" s="56">
        <v>151</v>
      </c>
      <c r="AL165" s="56">
        <v>1.45</v>
      </c>
      <c r="AM165" s="56" t="s">
        <v>382</v>
      </c>
      <c r="AN165" s="56">
        <v>59.564</v>
      </c>
      <c r="AO165" s="56" t="s">
        <v>383</v>
      </c>
      <c r="AP165" s="56" t="s">
        <v>14</v>
      </c>
      <c r="AQ165" s="56" t="s">
        <v>63</v>
      </c>
    </row>
    <row r="166" spans="1:43" s="4" customFormat="1" ht="10.199999999999999" x14ac:dyDescent="0.2">
      <c r="A166" s="8"/>
      <c r="B166" s="8"/>
      <c r="C166" s="8">
        <v>1.45</v>
      </c>
      <c r="D166" s="27"/>
      <c r="E166" s="28">
        <v>152</v>
      </c>
      <c r="F166" s="29" t="s">
        <v>380</v>
      </c>
      <c r="G166" s="10" t="s">
        <v>379</v>
      </c>
      <c r="H166" s="30">
        <f t="shared" si="41"/>
        <v>0</v>
      </c>
      <c r="I166" s="52" t="str">
        <f>[1]!Plus_ang(I165,[1]!Min_ang(F166,F165))</f>
        <v xml:space="preserve"> 137° 59' 44"</v>
      </c>
      <c r="J166" s="10" t="str">
        <f>[1]!Plus_ang([1]!Plus_ang(J165,[1]!Min_ang(F166,F165)),[1]!DestoDeg(H166/3600))</f>
        <v xml:space="preserve"> 137° 59' 44"</v>
      </c>
      <c r="K166" s="31">
        <v>59.716000000000001</v>
      </c>
      <c r="L166" s="32">
        <f>[1]!Jarakdatar(K166,G166)</f>
        <v>59.563090985021233</v>
      </c>
      <c r="M166" s="33">
        <f>L166*[1]!dsin(J166)</f>
        <v>39.85892063457009</v>
      </c>
      <c r="N166" s="34">
        <f t="shared" si="42"/>
        <v>0</v>
      </c>
      <c r="O166" s="33">
        <f>L166*[1]!dcos(J166)</f>
        <v>-44.260911124116724</v>
      </c>
      <c r="P166" s="34">
        <f t="shared" si="43"/>
        <v>0</v>
      </c>
      <c r="Q166" s="35">
        <f>L166/[1]!dTAN(G166)-C166+$B$97</f>
        <v>-4.600696466629592</v>
      </c>
      <c r="R166" s="34">
        <f t="shared" si="44"/>
        <v>0</v>
      </c>
      <c r="S166" s="36">
        <f t="shared" si="45"/>
        <v>9865.7045946702692</v>
      </c>
      <c r="T166" s="40">
        <f t="shared" si="46"/>
        <v>9783.6367129769915</v>
      </c>
      <c r="U166" s="37">
        <f t="shared" si="47"/>
        <v>21.760551643186275</v>
      </c>
      <c r="V166" s="38">
        <f t="shared" si="40"/>
        <v>152</v>
      </c>
      <c r="W166" s="70"/>
      <c r="X166" s="71"/>
      <c r="Y166" s="71"/>
      <c r="Z166" s="72" t="s">
        <v>14</v>
      </c>
      <c r="AB166" s="56"/>
      <c r="AC166" s="56"/>
      <c r="AD166" s="56"/>
      <c r="AE166" s="56"/>
      <c r="AF166" s="56"/>
      <c r="AG166" s="56"/>
      <c r="AH166" s="56"/>
      <c r="AI166" s="56">
        <v>138</v>
      </c>
      <c r="AJ166" s="56">
        <v>83</v>
      </c>
      <c r="AK166" s="56">
        <v>152</v>
      </c>
      <c r="AL166" s="56">
        <v>1.45</v>
      </c>
      <c r="AM166" s="56" t="s">
        <v>380</v>
      </c>
      <c r="AN166" s="56">
        <v>59.716000000000001</v>
      </c>
      <c r="AO166" s="56" t="s">
        <v>379</v>
      </c>
      <c r="AP166" s="56" t="s">
        <v>14</v>
      </c>
      <c r="AQ166" s="56" t="s">
        <v>63</v>
      </c>
    </row>
    <row r="167" spans="1:43" s="4" customFormat="1" ht="10.199999999999999" x14ac:dyDescent="0.2">
      <c r="A167" s="8"/>
      <c r="B167" s="8"/>
      <c r="C167" s="8">
        <v>1.45</v>
      </c>
      <c r="D167" s="27"/>
      <c r="E167" s="28">
        <v>153</v>
      </c>
      <c r="F167" s="29" t="s">
        <v>384</v>
      </c>
      <c r="G167" s="10" t="s">
        <v>385</v>
      </c>
      <c r="H167" s="30">
        <f t="shared" si="41"/>
        <v>0</v>
      </c>
      <c r="I167" s="52" t="str">
        <f>[1]!Plus_ang(I166,[1]!Min_ang(F167,F166))</f>
        <v xml:space="preserve"> 137° 55' 46"</v>
      </c>
      <c r="J167" s="10" t="str">
        <f>[1]!Plus_ang([1]!Plus_ang(J166,[1]!Min_ang(F167,F166)),[1]!DestoDeg(H167/3600))</f>
        <v xml:space="preserve"> 137° 55' 46"</v>
      </c>
      <c r="K167" s="31">
        <v>59.91</v>
      </c>
      <c r="L167" s="32">
        <f>[1]!Jarakdatar(K167,G167)</f>
        <v>59.754028624601887</v>
      </c>
      <c r="M167" s="33">
        <f>L167*[1]!dsin(J167)</f>
        <v>40.037901686250009</v>
      </c>
      <c r="N167" s="34">
        <f t="shared" si="42"/>
        <v>0</v>
      </c>
      <c r="O167" s="33">
        <f>L167*[1]!dcos(J167)</f>
        <v>-44.356627074563733</v>
      </c>
      <c r="P167" s="34">
        <f t="shared" si="43"/>
        <v>0</v>
      </c>
      <c r="Q167" s="35">
        <f>L167/[1]!dTAN(G167)-C167+$B$97</f>
        <v>-4.6502040611824826</v>
      </c>
      <c r="R167" s="34">
        <f t="shared" si="44"/>
        <v>0</v>
      </c>
      <c r="S167" s="36">
        <f t="shared" si="45"/>
        <v>9865.8835757219495</v>
      </c>
      <c r="T167" s="40">
        <f t="shared" si="46"/>
        <v>9783.5409970265446</v>
      </c>
      <c r="U167" s="37">
        <f t="shared" si="47"/>
        <v>21.711044048633386</v>
      </c>
      <c r="V167" s="38">
        <f t="shared" si="40"/>
        <v>153</v>
      </c>
      <c r="W167" s="70"/>
      <c r="X167" s="71"/>
      <c r="Y167" s="71"/>
      <c r="Z167" s="72" t="s">
        <v>14</v>
      </c>
      <c r="AB167" s="56"/>
      <c r="AC167" s="56"/>
      <c r="AD167" s="56"/>
      <c r="AE167" s="56"/>
      <c r="AF167" s="56"/>
      <c r="AG167" s="56"/>
      <c r="AH167" s="56"/>
      <c r="AI167" s="56">
        <v>140</v>
      </c>
      <c r="AJ167" s="56">
        <v>83</v>
      </c>
      <c r="AK167" s="56">
        <v>153</v>
      </c>
      <c r="AL167" s="56">
        <v>1.45</v>
      </c>
      <c r="AM167" s="56" t="s">
        <v>384</v>
      </c>
      <c r="AN167" s="56">
        <v>59.91</v>
      </c>
      <c r="AO167" s="56" t="s">
        <v>385</v>
      </c>
      <c r="AP167" s="56" t="s">
        <v>14</v>
      </c>
      <c r="AQ167" s="56" t="s">
        <v>63</v>
      </c>
    </row>
    <row r="168" spans="1:43" s="4" customFormat="1" ht="10.199999999999999" x14ac:dyDescent="0.2">
      <c r="A168" s="8"/>
      <c r="B168" s="8"/>
      <c r="C168" s="8">
        <v>1.45</v>
      </c>
      <c r="D168" s="27"/>
      <c r="E168" s="28">
        <v>154</v>
      </c>
      <c r="F168" s="29" t="s">
        <v>386</v>
      </c>
      <c r="G168" s="10" t="s">
        <v>387</v>
      </c>
      <c r="H168" s="30">
        <f t="shared" si="41"/>
        <v>0</v>
      </c>
      <c r="I168" s="52" t="str">
        <f>[1]!Plus_ang(I167,[1]!Min_ang(F168,F167))</f>
        <v xml:space="preserve"> 137° 54' 51"</v>
      </c>
      <c r="J168" s="10" t="str">
        <f>[1]!Plus_ang([1]!Plus_ang(J167,[1]!Min_ang(F168,F167)),[1]!DestoDeg(H168/3600))</f>
        <v xml:space="preserve"> 137° 54' 51"</v>
      </c>
      <c r="K168" s="31">
        <v>60.055</v>
      </c>
      <c r="L168" s="32">
        <f>[1]!Jarakdatar(K168,G168)</f>
        <v>59.900012869521298</v>
      </c>
      <c r="M168" s="33">
        <f>L168*[1]!dsin(J168)</f>
        <v>40.14757278644133</v>
      </c>
      <c r="N168" s="34">
        <f t="shared" si="42"/>
        <v>0</v>
      </c>
      <c r="O168" s="33">
        <f>L168*[1]!dcos(J168)</f>
        <v>-44.454290469269807</v>
      </c>
      <c r="P168" s="34">
        <f t="shared" si="43"/>
        <v>0</v>
      </c>
      <c r="Q168" s="35">
        <f>L168/[1]!dTAN(G168)-C168+$B$97</f>
        <v>-4.6417842282728285</v>
      </c>
      <c r="R168" s="34">
        <f t="shared" si="44"/>
        <v>0</v>
      </c>
      <c r="S168" s="36">
        <f t="shared" si="45"/>
        <v>9865.9932468221414</v>
      </c>
      <c r="T168" s="40">
        <f t="shared" si="46"/>
        <v>9783.443333631838</v>
      </c>
      <c r="U168" s="37">
        <f t="shared" si="47"/>
        <v>21.719463881543039</v>
      </c>
      <c r="V168" s="38">
        <f t="shared" si="40"/>
        <v>154</v>
      </c>
      <c r="W168" s="70"/>
      <c r="X168" s="71"/>
      <c r="Y168" s="71"/>
      <c r="Z168" s="72" t="s">
        <v>14</v>
      </c>
      <c r="AB168" s="56"/>
      <c r="AC168" s="56"/>
      <c r="AD168" s="56"/>
      <c r="AE168" s="56"/>
      <c r="AF168" s="56"/>
      <c r="AG168" s="56"/>
      <c r="AH168" s="56"/>
      <c r="AI168" s="56">
        <v>142</v>
      </c>
      <c r="AJ168" s="56">
        <v>83</v>
      </c>
      <c r="AK168" s="56">
        <v>154</v>
      </c>
      <c r="AL168" s="56">
        <v>1.45</v>
      </c>
      <c r="AM168" s="56" t="s">
        <v>386</v>
      </c>
      <c r="AN168" s="56">
        <v>60.055</v>
      </c>
      <c r="AO168" s="56" t="s">
        <v>387</v>
      </c>
      <c r="AP168" s="56" t="s">
        <v>14</v>
      </c>
      <c r="AQ168" s="56" t="s">
        <v>63</v>
      </c>
    </row>
    <row r="169" spans="1:43" s="4" customFormat="1" ht="10.199999999999999" x14ac:dyDescent="0.2">
      <c r="A169" s="8"/>
      <c r="B169" s="8"/>
      <c r="C169" s="8">
        <v>1.45</v>
      </c>
      <c r="D169" s="27"/>
      <c r="E169" s="28">
        <v>155</v>
      </c>
      <c r="F169" s="29" t="s">
        <v>388</v>
      </c>
      <c r="G169" s="10" t="s">
        <v>389</v>
      </c>
      <c r="H169" s="30">
        <f t="shared" si="41"/>
        <v>0</v>
      </c>
      <c r="I169" s="52" t="str">
        <f>[1]!Plus_ang(I168,[1]!Min_ang(F169,F168))</f>
        <v xml:space="preserve"> 137° 55' 48"</v>
      </c>
      <c r="J169" s="10" t="str">
        <f>[1]!Plus_ang([1]!Plus_ang(J168,[1]!Min_ang(F169,F168)),[1]!DestoDeg(H169/3600))</f>
        <v xml:space="preserve"> 137° 55' 48"</v>
      </c>
      <c r="K169" s="31">
        <v>60.046999999999997</v>
      </c>
      <c r="L169" s="32">
        <f>[1]!Jarakdatar(K169,G169)</f>
        <v>59.892054416177814</v>
      </c>
      <c r="M169" s="33">
        <f>L169*[1]!dsin(J169)</f>
        <v>40.129954119773402</v>
      </c>
      <c r="N169" s="34">
        <f t="shared" si="42"/>
        <v>0</v>
      </c>
      <c r="O169" s="33">
        <f>L169*[1]!dcos(J169)</f>
        <v>-44.459475531491449</v>
      </c>
      <c r="P169" s="34">
        <f t="shared" si="43"/>
        <v>0</v>
      </c>
      <c r="Q169" s="35">
        <f>L169/[1]!dTAN(G169)-C169+$B$97</f>
        <v>-4.6409194853992135</v>
      </c>
      <c r="R169" s="34">
        <f t="shared" si="44"/>
        <v>0</v>
      </c>
      <c r="S169" s="36">
        <f t="shared" si="45"/>
        <v>9865.9756281554728</v>
      </c>
      <c r="T169" s="40">
        <f t="shared" si="46"/>
        <v>9783.4381485696158</v>
      </c>
      <c r="U169" s="37">
        <f t="shared" si="47"/>
        <v>21.720328624416656</v>
      </c>
      <c r="V169" s="38">
        <f t="shared" si="40"/>
        <v>155</v>
      </c>
      <c r="W169" s="70"/>
      <c r="X169" s="71"/>
      <c r="Y169" s="71"/>
      <c r="Z169" s="72" t="s">
        <v>15</v>
      </c>
      <c r="AB169" s="56"/>
      <c r="AC169" s="56"/>
      <c r="AD169" s="56"/>
      <c r="AE169" s="56"/>
      <c r="AF169" s="56"/>
      <c r="AG169" s="56"/>
      <c r="AH169" s="56"/>
      <c r="AI169" s="56">
        <v>144</v>
      </c>
      <c r="AJ169" s="56">
        <v>83</v>
      </c>
      <c r="AK169" s="56">
        <v>155</v>
      </c>
      <c r="AL169" s="56">
        <v>1.45</v>
      </c>
      <c r="AM169" s="56" t="s">
        <v>388</v>
      </c>
      <c r="AN169" s="56">
        <v>60.046999999999997</v>
      </c>
      <c r="AO169" s="56" t="s">
        <v>389</v>
      </c>
      <c r="AP169" s="56" t="s">
        <v>15</v>
      </c>
      <c r="AQ169" s="56" t="s">
        <v>63</v>
      </c>
    </row>
    <row r="170" spans="1:43" s="4" customFormat="1" ht="10.199999999999999" x14ac:dyDescent="0.2">
      <c r="A170" s="8"/>
      <c r="B170" s="8"/>
      <c r="C170" s="8">
        <v>1.45</v>
      </c>
      <c r="D170" s="27"/>
      <c r="E170" s="28">
        <v>156</v>
      </c>
      <c r="F170" s="29" t="s">
        <v>390</v>
      </c>
      <c r="G170" s="10" t="s">
        <v>391</v>
      </c>
      <c r="H170" s="30">
        <f t="shared" si="41"/>
        <v>0</v>
      </c>
      <c r="I170" s="52" t="str">
        <f>[1]!Plus_ang(I169,[1]!Min_ang(F170,F169))</f>
        <v xml:space="preserve"> 137° 53' 53"</v>
      </c>
      <c r="J170" s="10" t="str">
        <f>[1]!Plus_ang([1]!Plus_ang(J169,[1]!Min_ang(F170,F169)),[1]!DestoDeg(H170/3600))</f>
        <v xml:space="preserve"> 137° 53' 53"</v>
      </c>
      <c r="K170" s="31">
        <v>60.415999999999997</v>
      </c>
      <c r="L170" s="32">
        <f>[1]!Jarakdatar(K170,G170)</f>
        <v>60.266202757152975</v>
      </c>
      <c r="M170" s="33">
        <f>L170*[1]!dsin(J170)</f>
        <v>40.405584055951628</v>
      </c>
      <c r="N170" s="34">
        <f t="shared" si="42"/>
        <v>0</v>
      </c>
      <c r="O170" s="33">
        <f>L170*[1]!dcos(J170)</f>
        <v>-44.71469525629913</v>
      </c>
      <c r="P170" s="34">
        <f t="shared" si="43"/>
        <v>0</v>
      </c>
      <c r="Q170" s="35">
        <f>L170/[1]!dTAN(G170)-C170+$B$97</f>
        <v>-4.5818068198974826</v>
      </c>
      <c r="R170" s="34">
        <f t="shared" si="44"/>
        <v>0</v>
      </c>
      <c r="S170" s="36">
        <f t="shared" si="45"/>
        <v>9866.2512580916518</v>
      </c>
      <c r="T170" s="40">
        <f t="shared" si="46"/>
        <v>9783.182928844808</v>
      </c>
      <c r="U170" s="37">
        <f t="shared" si="47"/>
        <v>21.779441289918385</v>
      </c>
      <c r="V170" s="38">
        <f t="shared" si="40"/>
        <v>156</v>
      </c>
      <c r="W170" s="70"/>
      <c r="X170" s="71"/>
      <c r="Y170" s="71"/>
      <c r="Z170" s="72" t="s">
        <v>15</v>
      </c>
      <c r="AB170" s="56"/>
      <c r="AC170" s="56"/>
      <c r="AD170" s="56"/>
      <c r="AE170" s="56"/>
      <c r="AF170" s="56"/>
      <c r="AG170" s="56"/>
      <c r="AH170" s="56"/>
      <c r="AI170" s="56">
        <v>146</v>
      </c>
      <c r="AJ170" s="56">
        <v>83</v>
      </c>
      <c r="AK170" s="56">
        <v>156</v>
      </c>
      <c r="AL170" s="56">
        <v>1.45</v>
      </c>
      <c r="AM170" s="56" t="s">
        <v>390</v>
      </c>
      <c r="AN170" s="56">
        <v>60.415999999999997</v>
      </c>
      <c r="AO170" s="56" t="s">
        <v>391</v>
      </c>
      <c r="AP170" s="56" t="s">
        <v>15</v>
      </c>
      <c r="AQ170" s="56" t="s">
        <v>63</v>
      </c>
    </row>
    <row r="171" spans="1:43" s="4" customFormat="1" ht="10.199999999999999" x14ac:dyDescent="0.2">
      <c r="A171" s="8"/>
      <c r="B171" s="8"/>
      <c r="C171" s="8">
        <v>1.45</v>
      </c>
      <c r="D171" s="27"/>
      <c r="E171" s="28">
        <v>157</v>
      </c>
      <c r="F171" s="29" t="s">
        <v>390</v>
      </c>
      <c r="G171" s="10" t="s">
        <v>392</v>
      </c>
      <c r="H171" s="30">
        <f t="shared" si="41"/>
        <v>0</v>
      </c>
      <c r="I171" s="52" t="str">
        <f>[1]!Plus_ang(I170,[1]!Min_ang(F171,F170))</f>
        <v xml:space="preserve"> 137° 53' 53"</v>
      </c>
      <c r="J171" s="10" t="str">
        <f>[1]!Plus_ang([1]!Plus_ang(J170,[1]!Min_ang(F171,F170)),[1]!DestoDeg(H171/3600))</f>
        <v xml:space="preserve"> 137° 53' 53"</v>
      </c>
      <c r="K171" s="31">
        <v>60.473999999999997</v>
      </c>
      <c r="L171" s="32">
        <f>[1]!Jarakdatar(K171,G171)</f>
        <v>60.315267984317693</v>
      </c>
      <c r="M171" s="33">
        <f>L171*[1]!dsin(J171)</f>
        <v>40.438479925771354</v>
      </c>
      <c r="N171" s="34">
        <f t="shared" si="42"/>
        <v>0</v>
      </c>
      <c r="O171" s="33">
        <f>L171*[1]!dcos(J171)</f>
        <v>-44.751099353122548</v>
      </c>
      <c r="P171" s="34">
        <f t="shared" si="43"/>
        <v>0</v>
      </c>
      <c r="Q171" s="35">
        <f>L171/[1]!dTAN(G171)-C171+$B$97</f>
        <v>-4.7087125938956333</v>
      </c>
      <c r="R171" s="34">
        <f t="shared" si="44"/>
        <v>0</v>
      </c>
      <c r="S171" s="36">
        <f t="shared" si="45"/>
        <v>9866.284153961471</v>
      </c>
      <c r="T171" s="40">
        <f t="shared" si="46"/>
        <v>9783.1465247479846</v>
      </c>
      <c r="U171" s="37">
        <f t="shared" si="47"/>
        <v>21.652535515920235</v>
      </c>
      <c r="V171" s="38">
        <f t="shared" si="40"/>
        <v>157</v>
      </c>
      <c r="W171" s="70"/>
      <c r="X171" s="71"/>
      <c r="Y171" s="71"/>
      <c r="Z171" s="72" t="s">
        <v>14</v>
      </c>
      <c r="AB171" s="56"/>
      <c r="AC171" s="56"/>
      <c r="AD171" s="56"/>
      <c r="AE171" s="56"/>
      <c r="AF171" s="56"/>
      <c r="AG171" s="56"/>
      <c r="AH171" s="56"/>
      <c r="AI171" s="56">
        <v>148</v>
      </c>
      <c r="AJ171" s="56">
        <v>83</v>
      </c>
      <c r="AK171" s="56">
        <v>157</v>
      </c>
      <c r="AL171" s="56">
        <v>1.45</v>
      </c>
      <c r="AM171" s="56" t="s">
        <v>390</v>
      </c>
      <c r="AN171" s="56">
        <v>60.473999999999997</v>
      </c>
      <c r="AO171" s="56" t="s">
        <v>392</v>
      </c>
      <c r="AP171" s="56" t="s">
        <v>14</v>
      </c>
      <c r="AQ171" s="56" t="s">
        <v>63</v>
      </c>
    </row>
    <row r="172" spans="1:43" s="4" customFormat="1" ht="10.199999999999999" x14ac:dyDescent="0.2">
      <c r="A172" s="8"/>
      <c r="B172" s="8"/>
      <c r="C172" s="8">
        <v>1.45</v>
      </c>
      <c r="D172" s="27"/>
      <c r="E172" s="28">
        <v>158</v>
      </c>
      <c r="F172" s="29" t="s">
        <v>393</v>
      </c>
      <c r="G172" s="10" t="s">
        <v>394</v>
      </c>
      <c r="H172" s="30">
        <f t="shared" si="41"/>
        <v>0</v>
      </c>
      <c r="I172" s="52" t="str">
        <f>[1]!Plus_ang(I171,[1]!Min_ang(F172,F171))</f>
        <v xml:space="preserve"> 137° 50' 49"</v>
      </c>
      <c r="J172" s="10" t="str">
        <f>[1]!Plus_ang([1]!Plus_ang(J171,[1]!Min_ang(F172,F171)),[1]!DestoDeg(H172/3600))</f>
        <v xml:space="preserve"> 137° 50' 49"</v>
      </c>
      <c r="K172" s="31">
        <v>65.343999999999994</v>
      </c>
      <c r="L172" s="32">
        <f>[1]!Jarakdatar(K172,G172)</f>
        <v>65.333361842710232</v>
      </c>
      <c r="M172" s="33">
        <f>L172*[1]!dsin(J172)</f>
        <v>43.846094384152451</v>
      </c>
      <c r="N172" s="34">
        <f t="shared" si="42"/>
        <v>0</v>
      </c>
      <c r="O172" s="33">
        <f>L172*[1]!dcos(J172)</f>
        <v>-48.435195642492253</v>
      </c>
      <c r="P172" s="34">
        <f t="shared" si="43"/>
        <v>0</v>
      </c>
      <c r="Q172" s="35">
        <f>L172/[1]!dTAN(G172)-C172+$B$97</f>
        <v>-1.5090531495628117</v>
      </c>
      <c r="R172" s="34">
        <f t="shared" si="44"/>
        <v>0</v>
      </c>
      <c r="S172" s="36">
        <f t="shared" si="45"/>
        <v>9869.6917684198525</v>
      </c>
      <c r="T172" s="40">
        <f t="shared" si="46"/>
        <v>9779.4624284586152</v>
      </c>
      <c r="U172" s="37">
        <f t="shared" si="47"/>
        <v>24.852194960253058</v>
      </c>
      <c r="V172" s="38">
        <f t="shared" si="40"/>
        <v>158</v>
      </c>
      <c r="W172" s="70"/>
      <c r="X172" s="71"/>
      <c r="Y172" s="71"/>
      <c r="Z172" s="72" t="s">
        <v>3</v>
      </c>
      <c r="AB172" s="56"/>
      <c r="AC172" s="56"/>
      <c r="AD172" s="56"/>
      <c r="AE172" s="56"/>
      <c r="AF172" s="56"/>
      <c r="AG172" s="56"/>
      <c r="AH172" s="56"/>
      <c r="AI172" s="56">
        <v>150</v>
      </c>
      <c r="AJ172" s="56">
        <v>83</v>
      </c>
      <c r="AK172" s="56">
        <v>158</v>
      </c>
      <c r="AL172" s="56">
        <v>1.45</v>
      </c>
      <c r="AM172" s="56" t="s">
        <v>393</v>
      </c>
      <c r="AN172" s="56">
        <v>65.343999999999994</v>
      </c>
      <c r="AO172" s="56" t="s">
        <v>394</v>
      </c>
      <c r="AP172" s="56" t="s">
        <v>3</v>
      </c>
      <c r="AQ172" s="56" t="s">
        <v>63</v>
      </c>
    </row>
    <row r="173" spans="1:43" s="4" customFormat="1" ht="10.199999999999999" x14ac:dyDescent="0.2">
      <c r="A173" s="8"/>
      <c r="B173" s="8"/>
      <c r="C173" s="8">
        <v>1.45</v>
      </c>
      <c r="D173" s="27"/>
      <c r="E173" s="28">
        <v>159</v>
      </c>
      <c r="F173" s="29" t="s">
        <v>395</v>
      </c>
      <c r="G173" s="10" t="s">
        <v>396</v>
      </c>
      <c r="H173" s="30">
        <f t="shared" si="41"/>
        <v>0</v>
      </c>
      <c r="I173" s="52" t="str">
        <f>[1]!Plus_ang(I172,[1]!Min_ang(F173,F172))</f>
        <v xml:space="preserve"> 137° 52' 50"</v>
      </c>
      <c r="J173" s="10" t="str">
        <f>[1]!Plus_ang([1]!Plus_ang(J172,[1]!Min_ang(F173,F172)),[1]!DestoDeg(H173/3600))</f>
        <v xml:space="preserve"> 137° 52' 50"</v>
      </c>
      <c r="K173" s="31">
        <v>72.218000000000004</v>
      </c>
      <c r="L173" s="32">
        <f>[1]!Jarakdatar(K173,G173)</f>
        <v>72.21788443726507</v>
      </c>
      <c r="M173" s="33">
        <f>L173*[1]!dsin(J173)</f>
        <v>48.434974057293644</v>
      </c>
      <c r="N173" s="34">
        <f t="shared" si="42"/>
        <v>0</v>
      </c>
      <c r="O173" s="33">
        <f>L173*[1]!dcos(J173)</f>
        <v>-53.567491267217875</v>
      </c>
      <c r="P173" s="34">
        <f t="shared" si="43"/>
        <v>0</v>
      </c>
      <c r="Q173" s="35">
        <f>L173/[1]!dTAN(G173)-C173+$B$97</f>
        <v>-0.45919522370606991</v>
      </c>
      <c r="R173" s="34">
        <f t="shared" si="44"/>
        <v>0</v>
      </c>
      <c r="S173" s="36">
        <f t="shared" si="45"/>
        <v>9874.2806480929939</v>
      </c>
      <c r="T173" s="40">
        <f t="shared" si="46"/>
        <v>9774.3301328338894</v>
      </c>
      <c r="U173" s="37">
        <f t="shared" si="47"/>
        <v>25.9020528861098</v>
      </c>
      <c r="V173" s="38">
        <f t="shared" si="40"/>
        <v>159</v>
      </c>
      <c r="W173" s="70"/>
      <c r="X173" s="71"/>
      <c r="Y173" s="71"/>
      <c r="Z173" s="72" t="s">
        <v>3</v>
      </c>
      <c r="AB173" s="56"/>
      <c r="AC173" s="56"/>
      <c r="AD173" s="56"/>
      <c r="AE173" s="56"/>
      <c r="AF173" s="56"/>
      <c r="AG173" s="56"/>
      <c r="AH173" s="56"/>
      <c r="AI173" s="56">
        <v>152</v>
      </c>
      <c r="AJ173" s="56">
        <v>83</v>
      </c>
      <c r="AK173" s="56">
        <v>159</v>
      </c>
      <c r="AL173" s="56">
        <v>1.45</v>
      </c>
      <c r="AM173" s="56" t="s">
        <v>395</v>
      </c>
      <c r="AN173" s="56">
        <v>72.218000000000004</v>
      </c>
      <c r="AO173" s="56" t="s">
        <v>396</v>
      </c>
      <c r="AP173" s="56" t="s">
        <v>3</v>
      </c>
      <c r="AQ173" s="56" t="s">
        <v>63</v>
      </c>
    </row>
    <row r="174" spans="1:43" s="4" customFormat="1" ht="10.199999999999999" x14ac:dyDescent="0.2">
      <c r="A174" s="8"/>
      <c r="B174" s="8"/>
      <c r="C174" s="8">
        <v>1.45</v>
      </c>
      <c r="D174" s="27"/>
      <c r="E174" s="28">
        <v>160</v>
      </c>
      <c r="F174" s="29" t="s">
        <v>397</v>
      </c>
      <c r="G174" s="10" t="s">
        <v>398</v>
      </c>
      <c r="H174" s="30">
        <f t="shared" si="41"/>
        <v>0</v>
      </c>
      <c r="I174" s="52" t="str">
        <f>[1]!Plus_ang(I173,[1]!Min_ang(F174,F173))</f>
        <v xml:space="preserve"> 138° 56' 53"</v>
      </c>
      <c r="J174" s="10" t="str">
        <f>[1]!Plus_ang([1]!Plus_ang(J173,[1]!Min_ang(F174,F173)),[1]!DestoDeg(H174/3600))</f>
        <v xml:space="preserve"> 138° 56' 53"</v>
      </c>
      <c r="K174" s="31">
        <v>18.536000000000001</v>
      </c>
      <c r="L174" s="32">
        <f>[1]!Jarakdatar(K174,G174)</f>
        <v>17.810496901924129</v>
      </c>
      <c r="M174" s="33">
        <f>L174*[1]!dsin(J174)</f>
        <v>11.69691881387968</v>
      </c>
      <c r="N174" s="34">
        <f t="shared" si="42"/>
        <v>0</v>
      </c>
      <c r="O174" s="33">
        <f>L174*[1]!dcos(J174)</f>
        <v>-13.431153716451783</v>
      </c>
      <c r="P174" s="34">
        <f t="shared" si="43"/>
        <v>0</v>
      </c>
      <c r="Q174" s="35">
        <f>L174/[1]!dTAN(G174)-C174+$B$97</f>
        <v>-5.4651237674033757</v>
      </c>
      <c r="R174" s="34">
        <f t="shared" si="44"/>
        <v>0</v>
      </c>
      <c r="S174" s="36">
        <f t="shared" si="45"/>
        <v>9837.5425928495788</v>
      </c>
      <c r="T174" s="40">
        <f t="shared" si="46"/>
        <v>9814.4664703846556</v>
      </c>
      <c r="U174" s="37">
        <f t="shared" si="47"/>
        <v>20.896124342412492</v>
      </c>
      <c r="V174" s="38">
        <f t="shared" si="40"/>
        <v>160</v>
      </c>
      <c r="W174" s="70"/>
      <c r="X174" s="71"/>
      <c r="Y174" s="71"/>
      <c r="Z174" s="72" t="s">
        <v>64</v>
      </c>
      <c r="AB174" s="56"/>
      <c r="AC174" s="56"/>
      <c r="AD174" s="56"/>
      <c r="AE174" s="56"/>
      <c r="AF174" s="56"/>
      <c r="AG174" s="56"/>
      <c r="AH174" s="56"/>
      <c r="AI174" s="56">
        <v>154</v>
      </c>
      <c r="AJ174" s="56">
        <v>83</v>
      </c>
      <c r="AK174" s="56">
        <v>160</v>
      </c>
      <c r="AL174" s="56">
        <v>1.45</v>
      </c>
      <c r="AM174" s="56" t="s">
        <v>397</v>
      </c>
      <c r="AN174" s="56">
        <v>18.536000000000001</v>
      </c>
      <c r="AO174" s="56" t="s">
        <v>398</v>
      </c>
      <c r="AP174" s="56" t="s">
        <v>64</v>
      </c>
      <c r="AQ174" s="56" t="s">
        <v>63</v>
      </c>
    </row>
    <row r="175" spans="1:43" s="4" customFormat="1" ht="10.199999999999999" x14ac:dyDescent="0.2">
      <c r="A175" s="8"/>
      <c r="B175" s="8"/>
      <c r="C175" s="8">
        <v>1.45</v>
      </c>
      <c r="D175" s="27"/>
      <c r="E175" s="28">
        <v>161</v>
      </c>
      <c r="F175" s="29" t="s">
        <v>399</v>
      </c>
      <c r="G175" s="10" t="s">
        <v>400</v>
      </c>
      <c r="H175" s="30">
        <f t="shared" si="41"/>
        <v>0</v>
      </c>
      <c r="I175" s="52" t="str">
        <f>[1]!Plus_ang(I174,[1]!Min_ang(F175,F174))</f>
        <v xml:space="preserve"> 138° 51' 46"</v>
      </c>
      <c r="J175" s="10" t="str">
        <f>[1]!Plus_ang([1]!Plus_ang(J174,[1]!Min_ang(F175,F174)),[1]!DestoDeg(H175/3600))</f>
        <v xml:space="preserve"> 138° 51' 46"</v>
      </c>
      <c r="K175" s="31">
        <v>17.591000000000001</v>
      </c>
      <c r="L175" s="32">
        <f>[1]!Jarakdatar(K175,G175)</f>
        <v>16.908096274356492</v>
      </c>
      <c r="M175" s="33">
        <f>L175*[1]!dsin(J175)</f>
        <v>11.123239002499462</v>
      </c>
      <c r="N175" s="34">
        <f t="shared" si="42"/>
        <v>0</v>
      </c>
      <c r="O175" s="33">
        <f>L175*[1]!dcos(J175)</f>
        <v>-12.734098857641346</v>
      </c>
      <c r="P175" s="34">
        <f t="shared" si="43"/>
        <v>0</v>
      </c>
      <c r="Q175" s="35">
        <f>L175/[1]!dTAN(G175)-C175+$B$97</f>
        <v>-5.1838192567391861</v>
      </c>
      <c r="R175" s="34">
        <f t="shared" si="44"/>
        <v>0</v>
      </c>
      <c r="S175" s="36">
        <f t="shared" si="45"/>
        <v>9836.9689130381994</v>
      </c>
      <c r="T175" s="40">
        <f t="shared" si="46"/>
        <v>9815.1635252434662</v>
      </c>
      <c r="U175" s="37">
        <f t="shared" si="47"/>
        <v>21.177428853076684</v>
      </c>
      <c r="V175" s="38">
        <f t="shared" si="40"/>
        <v>161</v>
      </c>
      <c r="W175" s="70"/>
      <c r="X175" s="71"/>
      <c r="Y175" s="71"/>
      <c r="Z175" s="72" t="s">
        <v>3</v>
      </c>
      <c r="AB175" s="56"/>
      <c r="AC175" s="56"/>
      <c r="AD175" s="56"/>
      <c r="AE175" s="56"/>
      <c r="AF175" s="56"/>
      <c r="AG175" s="56"/>
      <c r="AH175" s="56"/>
      <c r="AI175" s="56">
        <v>156</v>
      </c>
      <c r="AJ175" s="56">
        <v>83</v>
      </c>
      <c r="AK175" s="56">
        <v>161</v>
      </c>
      <c r="AL175" s="56">
        <v>1.45</v>
      </c>
      <c r="AM175" s="56" t="s">
        <v>399</v>
      </c>
      <c r="AN175" s="56">
        <v>17.591000000000001</v>
      </c>
      <c r="AO175" s="56" t="s">
        <v>400</v>
      </c>
      <c r="AP175" s="56" t="s">
        <v>3</v>
      </c>
      <c r="AQ175" s="56" t="s">
        <v>63</v>
      </c>
    </row>
    <row r="176" spans="1:43" s="4" customFormat="1" ht="10.199999999999999" x14ac:dyDescent="0.2">
      <c r="A176" s="8"/>
      <c r="B176" s="8"/>
      <c r="C176" s="8">
        <v>1.45</v>
      </c>
      <c r="D176" s="27"/>
      <c r="E176" s="28">
        <v>162</v>
      </c>
      <c r="F176" s="29" t="s">
        <v>401</v>
      </c>
      <c r="G176" s="10" t="s">
        <v>402</v>
      </c>
      <c r="H176" s="30">
        <f t="shared" si="41"/>
        <v>0</v>
      </c>
      <c r="I176" s="52" t="str">
        <f>[1]!Plus_ang(I175,[1]!Min_ang(F176,F175))</f>
        <v xml:space="preserve"> 138° 55' 45"</v>
      </c>
      <c r="J176" s="10" t="str">
        <f>[1]!Plus_ang([1]!Plus_ang(J175,[1]!Min_ang(F176,F175)),[1]!DestoDeg(H176/3600))</f>
        <v xml:space="preserve"> 138° 55' 45"</v>
      </c>
      <c r="K176" s="31">
        <v>12.286</v>
      </c>
      <c r="L176" s="32">
        <f>[1]!Jarakdatar(K176,G176)</f>
        <v>11.460829848211796</v>
      </c>
      <c r="M176" s="33">
        <f>L176*[1]!dsin(J176)</f>
        <v>7.5296684338987419</v>
      </c>
      <c r="N176" s="34">
        <f t="shared" si="42"/>
        <v>0</v>
      </c>
      <c r="O176" s="33">
        <f>L176*[1]!dcos(J176)</f>
        <v>-8.6402959489366609</v>
      </c>
      <c r="P176" s="34">
        <f t="shared" si="43"/>
        <v>0</v>
      </c>
      <c r="Q176" s="35">
        <f>L176/[1]!dTAN(G176)-C176+$B$97</f>
        <v>-4.7566437839900262</v>
      </c>
      <c r="R176" s="34">
        <f t="shared" si="44"/>
        <v>0</v>
      </c>
      <c r="S176" s="36">
        <f t="shared" si="45"/>
        <v>9833.3753424695988</v>
      </c>
      <c r="T176" s="40">
        <f t="shared" si="46"/>
        <v>9819.2573281521709</v>
      </c>
      <c r="U176" s="37">
        <f t="shared" si="47"/>
        <v>21.604604325825843</v>
      </c>
      <c r="V176" s="38">
        <f t="shared" si="40"/>
        <v>162</v>
      </c>
      <c r="W176" s="70"/>
      <c r="X176" s="71"/>
      <c r="Y176" s="71"/>
      <c r="Z176" s="72" t="s">
        <v>14</v>
      </c>
      <c r="AB176" s="56"/>
      <c r="AC176" s="56"/>
      <c r="AD176" s="56"/>
      <c r="AE176" s="56"/>
      <c r="AF176" s="56"/>
      <c r="AG176" s="56"/>
      <c r="AH176" s="56"/>
      <c r="AI176" s="56">
        <v>158</v>
      </c>
      <c r="AJ176" s="56">
        <v>83</v>
      </c>
      <c r="AK176" s="56">
        <v>162</v>
      </c>
      <c r="AL176" s="56">
        <v>1.45</v>
      </c>
      <c r="AM176" s="56" t="s">
        <v>401</v>
      </c>
      <c r="AN176" s="56">
        <v>12.286</v>
      </c>
      <c r="AO176" s="56" t="s">
        <v>402</v>
      </c>
      <c r="AP176" s="56" t="s">
        <v>14</v>
      </c>
      <c r="AQ176" s="56" t="s">
        <v>63</v>
      </c>
    </row>
    <row r="177" spans="1:43" s="4" customFormat="1" ht="10.199999999999999" x14ac:dyDescent="0.2">
      <c r="A177" s="8"/>
      <c r="B177" s="8"/>
      <c r="C177" s="8">
        <v>1.45</v>
      </c>
      <c r="D177" s="27"/>
      <c r="E177" s="28">
        <v>163</v>
      </c>
      <c r="F177" s="29" t="s">
        <v>403</v>
      </c>
      <c r="G177" s="10" t="s">
        <v>404</v>
      </c>
      <c r="H177" s="30">
        <f t="shared" si="41"/>
        <v>0</v>
      </c>
      <c r="I177" s="52" t="str">
        <f>[1]!Plus_ang(I176,[1]!Min_ang(F177,F176))</f>
        <v xml:space="preserve"> 138° 54' 46"</v>
      </c>
      <c r="J177" s="10" t="str">
        <f>[1]!Plus_ang([1]!Plus_ang(J176,[1]!Min_ang(F177,F176)),[1]!DestoDeg(H177/3600))</f>
        <v xml:space="preserve"> 138° 54' 46"</v>
      </c>
      <c r="K177" s="31">
        <v>13.497</v>
      </c>
      <c r="L177" s="32">
        <f>[1]!Jarakdatar(K177,G177)</f>
        <v>12.67619148109198</v>
      </c>
      <c r="M177" s="33">
        <f>L177*[1]!dsin(J177)</f>
        <v>8.3308839808870996</v>
      </c>
      <c r="N177" s="34">
        <f t="shared" si="42"/>
        <v>0</v>
      </c>
      <c r="O177" s="33">
        <f>L177*[1]!dcos(J177)</f>
        <v>-9.5541719977352084</v>
      </c>
      <c r="P177" s="34">
        <f t="shared" si="43"/>
        <v>0</v>
      </c>
      <c r="Q177" s="35">
        <f>L177/[1]!dTAN(G177)-C177+$B$97</f>
        <v>-4.9649949875583586</v>
      </c>
      <c r="R177" s="34">
        <f t="shared" si="44"/>
        <v>0</v>
      </c>
      <c r="S177" s="36">
        <f t="shared" si="45"/>
        <v>9834.1765580165866</v>
      </c>
      <c r="T177" s="40">
        <f t="shared" si="46"/>
        <v>9818.3434521033723</v>
      </c>
      <c r="U177" s="37">
        <f t="shared" si="47"/>
        <v>21.396253122257509</v>
      </c>
      <c r="V177" s="38">
        <f t="shared" si="40"/>
        <v>163</v>
      </c>
      <c r="W177" s="70"/>
      <c r="X177" s="71"/>
      <c r="Y177" s="71"/>
      <c r="Z177" s="72" t="s">
        <v>14</v>
      </c>
      <c r="AB177" s="56"/>
      <c r="AC177" s="56"/>
      <c r="AD177" s="56"/>
      <c r="AE177" s="56"/>
      <c r="AF177" s="56"/>
      <c r="AG177" s="56"/>
      <c r="AH177" s="56"/>
      <c r="AI177" s="56">
        <v>160</v>
      </c>
      <c r="AJ177" s="56">
        <v>83</v>
      </c>
      <c r="AK177" s="56">
        <v>163</v>
      </c>
      <c r="AL177" s="56">
        <v>1.45</v>
      </c>
      <c r="AM177" s="56" t="s">
        <v>403</v>
      </c>
      <c r="AN177" s="56">
        <v>13.497</v>
      </c>
      <c r="AO177" s="56" t="s">
        <v>404</v>
      </c>
      <c r="AP177" s="56" t="s">
        <v>14</v>
      </c>
      <c r="AQ177" s="56" t="s">
        <v>63</v>
      </c>
    </row>
    <row r="178" spans="1:43" s="4" customFormat="1" ht="10.199999999999999" x14ac:dyDescent="0.2">
      <c r="A178" s="8"/>
      <c r="B178" s="8"/>
      <c r="C178" s="8">
        <v>1.45</v>
      </c>
      <c r="D178" s="27"/>
      <c r="E178" s="28">
        <v>164</v>
      </c>
      <c r="F178" s="29" t="s">
        <v>405</v>
      </c>
      <c r="G178" s="10" t="s">
        <v>406</v>
      </c>
      <c r="H178" s="30">
        <f t="shared" si="41"/>
        <v>0</v>
      </c>
      <c r="I178" s="52" t="str">
        <f>[1]!Plus_ang(I177,[1]!Min_ang(F178,F177))</f>
        <v xml:space="preserve"> 138° 59' 46"</v>
      </c>
      <c r="J178" s="10" t="str">
        <f>[1]!Plus_ang([1]!Plus_ang(J177,[1]!Min_ang(F178,F177)),[1]!DestoDeg(H178/3600))</f>
        <v xml:space="preserve"> 138° 59' 46"</v>
      </c>
      <c r="K178" s="31">
        <v>13.473000000000001</v>
      </c>
      <c r="L178" s="32">
        <f>[1]!Jarakdatar(K178,G178)</f>
        <v>12.575224194545719</v>
      </c>
      <c r="M178" s="33">
        <f>L178*[1]!dsin(J178)</f>
        <v>8.2507335224510925</v>
      </c>
      <c r="N178" s="34">
        <f t="shared" si="42"/>
        <v>0</v>
      </c>
      <c r="O178" s="33">
        <f>L178*[1]!dcos(J178)</f>
        <v>-9.4900821853443293</v>
      </c>
      <c r="P178" s="34">
        <f t="shared" si="43"/>
        <v>0</v>
      </c>
      <c r="Q178" s="35">
        <f>L178/[1]!dTAN(G178)-C178+$B$97</f>
        <v>-5.165852092125232</v>
      </c>
      <c r="R178" s="34">
        <f t="shared" si="44"/>
        <v>0</v>
      </c>
      <c r="S178" s="36">
        <f t="shared" si="45"/>
        <v>9834.0964075581505</v>
      </c>
      <c r="T178" s="40">
        <f t="shared" si="46"/>
        <v>9818.4075419157634</v>
      </c>
      <c r="U178" s="37">
        <f t="shared" si="47"/>
        <v>21.195396017690637</v>
      </c>
      <c r="V178" s="38">
        <f t="shared" si="40"/>
        <v>164</v>
      </c>
      <c r="W178" s="70"/>
      <c r="X178" s="71"/>
      <c r="Y178" s="71"/>
      <c r="Z178" s="72" t="s">
        <v>15</v>
      </c>
      <c r="AB178" s="56"/>
      <c r="AC178" s="56"/>
      <c r="AD178" s="56"/>
      <c r="AE178" s="56"/>
      <c r="AF178" s="56"/>
      <c r="AG178" s="56"/>
      <c r="AH178" s="56"/>
      <c r="AI178" s="56">
        <v>162</v>
      </c>
      <c r="AJ178" s="56">
        <v>83</v>
      </c>
      <c r="AK178" s="56">
        <v>164</v>
      </c>
      <c r="AL178" s="56">
        <v>1.45</v>
      </c>
      <c r="AM178" s="56" t="s">
        <v>405</v>
      </c>
      <c r="AN178" s="56">
        <v>13.473000000000001</v>
      </c>
      <c r="AO178" s="56" t="s">
        <v>406</v>
      </c>
      <c r="AP178" s="56" t="s">
        <v>15</v>
      </c>
      <c r="AQ178" s="56" t="s">
        <v>63</v>
      </c>
    </row>
    <row r="179" spans="1:43" s="4" customFormat="1" ht="10.199999999999999" x14ac:dyDescent="0.2">
      <c r="A179" s="8"/>
      <c r="B179" s="8"/>
      <c r="C179" s="8">
        <v>1.45</v>
      </c>
      <c r="D179" s="27"/>
      <c r="E179" s="28">
        <v>165</v>
      </c>
      <c r="F179" s="29" t="s">
        <v>407</v>
      </c>
      <c r="G179" s="10" t="s">
        <v>408</v>
      </c>
      <c r="H179" s="30">
        <f t="shared" si="41"/>
        <v>0</v>
      </c>
      <c r="I179" s="52" t="str">
        <f>[1]!Plus_ang(I178,[1]!Min_ang(F179,F178))</f>
        <v xml:space="preserve"> 138° 53' 51"</v>
      </c>
      <c r="J179" s="10" t="str">
        <f>[1]!Plus_ang([1]!Plus_ang(J178,[1]!Min_ang(F179,F178)),[1]!DestoDeg(H179/3600))</f>
        <v xml:space="preserve"> 138° 53' 51"</v>
      </c>
      <c r="K179" s="31">
        <v>13.257</v>
      </c>
      <c r="L179" s="32">
        <f>[1]!Jarakdatar(K179,G179)</f>
        <v>12.287241371628117</v>
      </c>
      <c r="M179" s="33">
        <f>L179*[1]!dsin(J179)</f>
        <v>8.0777323185986472</v>
      </c>
      <c r="N179" s="34">
        <f t="shared" si="42"/>
        <v>0</v>
      </c>
      <c r="O179" s="33">
        <f>L179*[1]!dcos(J179)</f>
        <v>-9.2588628412843743</v>
      </c>
      <c r="P179" s="34">
        <f t="shared" si="43"/>
        <v>0</v>
      </c>
      <c r="Q179" s="35">
        <f>L179/[1]!dTAN(G179)-C179+$B$97</f>
        <v>-5.3071225095782424</v>
      </c>
      <c r="R179" s="34">
        <f t="shared" si="44"/>
        <v>0</v>
      </c>
      <c r="S179" s="36">
        <f t="shared" si="45"/>
        <v>9833.923406354299</v>
      </c>
      <c r="T179" s="40">
        <f t="shared" si="46"/>
        <v>9818.6387612598228</v>
      </c>
      <c r="U179" s="37">
        <f t="shared" si="47"/>
        <v>21.054125600237626</v>
      </c>
      <c r="V179" s="38">
        <f t="shared" si="40"/>
        <v>165</v>
      </c>
      <c r="W179" s="70"/>
      <c r="X179" s="71"/>
      <c r="Y179" s="71"/>
      <c r="Z179" s="72" t="s">
        <v>15</v>
      </c>
      <c r="AB179" s="56"/>
      <c r="AC179" s="56"/>
      <c r="AD179" s="56"/>
      <c r="AE179" s="56"/>
      <c r="AF179" s="56"/>
      <c r="AG179" s="56"/>
      <c r="AH179" s="56"/>
      <c r="AI179" s="56">
        <v>164</v>
      </c>
      <c r="AJ179" s="56">
        <v>83</v>
      </c>
      <c r="AK179" s="56">
        <v>165</v>
      </c>
      <c r="AL179" s="56">
        <v>1.45</v>
      </c>
      <c r="AM179" s="56" t="s">
        <v>407</v>
      </c>
      <c r="AN179" s="56">
        <v>13.257</v>
      </c>
      <c r="AO179" s="56" t="s">
        <v>408</v>
      </c>
      <c r="AP179" s="56" t="s">
        <v>15</v>
      </c>
      <c r="AQ179" s="56" t="s">
        <v>63</v>
      </c>
    </row>
    <row r="180" spans="1:43" s="4" customFormat="1" ht="10.199999999999999" x14ac:dyDescent="0.2">
      <c r="A180" s="8"/>
      <c r="B180" s="8"/>
      <c r="C180" s="8">
        <v>1.45</v>
      </c>
      <c r="D180" s="27"/>
      <c r="E180" s="28">
        <v>166</v>
      </c>
      <c r="F180" s="29" t="s">
        <v>407</v>
      </c>
      <c r="G180" s="10" t="s">
        <v>409</v>
      </c>
      <c r="H180" s="30">
        <f t="shared" si="41"/>
        <v>0</v>
      </c>
      <c r="I180" s="52" t="str">
        <f>[1]!Plus_ang(I179,[1]!Min_ang(F180,F179))</f>
        <v xml:space="preserve"> 138° 53' 51"</v>
      </c>
      <c r="J180" s="10" t="str">
        <f>[1]!Plus_ang([1]!Plus_ang(J179,[1]!Min_ang(F180,F179)),[1]!DestoDeg(H180/3600))</f>
        <v xml:space="preserve"> 138° 53' 51"</v>
      </c>
      <c r="K180" s="31">
        <v>13.051</v>
      </c>
      <c r="L180" s="32">
        <f>[1]!Jarakdatar(K180,G180)</f>
        <v>12.173058643197328</v>
      </c>
      <c r="M180" s="33">
        <f>L180*[1]!dsin(J180)</f>
        <v>8.0026676651280244</v>
      </c>
      <c r="N180" s="34">
        <f t="shared" si="42"/>
        <v>0</v>
      </c>
      <c r="O180" s="33">
        <f>L180*[1]!dcos(J180)</f>
        <v>-9.1728221923372928</v>
      </c>
      <c r="P180" s="34">
        <f t="shared" si="43"/>
        <v>0</v>
      </c>
      <c r="Q180" s="35">
        <f>L180/[1]!dTAN(G180)-C180+$B$97</f>
        <v>-5.0358733800729061</v>
      </c>
      <c r="R180" s="34">
        <f t="shared" si="44"/>
        <v>0</v>
      </c>
      <c r="S180" s="36">
        <f t="shared" si="45"/>
        <v>9833.8483417008283</v>
      </c>
      <c r="T180" s="40">
        <f t="shared" si="46"/>
        <v>9818.724801908771</v>
      </c>
      <c r="U180" s="37">
        <f t="shared" si="47"/>
        <v>21.325374729742961</v>
      </c>
      <c r="V180" s="38">
        <f t="shared" si="40"/>
        <v>166</v>
      </c>
      <c r="W180" s="70"/>
      <c r="X180" s="71"/>
      <c r="Y180" s="71"/>
      <c r="Z180" s="72" t="s">
        <v>14</v>
      </c>
      <c r="AB180" s="56"/>
      <c r="AC180" s="56"/>
      <c r="AD180" s="56"/>
      <c r="AE180" s="56"/>
      <c r="AF180" s="56"/>
      <c r="AG180" s="56"/>
      <c r="AH180" s="56"/>
      <c r="AI180" s="56">
        <v>166</v>
      </c>
      <c r="AJ180" s="56">
        <v>83</v>
      </c>
      <c r="AK180" s="56">
        <v>166</v>
      </c>
      <c r="AL180" s="56">
        <v>1.45</v>
      </c>
      <c r="AM180" s="56" t="s">
        <v>407</v>
      </c>
      <c r="AN180" s="56">
        <v>13.051</v>
      </c>
      <c r="AO180" s="56" t="s">
        <v>409</v>
      </c>
      <c r="AP180" s="56" t="s">
        <v>14</v>
      </c>
      <c r="AQ180" s="56" t="s">
        <v>63</v>
      </c>
    </row>
    <row r="181" spans="1:43" s="4" customFormat="1" ht="10.199999999999999" x14ac:dyDescent="0.2">
      <c r="A181" s="8"/>
      <c r="B181" s="8"/>
      <c r="C181" s="8">
        <v>1.45</v>
      </c>
      <c r="D181" s="27"/>
      <c r="E181" s="28">
        <v>167</v>
      </c>
      <c r="F181" s="29" t="s">
        <v>410</v>
      </c>
      <c r="G181" s="10" t="s">
        <v>411</v>
      </c>
      <c r="H181" s="30">
        <f t="shared" si="41"/>
        <v>0</v>
      </c>
      <c r="I181" s="52" t="str">
        <f>[1]!Plus_ang(I180,[1]!Min_ang(F181,F180))</f>
        <v xml:space="preserve"> 139° 50' 49"</v>
      </c>
      <c r="J181" s="10" t="str">
        <f>[1]!Plus_ang([1]!Plus_ang(J180,[1]!Min_ang(F181,F180)),[1]!DestoDeg(H181/3600))</f>
        <v xml:space="preserve"> 139° 50' 49"</v>
      </c>
      <c r="K181" s="31">
        <v>7.09</v>
      </c>
      <c r="L181" s="32">
        <f>[1]!Jarakdatar(K181,G181)</f>
        <v>6.8773210899174684</v>
      </c>
      <c r="M181" s="33">
        <f>L181*[1]!dsin(J181)</f>
        <v>4.4347144176189337</v>
      </c>
      <c r="N181" s="34">
        <f t="shared" si="42"/>
        <v>0</v>
      </c>
      <c r="O181" s="33">
        <f>L181*[1]!dcos(J181)</f>
        <v>-5.256505817364455</v>
      </c>
      <c r="P181" s="34">
        <f t="shared" si="43"/>
        <v>0</v>
      </c>
      <c r="Q181" s="35">
        <f>L181/[1]!dTAN(G181)-C181+$B$97</f>
        <v>-2.0535296998242885</v>
      </c>
      <c r="R181" s="34">
        <f t="shared" si="44"/>
        <v>0</v>
      </c>
      <c r="S181" s="36">
        <f t="shared" si="45"/>
        <v>9830.2803884533187</v>
      </c>
      <c r="T181" s="40">
        <f t="shared" si="46"/>
        <v>9822.6411182837437</v>
      </c>
      <c r="U181" s="37">
        <f t="shared" si="47"/>
        <v>24.30771840999158</v>
      </c>
      <c r="V181" s="38">
        <f t="shared" si="40"/>
        <v>167</v>
      </c>
      <c r="W181" s="70"/>
      <c r="X181" s="71"/>
      <c r="Y181" s="71"/>
      <c r="Z181" s="72" t="s">
        <v>3</v>
      </c>
      <c r="AB181" s="56"/>
      <c r="AC181" s="56"/>
      <c r="AD181" s="56"/>
      <c r="AE181" s="56"/>
      <c r="AF181" s="56"/>
      <c r="AG181" s="56"/>
      <c r="AH181" s="56"/>
      <c r="AI181" s="56">
        <v>168</v>
      </c>
      <c r="AJ181" s="56">
        <v>83</v>
      </c>
      <c r="AK181" s="56">
        <v>167</v>
      </c>
      <c r="AL181" s="56">
        <v>1.45</v>
      </c>
      <c r="AM181" s="56" t="s">
        <v>410</v>
      </c>
      <c r="AN181" s="56">
        <v>7.09</v>
      </c>
      <c r="AO181" s="56" t="s">
        <v>411</v>
      </c>
      <c r="AP181" s="56" t="s">
        <v>3</v>
      </c>
      <c r="AQ181" s="56" t="s">
        <v>63</v>
      </c>
    </row>
    <row r="182" spans="1:43" s="4" customFormat="1" ht="10.199999999999999" x14ac:dyDescent="0.2">
      <c r="A182" s="8"/>
      <c r="B182" s="8"/>
      <c r="C182" s="8">
        <v>1.45</v>
      </c>
      <c r="D182" s="27"/>
      <c r="E182" s="28">
        <v>168</v>
      </c>
      <c r="F182" s="29" t="s">
        <v>412</v>
      </c>
      <c r="G182" s="10" t="s">
        <v>413</v>
      </c>
      <c r="H182" s="30">
        <f t="shared" si="41"/>
        <v>0</v>
      </c>
      <c r="I182" s="52" t="str">
        <f>[1]!Plus_ang(I181,[1]!Min_ang(F182,F181))</f>
        <v xml:space="preserve"> 139° 50' 50"</v>
      </c>
      <c r="J182" s="10" t="str">
        <f>[1]!Plus_ang([1]!Plus_ang(J181,[1]!Min_ang(F182,F181)),[1]!DestoDeg(H182/3600))</f>
        <v xml:space="preserve"> 139° 50' 50"</v>
      </c>
      <c r="K182" s="31">
        <v>3.8370000000000002</v>
      </c>
      <c r="L182" s="32">
        <f>[1]!Jarakdatar(K182,G182)</f>
        <v>3.3542911952598011</v>
      </c>
      <c r="M182" s="33">
        <f>L182*[1]!dsin(J182)</f>
        <v>2.1629407509440295</v>
      </c>
      <c r="N182" s="34">
        <f t="shared" si="42"/>
        <v>0</v>
      </c>
      <c r="O182" s="33">
        <f>L182*[1]!dcos(J182)</f>
        <v>-2.5637778239354327</v>
      </c>
      <c r="P182" s="34">
        <f t="shared" si="43"/>
        <v>0</v>
      </c>
      <c r="Q182" s="35">
        <f>L182/[1]!dTAN(G182)-C182+$B$97</f>
        <v>-2.193142393217054</v>
      </c>
      <c r="R182" s="34">
        <f t="shared" si="44"/>
        <v>0</v>
      </c>
      <c r="S182" s="36">
        <f t="shared" si="45"/>
        <v>9828.0086147866441</v>
      </c>
      <c r="T182" s="40">
        <f t="shared" si="46"/>
        <v>9825.3338462771717</v>
      </c>
      <c r="U182" s="37">
        <f t="shared" si="47"/>
        <v>24.168105716598813</v>
      </c>
      <c r="V182" s="38">
        <f t="shared" si="40"/>
        <v>168</v>
      </c>
      <c r="W182" s="70"/>
      <c r="X182" s="71"/>
      <c r="Y182" s="71"/>
      <c r="Z182" s="72" t="s">
        <v>3</v>
      </c>
      <c r="AB182" s="56"/>
      <c r="AC182" s="56"/>
      <c r="AD182" s="56"/>
      <c r="AE182" s="56"/>
      <c r="AF182" s="56"/>
      <c r="AG182" s="56"/>
      <c r="AH182" s="56"/>
      <c r="AI182" s="56">
        <v>170</v>
      </c>
      <c r="AJ182" s="56">
        <v>83</v>
      </c>
      <c r="AK182" s="56">
        <v>168</v>
      </c>
      <c r="AL182" s="56">
        <v>1.45</v>
      </c>
      <c r="AM182" s="56" t="s">
        <v>412</v>
      </c>
      <c r="AN182" s="56">
        <v>3.8370000000000002</v>
      </c>
      <c r="AO182" s="56" t="s">
        <v>413</v>
      </c>
      <c r="AP182" s="56" t="s">
        <v>3</v>
      </c>
      <c r="AQ182" s="56" t="s">
        <v>63</v>
      </c>
    </row>
    <row r="183" spans="1:43" s="4" customFormat="1" ht="10.199999999999999" x14ac:dyDescent="0.2">
      <c r="A183" s="8"/>
      <c r="B183" s="8"/>
      <c r="C183" s="8">
        <v>1.45</v>
      </c>
      <c r="D183" s="27"/>
      <c r="E183" s="28">
        <v>169</v>
      </c>
      <c r="F183" s="29" t="s">
        <v>414</v>
      </c>
      <c r="G183" s="10" t="s">
        <v>415</v>
      </c>
      <c r="H183" s="30">
        <f t="shared" si="41"/>
        <v>0</v>
      </c>
      <c r="I183" s="52" t="str">
        <f>[1]!Plus_ang(I182,[1]!Min_ang(F183,F182))</f>
        <v xml:space="preserve"> 139° 58' 47"</v>
      </c>
      <c r="J183" s="10" t="str">
        <f>[1]!Plus_ang([1]!Plus_ang(J182,[1]!Min_ang(F183,F182)),[1]!DestoDeg(H183/3600))</f>
        <v xml:space="preserve"> 139° 58' 47"</v>
      </c>
      <c r="K183" s="31">
        <v>0.17699999999999999</v>
      </c>
      <c r="L183" s="32">
        <f>[1]!Jarakdatar(K183,G183)</f>
        <v>0.17630353387177217</v>
      </c>
      <c r="M183" s="33">
        <f>L183*[1]!dsin(J183)</f>
        <v>0.11337351834706082</v>
      </c>
      <c r="N183" s="34">
        <f t="shared" si="42"/>
        <v>0</v>
      </c>
      <c r="O183" s="33">
        <f>L183*[1]!dcos(J183)</f>
        <v>-0.13501622640736105</v>
      </c>
      <c r="P183" s="34">
        <f t="shared" si="43"/>
        <v>0</v>
      </c>
      <c r="Q183" s="35">
        <f>L183/[1]!dTAN(G183)-C183+$B$97</f>
        <v>-0.34568642547953088</v>
      </c>
      <c r="R183" s="34">
        <f t="shared" si="44"/>
        <v>0</v>
      </c>
      <c r="S183" s="36">
        <f t="shared" si="45"/>
        <v>9825.9590475540463</v>
      </c>
      <c r="T183" s="40">
        <f t="shared" si="46"/>
        <v>9827.7626078746998</v>
      </c>
      <c r="U183" s="37">
        <f t="shared" si="47"/>
        <v>26.015561684336337</v>
      </c>
      <c r="V183" s="38">
        <f t="shared" si="40"/>
        <v>169</v>
      </c>
      <c r="W183" s="70"/>
      <c r="X183" s="71"/>
      <c r="Y183" s="71"/>
      <c r="Z183" s="72" t="s">
        <v>3</v>
      </c>
      <c r="AB183" s="56"/>
      <c r="AC183" s="56"/>
      <c r="AD183" s="56"/>
      <c r="AE183" s="56"/>
      <c r="AF183" s="56"/>
      <c r="AG183" s="56"/>
      <c r="AH183" s="56"/>
      <c r="AI183" s="56">
        <v>172</v>
      </c>
      <c r="AJ183" s="56">
        <v>83</v>
      </c>
      <c r="AK183" s="56">
        <v>169</v>
      </c>
      <c r="AL183" s="56">
        <v>1.45</v>
      </c>
      <c r="AM183" s="56" t="s">
        <v>414</v>
      </c>
      <c r="AN183" s="56">
        <v>0.17699999999999999</v>
      </c>
      <c r="AO183" s="56" t="s">
        <v>415</v>
      </c>
      <c r="AP183" s="56" t="s">
        <v>3</v>
      </c>
      <c r="AQ183" s="56" t="s">
        <v>63</v>
      </c>
    </row>
    <row r="184" spans="1:43" s="4" customFormat="1" ht="10.199999999999999" x14ac:dyDescent="0.2">
      <c r="A184" s="8"/>
      <c r="B184" s="8"/>
      <c r="C184" s="8">
        <v>1.45</v>
      </c>
      <c r="D184" s="27"/>
      <c r="E184" s="28">
        <v>170</v>
      </c>
      <c r="F184" s="29" t="s">
        <v>416</v>
      </c>
      <c r="G184" s="10" t="s">
        <v>417</v>
      </c>
      <c r="H184" s="30">
        <f t="shared" si="41"/>
        <v>0</v>
      </c>
      <c r="I184" s="52" t="str">
        <f>[1]!Plus_ang(I183,[1]!Min_ang(F184,F183))</f>
        <v xml:space="preserve"> 319° 51' 44"</v>
      </c>
      <c r="J184" s="10" t="str">
        <f>[1]!Plus_ang([1]!Plus_ang(J183,[1]!Min_ang(F184,F183)),[1]!DestoDeg(H184/3600))</f>
        <v xml:space="preserve"> 319° 51' 44"</v>
      </c>
      <c r="K184" s="31">
        <v>3.8719999999999999</v>
      </c>
      <c r="L184" s="32">
        <f>[1]!Jarakdatar(K184,G184)</f>
        <v>3.8698337290884557</v>
      </c>
      <c r="M184" s="33">
        <f>L184*[1]!dsin(J184)</f>
        <v>-2.4946025503648621</v>
      </c>
      <c r="N184" s="34">
        <f t="shared" si="42"/>
        <v>0</v>
      </c>
      <c r="O184" s="33">
        <f>L184*[1]!dcos(J184)</f>
        <v>2.9584744728497809</v>
      </c>
      <c r="P184" s="34">
        <f t="shared" si="43"/>
        <v>0</v>
      </c>
      <c r="Q184" s="35">
        <f>L184/[1]!dTAN(G184)-C184+$B$97</f>
        <v>-0.20049745481522163</v>
      </c>
      <c r="R184" s="34">
        <f t="shared" si="44"/>
        <v>0</v>
      </c>
      <c r="S184" s="36">
        <f t="shared" si="45"/>
        <v>9823.3510714853346</v>
      </c>
      <c r="T184" s="40">
        <f t="shared" si="46"/>
        <v>9830.8560985739568</v>
      </c>
      <c r="U184" s="37">
        <f t="shared" si="47"/>
        <v>26.160750655000648</v>
      </c>
      <c r="V184" s="38">
        <f t="shared" si="40"/>
        <v>170</v>
      </c>
      <c r="W184" s="70"/>
      <c r="X184" s="71"/>
      <c r="Y184" s="71"/>
      <c r="Z184" s="72" t="s">
        <v>3</v>
      </c>
      <c r="AB184" s="56"/>
      <c r="AC184" s="56"/>
      <c r="AD184" s="56"/>
      <c r="AE184" s="56"/>
      <c r="AF184" s="56"/>
      <c r="AG184" s="56"/>
      <c r="AH184" s="56"/>
      <c r="AI184" s="56">
        <v>174</v>
      </c>
      <c r="AJ184" s="56">
        <v>83</v>
      </c>
      <c r="AK184" s="56">
        <v>170</v>
      </c>
      <c r="AL184" s="56">
        <v>1.45</v>
      </c>
      <c r="AM184" s="56" t="s">
        <v>416</v>
      </c>
      <c r="AN184" s="56">
        <v>3.8719999999999999</v>
      </c>
      <c r="AO184" s="56" t="s">
        <v>417</v>
      </c>
      <c r="AP184" s="56" t="s">
        <v>3</v>
      </c>
      <c r="AQ184" s="56" t="s">
        <v>63</v>
      </c>
    </row>
    <row r="185" spans="1:43" s="4" customFormat="1" ht="10.199999999999999" x14ac:dyDescent="0.2">
      <c r="A185" s="8"/>
      <c r="B185" s="8"/>
      <c r="C185" s="8">
        <v>1.45</v>
      </c>
      <c r="D185" s="27"/>
      <c r="E185" s="28">
        <v>171</v>
      </c>
      <c r="F185" s="29" t="s">
        <v>418</v>
      </c>
      <c r="G185" s="10" t="s">
        <v>419</v>
      </c>
      <c r="H185" s="30">
        <f t="shared" si="41"/>
        <v>0</v>
      </c>
      <c r="I185" s="52" t="str">
        <f>[1]!Plus_ang(I184,[1]!Min_ang(F185,F184))</f>
        <v xml:space="preserve"> 319° 55' 48"</v>
      </c>
      <c r="J185" s="10" t="str">
        <f>[1]!Plus_ang([1]!Plus_ang(J184,[1]!Min_ang(F185,F184)),[1]!DestoDeg(H185/3600))</f>
        <v xml:space="preserve"> 319° 55' 48"</v>
      </c>
      <c r="K185" s="31">
        <v>4.3209999999999997</v>
      </c>
      <c r="L185" s="32">
        <f>[1]!Jarakdatar(K185,G185)</f>
        <v>4.3149448157839494</v>
      </c>
      <c r="M185" s="33">
        <f>L185*[1]!dsin(J185)</f>
        <v>-2.77762934926825</v>
      </c>
      <c r="N185" s="34">
        <f t="shared" si="42"/>
        <v>0</v>
      </c>
      <c r="O185" s="33">
        <f>L185*[1]!dcos(J185)</f>
        <v>3.3020484492727267</v>
      </c>
      <c r="P185" s="34">
        <f t="shared" si="43"/>
        <v>0</v>
      </c>
      <c r="Q185" s="35">
        <f>L185/[1]!dTAN(G185)-C185+$B$97</f>
        <v>-0.5586749587060591</v>
      </c>
      <c r="R185" s="34">
        <f t="shared" si="44"/>
        <v>0</v>
      </c>
      <c r="S185" s="36">
        <f t="shared" si="45"/>
        <v>9823.0680446864317</v>
      </c>
      <c r="T185" s="40">
        <f t="shared" si="46"/>
        <v>9831.1996725503814</v>
      </c>
      <c r="U185" s="37">
        <f t="shared" si="47"/>
        <v>25.802573151109808</v>
      </c>
      <c r="V185" s="38">
        <f t="shared" si="40"/>
        <v>171</v>
      </c>
      <c r="W185" s="70"/>
      <c r="X185" s="71"/>
      <c r="Y185" s="71"/>
      <c r="Z185" s="72" t="s">
        <v>16</v>
      </c>
      <c r="AB185" s="56"/>
      <c r="AC185" s="56"/>
      <c r="AD185" s="56"/>
      <c r="AE185" s="56"/>
      <c r="AF185" s="56"/>
      <c r="AG185" s="56"/>
      <c r="AH185" s="56"/>
      <c r="AI185" s="56">
        <v>176</v>
      </c>
      <c r="AJ185" s="56">
        <v>83</v>
      </c>
      <c r="AK185" s="56">
        <v>171</v>
      </c>
      <c r="AL185" s="56">
        <v>1.45</v>
      </c>
      <c r="AM185" s="56" t="s">
        <v>418</v>
      </c>
      <c r="AN185" s="56">
        <v>4.3209999999999997</v>
      </c>
      <c r="AO185" s="56" t="s">
        <v>419</v>
      </c>
      <c r="AP185" s="56" t="s">
        <v>16</v>
      </c>
      <c r="AQ185" s="56" t="s">
        <v>63</v>
      </c>
    </row>
    <row r="186" spans="1:43" s="4" customFormat="1" ht="10.199999999999999" x14ac:dyDescent="0.2">
      <c r="A186" s="8"/>
      <c r="B186" s="8"/>
      <c r="C186" s="8">
        <v>1.45</v>
      </c>
      <c r="D186" s="27"/>
      <c r="E186" s="28">
        <v>172</v>
      </c>
      <c r="F186" s="29" t="s">
        <v>420</v>
      </c>
      <c r="G186" s="10" t="s">
        <v>421</v>
      </c>
      <c r="H186" s="30">
        <f t="shared" si="41"/>
        <v>0</v>
      </c>
      <c r="I186" s="52" t="str">
        <f>[1]!Plus_ang(I185,[1]!Min_ang(F186,F185))</f>
        <v xml:space="preserve"> 319° 55' 49"</v>
      </c>
      <c r="J186" s="10" t="str">
        <f>[1]!Plus_ang([1]!Plus_ang(J185,[1]!Min_ang(F186,F185)),[1]!DestoDeg(H186/3600))</f>
        <v xml:space="preserve"> 319° 55' 49"</v>
      </c>
      <c r="K186" s="31">
        <v>12.971</v>
      </c>
      <c r="L186" s="32">
        <f>[1]!Jarakdatar(K186,G186)</f>
        <v>12.968951355103563</v>
      </c>
      <c r="M186" s="33">
        <f>L186*[1]!dsin(J186)</f>
        <v>-8.3483645408050293</v>
      </c>
      <c r="N186" s="34">
        <f t="shared" si="42"/>
        <v>0</v>
      </c>
      <c r="O186" s="33">
        <f>L186*[1]!dcos(J186)</f>
        <v>9.924641492007245</v>
      </c>
      <c r="P186" s="34">
        <f t="shared" si="43"/>
        <v>0</v>
      </c>
      <c r="Q186" s="35">
        <f>L186/[1]!dTAN(G186)-C186+$B$97</f>
        <v>-0.5605249421591294</v>
      </c>
      <c r="R186" s="34">
        <f t="shared" si="44"/>
        <v>0</v>
      </c>
      <c r="S186" s="36">
        <f t="shared" si="45"/>
        <v>9817.4973094948946</v>
      </c>
      <c r="T186" s="40">
        <f t="shared" si="46"/>
        <v>9837.8222655931149</v>
      </c>
      <c r="U186" s="37">
        <f t="shared" si="47"/>
        <v>25.800723167656738</v>
      </c>
      <c r="V186" s="38">
        <f t="shared" si="40"/>
        <v>172</v>
      </c>
      <c r="W186" s="70"/>
      <c r="X186" s="71"/>
      <c r="Y186" s="71"/>
      <c r="Z186" s="72" t="s">
        <v>16</v>
      </c>
      <c r="AB186" s="56"/>
      <c r="AC186" s="56"/>
      <c r="AD186" s="56"/>
      <c r="AE186" s="56"/>
      <c r="AF186" s="56"/>
      <c r="AG186" s="56"/>
      <c r="AH186" s="56"/>
      <c r="AI186" s="56">
        <v>178</v>
      </c>
      <c r="AJ186" s="56">
        <v>83</v>
      </c>
      <c r="AK186" s="56">
        <v>172</v>
      </c>
      <c r="AL186" s="56">
        <v>1.45</v>
      </c>
      <c r="AM186" s="56" t="s">
        <v>420</v>
      </c>
      <c r="AN186" s="56">
        <v>12.971</v>
      </c>
      <c r="AO186" s="56" t="s">
        <v>421</v>
      </c>
      <c r="AP186" s="56" t="s">
        <v>16</v>
      </c>
      <c r="AQ186" s="56" t="s">
        <v>63</v>
      </c>
    </row>
    <row r="187" spans="1:43" s="4" customFormat="1" ht="10.199999999999999" x14ac:dyDescent="0.2">
      <c r="A187" s="8"/>
      <c r="B187" s="8"/>
      <c r="C187" s="8">
        <v>1.45</v>
      </c>
      <c r="D187" s="27"/>
      <c r="E187" s="28" t="s">
        <v>72</v>
      </c>
      <c r="F187" s="29" t="s">
        <v>422</v>
      </c>
      <c r="G187" s="10" t="s">
        <v>423</v>
      </c>
      <c r="H187" s="30">
        <f t="shared" si="41"/>
        <v>0</v>
      </c>
      <c r="I187" s="52" t="str">
        <f>[1]!Plus_ang(I186,[1]!Min_ang(F187,F186))</f>
        <v xml:space="preserve"> 224° 52' 52"</v>
      </c>
      <c r="J187" s="10" t="str">
        <f>[1]!Plus_ang([1]!Plus_ang(J186,[1]!Min_ang(F187,F186)),[1]!DestoDeg(H187/3600))</f>
        <v xml:space="preserve"> 224° 52' 52"</v>
      </c>
      <c r="K187" s="31">
        <v>56.546999999999997</v>
      </c>
      <c r="L187" s="32">
        <f>[1]!Jarakdatar(K187,G187)</f>
        <v>56.540062638227333</v>
      </c>
      <c r="M187" s="33">
        <f>L187*[1]!dsin(J187)</f>
        <v>-39.896817375224551</v>
      </c>
      <c r="N187" s="34">
        <f t="shared" si="42"/>
        <v>0</v>
      </c>
      <c r="O187" s="33">
        <f>L187*[1]!dcos(J187)</f>
        <v>-40.062733886526644</v>
      </c>
      <c r="P187" s="34">
        <f t="shared" si="43"/>
        <v>0</v>
      </c>
      <c r="Q187" s="35">
        <f>L187/[1]!dTAN(G187)-C187+$B$97</f>
        <v>0.55573464724465993</v>
      </c>
      <c r="R187" s="34">
        <f t="shared" si="44"/>
        <v>0</v>
      </c>
      <c r="S187" s="36">
        <f t="shared" si="45"/>
        <v>9785.9488566604759</v>
      </c>
      <c r="T187" s="40">
        <f t="shared" si="46"/>
        <v>9787.8348902145808</v>
      </c>
      <c r="U187" s="37">
        <f t="shared" si="47"/>
        <v>26.916982757060527</v>
      </c>
      <c r="V187" s="38" t="str">
        <f t="shared" si="40"/>
        <v>K26</v>
      </c>
      <c r="W187" s="70"/>
      <c r="X187" s="71"/>
      <c r="Y187" s="71"/>
      <c r="Z187" s="72" t="s">
        <v>72</v>
      </c>
      <c r="AB187" s="56"/>
      <c r="AC187" s="56"/>
      <c r="AD187" s="56"/>
      <c r="AE187" s="56"/>
      <c r="AF187" s="56"/>
      <c r="AG187" s="56"/>
      <c r="AH187" s="56"/>
      <c r="AI187" s="56">
        <v>180</v>
      </c>
      <c r="AJ187" s="56">
        <v>83</v>
      </c>
      <c r="AK187" s="56" t="s">
        <v>72</v>
      </c>
      <c r="AL187" s="56">
        <v>1.45</v>
      </c>
      <c r="AM187" s="56" t="s">
        <v>422</v>
      </c>
      <c r="AN187" s="56">
        <v>56.546999999999997</v>
      </c>
      <c r="AO187" s="56" t="s">
        <v>423</v>
      </c>
      <c r="AP187" s="56" t="s">
        <v>72</v>
      </c>
      <c r="AQ187" s="56" t="s">
        <v>63</v>
      </c>
    </row>
    <row r="188" spans="1:43" s="4" customFormat="1" ht="10.199999999999999" x14ac:dyDescent="0.2">
      <c r="A188" s="8"/>
      <c r="B188" s="8"/>
      <c r="C188" s="8">
        <v>1.45</v>
      </c>
      <c r="D188" s="27"/>
      <c r="E188" s="28">
        <v>174</v>
      </c>
      <c r="F188" s="29" t="s">
        <v>424</v>
      </c>
      <c r="G188" s="10" t="s">
        <v>425</v>
      </c>
      <c r="H188" s="30">
        <f t="shared" si="41"/>
        <v>0</v>
      </c>
      <c r="I188" s="52" t="str">
        <f>[1]!Plus_ang(I187,[1]!Min_ang(F188,F187))</f>
        <v xml:space="preserve"> 228° 58' 51"</v>
      </c>
      <c r="J188" s="10" t="str">
        <f>[1]!Plus_ang([1]!Plus_ang(J187,[1]!Min_ang(F188,F187)),[1]!DestoDeg(H188/3600))</f>
        <v xml:space="preserve"> 228° 58' 51"</v>
      </c>
      <c r="K188" s="31">
        <v>56.613</v>
      </c>
      <c r="L188" s="32">
        <f>[1]!Jarakdatar(K188,G188)</f>
        <v>56.61295874899357</v>
      </c>
      <c r="M188" s="33">
        <f>L188*[1]!dsin(J188)</f>
        <v>-42.713915333307284</v>
      </c>
      <c r="N188" s="34">
        <f t="shared" si="42"/>
        <v>0</v>
      </c>
      <c r="O188" s="33">
        <f>L188*[1]!dcos(J188)</f>
        <v>-37.155733544290371</v>
      </c>
      <c r="P188" s="34">
        <f t="shared" si="43"/>
        <v>0</v>
      </c>
      <c r="Q188" s="35">
        <f>L188/[1]!dTAN(G188)-C188+$B$97</f>
        <v>-0.39834240815312261</v>
      </c>
      <c r="R188" s="34">
        <f t="shared" si="44"/>
        <v>0</v>
      </c>
      <c r="S188" s="36">
        <f t="shared" si="45"/>
        <v>9783.1317587023932</v>
      </c>
      <c r="T188" s="40">
        <f t="shared" si="46"/>
        <v>9790.7418905568175</v>
      </c>
      <c r="U188" s="37">
        <f t="shared" si="47"/>
        <v>25.962905701662745</v>
      </c>
      <c r="V188" s="38">
        <f t="shared" si="40"/>
        <v>174</v>
      </c>
      <c r="W188" s="70"/>
      <c r="X188" s="71"/>
      <c r="Y188" s="71"/>
      <c r="Z188" s="72" t="s">
        <v>3</v>
      </c>
      <c r="AB188" s="56"/>
      <c r="AC188" s="56"/>
      <c r="AD188" s="56"/>
      <c r="AE188" s="56"/>
      <c r="AF188" s="56"/>
      <c r="AG188" s="56"/>
      <c r="AH188" s="56"/>
      <c r="AI188" s="56">
        <v>182</v>
      </c>
      <c r="AJ188" s="56">
        <v>83</v>
      </c>
      <c r="AK188" s="56">
        <v>174</v>
      </c>
      <c r="AL188" s="56">
        <v>1.45</v>
      </c>
      <c r="AM188" s="56" t="s">
        <v>424</v>
      </c>
      <c r="AN188" s="56">
        <v>56.613</v>
      </c>
      <c r="AO188" s="56" t="s">
        <v>425</v>
      </c>
      <c r="AP188" s="56" t="s">
        <v>3</v>
      </c>
      <c r="AQ188" s="56" t="s">
        <v>63</v>
      </c>
    </row>
    <row r="189" spans="1:43" s="4" customFormat="1" ht="10.199999999999999" x14ac:dyDescent="0.2">
      <c r="A189" s="8"/>
      <c r="B189" s="8"/>
      <c r="C189" s="8">
        <v>1.45</v>
      </c>
      <c r="D189" s="27"/>
      <c r="E189" s="28">
        <v>175</v>
      </c>
      <c r="F189" s="29" t="s">
        <v>426</v>
      </c>
      <c r="G189" s="10" t="s">
        <v>427</v>
      </c>
      <c r="H189" s="30">
        <f t="shared" si="41"/>
        <v>0</v>
      </c>
      <c r="I189" s="52" t="str">
        <f>[1]!Plus_ang(I188,[1]!Min_ang(F189,F188))</f>
        <v xml:space="preserve"> 236° 54' 44"</v>
      </c>
      <c r="J189" s="10" t="str">
        <f>[1]!Plus_ang([1]!Plus_ang(J188,[1]!Min_ang(F189,F188)),[1]!DestoDeg(H189/3600))</f>
        <v xml:space="preserve"> 236° 54' 44"</v>
      </c>
      <c r="K189" s="31">
        <v>57.37</v>
      </c>
      <c r="L189" s="32">
        <f>[1]!Jarakdatar(K189,G189)</f>
        <v>57.369878218226511</v>
      </c>
      <c r="M189" s="33">
        <f>L189*[1]!dsin(J189)</f>
        <v>-48.06650287165477</v>
      </c>
      <c r="N189" s="34">
        <f t="shared" si="42"/>
        <v>0</v>
      </c>
      <c r="O189" s="33">
        <f>L189*[1]!dcos(J189)</f>
        <v>-31.319550259595747</v>
      </c>
      <c r="P189" s="34">
        <f t="shared" si="43"/>
        <v>0</v>
      </c>
      <c r="Q189" s="35">
        <f>L189/[1]!dTAN(G189)-C189+$B$97</f>
        <v>-0.44820840012024021</v>
      </c>
      <c r="R189" s="34">
        <f t="shared" si="44"/>
        <v>0</v>
      </c>
      <c r="S189" s="36">
        <f t="shared" si="45"/>
        <v>9777.7791711640457</v>
      </c>
      <c r="T189" s="40">
        <f t="shared" si="46"/>
        <v>9796.5780738415124</v>
      </c>
      <c r="U189" s="37">
        <f t="shared" si="47"/>
        <v>25.913039709695628</v>
      </c>
      <c r="V189" s="38">
        <f t="shared" si="40"/>
        <v>175</v>
      </c>
      <c r="W189" s="70"/>
      <c r="X189" s="71"/>
      <c r="Y189" s="71"/>
      <c r="Z189" s="72" t="s">
        <v>16</v>
      </c>
      <c r="AB189" s="56"/>
      <c r="AC189" s="56"/>
      <c r="AD189" s="56"/>
      <c r="AE189" s="56"/>
      <c r="AF189" s="56"/>
      <c r="AG189" s="56"/>
      <c r="AH189" s="56"/>
      <c r="AI189" s="56">
        <v>184</v>
      </c>
      <c r="AJ189" s="56">
        <v>83</v>
      </c>
      <c r="AK189" s="56">
        <v>175</v>
      </c>
      <c r="AL189" s="56">
        <v>1.45</v>
      </c>
      <c r="AM189" s="56" t="s">
        <v>426</v>
      </c>
      <c r="AN189" s="56">
        <v>57.37</v>
      </c>
      <c r="AO189" s="56" t="s">
        <v>427</v>
      </c>
      <c r="AP189" s="56" t="s">
        <v>16</v>
      </c>
      <c r="AQ189" s="56" t="s">
        <v>63</v>
      </c>
    </row>
    <row r="190" spans="1:43" s="4" customFormat="1" ht="10.199999999999999" x14ac:dyDescent="0.2">
      <c r="A190" s="8"/>
      <c r="B190" s="8"/>
      <c r="C190" s="8">
        <v>1.45</v>
      </c>
      <c r="D190" s="27"/>
      <c r="E190" s="28">
        <v>176</v>
      </c>
      <c r="F190" s="29" t="s">
        <v>428</v>
      </c>
      <c r="G190" s="10" t="s">
        <v>429</v>
      </c>
      <c r="H190" s="30">
        <f t="shared" si="41"/>
        <v>0</v>
      </c>
      <c r="I190" s="52" t="str">
        <f>[1]!Plus_ang(I189,[1]!Min_ang(F190,F189))</f>
        <v xml:space="preserve"> 224° 56' 53"</v>
      </c>
      <c r="J190" s="10" t="str">
        <f>[1]!Plus_ang([1]!Plus_ang(J189,[1]!Min_ang(F190,F189)),[1]!DestoDeg(H190/3600))</f>
        <v xml:space="preserve"> 224° 56' 53"</v>
      </c>
      <c r="K190" s="31">
        <v>56.615000000000002</v>
      </c>
      <c r="L190" s="32">
        <f>[1]!Jarakdatar(K190,G190)</f>
        <v>56.607780797744503</v>
      </c>
      <c r="M190" s="33">
        <f>L190*[1]!dsin(J190)</f>
        <v>-39.991440007432622</v>
      </c>
      <c r="N190" s="34">
        <f t="shared" si="42"/>
        <v>0</v>
      </c>
      <c r="O190" s="33">
        <f>L190*[1]!dcos(J190)</f>
        <v>-40.064018432721006</v>
      </c>
      <c r="P190" s="34">
        <f t="shared" si="43"/>
        <v>0</v>
      </c>
      <c r="Q190" s="35">
        <f>L190/[1]!dTAN(G190)-C190+$B$97</f>
        <v>0.57408968277963068</v>
      </c>
      <c r="R190" s="34">
        <f t="shared" si="44"/>
        <v>0</v>
      </c>
      <c r="S190" s="36">
        <f t="shared" si="45"/>
        <v>9785.8542340282675</v>
      </c>
      <c r="T190" s="40">
        <f t="shared" si="46"/>
        <v>9787.8336056683875</v>
      </c>
      <c r="U190" s="37">
        <f t="shared" si="47"/>
        <v>26.935337792595497</v>
      </c>
      <c r="V190" s="38">
        <f t="shared" si="40"/>
        <v>176</v>
      </c>
      <c r="W190" s="70"/>
      <c r="X190" s="71"/>
      <c r="Y190" s="71"/>
      <c r="Z190" s="72" t="s">
        <v>3</v>
      </c>
      <c r="AB190" s="56"/>
      <c r="AC190" s="56"/>
      <c r="AD190" s="56"/>
      <c r="AE190" s="56"/>
      <c r="AF190" s="56"/>
      <c r="AG190" s="56"/>
      <c r="AH190" s="56"/>
      <c r="AI190" s="56">
        <v>186</v>
      </c>
      <c r="AJ190" s="56">
        <v>83</v>
      </c>
      <c r="AK190" s="56">
        <v>176</v>
      </c>
      <c r="AL190" s="56">
        <v>1.45</v>
      </c>
      <c r="AM190" s="56" t="s">
        <v>428</v>
      </c>
      <c r="AN190" s="56">
        <v>56.615000000000002</v>
      </c>
      <c r="AO190" s="56" t="s">
        <v>429</v>
      </c>
      <c r="AP190" s="56" t="s">
        <v>3</v>
      </c>
      <c r="AQ190" s="56" t="s">
        <v>63</v>
      </c>
    </row>
    <row r="191" spans="1:43" s="4" customFormat="1" ht="10.199999999999999" x14ac:dyDescent="0.2">
      <c r="A191" s="8"/>
      <c r="B191" s="8"/>
      <c r="C191" s="8">
        <v>1.45</v>
      </c>
      <c r="D191" s="27"/>
      <c r="E191" s="28">
        <v>177</v>
      </c>
      <c r="F191" s="29" t="s">
        <v>430</v>
      </c>
      <c r="G191" s="10" t="s">
        <v>431</v>
      </c>
      <c r="H191" s="30">
        <f t="shared" si="41"/>
        <v>0</v>
      </c>
      <c r="I191" s="52" t="str">
        <f>[1]!Plus_ang(I190,[1]!Min_ang(F191,F190))</f>
        <v xml:space="preserve"> 221° 58' 47"</v>
      </c>
      <c r="J191" s="10" t="str">
        <f>[1]!Plus_ang([1]!Plus_ang(J190,[1]!Min_ang(F191,F190)),[1]!DestoDeg(H191/3600))</f>
        <v xml:space="preserve"> 221° 58' 47"</v>
      </c>
      <c r="K191" s="31">
        <v>56.933</v>
      </c>
      <c r="L191" s="32">
        <f>[1]!Jarakdatar(K191,G191)</f>
        <v>56.923404619137052</v>
      </c>
      <c r="M191" s="33">
        <f>L191*[1]!dsin(J191)</f>
        <v>-38.074218476143805</v>
      </c>
      <c r="N191" s="34">
        <f t="shared" si="42"/>
        <v>0</v>
      </c>
      <c r="O191" s="33">
        <f>L191*[1]!dcos(J191)</f>
        <v>-42.315811239592975</v>
      </c>
      <c r="P191" s="34">
        <f t="shared" si="43"/>
        <v>0</v>
      </c>
      <c r="Q191" s="35">
        <f>L191/[1]!dTAN(G191)-C191+$B$97</f>
        <v>-1.3752251269492843</v>
      </c>
      <c r="R191" s="34">
        <f t="shared" si="44"/>
        <v>0</v>
      </c>
      <c r="S191" s="36">
        <f t="shared" si="45"/>
        <v>9787.7714555595558</v>
      </c>
      <c r="T191" s="40">
        <f t="shared" si="46"/>
        <v>9785.5818128615156</v>
      </c>
      <c r="U191" s="37">
        <f t="shared" si="47"/>
        <v>24.986022982866583</v>
      </c>
      <c r="V191" s="38">
        <f t="shared" si="40"/>
        <v>177</v>
      </c>
      <c r="W191" s="70"/>
      <c r="X191" s="71"/>
      <c r="Y191" s="71"/>
      <c r="Z191" s="72" t="s">
        <v>3</v>
      </c>
      <c r="AB191" s="56"/>
      <c r="AC191" s="56"/>
      <c r="AD191" s="56"/>
      <c r="AE191" s="56"/>
      <c r="AF191" s="56"/>
      <c r="AG191" s="56"/>
      <c r="AH191" s="56"/>
      <c r="AI191" s="56">
        <v>188</v>
      </c>
      <c r="AJ191" s="56">
        <v>83</v>
      </c>
      <c r="AK191" s="56">
        <v>177</v>
      </c>
      <c r="AL191" s="56">
        <v>1.45</v>
      </c>
      <c r="AM191" s="56" t="s">
        <v>430</v>
      </c>
      <c r="AN191" s="56">
        <v>56.933</v>
      </c>
      <c r="AO191" s="56" t="s">
        <v>431</v>
      </c>
      <c r="AP191" s="56" t="s">
        <v>3</v>
      </c>
      <c r="AQ191" s="56" t="s">
        <v>63</v>
      </c>
    </row>
    <row r="192" spans="1:43" s="4" customFormat="1" ht="10.199999999999999" x14ac:dyDescent="0.2">
      <c r="A192" s="8"/>
      <c r="B192" s="8"/>
      <c r="C192" s="8">
        <v>1.45</v>
      </c>
      <c r="D192" s="27"/>
      <c r="E192" s="28">
        <v>178</v>
      </c>
      <c r="F192" s="29" t="s">
        <v>432</v>
      </c>
      <c r="G192" s="10" t="s">
        <v>433</v>
      </c>
      <c r="H192" s="30">
        <f t="shared" si="41"/>
        <v>0</v>
      </c>
      <c r="I192" s="52" t="str">
        <f>[1]!Plus_ang(I191,[1]!Min_ang(F192,F191))</f>
        <v xml:space="preserve"> 217° 55' 52"</v>
      </c>
      <c r="J192" s="10" t="str">
        <f>[1]!Plus_ang([1]!Plus_ang(J191,[1]!Min_ang(F192,F191)),[1]!DestoDeg(H192/3600))</f>
        <v xml:space="preserve"> 217° 55' 52"</v>
      </c>
      <c r="K192" s="31">
        <v>56.808999999999997</v>
      </c>
      <c r="L192" s="32">
        <f>[1]!Jarakdatar(K192,G192)</f>
        <v>56.798809142707661</v>
      </c>
      <c r="M192" s="33">
        <f>L192*[1]!dsin(J192)</f>
        <v>-34.91499904266572</v>
      </c>
      <c r="N192" s="34">
        <f t="shared" si="42"/>
        <v>0</v>
      </c>
      <c r="O192" s="33">
        <f>L192*[1]!dcos(J192)</f>
        <v>-44.800084395906921</v>
      </c>
      <c r="P192" s="34">
        <f t="shared" si="43"/>
        <v>0</v>
      </c>
      <c r="Q192" s="35">
        <f>L192/[1]!dTAN(G192)-C192+$B$97</f>
        <v>-1.4059930159013634</v>
      </c>
      <c r="R192" s="34">
        <f t="shared" si="44"/>
        <v>0</v>
      </c>
      <c r="S192" s="36">
        <f t="shared" si="45"/>
        <v>9790.9306749930347</v>
      </c>
      <c r="T192" s="40">
        <f t="shared" si="46"/>
        <v>9783.0975397052007</v>
      </c>
      <c r="U192" s="37">
        <f t="shared" si="47"/>
        <v>24.955255093914506</v>
      </c>
      <c r="V192" s="38">
        <f t="shared" si="40"/>
        <v>178</v>
      </c>
      <c r="W192" s="70"/>
      <c r="X192" s="71"/>
      <c r="Y192" s="71"/>
      <c r="Z192" s="72" t="s">
        <v>3</v>
      </c>
      <c r="AB192" s="56"/>
      <c r="AC192" s="56"/>
      <c r="AD192" s="56"/>
      <c r="AE192" s="56"/>
      <c r="AF192" s="56"/>
      <c r="AG192" s="56"/>
      <c r="AH192" s="56"/>
      <c r="AI192" s="56">
        <v>190</v>
      </c>
      <c r="AJ192" s="56">
        <v>83</v>
      </c>
      <c r="AK192" s="56">
        <v>178</v>
      </c>
      <c r="AL192" s="56">
        <v>1.45</v>
      </c>
      <c r="AM192" s="56" t="s">
        <v>432</v>
      </c>
      <c r="AN192" s="56">
        <v>56.808999999999997</v>
      </c>
      <c r="AO192" s="56" t="s">
        <v>433</v>
      </c>
      <c r="AP192" s="56" t="s">
        <v>3</v>
      </c>
      <c r="AQ192" s="56" t="s">
        <v>63</v>
      </c>
    </row>
    <row r="193" spans="1:43" s="4" customFormat="1" ht="10.199999999999999" x14ac:dyDescent="0.2">
      <c r="A193" s="8"/>
      <c r="B193" s="8"/>
      <c r="C193" s="8">
        <v>1.45</v>
      </c>
      <c r="D193" s="27"/>
      <c r="E193" s="28">
        <v>179</v>
      </c>
      <c r="F193" s="29" t="s">
        <v>434</v>
      </c>
      <c r="G193" s="10" t="s">
        <v>435</v>
      </c>
      <c r="H193" s="30">
        <f t="shared" si="41"/>
        <v>0</v>
      </c>
      <c r="I193" s="52" t="str">
        <f>[1]!Plus_ang(I192,[1]!Min_ang(F193,F192))</f>
        <v xml:space="preserve"> 213° 50' 48"</v>
      </c>
      <c r="J193" s="10" t="str">
        <f>[1]!Plus_ang([1]!Plus_ang(J192,[1]!Min_ang(F193,F192)),[1]!DestoDeg(H193/3600))</f>
        <v xml:space="preserve"> 213° 50' 48"</v>
      </c>
      <c r="K193" s="31">
        <v>57.283000000000001</v>
      </c>
      <c r="L193" s="32">
        <f>[1]!Jarakdatar(K193,G193)</f>
        <v>57.196420445501772</v>
      </c>
      <c r="M193" s="33">
        <f>L193*[1]!dsin(J193)</f>
        <v>-31.856819384398651</v>
      </c>
      <c r="N193" s="34">
        <f t="shared" si="42"/>
        <v>0</v>
      </c>
      <c r="O193" s="33">
        <f>L193*[1]!dcos(J193)</f>
        <v>-47.503405883035541</v>
      </c>
      <c r="P193" s="34">
        <f t="shared" si="43"/>
        <v>0</v>
      </c>
      <c r="Q193" s="35">
        <f>L193/[1]!dTAN(G193)-C193+$B$97</f>
        <v>-3.4782657482154606</v>
      </c>
      <c r="R193" s="34">
        <f t="shared" si="44"/>
        <v>0</v>
      </c>
      <c r="S193" s="36">
        <f t="shared" si="45"/>
        <v>9793.9888546513012</v>
      </c>
      <c r="T193" s="40">
        <f t="shared" si="46"/>
        <v>9780.3942182180726</v>
      </c>
      <c r="U193" s="37">
        <f t="shared" si="47"/>
        <v>22.882982361600408</v>
      </c>
      <c r="V193" s="38">
        <f t="shared" ref="V193:V224" si="48">IF(A193&lt;&gt;"",D193,E193)</f>
        <v>179</v>
      </c>
      <c r="W193" s="70"/>
      <c r="X193" s="71"/>
      <c r="Y193" s="71"/>
      <c r="Z193" s="72" t="s">
        <v>14</v>
      </c>
      <c r="AB193" s="56"/>
      <c r="AC193" s="56"/>
      <c r="AD193" s="56"/>
      <c r="AE193" s="56"/>
      <c r="AF193" s="56"/>
      <c r="AG193" s="56"/>
      <c r="AH193" s="56"/>
      <c r="AI193" s="56">
        <v>192</v>
      </c>
      <c r="AJ193" s="56">
        <v>83</v>
      </c>
      <c r="AK193" s="56">
        <v>179</v>
      </c>
      <c r="AL193" s="56">
        <v>1.45</v>
      </c>
      <c r="AM193" s="56" t="s">
        <v>434</v>
      </c>
      <c r="AN193" s="56">
        <v>57.283000000000001</v>
      </c>
      <c r="AO193" s="56" t="s">
        <v>435</v>
      </c>
      <c r="AP193" s="56" t="s">
        <v>14</v>
      </c>
      <c r="AQ193" s="56" t="s">
        <v>63</v>
      </c>
    </row>
    <row r="194" spans="1:43" s="4" customFormat="1" ht="10.199999999999999" x14ac:dyDescent="0.2">
      <c r="A194" s="8"/>
      <c r="B194" s="8"/>
      <c r="C194" s="8">
        <v>1.45</v>
      </c>
      <c r="D194" s="27"/>
      <c r="E194" s="28">
        <v>180</v>
      </c>
      <c r="F194" s="29" t="s">
        <v>436</v>
      </c>
      <c r="G194" s="10" t="s">
        <v>437</v>
      </c>
      <c r="H194" s="30">
        <f t="shared" ref="H194:H225" si="49">IF($Y$7="y",$C$416,0)</f>
        <v>0</v>
      </c>
      <c r="I194" s="52" t="str">
        <f>[1]!Plus_ang(I193,[1]!Min_ang(F194,F193))</f>
        <v xml:space="preserve"> 212° 59' 45"</v>
      </c>
      <c r="J194" s="10" t="str">
        <f>[1]!Plus_ang([1]!Plus_ang(J193,[1]!Min_ang(F194,F193)),[1]!DestoDeg(H194/3600))</f>
        <v xml:space="preserve"> 212° 59' 45"</v>
      </c>
      <c r="K194" s="31">
        <v>57.558999999999997</v>
      </c>
      <c r="L194" s="32">
        <f>[1]!Jarakdatar(K194,G194)</f>
        <v>57.479106460652233</v>
      </c>
      <c r="M194" s="33">
        <f>L194*[1]!dsin(J194)</f>
        <v>-31.301859351697722</v>
      </c>
      <c r="N194" s="34">
        <f t="shared" ref="N194:N225" si="50">IF($Y$8="Y",($Y$4*L194/$L$413),0)</f>
        <v>0</v>
      </c>
      <c r="O194" s="33">
        <f>L194*[1]!dcos(J194)</f>
        <v>-48.208311323272127</v>
      </c>
      <c r="P194" s="34">
        <f t="shared" ref="P194:P225" si="51">IF($Y$8="Y",($Y$5*L194/$L$413),0)</f>
        <v>0</v>
      </c>
      <c r="Q194" s="35">
        <f>L194/[1]!dTAN(G194)-C194+$B$97</f>
        <v>-3.361633468116989</v>
      </c>
      <c r="R194" s="34">
        <f t="shared" ref="R194:R225" si="52">IF(AND($Y$8="Y",W194="P"),($Y$6*L194/$L$413),0)</f>
        <v>0</v>
      </c>
      <c r="S194" s="36">
        <f t="shared" ref="S194:S225" si="53">$S$97+M194+N194</f>
        <v>9794.5438146840024</v>
      </c>
      <c r="T194" s="40">
        <f t="shared" ref="T194:T225" si="54">$T$97+O194+P194</f>
        <v>9779.6893127778349</v>
      </c>
      <c r="U194" s="37">
        <f t="shared" ref="U194:U225" si="55">$U$97+Q194+R194</f>
        <v>22.99961464169888</v>
      </c>
      <c r="V194" s="38">
        <f t="shared" si="48"/>
        <v>180</v>
      </c>
      <c r="W194" s="70"/>
      <c r="X194" s="71"/>
      <c r="Y194" s="71"/>
      <c r="Z194" s="72" t="s">
        <v>15</v>
      </c>
      <c r="AB194" s="56"/>
      <c r="AC194" s="56"/>
      <c r="AD194" s="56"/>
      <c r="AE194" s="56"/>
      <c r="AF194" s="56"/>
      <c r="AG194" s="56"/>
      <c r="AH194" s="56"/>
      <c r="AI194" s="56">
        <v>194</v>
      </c>
      <c r="AJ194" s="56">
        <v>83</v>
      </c>
      <c r="AK194" s="56">
        <v>180</v>
      </c>
      <c r="AL194" s="56">
        <v>1.45</v>
      </c>
      <c r="AM194" s="56" t="s">
        <v>436</v>
      </c>
      <c r="AN194" s="56">
        <v>57.558999999999997</v>
      </c>
      <c r="AO194" s="56" t="s">
        <v>437</v>
      </c>
      <c r="AP194" s="56" t="s">
        <v>15</v>
      </c>
      <c r="AQ194" s="56" t="s">
        <v>63</v>
      </c>
    </row>
    <row r="195" spans="1:43" s="4" customFormat="1" ht="10.199999999999999" x14ac:dyDescent="0.2">
      <c r="A195" s="8"/>
      <c r="B195" s="8"/>
      <c r="C195" s="8">
        <v>1.45</v>
      </c>
      <c r="D195" s="27"/>
      <c r="E195" s="28">
        <v>181</v>
      </c>
      <c r="F195" s="29" t="s">
        <v>438</v>
      </c>
      <c r="G195" s="10" t="s">
        <v>439</v>
      </c>
      <c r="H195" s="30">
        <f t="shared" si="49"/>
        <v>0</v>
      </c>
      <c r="I195" s="52" t="str">
        <f>[1]!Plus_ang(I194,[1]!Min_ang(F195,F194))</f>
        <v xml:space="preserve"> 212° 51' 46"</v>
      </c>
      <c r="J195" s="10" t="str">
        <f>[1]!Plus_ang([1]!Plus_ang(J194,[1]!Min_ang(F195,F194)),[1]!DestoDeg(H195/3600))</f>
        <v xml:space="preserve"> 212° 51' 46"</v>
      </c>
      <c r="K195" s="31">
        <v>57.805999999999997</v>
      </c>
      <c r="L195" s="32">
        <f>[1]!Jarakdatar(K195,G195)</f>
        <v>57.720453265742883</v>
      </c>
      <c r="M195" s="33">
        <f>L195*[1]!dsin(J195)</f>
        <v>-31.320784680255816</v>
      </c>
      <c r="N195" s="34">
        <f t="shared" si="50"/>
        <v>0</v>
      </c>
      <c r="O195" s="33">
        <f>L195*[1]!dcos(J195)</f>
        <v>-48.483596939747166</v>
      </c>
      <c r="P195" s="34">
        <f t="shared" si="51"/>
        <v>0</v>
      </c>
      <c r="Q195" s="35">
        <f>L195/[1]!dTAN(G195)-C195+$B$97</f>
        <v>-3.4737097189772541</v>
      </c>
      <c r="R195" s="34">
        <f t="shared" si="52"/>
        <v>0</v>
      </c>
      <c r="S195" s="36">
        <f t="shared" si="53"/>
        <v>9794.5248893554435</v>
      </c>
      <c r="T195" s="40">
        <f t="shared" si="54"/>
        <v>9779.4140271613614</v>
      </c>
      <c r="U195" s="37">
        <f t="shared" si="55"/>
        <v>22.887538390838614</v>
      </c>
      <c r="V195" s="38">
        <f t="shared" si="48"/>
        <v>181</v>
      </c>
      <c r="W195" s="70"/>
      <c r="X195" s="71"/>
      <c r="Y195" s="71"/>
      <c r="Z195" s="72" t="s">
        <v>15</v>
      </c>
      <c r="AB195" s="56"/>
      <c r="AC195" s="56"/>
      <c r="AD195" s="56"/>
      <c r="AE195" s="56"/>
      <c r="AF195" s="56"/>
      <c r="AG195" s="56"/>
      <c r="AH195" s="56"/>
      <c r="AI195" s="56">
        <v>196</v>
      </c>
      <c r="AJ195" s="56">
        <v>83</v>
      </c>
      <c r="AK195" s="56">
        <v>181</v>
      </c>
      <c r="AL195" s="56">
        <v>1.45</v>
      </c>
      <c r="AM195" s="56" t="s">
        <v>438</v>
      </c>
      <c r="AN195" s="56">
        <v>57.805999999999997</v>
      </c>
      <c r="AO195" s="56" t="s">
        <v>439</v>
      </c>
      <c r="AP195" s="56" t="s">
        <v>15</v>
      </c>
      <c r="AQ195" s="56" t="s">
        <v>63</v>
      </c>
    </row>
    <row r="196" spans="1:43" s="4" customFormat="1" ht="10.199999999999999" x14ac:dyDescent="0.2">
      <c r="A196" s="8"/>
      <c r="B196" s="8"/>
      <c r="C196" s="8">
        <v>1.45</v>
      </c>
      <c r="D196" s="27"/>
      <c r="E196" s="28">
        <v>182</v>
      </c>
      <c r="F196" s="29" t="s">
        <v>440</v>
      </c>
      <c r="G196" s="10" t="s">
        <v>441</v>
      </c>
      <c r="H196" s="30">
        <f t="shared" si="49"/>
        <v>0</v>
      </c>
      <c r="I196" s="52" t="str">
        <f>[1]!Plus_ang(I195,[1]!Min_ang(F196,F195))</f>
        <v xml:space="preserve"> 212° 51' 47"</v>
      </c>
      <c r="J196" s="10" t="str">
        <f>[1]!Plus_ang([1]!Plus_ang(J195,[1]!Min_ang(F196,F195)),[1]!DestoDeg(H196/3600))</f>
        <v xml:space="preserve"> 212° 51' 47"</v>
      </c>
      <c r="K196" s="31">
        <v>57.845999999999997</v>
      </c>
      <c r="L196" s="32">
        <f>[1]!Jarakdatar(K196,G196)</f>
        <v>57.758461581453666</v>
      </c>
      <c r="M196" s="33">
        <f>L196*[1]!dsin(J196)</f>
        <v>-31.341644299414295</v>
      </c>
      <c r="N196" s="34">
        <f t="shared" si="50"/>
        <v>0</v>
      </c>
      <c r="O196" s="33">
        <f>L196*[1]!dcos(J196)</f>
        <v>-48.515370934016886</v>
      </c>
      <c r="P196" s="34">
        <f t="shared" si="51"/>
        <v>0</v>
      </c>
      <c r="Q196" s="35">
        <f>L196/[1]!dTAN(G196)-C196+$B$97</f>
        <v>-3.5111682985564965</v>
      </c>
      <c r="R196" s="34">
        <f t="shared" si="52"/>
        <v>0</v>
      </c>
      <c r="S196" s="36">
        <f t="shared" si="53"/>
        <v>9794.5040297362848</v>
      </c>
      <c r="T196" s="40">
        <f t="shared" si="54"/>
        <v>9779.3822531670903</v>
      </c>
      <c r="U196" s="37">
        <f t="shared" si="55"/>
        <v>22.85007981125937</v>
      </c>
      <c r="V196" s="38">
        <f t="shared" si="48"/>
        <v>182</v>
      </c>
      <c r="W196" s="70"/>
      <c r="X196" s="71"/>
      <c r="Y196" s="71"/>
      <c r="Z196" s="72" t="s">
        <v>14</v>
      </c>
      <c r="AB196" s="56"/>
      <c r="AC196" s="56"/>
      <c r="AD196" s="56"/>
      <c r="AE196" s="56"/>
      <c r="AF196" s="56"/>
      <c r="AG196" s="56"/>
      <c r="AH196" s="56"/>
      <c r="AI196" s="56">
        <v>198</v>
      </c>
      <c r="AJ196" s="56">
        <v>83</v>
      </c>
      <c r="AK196" s="56">
        <v>182</v>
      </c>
      <c r="AL196" s="56">
        <v>1.45</v>
      </c>
      <c r="AM196" s="56" t="s">
        <v>440</v>
      </c>
      <c r="AN196" s="56">
        <v>57.845999999999997</v>
      </c>
      <c r="AO196" s="56" t="s">
        <v>441</v>
      </c>
      <c r="AP196" s="56" t="s">
        <v>14</v>
      </c>
      <c r="AQ196" s="56" t="s">
        <v>63</v>
      </c>
    </row>
    <row r="197" spans="1:43" s="4" customFormat="1" ht="10.199999999999999" x14ac:dyDescent="0.2">
      <c r="A197" s="8"/>
      <c r="B197" s="8"/>
      <c r="C197" s="8">
        <v>1.45</v>
      </c>
      <c r="D197" s="27"/>
      <c r="E197" s="28">
        <v>183</v>
      </c>
      <c r="F197" s="29" t="s">
        <v>442</v>
      </c>
      <c r="G197" s="10" t="s">
        <v>443</v>
      </c>
      <c r="H197" s="30">
        <f t="shared" si="49"/>
        <v>0</v>
      </c>
      <c r="I197" s="52" t="str">
        <f>[1]!Plus_ang(I196,[1]!Min_ang(F197,F196))</f>
        <v xml:space="preserve"> 207° 55' 48"</v>
      </c>
      <c r="J197" s="10" t="str">
        <f>[1]!Plus_ang([1]!Plus_ang(J196,[1]!Min_ang(F197,F196)),[1]!DestoDeg(H197/3600))</f>
        <v xml:space="preserve"> 207° 55' 48"</v>
      </c>
      <c r="K197" s="31">
        <v>58.57</v>
      </c>
      <c r="L197" s="32">
        <f>[1]!Jarakdatar(K197,G197)</f>
        <v>58.484246706911804</v>
      </c>
      <c r="M197" s="33">
        <f>L197*[1]!dsin(J197)</f>
        <v>-27.393581864704775</v>
      </c>
      <c r="N197" s="34">
        <f t="shared" si="50"/>
        <v>0</v>
      </c>
      <c r="O197" s="33">
        <f>L197*[1]!dcos(J197)</f>
        <v>-51.672030979018444</v>
      </c>
      <c r="P197" s="34">
        <f t="shared" si="51"/>
        <v>0</v>
      </c>
      <c r="Q197" s="35">
        <f>L197/[1]!dTAN(G197)-C197+$B$97</f>
        <v>-3.4982466957413365</v>
      </c>
      <c r="R197" s="34">
        <f t="shared" si="52"/>
        <v>0</v>
      </c>
      <c r="S197" s="36">
        <f t="shared" si="53"/>
        <v>9798.4520921709955</v>
      </c>
      <c r="T197" s="40">
        <f t="shared" si="54"/>
        <v>9776.2255931220898</v>
      </c>
      <c r="U197" s="37">
        <f t="shared" si="55"/>
        <v>22.863001414074532</v>
      </c>
      <c r="V197" s="38">
        <f t="shared" si="48"/>
        <v>183</v>
      </c>
      <c r="W197" s="70"/>
      <c r="X197" s="71"/>
      <c r="Y197" s="71"/>
      <c r="Z197" s="72" t="s">
        <v>3</v>
      </c>
      <c r="AB197" s="56"/>
      <c r="AC197" s="56"/>
      <c r="AD197" s="56"/>
      <c r="AE197" s="56"/>
      <c r="AF197" s="56"/>
      <c r="AG197" s="56"/>
      <c r="AH197" s="56"/>
      <c r="AI197" s="56">
        <v>200</v>
      </c>
      <c r="AJ197" s="56">
        <v>83</v>
      </c>
      <c r="AK197" s="56">
        <v>183</v>
      </c>
      <c r="AL197" s="56">
        <v>1.45</v>
      </c>
      <c r="AM197" s="56" t="s">
        <v>442</v>
      </c>
      <c r="AN197" s="56">
        <v>58.57</v>
      </c>
      <c r="AO197" s="56" t="s">
        <v>443</v>
      </c>
      <c r="AP197" s="56" t="s">
        <v>3</v>
      </c>
      <c r="AQ197" s="56" t="s">
        <v>63</v>
      </c>
    </row>
    <row r="198" spans="1:43" s="4" customFormat="1" ht="10.199999999999999" x14ac:dyDescent="0.2">
      <c r="A198" s="8"/>
      <c r="B198" s="8"/>
      <c r="C198" s="8">
        <v>1.45</v>
      </c>
      <c r="D198" s="27"/>
      <c r="E198" s="28">
        <v>184</v>
      </c>
      <c r="F198" s="29" t="s">
        <v>444</v>
      </c>
      <c r="G198" s="10" t="s">
        <v>445</v>
      </c>
      <c r="H198" s="30">
        <f t="shared" si="49"/>
        <v>0</v>
      </c>
      <c r="I198" s="52" t="str">
        <f>[1]!Plus_ang(I197,[1]!Min_ang(F198,F197))</f>
        <v xml:space="preserve"> 207° 55' 51"</v>
      </c>
      <c r="J198" s="10" t="str">
        <f>[1]!Plus_ang([1]!Plus_ang(J197,[1]!Min_ang(F198,F197)),[1]!DestoDeg(H198/3600))</f>
        <v xml:space="preserve"> 207° 55' 51"</v>
      </c>
      <c r="K198" s="31">
        <v>58.848999999999997</v>
      </c>
      <c r="L198" s="32">
        <f>[1]!Jarakdatar(K198,G198)</f>
        <v>58.699471832974538</v>
      </c>
      <c r="M198" s="33">
        <f>L198*[1]!dsin(J198)</f>
        <v>-27.495145999154282</v>
      </c>
      <c r="N198" s="34">
        <f t="shared" si="50"/>
        <v>0</v>
      </c>
      <c r="O198" s="33">
        <f>L198*[1]!dcos(J198)</f>
        <v>-51.861786895125022</v>
      </c>
      <c r="P198" s="34">
        <f t="shared" si="51"/>
        <v>0</v>
      </c>
      <c r="Q198" s="35">
        <f>L198/[1]!dTAN(G198)-C198+$B$97</f>
        <v>-4.5224703373820985</v>
      </c>
      <c r="R198" s="34">
        <f t="shared" si="52"/>
        <v>0</v>
      </c>
      <c r="S198" s="36">
        <f t="shared" si="53"/>
        <v>9798.3505280365462</v>
      </c>
      <c r="T198" s="40">
        <f t="shared" si="54"/>
        <v>9776.0358372059836</v>
      </c>
      <c r="U198" s="37">
        <f t="shared" si="55"/>
        <v>21.838777772433769</v>
      </c>
      <c r="V198" s="38">
        <f t="shared" si="48"/>
        <v>184</v>
      </c>
      <c r="W198" s="70"/>
      <c r="X198" s="71"/>
      <c r="Y198" s="71"/>
      <c r="Z198" s="72" t="s">
        <v>64</v>
      </c>
      <c r="AB198" s="56"/>
      <c r="AC198" s="56"/>
      <c r="AD198" s="56"/>
      <c r="AE198" s="56"/>
      <c r="AF198" s="56"/>
      <c r="AG198" s="56"/>
      <c r="AH198" s="56"/>
      <c r="AI198" s="56">
        <v>202</v>
      </c>
      <c r="AJ198" s="56">
        <v>83</v>
      </c>
      <c r="AK198" s="56">
        <v>184</v>
      </c>
      <c r="AL198" s="56">
        <v>1.45</v>
      </c>
      <c r="AM198" s="56" t="s">
        <v>444</v>
      </c>
      <c r="AN198" s="56">
        <v>58.848999999999997</v>
      </c>
      <c r="AO198" s="56" t="s">
        <v>445</v>
      </c>
      <c r="AP198" s="56" t="s">
        <v>64</v>
      </c>
      <c r="AQ198" s="56" t="s">
        <v>63</v>
      </c>
    </row>
    <row r="199" spans="1:43" s="4" customFormat="1" ht="10.199999999999999" x14ac:dyDescent="0.2">
      <c r="A199" s="8"/>
      <c r="B199" s="8"/>
      <c r="C199" s="8">
        <v>2.5</v>
      </c>
      <c r="D199" s="27"/>
      <c r="E199" s="28">
        <v>200</v>
      </c>
      <c r="F199" s="29" t="s">
        <v>446</v>
      </c>
      <c r="G199" s="10" t="s">
        <v>447</v>
      </c>
      <c r="H199" s="30">
        <f t="shared" si="49"/>
        <v>0</v>
      </c>
      <c r="I199" s="52" t="str">
        <f>[1]!Plus_ang(I198,[1]!Min_ang(F199,F198))</f>
        <v xml:space="preserve"> 202° 53' 50"</v>
      </c>
      <c r="J199" s="10" t="str">
        <f>[1]!Plus_ang([1]!Plus_ang(J198,[1]!Min_ang(F199,F198)),[1]!DestoDeg(H199/3600))</f>
        <v xml:space="preserve"> 202° 53' 50"</v>
      </c>
      <c r="K199" s="31">
        <v>61.029000000000003</v>
      </c>
      <c r="L199" s="32">
        <f>[1]!Jarakdatar(K199,G199)</f>
        <v>60.569653144335483</v>
      </c>
      <c r="M199" s="33">
        <f>L199*[1]!dsin(J199)</f>
        <v>-23.566397601826672</v>
      </c>
      <c r="N199" s="34">
        <f t="shared" si="50"/>
        <v>0</v>
      </c>
      <c r="O199" s="33">
        <f>L199*[1]!dcos(J199)</f>
        <v>-55.797023093510347</v>
      </c>
      <c r="P199" s="34">
        <f t="shared" si="51"/>
        <v>0</v>
      </c>
      <c r="Q199" s="35">
        <f>L199/[1]!dTAN(G199)-C199+$B$97</f>
        <v>-8.8536844310481158</v>
      </c>
      <c r="R199" s="34">
        <f t="shared" si="52"/>
        <v>0</v>
      </c>
      <c r="S199" s="36">
        <f t="shared" si="53"/>
        <v>9802.2792764338737</v>
      </c>
      <c r="T199" s="40">
        <f t="shared" si="54"/>
        <v>9772.100601007598</v>
      </c>
      <c r="U199" s="37">
        <f t="shared" si="55"/>
        <v>17.507563678767752</v>
      </c>
      <c r="V199" s="38">
        <f t="shared" si="48"/>
        <v>200</v>
      </c>
      <c r="W199" s="70"/>
      <c r="X199" s="71"/>
      <c r="Y199" s="71"/>
      <c r="Z199" s="72" t="s">
        <v>65</v>
      </c>
      <c r="AB199" s="56"/>
      <c r="AC199" s="56"/>
      <c r="AD199" s="56"/>
      <c r="AE199" s="56"/>
      <c r="AF199" s="56"/>
      <c r="AG199" s="56"/>
      <c r="AH199" s="56"/>
      <c r="AI199" s="56">
        <v>204</v>
      </c>
      <c r="AJ199" s="56">
        <v>83</v>
      </c>
      <c r="AK199" s="56">
        <v>200</v>
      </c>
      <c r="AL199" s="56">
        <v>2.5</v>
      </c>
      <c r="AM199" s="56" t="s">
        <v>446</v>
      </c>
      <c r="AN199" s="56">
        <v>61.029000000000003</v>
      </c>
      <c r="AO199" s="56" t="s">
        <v>447</v>
      </c>
      <c r="AP199" s="56" t="s">
        <v>65</v>
      </c>
      <c r="AQ199" s="56" t="s">
        <v>63</v>
      </c>
    </row>
    <row r="200" spans="1:43" s="4" customFormat="1" ht="10.199999999999999" x14ac:dyDescent="0.2">
      <c r="A200" s="8"/>
      <c r="B200" s="8"/>
      <c r="C200" s="8">
        <v>2.5</v>
      </c>
      <c r="D200" s="27"/>
      <c r="E200" s="28">
        <v>201</v>
      </c>
      <c r="F200" s="29" t="s">
        <v>448</v>
      </c>
      <c r="G200" s="10" t="s">
        <v>449</v>
      </c>
      <c r="H200" s="30">
        <f t="shared" si="49"/>
        <v>0</v>
      </c>
      <c r="I200" s="52" t="str">
        <f>[1]!Plus_ang(I199,[1]!Min_ang(F200,F199))</f>
        <v xml:space="preserve"> 192° 57' 44"</v>
      </c>
      <c r="J200" s="10" t="str">
        <f>[1]!Plus_ang([1]!Plus_ang(J199,[1]!Min_ang(F200,F199)),[1]!DestoDeg(H200/3600))</f>
        <v xml:space="preserve"> 192° 57' 44"</v>
      </c>
      <c r="K200" s="31">
        <v>66.760000000000005</v>
      </c>
      <c r="L200" s="32">
        <f>[1]!Jarakdatar(K200,G200)</f>
        <v>66.383856129878708</v>
      </c>
      <c r="M200" s="33">
        <f>L200*[1]!dsin(J200)</f>
        <v>-14.890467036170262</v>
      </c>
      <c r="N200" s="34">
        <f t="shared" si="50"/>
        <v>0</v>
      </c>
      <c r="O200" s="33">
        <f>L200*[1]!dcos(J200)</f>
        <v>-64.692274238251684</v>
      </c>
      <c r="P200" s="34">
        <f t="shared" si="51"/>
        <v>0</v>
      </c>
      <c r="Q200" s="35">
        <f>L200/[1]!dTAN(G200)-C200+$B$97</f>
        <v>-8.4568103922293574</v>
      </c>
      <c r="R200" s="34">
        <f t="shared" si="52"/>
        <v>0</v>
      </c>
      <c r="S200" s="36">
        <f t="shared" si="53"/>
        <v>9810.9552069995298</v>
      </c>
      <c r="T200" s="40">
        <f t="shared" si="54"/>
        <v>9763.2053498628557</v>
      </c>
      <c r="U200" s="37">
        <f t="shared" si="55"/>
        <v>17.904437717586511</v>
      </c>
      <c r="V200" s="38">
        <f t="shared" si="48"/>
        <v>201</v>
      </c>
      <c r="W200" s="70"/>
      <c r="X200" s="71"/>
      <c r="Y200" s="71"/>
      <c r="Z200" s="72" t="s">
        <v>65</v>
      </c>
      <c r="AB200" s="56"/>
      <c r="AC200" s="56"/>
      <c r="AD200" s="56"/>
      <c r="AE200" s="56"/>
      <c r="AF200" s="56"/>
      <c r="AG200" s="56"/>
      <c r="AH200" s="56"/>
      <c r="AI200" s="56">
        <v>206</v>
      </c>
      <c r="AJ200" s="56">
        <v>83</v>
      </c>
      <c r="AK200" s="56">
        <v>201</v>
      </c>
      <c r="AL200" s="56">
        <v>2.5</v>
      </c>
      <c r="AM200" s="56" t="s">
        <v>448</v>
      </c>
      <c r="AN200" s="56">
        <v>66.760000000000005</v>
      </c>
      <c r="AO200" s="56" t="s">
        <v>449</v>
      </c>
      <c r="AP200" s="56" t="s">
        <v>65</v>
      </c>
      <c r="AQ200" s="56" t="s">
        <v>63</v>
      </c>
    </row>
    <row r="201" spans="1:43" s="4" customFormat="1" ht="10.199999999999999" x14ac:dyDescent="0.2">
      <c r="A201" s="8"/>
      <c r="B201" s="8"/>
      <c r="C201" s="8">
        <v>2.5</v>
      </c>
      <c r="D201" s="27"/>
      <c r="E201" s="28">
        <v>202</v>
      </c>
      <c r="F201" s="29" t="s">
        <v>450</v>
      </c>
      <c r="G201" s="10" t="s">
        <v>451</v>
      </c>
      <c r="H201" s="30">
        <f t="shared" si="49"/>
        <v>0</v>
      </c>
      <c r="I201" s="52" t="str">
        <f>[1]!Plus_ang(I200,[1]!Min_ang(F201,F200))</f>
        <v xml:space="preserve"> 185° 54' 53"</v>
      </c>
      <c r="J201" s="10" t="str">
        <f>[1]!Plus_ang([1]!Plus_ang(J200,[1]!Min_ang(F201,F200)),[1]!DestoDeg(H201/3600))</f>
        <v xml:space="preserve"> 185° 54' 53"</v>
      </c>
      <c r="K201" s="31">
        <v>73.528000000000006</v>
      </c>
      <c r="L201" s="32">
        <f>[1]!Jarakdatar(K201,G201)</f>
        <v>73.231143644654864</v>
      </c>
      <c r="M201" s="33">
        <f>L201*[1]!dsin(J201)</f>
        <v>-7.5463319361179249</v>
      </c>
      <c r="N201" s="34">
        <f t="shared" si="50"/>
        <v>0</v>
      </c>
      <c r="O201" s="33">
        <f>L201*[1]!dcos(J201)</f>
        <v>-72.841288249275223</v>
      </c>
      <c r="P201" s="34">
        <f t="shared" si="51"/>
        <v>0</v>
      </c>
      <c r="Q201" s="35">
        <f>L201/[1]!dTAN(G201)-C201+$B$97</f>
        <v>-7.9804836562123613</v>
      </c>
      <c r="R201" s="34">
        <f t="shared" si="52"/>
        <v>0</v>
      </c>
      <c r="S201" s="36">
        <f t="shared" si="53"/>
        <v>9818.2993420995808</v>
      </c>
      <c r="T201" s="40">
        <f t="shared" si="54"/>
        <v>9755.056335851832</v>
      </c>
      <c r="U201" s="37">
        <f t="shared" si="55"/>
        <v>18.380764453603508</v>
      </c>
      <c r="V201" s="38">
        <f t="shared" si="48"/>
        <v>202</v>
      </c>
      <c r="W201" s="70"/>
      <c r="X201" s="71"/>
      <c r="Y201" s="71"/>
      <c r="Z201" s="72" t="s">
        <v>65</v>
      </c>
      <c r="AB201" s="56"/>
      <c r="AC201" s="56"/>
      <c r="AD201" s="56"/>
      <c r="AE201" s="56"/>
      <c r="AF201" s="56"/>
      <c r="AG201" s="56"/>
      <c r="AH201" s="56"/>
      <c r="AI201" s="56">
        <v>208</v>
      </c>
      <c r="AJ201" s="56">
        <v>83</v>
      </c>
      <c r="AK201" s="56">
        <v>202</v>
      </c>
      <c r="AL201" s="56">
        <v>2.5</v>
      </c>
      <c r="AM201" s="56" t="s">
        <v>450</v>
      </c>
      <c r="AN201" s="56">
        <v>73.528000000000006</v>
      </c>
      <c r="AO201" s="56" t="s">
        <v>451</v>
      </c>
      <c r="AP201" s="56" t="s">
        <v>65</v>
      </c>
      <c r="AQ201" s="56" t="s">
        <v>63</v>
      </c>
    </row>
    <row r="202" spans="1:43" s="4" customFormat="1" ht="10.199999999999999" x14ac:dyDescent="0.2">
      <c r="A202" s="8"/>
      <c r="B202" s="8"/>
      <c r="C202" s="8">
        <v>1.45</v>
      </c>
      <c r="D202" s="27"/>
      <c r="E202" s="28">
        <v>203</v>
      </c>
      <c r="F202" s="29" t="s">
        <v>452</v>
      </c>
      <c r="G202" s="10" t="s">
        <v>453</v>
      </c>
      <c r="H202" s="30">
        <f t="shared" si="49"/>
        <v>0</v>
      </c>
      <c r="I202" s="52" t="str">
        <f>[1]!Plus_ang(I201,[1]!Min_ang(F202,F201))</f>
        <v xml:space="preserve"> 182° 52' 44"</v>
      </c>
      <c r="J202" s="10" t="str">
        <f>[1]!Plus_ang([1]!Plus_ang(J201,[1]!Min_ang(F202,F201)),[1]!DestoDeg(H202/3600))</f>
        <v xml:space="preserve"> 182° 52' 44"</v>
      </c>
      <c r="K202" s="31">
        <v>76.95</v>
      </c>
      <c r="L202" s="32">
        <f>[1]!Jarakdatar(K202,G202)</f>
        <v>76.844386444223645</v>
      </c>
      <c r="M202" s="33">
        <f>L202*[1]!dsin(J202)</f>
        <v>-3.8595054759101322</v>
      </c>
      <c r="N202" s="34">
        <f t="shared" si="50"/>
        <v>0</v>
      </c>
      <c r="O202" s="33">
        <f>L202*[1]!dcos(J202)</f>
        <v>-76.74740350963414</v>
      </c>
      <c r="P202" s="34">
        <f t="shared" si="51"/>
        <v>0</v>
      </c>
      <c r="Q202" s="35">
        <f>L202/[1]!dTAN(G202)-C202+$B$97</f>
        <v>-4.3602322527142388</v>
      </c>
      <c r="R202" s="34">
        <f t="shared" si="52"/>
        <v>0</v>
      </c>
      <c r="S202" s="36">
        <f t="shared" si="53"/>
        <v>9821.9861685597898</v>
      </c>
      <c r="T202" s="40">
        <f t="shared" si="54"/>
        <v>9751.150220591473</v>
      </c>
      <c r="U202" s="37">
        <f t="shared" si="55"/>
        <v>22.001015857101628</v>
      </c>
      <c r="V202" s="38">
        <f t="shared" si="48"/>
        <v>203</v>
      </c>
      <c r="W202" s="70"/>
      <c r="X202" s="71"/>
      <c r="Y202" s="71"/>
      <c r="Z202" s="72" t="s">
        <v>64</v>
      </c>
      <c r="AB202" s="56"/>
      <c r="AC202" s="56"/>
      <c r="AD202" s="56"/>
      <c r="AE202" s="56"/>
      <c r="AF202" s="56"/>
      <c r="AG202" s="56"/>
      <c r="AH202" s="56"/>
      <c r="AI202" s="56">
        <v>210</v>
      </c>
      <c r="AJ202" s="56">
        <v>83</v>
      </c>
      <c r="AK202" s="56">
        <v>203</v>
      </c>
      <c r="AL202" s="56">
        <v>1.45</v>
      </c>
      <c r="AM202" s="56" t="s">
        <v>452</v>
      </c>
      <c r="AN202" s="56">
        <v>76.95</v>
      </c>
      <c r="AO202" s="56" t="s">
        <v>453</v>
      </c>
      <c r="AP202" s="56" t="s">
        <v>64</v>
      </c>
      <c r="AQ202" s="56" t="s">
        <v>63</v>
      </c>
    </row>
    <row r="203" spans="1:43" s="4" customFormat="1" ht="10.199999999999999" x14ac:dyDescent="0.2">
      <c r="A203" s="8"/>
      <c r="B203" s="8"/>
      <c r="C203" s="8">
        <v>1.45</v>
      </c>
      <c r="D203" s="27"/>
      <c r="E203" s="28">
        <v>204</v>
      </c>
      <c r="F203" s="29" t="s">
        <v>454</v>
      </c>
      <c r="G203" s="10" t="s">
        <v>455</v>
      </c>
      <c r="H203" s="30">
        <f t="shared" si="49"/>
        <v>0</v>
      </c>
      <c r="I203" s="52" t="str">
        <f>[1]!Plus_ang(I202,[1]!Min_ang(F203,F202))</f>
        <v xml:space="preserve"> 181° 56' 46"</v>
      </c>
      <c r="J203" s="10" t="str">
        <f>[1]!Plus_ang([1]!Plus_ang(J202,[1]!Min_ang(F203,F202)),[1]!DestoDeg(H203/3600))</f>
        <v xml:space="preserve"> 181° 56' 46"</v>
      </c>
      <c r="K203" s="31">
        <v>78.022999999999996</v>
      </c>
      <c r="L203" s="32">
        <f>[1]!Jarakdatar(K203,G203)</f>
        <v>77.906213925681286</v>
      </c>
      <c r="M203" s="33">
        <f>L203*[1]!dsin(J203)</f>
        <v>-2.645657303828246</v>
      </c>
      <c r="N203" s="34">
        <f t="shared" si="50"/>
        <v>0</v>
      </c>
      <c r="O203" s="33">
        <f>L203*[1]!dcos(J203)</f>
        <v>-77.861278345944953</v>
      </c>
      <c r="P203" s="34">
        <f t="shared" si="51"/>
        <v>0</v>
      </c>
      <c r="Q203" s="35">
        <f>L203/[1]!dTAN(G203)-C203+$B$97</f>
        <v>-4.5973599292750462</v>
      </c>
      <c r="R203" s="34">
        <f t="shared" si="52"/>
        <v>0</v>
      </c>
      <c r="S203" s="36">
        <f t="shared" si="53"/>
        <v>9823.2000167318711</v>
      </c>
      <c r="T203" s="40">
        <f t="shared" si="54"/>
        <v>9750.036345755163</v>
      </c>
      <c r="U203" s="37">
        <f t="shared" si="55"/>
        <v>21.763888180540821</v>
      </c>
      <c r="V203" s="38">
        <f t="shared" si="48"/>
        <v>204</v>
      </c>
      <c r="W203" s="70"/>
      <c r="X203" s="71"/>
      <c r="Y203" s="71"/>
      <c r="Z203" s="72" t="s">
        <v>14</v>
      </c>
      <c r="AB203" s="56"/>
      <c r="AC203" s="56"/>
      <c r="AD203" s="56"/>
      <c r="AE203" s="56"/>
      <c r="AF203" s="56"/>
      <c r="AG203" s="56"/>
      <c r="AH203" s="56"/>
      <c r="AI203" s="56">
        <v>212</v>
      </c>
      <c r="AJ203" s="56">
        <v>83</v>
      </c>
      <c r="AK203" s="56">
        <v>204</v>
      </c>
      <c r="AL203" s="56">
        <v>1.45</v>
      </c>
      <c r="AM203" s="56" t="s">
        <v>454</v>
      </c>
      <c r="AN203" s="56">
        <v>78.022999999999996</v>
      </c>
      <c r="AO203" s="56" t="s">
        <v>455</v>
      </c>
      <c r="AP203" s="56" t="s">
        <v>14</v>
      </c>
      <c r="AQ203" s="56" t="s">
        <v>63</v>
      </c>
    </row>
    <row r="204" spans="1:43" s="4" customFormat="1" ht="10.199999999999999" x14ac:dyDescent="0.2">
      <c r="A204" s="8"/>
      <c r="B204" s="8"/>
      <c r="C204" s="8">
        <v>1.45</v>
      </c>
      <c r="D204" s="27"/>
      <c r="E204" s="28">
        <v>205</v>
      </c>
      <c r="F204" s="29" t="s">
        <v>456</v>
      </c>
      <c r="G204" s="10" t="s">
        <v>457</v>
      </c>
      <c r="H204" s="30">
        <f t="shared" si="49"/>
        <v>0</v>
      </c>
      <c r="I204" s="52" t="str">
        <f>[1]!Plus_ang(I203,[1]!Min_ang(F204,F203))</f>
        <v xml:space="preserve"> 180° 52' 45"</v>
      </c>
      <c r="J204" s="10" t="str">
        <f>[1]!Plus_ang([1]!Plus_ang(J203,[1]!Min_ang(F204,F203)),[1]!DestoDeg(H204/3600))</f>
        <v xml:space="preserve"> 180° 52' 45"</v>
      </c>
      <c r="K204" s="31">
        <v>78.856999999999999</v>
      </c>
      <c r="L204" s="32">
        <f>[1]!Jarakdatar(K204,G204)</f>
        <v>78.748889201370446</v>
      </c>
      <c r="M204" s="33">
        <f>L204*[1]!dsin(J204)</f>
        <v>-1.2083033378521322</v>
      </c>
      <c r="N204" s="34">
        <f t="shared" si="50"/>
        <v>0</v>
      </c>
      <c r="O204" s="33">
        <f>L204*[1]!dcos(J204)</f>
        <v>-78.739618702997632</v>
      </c>
      <c r="P204" s="34">
        <f t="shared" si="51"/>
        <v>0</v>
      </c>
      <c r="Q204" s="35">
        <f>L204/[1]!dTAN(G204)-C204+$B$97</f>
        <v>-4.4578200724209811</v>
      </c>
      <c r="R204" s="34">
        <f t="shared" si="52"/>
        <v>0</v>
      </c>
      <c r="S204" s="36">
        <f t="shared" si="53"/>
        <v>9824.6373706978484</v>
      </c>
      <c r="T204" s="40">
        <f t="shared" si="54"/>
        <v>9749.1580053981106</v>
      </c>
      <c r="U204" s="37">
        <f t="shared" si="55"/>
        <v>21.903428037394889</v>
      </c>
      <c r="V204" s="38">
        <f t="shared" si="48"/>
        <v>205</v>
      </c>
      <c r="W204" s="70"/>
      <c r="X204" s="71"/>
      <c r="Y204" s="71"/>
      <c r="Z204" s="72" t="s">
        <v>66</v>
      </c>
      <c r="AB204" s="56"/>
      <c r="AC204" s="56"/>
      <c r="AD204" s="56"/>
      <c r="AE204" s="56"/>
      <c r="AF204" s="56"/>
      <c r="AG204" s="56"/>
      <c r="AH204" s="56"/>
      <c r="AI204" s="56">
        <v>214</v>
      </c>
      <c r="AJ204" s="56">
        <v>83</v>
      </c>
      <c r="AK204" s="56">
        <v>205</v>
      </c>
      <c r="AL204" s="56">
        <v>1.45</v>
      </c>
      <c r="AM204" s="56" t="s">
        <v>456</v>
      </c>
      <c r="AN204" s="56">
        <v>78.856999999999999</v>
      </c>
      <c r="AO204" s="56" t="s">
        <v>457</v>
      </c>
      <c r="AP204" s="56" t="s">
        <v>66</v>
      </c>
      <c r="AQ204" s="56" t="s">
        <v>63</v>
      </c>
    </row>
    <row r="205" spans="1:43" s="4" customFormat="1" ht="10.199999999999999" x14ac:dyDescent="0.2">
      <c r="A205" s="8"/>
      <c r="B205" s="8"/>
      <c r="C205" s="8">
        <v>1.45</v>
      </c>
      <c r="D205" s="27"/>
      <c r="E205" s="28">
        <v>206</v>
      </c>
      <c r="F205" s="29" t="s">
        <v>458</v>
      </c>
      <c r="G205" s="10" t="s">
        <v>459</v>
      </c>
      <c r="H205" s="30">
        <f t="shared" si="49"/>
        <v>0</v>
      </c>
      <c r="I205" s="52" t="str">
        <f>[1]!Plus_ang(I204,[1]!Min_ang(F205,F204))</f>
        <v xml:space="preserve"> 180° 53' 47"</v>
      </c>
      <c r="J205" s="10" t="str">
        <f>[1]!Plus_ang([1]!Plus_ang(J204,[1]!Min_ang(F205,F204)),[1]!DestoDeg(H205/3600))</f>
        <v xml:space="preserve"> 180° 53' 47"</v>
      </c>
      <c r="K205" s="31">
        <v>79.242999999999995</v>
      </c>
      <c r="L205" s="32">
        <f>[1]!Jarakdatar(K205,G205)</f>
        <v>79.133069144126424</v>
      </c>
      <c r="M205" s="33">
        <f>L205*[1]!dsin(J205)</f>
        <v>-1.2379814164342755</v>
      </c>
      <c r="N205" s="34">
        <f t="shared" si="50"/>
        <v>0</v>
      </c>
      <c r="O205" s="33">
        <f>L205*[1]!dcos(J205)</f>
        <v>-79.123384875658957</v>
      </c>
      <c r="P205" s="34">
        <f t="shared" si="51"/>
        <v>0</v>
      </c>
      <c r="Q205" s="35">
        <f>L205/[1]!dTAN(G205)-C205+$B$97</f>
        <v>-4.5025791581353989</v>
      </c>
      <c r="R205" s="34">
        <f t="shared" si="52"/>
        <v>0</v>
      </c>
      <c r="S205" s="36">
        <f t="shared" si="53"/>
        <v>9824.6076926192654</v>
      </c>
      <c r="T205" s="40">
        <f t="shared" si="54"/>
        <v>9748.7742392254495</v>
      </c>
      <c r="U205" s="37">
        <f t="shared" si="55"/>
        <v>21.858668951680471</v>
      </c>
      <c r="V205" s="38">
        <f t="shared" si="48"/>
        <v>206</v>
      </c>
      <c r="W205" s="70"/>
      <c r="X205" s="71"/>
      <c r="Y205" s="71"/>
      <c r="Z205" s="72" t="s">
        <v>66</v>
      </c>
      <c r="AB205" s="56"/>
      <c r="AC205" s="56"/>
      <c r="AD205" s="56"/>
      <c r="AE205" s="56"/>
      <c r="AF205" s="56"/>
      <c r="AG205" s="56"/>
      <c r="AH205" s="56"/>
      <c r="AI205" s="56">
        <v>216</v>
      </c>
      <c r="AJ205" s="56">
        <v>83</v>
      </c>
      <c r="AK205" s="56">
        <v>206</v>
      </c>
      <c r="AL205" s="56">
        <v>1.45</v>
      </c>
      <c r="AM205" s="56" t="s">
        <v>458</v>
      </c>
      <c r="AN205" s="56">
        <v>79.242999999999995</v>
      </c>
      <c r="AO205" s="56" t="s">
        <v>459</v>
      </c>
      <c r="AP205" s="56" t="s">
        <v>66</v>
      </c>
      <c r="AQ205" s="56" t="s">
        <v>63</v>
      </c>
    </row>
    <row r="206" spans="1:43" s="4" customFormat="1" ht="10.199999999999999" x14ac:dyDescent="0.2">
      <c r="A206" s="8"/>
      <c r="B206" s="8"/>
      <c r="C206" s="8">
        <v>1.45</v>
      </c>
      <c r="D206" s="27"/>
      <c r="E206" s="28">
        <v>207</v>
      </c>
      <c r="F206" s="29" t="s">
        <v>460</v>
      </c>
      <c r="G206" s="10" t="s">
        <v>461</v>
      </c>
      <c r="H206" s="30">
        <f t="shared" si="49"/>
        <v>0</v>
      </c>
      <c r="I206" s="52" t="str">
        <f>[1]!Plus_ang(I205,[1]!Min_ang(F206,F205))</f>
        <v xml:space="preserve"> 178° 57' 53"</v>
      </c>
      <c r="J206" s="10" t="str">
        <f>[1]!Plus_ang([1]!Plus_ang(J205,[1]!Min_ang(F206,F205)),[1]!DestoDeg(H206/3600))</f>
        <v xml:space="preserve"> 178° 57' 53"</v>
      </c>
      <c r="K206" s="31">
        <v>82.128</v>
      </c>
      <c r="L206" s="32">
        <f>[1]!Jarakdatar(K206,G206)</f>
        <v>82.006524244529842</v>
      </c>
      <c r="M206" s="33">
        <f>L206*[1]!dsin(J206)</f>
        <v>1.4816957407074023</v>
      </c>
      <c r="N206" s="34">
        <f t="shared" si="50"/>
        <v>0</v>
      </c>
      <c r="O206" s="33">
        <f>L206*[1]!dcos(J206)</f>
        <v>-81.993137495772345</v>
      </c>
      <c r="P206" s="34">
        <f t="shared" si="51"/>
        <v>0</v>
      </c>
      <c r="Q206" s="35">
        <f>L206/[1]!dTAN(G206)-C206+$B$97</f>
        <v>-4.7952396723288349</v>
      </c>
      <c r="R206" s="34">
        <f t="shared" si="52"/>
        <v>0</v>
      </c>
      <c r="S206" s="36">
        <f t="shared" si="53"/>
        <v>9827.3273697764071</v>
      </c>
      <c r="T206" s="40">
        <f t="shared" si="54"/>
        <v>9745.9044866053355</v>
      </c>
      <c r="U206" s="37">
        <f t="shared" si="55"/>
        <v>21.566008437487035</v>
      </c>
      <c r="V206" s="38">
        <f t="shared" si="48"/>
        <v>207</v>
      </c>
      <c r="W206" s="70"/>
      <c r="X206" s="71"/>
      <c r="Y206" s="71"/>
      <c r="Z206" s="72" t="s">
        <v>66</v>
      </c>
      <c r="AB206" s="56"/>
      <c r="AC206" s="56"/>
      <c r="AD206" s="56"/>
      <c r="AE206" s="56"/>
      <c r="AF206" s="56"/>
      <c r="AG206" s="56"/>
      <c r="AH206" s="56"/>
      <c r="AI206" s="56">
        <v>218</v>
      </c>
      <c r="AJ206" s="56">
        <v>83</v>
      </c>
      <c r="AK206" s="56">
        <v>207</v>
      </c>
      <c r="AL206" s="56">
        <v>1.45</v>
      </c>
      <c r="AM206" s="56" t="s">
        <v>460</v>
      </c>
      <c r="AN206" s="56">
        <v>82.128</v>
      </c>
      <c r="AO206" s="56" t="s">
        <v>461</v>
      </c>
      <c r="AP206" s="56" t="s">
        <v>66</v>
      </c>
      <c r="AQ206" s="56" t="s">
        <v>63</v>
      </c>
    </row>
    <row r="207" spans="1:43" s="4" customFormat="1" ht="10.199999999999999" x14ac:dyDescent="0.2">
      <c r="A207" s="8"/>
      <c r="B207" s="8"/>
      <c r="C207" s="8">
        <v>1.45</v>
      </c>
      <c r="D207" s="27"/>
      <c r="E207" s="28">
        <v>208</v>
      </c>
      <c r="F207" s="29" t="s">
        <v>462</v>
      </c>
      <c r="G207" s="10" t="s">
        <v>463</v>
      </c>
      <c r="H207" s="30">
        <f t="shared" si="49"/>
        <v>0</v>
      </c>
      <c r="I207" s="52" t="str">
        <f>[1]!Plus_ang(I206,[1]!Min_ang(F207,F206))</f>
        <v xml:space="preserve"> 178° 55' 51"</v>
      </c>
      <c r="J207" s="10" t="str">
        <f>[1]!Plus_ang([1]!Plus_ang(J206,[1]!Min_ang(F207,F206)),[1]!DestoDeg(H207/3600))</f>
        <v xml:space="preserve"> 178° 55' 51"</v>
      </c>
      <c r="K207" s="31">
        <v>82.253</v>
      </c>
      <c r="L207" s="32">
        <f>[1]!Jarakdatar(K207,G207)</f>
        <v>82.194992046586222</v>
      </c>
      <c r="M207" s="33">
        <f>L207*[1]!dsin(J207)</f>
        <v>1.5337088756585711</v>
      </c>
      <c r="N207" s="34">
        <f t="shared" si="50"/>
        <v>0</v>
      </c>
      <c r="O207" s="33">
        <f>L207*[1]!dcos(J207)</f>
        <v>-82.180681760515341</v>
      </c>
      <c r="P207" s="34">
        <f t="shared" si="51"/>
        <v>0</v>
      </c>
      <c r="Q207" s="35">
        <f>L207/[1]!dTAN(G207)-C207+$B$97</f>
        <v>-3.4185743412822189</v>
      </c>
      <c r="R207" s="34">
        <f t="shared" si="52"/>
        <v>0</v>
      </c>
      <c r="S207" s="36">
        <f t="shared" si="53"/>
        <v>9827.3793829113583</v>
      </c>
      <c r="T207" s="40">
        <f t="shared" si="54"/>
        <v>9745.7169423405921</v>
      </c>
      <c r="U207" s="37">
        <f t="shared" si="55"/>
        <v>22.942673768533648</v>
      </c>
      <c r="V207" s="38">
        <f t="shared" si="48"/>
        <v>208</v>
      </c>
      <c r="W207" s="70"/>
      <c r="X207" s="71"/>
      <c r="Y207" s="71"/>
      <c r="Z207" s="72" t="s">
        <v>14</v>
      </c>
      <c r="AB207" s="56"/>
      <c r="AC207" s="56"/>
      <c r="AD207" s="56"/>
      <c r="AE207" s="56"/>
      <c r="AF207" s="56"/>
      <c r="AG207" s="56"/>
      <c r="AH207" s="56"/>
      <c r="AI207" s="56">
        <v>220</v>
      </c>
      <c r="AJ207" s="56">
        <v>83</v>
      </c>
      <c r="AK207" s="56">
        <v>208</v>
      </c>
      <c r="AL207" s="56">
        <v>1.45</v>
      </c>
      <c r="AM207" s="56" t="s">
        <v>462</v>
      </c>
      <c r="AN207" s="56">
        <v>82.253</v>
      </c>
      <c r="AO207" s="56" t="s">
        <v>463</v>
      </c>
      <c r="AP207" s="56" t="s">
        <v>14</v>
      </c>
      <c r="AQ207" s="56" t="s">
        <v>63</v>
      </c>
    </row>
    <row r="208" spans="1:43" s="4" customFormat="1" ht="10.199999999999999" x14ac:dyDescent="0.2">
      <c r="A208" s="8"/>
      <c r="B208" s="8"/>
      <c r="C208" s="8">
        <v>1.45</v>
      </c>
      <c r="D208" s="27"/>
      <c r="E208" s="28">
        <v>209</v>
      </c>
      <c r="F208" s="29" t="s">
        <v>464</v>
      </c>
      <c r="G208" s="10" t="s">
        <v>465</v>
      </c>
      <c r="H208" s="30">
        <f t="shared" si="49"/>
        <v>0</v>
      </c>
      <c r="I208" s="52" t="str">
        <f>[1]!Plus_ang(I207,[1]!Min_ang(F208,F207))</f>
        <v xml:space="preserve"> 178° 51' 44"</v>
      </c>
      <c r="J208" s="10" t="str">
        <f>[1]!Plus_ang([1]!Plus_ang(J207,[1]!Min_ang(F208,F207)),[1]!DestoDeg(H208/3600))</f>
        <v xml:space="preserve"> 178° 51' 44"</v>
      </c>
      <c r="K208" s="31">
        <v>82.44</v>
      </c>
      <c r="L208" s="32">
        <f>[1]!Jarakdatar(K208,G208)</f>
        <v>82.38187517395788</v>
      </c>
      <c r="M208" s="33">
        <f>L208*[1]!dsin(J208)</f>
        <v>1.6358291553515345</v>
      </c>
      <c r="N208" s="34">
        <f t="shared" si="50"/>
        <v>0</v>
      </c>
      <c r="O208" s="33">
        <f>L208*[1]!dcos(J208)</f>
        <v>-82.36563251837552</v>
      </c>
      <c r="P208" s="34">
        <f t="shared" si="51"/>
        <v>0</v>
      </c>
      <c r="Q208" s="35">
        <f>L208/[1]!dTAN(G208)-C208+$B$97</f>
        <v>-3.4251967340415836</v>
      </c>
      <c r="R208" s="34">
        <f t="shared" si="52"/>
        <v>0</v>
      </c>
      <c r="S208" s="36">
        <f t="shared" si="53"/>
        <v>9827.4815031910512</v>
      </c>
      <c r="T208" s="40">
        <f t="shared" si="54"/>
        <v>9745.5319915827331</v>
      </c>
      <c r="U208" s="37">
        <f t="shared" si="55"/>
        <v>22.936051375774284</v>
      </c>
      <c r="V208" s="38">
        <f t="shared" si="48"/>
        <v>209</v>
      </c>
      <c r="W208" s="70"/>
      <c r="X208" s="71"/>
      <c r="Y208" s="71"/>
      <c r="Z208" s="72" t="s">
        <v>14</v>
      </c>
      <c r="AB208" s="56"/>
      <c r="AC208" s="56"/>
      <c r="AD208" s="56"/>
      <c r="AE208" s="56"/>
      <c r="AF208" s="56"/>
      <c r="AG208" s="56"/>
      <c r="AH208" s="56"/>
      <c r="AI208" s="56">
        <v>222</v>
      </c>
      <c r="AJ208" s="56">
        <v>83</v>
      </c>
      <c r="AK208" s="56">
        <v>209</v>
      </c>
      <c r="AL208" s="56">
        <v>1.45</v>
      </c>
      <c r="AM208" s="56" t="s">
        <v>464</v>
      </c>
      <c r="AN208" s="56">
        <v>82.44</v>
      </c>
      <c r="AO208" s="56" t="s">
        <v>465</v>
      </c>
      <c r="AP208" s="56" t="s">
        <v>14</v>
      </c>
      <c r="AQ208" s="56" t="s">
        <v>63</v>
      </c>
    </row>
    <row r="209" spans="1:43" s="4" customFormat="1" ht="10.199999999999999" x14ac:dyDescent="0.2">
      <c r="A209" s="8"/>
      <c r="B209" s="8"/>
      <c r="C209" s="8">
        <v>1.45</v>
      </c>
      <c r="D209" s="27"/>
      <c r="E209" s="28">
        <v>210</v>
      </c>
      <c r="F209" s="29" t="s">
        <v>466</v>
      </c>
      <c r="G209" s="10" t="s">
        <v>467</v>
      </c>
      <c r="H209" s="30">
        <f t="shared" si="49"/>
        <v>0</v>
      </c>
      <c r="I209" s="52" t="str">
        <f>[1]!Plus_ang(I208,[1]!Min_ang(F209,F208))</f>
        <v xml:space="preserve"> 178° 52' 52"</v>
      </c>
      <c r="J209" s="10" t="str">
        <f>[1]!Plus_ang([1]!Plus_ang(J208,[1]!Min_ang(F209,F208)),[1]!DestoDeg(H209/3600))</f>
        <v xml:space="preserve"> 178° 52' 52"</v>
      </c>
      <c r="K209" s="31">
        <v>82.509</v>
      </c>
      <c r="L209" s="32">
        <f>[1]!Jarakdatar(K209,G209)</f>
        <v>82.388175587125275</v>
      </c>
      <c r="M209" s="33">
        <f>L209*[1]!dsin(J209)</f>
        <v>1.6087983453175112</v>
      </c>
      <c r="N209" s="34">
        <f t="shared" si="50"/>
        <v>0</v>
      </c>
      <c r="O209" s="33">
        <f>L209*[1]!dcos(J209)</f>
        <v>-82.372466543494312</v>
      </c>
      <c r="P209" s="34">
        <f t="shared" si="51"/>
        <v>0</v>
      </c>
      <c r="Q209" s="35">
        <f>L209/[1]!dTAN(G209)-C209+$B$97</f>
        <v>-4.7935864979874889</v>
      </c>
      <c r="R209" s="34">
        <f t="shared" si="52"/>
        <v>0</v>
      </c>
      <c r="S209" s="36">
        <f t="shared" si="53"/>
        <v>9827.4544723810177</v>
      </c>
      <c r="T209" s="40">
        <f t="shared" si="54"/>
        <v>9745.5251575576131</v>
      </c>
      <c r="U209" s="37">
        <f t="shared" si="55"/>
        <v>21.567661611828377</v>
      </c>
      <c r="V209" s="38">
        <f t="shared" si="48"/>
        <v>210</v>
      </c>
      <c r="W209" s="70"/>
      <c r="X209" s="71"/>
      <c r="Y209" s="71"/>
      <c r="Z209" s="72" t="s">
        <v>14</v>
      </c>
      <c r="AB209" s="56"/>
      <c r="AC209" s="56"/>
      <c r="AD209" s="56"/>
      <c r="AE209" s="56"/>
      <c r="AF209" s="56"/>
      <c r="AG209" s="56"/>
      <c r="AH209" s="56"/>
      <c r="AI209" s="56">
        <v>224</v>
      </c>
      <c r="AJ209" s="56">
        <v>83</v>
      </c>
      <c r="AK209" s="56">
        <v>210</v>
      </c>
      <c r="AL209" s="56">
        <v>1.45</v>
      </c>
      <c r="AM209" s="56" t="s">
        <v>466</v>
      </c>
      <c r="AN209" s="56">
        <v>82.509</v>
      </c>
      <c r="AO209" s="56" t="s">
        <v>467</v>
      </c>
      <c r="AP209" s="56" t="s">
        <v>14</v>
      </c>
      <c r="AQ209" s="56" t="s">
        <v>63</v>
      </c>
    </row>
    <row r="210" spans="1:43" s="4" customFormat="1" ht="10.199999999999999" x14ac:dyDescent="0.2">
      <c r="A210" s="8"/>
      <c r="B210" s="8"/>
      <c r="C210" s="8">
        <v>1.45</v>
      </c>
      <c r="D210" s="27"/>
      <c r="E210" s="28">
        <v>211</v>
      </c>
      <c r="F210" s="29" t="s">
        <v>468</v>
      </c>
      <c r="G210" s="10" t="s">
        <v>469</v>
      </c>
      <c r="H210" s="30">
        <f t="shared" si="49"/>
        <v>0</v>
      </c>
      <c r="I210" s="52" t="str">
        <f>[1]!Plus_ang(I209,[1]!Min_ang(F210,F209))</f>
        <v xml:space="preserve"> 178° 59' 53"</v>
      </c>
      <c r="J210" s="10" t="str">
        <f>[1]!Plus_ang([1]!Plus_ang(J209,[1]!Min_ang(F210,F209)),[1]!DestoDeg(H210/3600))</f>
        <v xml:space="preserve"> 178° 59' 53"</v>
      </c>
      <c r="K210" s="31">
        <v>82.947999999999993</v>
      </c>
      <c r="L210" s="32">
        <f>[1]!Jarakdatar(K210,G210)</f>
        <v>82.827899440162753</v>
      </c>
      <c r="M210" s="33">
        <f>L210*[1]!dsin(J210)</f>
        <v>1.4483566633432157</v>
      </c>
      <c r="N210" s="34">
        <f t="shared" si="50"/>
        <v>0</v>
      </c>
      <c r="O210" s="33">
        <f>L210*[1]!dcos(J210)</f>
        <v>-82.815235244763159</v>
      </c>
      <c r="P210" s="34">
        <f t="shared" si="51"/>
        <v>0</v>
      </c>
      <c r="Q210" s="35">
        <f>L210/[1]!dTAN(G210)-C210+$B$97</f>
        <v>-4.7920374640163352</v>
      </c>
      <c r="R210" s="34">
        <f t="shared" si="52"/>
        <v>0</v>
      </c>
      <c r="S210" s="36">
        <f t="shared" si="53"/>
        <v>9827.2940306990422</v>
      </c>
      <c r="T210" s="40">
        <f t="shared" si="54"/>
        <v>9745.0823888563446</v>
      </c>
      <c r="U210" s="37">
        <f t="shared" si="55"/>
        <v>21.569210645799533</v>
      </c>
      <c r="V210" s="38">
        <f t="shared" si="48"/>
        <v>211</v>
      </c>
      <c r="W210" s="70"/>
      <c r="X210" s="71"/>
      <c r="Y210" s="71"/>
      <c r="Z210" s="72" t="s">
        <v>15</v>
      </c>
      <c r="AB210" s="56"/>
      <c r="AC210" s="56"/>
      <c r="AD210" s="56"/>
      <c r="AE210" s="56"/>
      <c r="AF210" s="56"/>
      <c r="AG210" s="56"/>
      <c r="AH210" s="56"/>
      <c r="AI210" s="56">
        <v>226</v>
      </c>
      <c r="AJ210" s="56">
        <v>83</v>
      </c>
      <c r="AK210" s="56">
        <v>211</v>
      </c>
      <c r="AL210" s="56">
        <v>1.45</v>
      </c>
      <c r="AM210" s="56" t="s">
        <v>468</v>
      </c>
      <c r="AN210" s="56">
        <v>82.947999999999993</v>
      </c>
      <c r="AO210" s="56" t="s">
        <v>469</v>
      </c>
      <c r="AP210" s="56" t="s">
        <v>15</v>
      </c>
      <c r="AQ210" s="56" t="s">
        <v>63</v>
      </c>
    </row>
    <row r="211" spans="1:43" s="4" customFormat="1" ht="10.199999999999999" x14ac:dyDescent="0.2">
      <c r="A211" s="8"/>
      <c r="B211" s="8"/>
      <c r="C211" s="8">
        <v>1.45</v>
      </c>
      <c r="D211" s="27"/>
      <c r="E211" s="28">
        <v>212</v>
      </c>
      <c r="F211" s="29" t="s">
        <v>470</v>
      </c>
      <c r="G211" s="10" t="s">
        <v>469</v>
      </c>
      <c r="H211" s="30">
        <f t="shared" si="49"/>
        <v>0</v>
      </c>
      <c r="I211" s="52" t="str">
        <f>[1]!Plus_ang(I210,[1]!Min_ang(F211,F210))</f>
        <v xml:space="preserve"> 178° 51' 45"</v>
      </c>
      <c r="J211" s="10" t="str">
        <f>[1]!Plus_ang([1]!Plus_ang(J210,[1]!Min_ang(F211,F210)),[1]!DestoDeg(H211/3600))</f>
        <v xml:space="preserve"> 178° 51' 45"</v>
      </c>
      <c r="K211" s="31">
        <v>83.18</v>
      </c>
      <c r="L211" s="32">
        <f>[1]!Jarakdatar(K211,G211)</f>
        <v>83.059563526941446</v>
      </c>
      <c r="M211" s="33">
        <f>L211*[1]!dsin(J211)</f>
        <v>1.6488831800301742</v>
      </c>
      <c r="N211" s="34">
        <f t="shared" si="50"/>
        <v>0</v>
      </c>
      <c r="O211" s="33">
        <f>L211*[1]!dcos(J211)</f>
        <v>-83.043195251294577</v>
      </c>
      <c r="P211" s="34">
        <f t="shared" si="51"/>
        <v>0</v>
      </c>
      <c r="Q211" s="35">
        <f>L211/[1]!dTAN(G211)-C211+$B$97</f>
        <v>-4.8045174839282296</v>
      </c>
      <c r="R211" s="34">
        <f t="shared" si="52"/>
        <v>0</v>
      </c>
      <c r="S211" s="36">
        <f t="shared" si="53"/>
        <v>9827.4945572157303</v>
      </c>
      <c r="T211" s="40">
        <f t="shared" si="54"/>
        <v>9744.8544288498124</v>
      </c>
      <c r="U211" s="37">
        <f t="shared" si="55"/>
        <v>21.556730625887639</v>
      </c>
      <c r="V211" s="38">
        <f t="shared" si="48"/>
        <v>212</v>
      </c>
      <c r="W211" s="70"/>
      <c r="X211" s="71"/>
      <c r="Y211" s="71"/>
      <c r="Z211" s="72" t="s">
        <v>15</v>
      </c>
      <c r="AB211" s="56"/>
      <c r="AC211" s="56"/>
      <c r="AD211" s="56"/>
      <c r="AE211" s="56"/>
      <c r="AF211" s="56"/>
      <c r="AG211" s="56"/>
      <c r="AH211" s="56"/>
      <c r="AI211" s="56">
        <v>228</v>
      </c>
      <c r="AJ211" s="56">
        <v>83</v>
      </c>
      <c r="AK211" s="56">
        <v>212</v>
      </c>
      <c r="AL211" s="56">
        <v>1.45</v>
      </c>
      <c r="AM211" s="56" t="s">
        <v>470</v>
      </c>
      <c r="AN211" s="56">
        <v>83.18</v>
      </c>
      <c r="AO211" s="56" t="s">
        <v>469</v>
      </c>
      <c r="AP211" s="56" t="s">
        <v>15</v>
      </c>
      <c r="AQ211" s="56" t="s">
        <v>63</v>
      </c>
    </row>
    <row r="212" spans="1:43" s="4" customFormat="1" ht="10.199999999999999" x14ac:dyDescent="0.2">
      <c r="A212" s="8"/>
      <c r="B212" s="8"/>
      <c r="C212" s="8">
        <v>1.45</v>
      </c>
      <c r="D212" s="27"/>
      <c r="E212" s="28">
        <v>213</v>
      </c>
      <c r="F212" s="29" t="s">
        <v>471</v>
      </c>
      <c r="G212" s="10" t="s">
        <v>472</v>
      </c>
      <c r="H212" s="30">
        <f t="shared" si="49"/>
        <v>0</v>
      </c>
      <c r="I212" s="52" t="str">
        <f>[1]!Plus_ang(I211,[1]!Min_ang(F212,F211))</f>
        <v xml:space="preserve"> 178° 53' 48"</v>
      </c>
      <c r="J212" s="10" t="str">
        <f>[1]!Plus_ang([1]!Plus_ang(J211,[1]!Min_ang(F212,F211)),[1]!DestoDeg(H212/3600))</f>
        <v xml:space="preserve"> 178° 53' 48"</v>
      </c>
      <c r="K212" s="31">
        <v>83.355999999999995</v>
      </c>
      <c r="L212" s="32">
        <f>[1]!Jarakdatar(K212,G212)</f>
        <v>83.23773119056392</v>
      </c>
      <c r="M212" s="33">
        <f>L212*[1]!dsin(J212)</f>
        <v>1.6027932297807663</v>
      </c>
      <c r="N212" s="34">
        <f t="shared" si="50"/>
        <v>0</v>
      </c>
      <c r="O212" s="33">
        <f>L212*[1]!dcos(J212)</f>
        <v>-83.222298379792093</v>
      </c>
      <c r="P212" s="34">
        <f t="shared" si="51"/>
        <v>0</v>
      </c>
      <c r="Q212" s="35">
        <f>L212/[1]!dTAN(G212)-C212+$B$97</f>
        <v>-4.7687883760573291</v>
      </c>
      <c r="R212" s="34">
        <f t="shared" si="52"/>
        <v>0</v>
      </c>
      <c r="S212" s="36">
        <f t="shared" si="53"/>
        <v>9827.4484672654798</v>
      </c>
      <c r="T212" s="40">
        <f t="shared" si="54"/>
        <v>9744.6753257213149</v>
      </c>
      <c r="U212" s="37">
        <f t="shared" si="55"/>
        <v>21.592459733758538</v>
      </c>
      <c r="V212" s="38">
        <f t="shared" si="48"/>
        <v>213</v>
      </c>
      <c r="W212" s="70"/>
      <c r="X212" s="71"/>
      <c r="Y212" s="71"/>
      <c r="Z212" s="72" t="s">
        <v>14</v>
      </c>
      <c r="AB212" s="56"/>
      <c r="AC212" s="56"/>
      <c r="AD212" s="56"/>
      <c r="AE212" s="56"/>
      <c r="AF212" s="56"/>
      <c r="AG212" s="56"/>
      <c r="AH212" s="56"/>
      <c r="AI212" s="56">
        <v>230</v>
      </c>
      <c r="AJ212" s="56">
        <v>83</v>
      </c>
      <c r="AK212" s="56">
        <v>213</v>
      </c>
      <c r="AL212" s="56">
        <v>1.45</v>
      </c>
      <c r="AM212" s="56" t="s">
        <v>471</v>
      </c>
      <c r="AN212" s="56">
        <v>83.355999999999995</v>
      </c>
      <c r="AO212" s="56" t="s">
        <v>472</v>
      </c>
      <c r="AP212" s="56" t="s">
        <v>14</v>
      </c>
      <c r="AQ212" s="56" t="s">
        <v>63</v>
      </c>
    </row>
    <row r="213" spans="1:43" s="4" customFormat="1" ht="10.199999999999999" x14ac:dyDescent="0.2">
      <c r="A213" s="8"/>
      <c r="B213" s="8"/>
      <c r="C213" s="8">
        <v>1.45</v>
      </c>
      <c r="D213" s="27"/>
      <c r="E213" s="28">
        <v>214</v>
      </c>
      <c r="F213" s="29" t="s">
        <v>473</v>
      </c>
      <c r="G213" s="10" t="s">
        <v>474</v>
      </c>
      <c r="H213" s="30">
        <f t="shared" si="49"/>
        <v>0</v>
      </c>
      <c r="I213" s="52" t="str">
        <f>[1]!Plus_ang(I212,[1]!Min_ang(F213,F212))</f>
        <v xml:space="preserve"> 176° 53' 44"</v>
      </c>
      <c r="J213" s="10" t="str">
        <f>[1]!Plus_ang([1]!Plus_ang(J212,[1]!Min_ang(F213,F212)),[1]!DestoDeg(H213/3600))</f>
        <v xml:space="preserve"> 176° 53' 44"</v>
      </c>
      <c r="K213" s="31">
        <v>87.058000000000007</v>
      </c>
      <c r="L213" s="32">
        <f>[1]!Jarakdatar(K213,G213)</f>
        <v>87.042366840229533</v>
      </c>
      <c r="M213" s="33">
        <f>L213*[1]!dsin(J213)</f>
        <v>4.7138898765361636</v>
      </c>
      <c r="N213" s="34">
        <f t="shared" si="50"/>
        <v>0</v>
      </c>
      <c r="O213" s="33">
        <f>L213*[1]!dcos(J213)</f>
        <v>-86.91462976611578</v>
      </c>
      <c r="P213" s="34">
        <f t="shared" si="51"/>
        <v>0</v>
      </c>
      <c r="Q213" s="35">
        <f>L213/[1]!dTAN(G213)-C213+$B$97</f>
        <v>-1.9797693326378569</v>
      </c>
      <c r="R213" s="34">
        <f t="shared" si="52"/>
        <v>0</v>
      </c>
      <c r="S213" s="36">
        <f t="shared" si="53"/>
        <v>9830.5595639122366</v>
      </c>
      <c r="T213" s="40">
        <f t="shared" si="54"/>
        <v>9740.9829943349923</v>
      </c>
      <c r="U213" s="37">
        <f t="shared" si="55"/>
        <v>24.38147877717801</v>
      </c>
      <c r="V213" s="38">
        <f t="shared" si="48"/>
        <v>214</v>
      </c>
      <c r="W213" s="70"/>
      <c r="X213" s="71"/>
      <c r="Y213" s="71"/>
      <c r="Z213" s="72" t="s">
        <v>3</v>
      </c>
      <c r="AB213" s="56"/>
      <c r="AC213" s="56"/>
      <c r="AD213" s="56"/>
      <c r="AE213" s="56"/>
      <c r="AF213" s="56"/>
      <c r="AG213" s="56"/>
      <c r="AH213" s="56"/>
      <c r="AI213" s="56">
        <v>232</v>
      </c>
      <c r="AJ213" s="56">
        <v>83</v>
      </c>
      <c r="AK213" s="56">
        <v>214</v>
      </c>
      <c r="AL213" s="56">
        <v>1.45</v>
      </c>
      <c r="AM213" s="56" t="s">
        <v>473</v>
      </c>
      <c r="AN213" s="56">
        <v>87.058000000000007</v>
      </c>
      <c r="AO213" s="56" t="s">
        <v>474</v>
      </c>
      <c r="AP213" s="56" t="s">
        <v>3</v>
      </c>
      <c r="AQ213" s="56" t="s">
        <v>63</v>
      </c>
    </row>
    <row r="214" spans="1:43" s="4" customFormat="1" ht="10.199999999999999" x14ac:dyDescent="0.2">
      <c r="A214" s="8"/>
      <c r="B214" s="8"/>
      <c r="C214" s="8">
        <v>1.45</v>
      </c>
      <c r="D214" s="27"/>
      <c r="E214" s="28">
        <v>215</v>
      </c>
      <c r="F214" s="29" t="s">
        <v>475</v>
      </c>
      <c r="G214" s="10" t="s">
        <v>476</v>
      </c>
      <c r="H214" s="30">
        <f t="shared" si="49"/>
        <v>0</v>
      </c>
      <c r="I214" s="52" t="str">
        <f>[1]!Plus_ang(I213,[1]!Min_ang(F214,F213))</f>
        <v xml:space="preserve"> 174° 52' 46"</v>
      </c>
      <c r="J214" s="10" t="str">
        <f>[1]!Plus_ang([1]!Plus_ang(J213,[1]!Min_ang(F214,F213)),[1]!DestoDeg(H214/3600))</f>
        <v xml:space="preserve"> 174° 52' 46"</v>
      </c>
      <c r="K214" s="31">
        <v>91.073999999999998</v>
      </c>
      <c r="L214" s="32">
        <f>[1]!Jarakdatar(K214,G214)</f>
        <v>91.073999961468431</v>
      </c>
      <c r="M214" s="33">
        <f>L214*[1]!dsin(J214)</f>
        <v>8.1285032155042369</v>
      </c>
      <c r="N214" s="34">
        <f t="shared" si="50"/>
        <v>0</v>
      </c>
      <c r="O214" s="33">
        <f>L214*[1]!dcos(J214)</f>
        <v>-90.710533591513453</v>
      </c>
      <c r="P214" s="34">
        <f t="shared" si="51"/>
        <v>0</v>
      </c>
      <c r="Q214" s="35">
        <f>L214/[1]!dTAN(G214)-C214+$B$97</f>
        <v>-0.33264923527121604</v>
      </c>
      <c r="R214" s="34">
        <f t="shared" si="52"/>
        <v>0</v>
      </c>
      <c r="S214" s="36">
        <f t="shared" si="53"/>
        <v>9833.9741772512043</v>
      </c>
      <c r="T214" s="40">
        <f t="shared" si="54"/>
        <v>9737.1870905095948</v>
      </c>
      <c r="U214" s="37">
        <f t="shared" si="55"/>
        <v>26.028598874544652</v>
      </c>
      <c r="V214" s="38">
        <f t="shared" si="48"/>
        <v>215</v>
      </c>
      <c r="W214" s="70"/>
      <c r="X214" s="71"/>
      <c r="Y214" s="71"/>
      <c r="Z214" s="72" t="s">
        <v>3</v>
      </c>
      <c r="AB214" s="56"/>
      <c r="AC214" s="56"/>
      <c r="AD214" s="56"/>
      <c r="AE214" s="56"/>
      <c r="AF214" s="56"/>
      <c r="AG214" s="56"/>
      <c r="AH214" s="56"/>
      <c r="AI214" s="56">
        <v>234</v>
      </c>
      <c r="AJ214" s="56">
        <v>83</v>
      </c>
      <c r="AK214" s="56">
        <v>215</v>
      </c>
      <c r="AL214" s="56">
        <v>1.45</v>
      </c>
      <c r="AM214" s="56" t="s">
        <v>475</v>
      </c>
      <c r="AN214" s="56">
        <v>91.073999999999998</v>
      </c>
      <c r="AO214" s="56" t="s">
        <v>476</v>
      </c>
      <c r="AP214" s="56" t="s">
        <v>3</v>
      </c>
      <c r="AQ214" s="56" t="s">
        <v>63</v>
      </c>
    </row>
    <row r="215" spans="1:43" s="4" customFormat="1" ht="10.199999999999999" x14ac:dyDescent="0.2">
      <c r="A215" s="8"/>
      <c r="B215" s="8"/>
      <c r="C215" s="8">
        <v>1.45</v>
      </c>
      <c r="D215" s="27"/>
      <c r="E215" s="28" t="s">
        <v>73</v>
      </c>
      <c r="F215" s="29" t="s">
        <v>477</v>
      </c>
      <c r="G215" s="10" t="s">
        <v>478</v>
      </c>
      <c r="H215" s="30">
        <f t="shared" si="49"/>
        <v>0</v>
      </c>
      <c r="I215" s="52" t="str">
        <f>[1]!Plus_ang(I214,[1]!Min_ang(F215,F214))</f>
        <v xml:space="preserve"> 224° 53' 46"</v>
      </c>
      <c r="J215" s="10" t="str">
        <f>[1]!Plus_ang([1]!Plus_ang(J214,[1]!Min_ang(F215,F214)),[1]!DestoDeg(H215/3600))</f>
        <v xml:space="preserve"> 224° 53' 46"</v>
      </c>
      <c r="K215" s="31">
        <v>103.506</v>
      </c>
      <c r="L215" s="32">
        <f>[1]!Jarakdatar(K215,G215)</f>
        <v>103.49376879644024</v>
      </c>
      <c r="M215" s="33">
        <f>L215*[1]!dsin(J215)</f>
        <v>-73.048333214999914</v>
      </c>
      <c r="N215" s="34">
        <f t="shared" si="50"/>
        <v>0</v>
      </c>
      <c r="O215" s="33">
        <f>L215*[1]!dcos(J215)</f>
        <v>-73.313717640025374</v>
      </c>
      <c r="P215" s="34">
        <f t="shared" si="51"/>
        <v>0</v>
      </c>
      <c r="Q215" s="35">
        <f>L215/[1]!dTAN(G215)-C215+$B$97</f>
        <v>1.2611807907879702</v>
      </c>
      <c r="R215" s="34">
        <f t="shared" si="52"/>
        <v>0</v>
      </c>
      <c r="S215" s="36">
        <f t="shared" si="53"/>
        <v>9752.7973408206999</v>
      </c>
      <c r="T215" s="40">
        <f t="shared" si="54"/>
        <v>9754.5839064610827</v>
      </c>
      <c r="U215" s="37">
        <f t="shared" si="55"/>
        <v>27.62242890060384</v>
      </c>
      <c r="V215" s="38" t="str">
        <f t="shared" si="48"/>
        <v>K27</v>
      </c>
      <c r="W215" s="70"/>
      <c r="X215" s="71"/>
      <c r="Y215" s="71"/>
      <c r="Z215" s="72" t="s">
        <v>73</v>
      </c>
      <c r="AB215" s="56"/>
      <c r="AC215" s="56"/>
      <c r="AD215" s="56"/>
      <c r="AE215" s="56"/>
      <c r="AF215" s="56"/>
      <c r="AG215" s="56"/>
      <c r="AH215" s="56"/>
      <c r="AI215" s="56">
        <v>236</v>
      </c>
      <c r="AJ215" s="56">
        <v>83</v>
      </c>
      <c r="AK215" s="56" t="s">
        <v>73</v>
      </c>
      <c r="AL215" s="56">
        <v>1.45</v>
      </c>
      <c r="AM215" s="56" t="s">
        <v>477</v>
      </c>
      <c r="AN215" s="56">
        <v>103.506</v>
      </c>
      <c r="AO215" s="56" t="s">
        <v>478</v>
      </c>
      <c r="AP215" s="56" t="s">
        <v>73</v>
      </c>
      <c r="AQ215" s="56" t="s">
        <v>63</v>
      </c>
    </row>
    <row r="216" spans="1:43" s="4" customFormat="1" ht="10.199999999999999" x14ac:dyDescent="0.2">
      <c r="A216" s="8"/>
      <c r="B216" s="8"/>
      <c r="C216" s="8">
        <v>1.45</v>
      </c>
      <c r="D216" s="27"/>
      <c r="E216" s="28">
        <v>217</v>
      </c>
      <c r="F216" s="29" t="s">
        <v>479</v>
      </c>
      <c r="G216" s="10" t="s">
        <v>480</v>
      </c>
      <c r="H216" s="30">
        <f t="shared" si="49"/>
        <v>0</v>
      </c>
      <c r="I216" s="52" t="str">
        <f>[1]!Plus_ang(I215,[1]!Min_ang(F216,F215))</f>
        <v xml:space="preserve"> 230° 50' 47"</v>
      </c>
      <c r="J216" s="10" t="str">
        <f>[1]!Plus_ang([1]!Plus_ang(J215,[1]!Min_ang(F216,F215)),[1]!DestoDeg(H216/3600))</f>
        <v xml:space="preserve"> 230° 50' 47"</v>
      </c>
      <c r="K216" s="31">
        <v>104.48</v>
      </c>
      <c r="L216" s="32">
        <f>[1]!Jarakdatar(K216,G216)</f>
        <v>104.47988875363838</v>
      </c>
      <c r="M216" s="33">
        <f>L216*[1]!dsin(J216)</f>
        <v>-81.019551402987929</v>
      </c>
      <c r="N216" s="34">
        <f t="shared" si="50"/>
        <v>0</v>
      </c>
      <c r="O216" s="33">
        <f>L216*[1]!dcos(J216)</f>
        <v>-65.968776284172861</v>
      </c>
      <c r="P216" s="34">
        <f t="shared" si="51"/>
        <v>0</v>
      </c>
      <c r="Q216" s="35">
        <f>L216/[1]!dTAN(G216)-C216+$B$97</f>
        <v>-0.48246647942744936</v>
      </c>
      <c r="R216" s="34">
        <f t="shared" si="52"/>
        <v>0</v>
      </c>
      <c r="S216" s="36">
        <f t="shared" si="53"/>
        <v>9744.8261226327122</v>
      </c>
      <c r="T216" s="40">
        <f t="shared" si="54"/>
        <v>9761.9288478169346</v>
      </c>
      <c r="U216" s="37">
        <f t="shared" si="55"/>
        <v>25.878781630388417</v>
      </c>
      <c r="V216" s="38">
        <f t="shared" si="48"/>
        <v>217</v>
      </c>
      <c r="W216" s="70"/>
      <c r="X216" s="71"/>
      <c r="Y216" s="71"/>
      <c r="Z216" s="72" t="s">
        <v>16</v>
      </c>
      <c r="AB216" s="56"/>
      <c r="AC216" s="56"/>
      <c r="AD216" s="56"/>
      <c r="AE216" s="56"/>
      <c r="AF216" s="56"/>
      <c r="AG216" s="56"/>
      <c r="AH216" s="56"/>
      <c r="AI216" s="56">
        <v>238</v>
      </c>
      <c r="AJ216" s="56">
        <v>83</v>
      </c>
      <c r="AK216" s="56">
        <v>217</v>
      </c>
      <c r="AL216" s="56">
        <v>1.45</v>
      </c>
      <c r="AM216" s="56" t="s">
        <v>479</v>
      </c>
      <c r="AN216" s="56">
        <v>104.48</v>
      </c>
      <c r="AO216" s="56" t="s">
        <v>480</v>
      </c>
      <c r="AP216" s="56" t="s">
        <v>16</v>
      </c>
      <c r="AQ216" s="56" t="s">
        <v>63</v>
      </c>
    </row>
    <row r="217" spans="1:43" s="4" customFormat="1" ht="10.199999999999999" x14ac:dyDescent="0.2">
      <c r="A217" s="8"/>
      <c r="B217" s="8"/>
      <c r="C217" s="8">
        <v>1.45</v>
      </c>
      <c r="D217" s="27"/>
      <c r="E217" s="28">
        <v>218</v>
      </c>
      <c r="F217" s="29" t="s">
        <v>481</v>
      </c>
      <c r="G217" s="10" t="s">
        <v>482</v>
      </c>
      <c r="H217" s="30">
        <f t="shared" si="49"/>
        <v>0</v>
      </c>
      <c r="I217" s="52" t="str">
        <f>[1]!Plus_ang(I216,[1]!Min_ang(F217,F216))</f>
        <v xml:space="preserve"> 224° 53' 51"</v>
      </c>
      <c r="J217" s="10" t="str">
        <f>[1]!Plus_ang([1]!Plus_ang(J216,[1]!Min_ang(F217,F216)),[1]!DestoDeg(H217/3600))</f>
        <v xml:space="preserve"> 224° 53' 51"</v>
      </c>
      <c r="K217" s="31">
        <v>103.613</v>
      </c>
      <c r="L217" s="32">
        <f>[1]!Jarakdatar(K217,G217)</f>
        <v>103.6128386620104</v>
      </c>
      <c r="M217" s="33">
        <f>L217*[1]!dsin(J217)</f>
        <v>-73.134154721043586</v>
      </c>
      <c r="N217" s="34">
        <f t="shared" si="50"/>
        <v>0</v>
      </c>
      <c r="O217" s="33">
        <f>L217*[1]!dcos(J217)</f>
        <v>-73.396292473382161</v>
      </c>
      <c r="P217" s="34">
        <f t="shared" si="51"/>
        <v>0</v>
      </c>
      <c r="Q217" s="35">
        <f>L217/[1]!dTAN(G217)-C217+$B$97</f>
        <v>-0.51284802487894732</v>
      </c>
      <c r="R217" s="34">
        <f t="shared" si="52"/>
        <v>0</v>
      </c>
      <c r="S217" s="36">
        <f t="shared" si="53"/>
        <v>9752.7115193146565</v>
      </c>
      <c r="T217" s="40">
        <f t="shared" si="54"/>
        <v>9754.5013316277254</v>
      </c>
      <c r="U217" s="37">
        <f t="shared" si="55"/>
        <v>25.84840008493692</v>
      </c>
      <c r="V217" s="38">
        <f t="shared" si="48"/>
        <v>218</v>
      </c>
      <c r="W217" s="70"/>
      <c r="X217" s="71"/>
      <c r="Y217" s="71"/>
      <c r="Z217" s="72" t="s">
        <v>3</v>
      </c>
      <c r="AB217" s="56"/>
      <c r="AC217" s="56"/>
      <c r="AD217" s="56"/>
      <c r="AE217" s="56"/>
      <c r="AF217" s="56"/>
      <c r="AG217" s="56"/>
      <c r="AH217" s="56"/>
      <c r="AI217" s="56">
        <v>240</v>
      </c>
      <c r="AJ217" s="56">
        <v>83</v>
      </c>
      <c r="AK217" s="56">
        <v>218</v>
      </c>
      <c r="AL217" s="56">
        <v>1.45</v>
      </c>
      <c r="AM217" s="56" t="s">
        <v>481</v>
      </c>
      <c r="AN217" s="56">
        <v>103.613</v>
      </c>
      <c r="AO217" s="56" t="s">
        <v>482</v>
      </c>
      <c r="AP217" s="56" t="s">
        <v>3</v>
      </c>
      <c r="AQ217" s="56" t="s">
        <v>63</v>
      </c>
    </row>
    <row r="218" spans="1:43" s="4" customFormat="1" ht="10.199999999999999" x14ac:dyDescent="0.2">
      <c r="A218" s="8"/>
      <c r="B218" s="8"/>
      <c r="C218" s="8">
        <v>1.45</v>
      </c>
      <c r="D218" s="27"/>
      <c r="E218" s="28">
        <v>219</v>
      </c>
      <c r="F218" s="29" t="s">
        <v>483</v>
      </c>
      <c r="G218" s="10" t="s">
        <v>484</v>
      </c>
      <c r="H218" s="30">
        <f t="shared" si="49"/>
        <v>0</v>
      </c>
      <c r="I218" s="52" t="str">
        <f>[1]!Plus_ang(I217,[1]!Min_ang(F218,F217))</f>
        <v xml:space="preserve"> 223° 59' 44"</v>
      </c>
      <c r="J218" s="10" t="str">
        <f>[1]!Plus_ang([1]!Plus_ang(J217,[1]!Min_ang(F218,F217)),[1]!DestoDeg(H218/3600))</f>
        <v xml:space="preserve"> 223° 59' 44"</v>
      </c>
      <c r="K218" s="31">
        <v>103.524</v>
      </c>
      <c r="L218" s="32">
        <f>[1]!Jarakdatar(K218,G218)</f>
        <v>103.52388682242569</v>
      </c>
      <c r="M218" s="33">
        <f>L218*[1]!dsin(J218)</f>
        <v>-71.907957744367835</v>
      </c>
      <c r="N218" s="34">
        <f t="shared" si="50"/>
        <v>0</v>
      </c>
      <c r="O218" s="33">
        <f>L218*[1]!dcos(J218)</f>
        <v>-74.474430215051754</v>
      </c>
      <c r="P218" s="34">
        <f t="shared" si="51"/>
        <v>0</v>
      </c>
      <c r="Q218" s="35">
        <f>L218/[1]!dTAN(G218)-C218+$B$97</f>
        <v>-0.48307899136117327</v>
      </c>
      <c r="R218" s="34">
        <f t="shared" si="52"/>
        <v>0</v>
      </c>
      <c r="S218" s="36">
        <f t="shared" si="53"/>
        <v>9753.9377162913315</v>
      </c>
      <c r="T218" s="40">
        <f t="shared" si="54"/>
        <v>9753.4231938860557</v>
      </c>
      <c r="U218" s="37">
        <f t="shared" si="55"/>
        <v>25.878169118454696</v>
      </c>
      <c r="V218" s="38">
        <f t="shared" si="48"/>
        <v>219</v>
      </c>
      <c r="W218" s="70"/>
      <c r="X218" s="71"/>
      <c r="Y218" s="71"/>
      <c r="Z218" s="72" t="s">
        <v>3</v>
      </c>
      <c r="AB218" s="56"/>
      <c r="AC218" s="56"/>
      <c r="AD218" s="56"/>
      <c r="AE218" s="56"/>
      <c r="AF218" s="56"/>
      <c r="AG218" s="56"/>
      <c r="AH218" s="56"/>
      <c r="AI218" s="56">
        <v>242</v>
      </c>
      <c r="AJ218" s="56">
        <v>83</v>
      </c>
      <c r="AK218" s="56">
        <v>219</v>
      </c>
      <c r="AL218" s="56">
        <v>1.45</v>
      </c>
      <c r="AM218" s="56" t="s">
        <v>483</v>
      </c>
      <c r="AN218" s="56">
        <v>103.524</v>
      </c>
      <c r="AO218" s="56" t="s">
        <v>484</v>
      </c>
      <c r="AP218" s="56" t="s">
        <v>3</v>
      </c>
      <c r="AQ218" s="56" t="s">
        <v>63</v>
      </c>
    </row>
    <row r="219" spans="1:43" s="4" customFormat="1" ht="10.199999999999999" x14ac:dyDescent="0.2">
      <c r="A219" s="8"/>
      <c r="B219" s="8"/>
      <c r="C219" s="8">
        <v>1.45</v>
      </c>
      <c r="D219" s="27"/>
      <c r="E219" s="28">
        <v>220</v>
      </c>
      <c r="F219" s="29" t="s">
        <v>485</v>
      </c>
      <c r="G219" s="10" t="s">
        <v>486</v>
      </c>
      <c r="H219" s="30">
        <f t="shared" si="49"/>
        <v>0</v>
      </c>
      <c r="I219" s="52" t="str">
        <f>[1]!Plus_ang(I218,[1]!Min_ang(F219,F218))</f>
        <v xml:space="preserve"> 221° 50' 53"</v>
      </c>
      <c r="J219" s="10" t="str">
        <f>[1]!Plus_ang([1]!Plus_ang(J218,[1]!Min_ang(F219,F218)),[1]!DestoDeg(H219/3600))</f>
        <v xml:space="preserve"> 221° 50' 53"</v>
      </c>
      <c r="K219" s="31">
        <v>103.59099999999999</v>
      </c>
      <c r="L219" s="32">
        <f>[1]!Jarakdatar(K219,G219)</f>
        <v>103.57516995508999</v>
      </c>
      <c r="M219" s="33">
        <f>L219*[1]!dsin(J219)</f>
        <v>-69.100950111362948</v>
      </c>
      <c r="N219" s="34">
        <f t="shared" si="50"/>
        <v>0</v>
      </c>
      <c r="O219" s="33">
        <f>L219*[1]!dcos(J219)</f>
        <v>-77.154873630462944</v>
      </c>
      <c r="P219" s="34">
        <f t="shared" si="51"/>
        <v>0</v>
      </c>
      <c r="Q219" s="35">
        <f>L219/[1]!dTAN(G219)-C219+$B$97</f>
        <v>-2.1409251155754134</v>
      </c>
      <c r="R219" s="34">
        <f t="shared" si="52"/>
        <v>0</v>
      </c>
      <c r="S219" s="36">
        <f t="shared" si="53"/>
        <v>9756.7447239243374</v>
      </c>
      <c r="T219" s="40">
        <f t="shared" si="54"/>
        <v>9750.7427504706448</v>
      </c>
      <c r="U219" s="37">
        <f t="shared" si="55"/>
        <v>24.220322994240455</v>
      </c>
      <c r="V219" s="38">
        <f t="shared" si="48"/>
        <v>220</v>
      </c>
      <c r="W219" s="70"/>
      <c r="X219" s="71"/>
      <c r="Y219" s="71"/>
      <c r="Z219" s="72" t="s">
        <v>3</v>
      </c>
      <c r="AB219" s="56"/>
      <c r="AC219" s="56"/>
      <c r="AD219" s="56"/>
      <c r="AE219" s="56"/>
      <c r="AF219" s="56"/>
      <c r="AG219" s="56"/>
      <c r="AH219" s="56"/>
      <c r="AI219" s="56">
        <v>244</v>
      </c>
      <c r="AJ219" s="56">
        <v>83</v>
      </c>
      <c r="AK219" s="56">
        <v>220</v>
      </c>
      <c r="AL219" s="56">
        <v>1.45</v>
      </c>
      <c r="AM219" s="56" t="s">
        <v>485</v>
      </c>
      <c r="AN219" s="56">
        <v>103.59099999999999</v>
      </c>
      <c r="AO219" s="56" t="s">
        <v>486</v>
      </c>
      <c r="AP219" s="56" t="s">
        <v>3</v>
      </c>
      <c r="AQ219" s="56" t="s">
        <v>63</v>
      </c>
    </row>
    <row r="220" spans="1:43" s="4" customFormat="1" ht="10.199999999999999" x14ac:dyDescent="0.2">
      <c r="A220" s="8"/>
      <c r="B220" s="8"/>
      <c r="C220" s="8">
        <v>1.45</v>
      </c>
      <c r="D220" s="27"/>
      <c r="E220" s="28">
        <v>221</v>
      </c>
      <c r="F220" s="29" t="s">
        <v>487</v>
      </c>
      <c r="G220" s="10" t="s">
        <v>488</v>
      </c>
      <c r="H220" s="30">
        <f t="shared" si="49"/>
        <v>0</v>
      </c>
      <c r="I220" s="52" t="str">
        <f>[1]!Plus_ang(I219,[1]!Min_ang(F220,F219))</f>
        <v xml:space="preserve"> 218° 56' 45"</v>
      </c>
      <c r="J220" s="10" t="str">
        <f>[1]!Plus_ang([1]!Plus_ang(J219,[1]!Min_ang(F220,F219)),[1]!DestoDeg(H220/3600))</f>
        <v xml:space="preserve"> 218° 56' 45"</v>
      </c>
      <c r="K220" s="31">
        <v>103.568</v>
      </c>
      <c r="L220" s="32">
        <f>[1]!Jarakdatar(K220,G220)</f>
        <v>103.49941482987644</v>
      </c>
      <c r="M220" s="33">
        <f>L220*[1]!dsin(J220)</f>
        <v>-65.058221742410282</v>
      </c>
      <c r="N220" s="34">
        <f t="shared" si="50"/>
        <v>0</v>
      </c>
      <c r="O220" s="33">
        <f>L220*[1]!dcos(J220)</f>
        <v>-80.495693386927357</v>
      </c>
      <c r="P220" s="34">
        <f t="shared" si="51"/>
        <v>0</v>
      </c>
      <c r="Q220" s="35">
        <f>L220/[1]!dTAN(G220)-C220+$B$97</f>
        <v>-4.0985214439025128</v>
      </c>
      <c r="R220" s="34">
        <f t="shared" si="52"/>
        <v>0</v>
      </c>
      <c r="S220" s="36">
        <f t="shared" si="53"/>
        <v>9760.7874522932889</v>
      </c>
      <c r="T220" s="40">
        <f t="shared" si="54"/>
        <v>9747.4019307141807</v>
      </c>
      <c r="U220" s="37">
        <f t="shared" si="55"/>
        <v>22.262726665913355</v>
      </c>
      <c r="V220" s="38">
        <f t="shared" si="48"/>
        <v>221</v>
      </c>
      <c r="W220" s="70"/>
      <c r="X220" s="71"/>
      <c r="Y220" s="71"/>
      <c r="Z220" s="72" t="s">
        <v>14</v>
      </c>
      <c r="AB220" s="56"/>
      <c r="AC220" s="56"/>
      <c r="AD220" s="56"/>
      <c r="AE220" s="56"/>
      <c r="AF220" s="56"/>
      <c r="AG220" s="56"/>
      <c r="AH220" s="56"/>
      <c r="AI220" s="56">
        <v>246</v>
      </c>
      <c r="AJ220" s="56">
        <v>83</v>
      </c>
      <c r="AK220" s="56">
        <v>221</v>
      </c>
      <c r="AL220" s="56">
        <v>1.45</v>
      </c>
      <c r="AM220" s="56" t="s">
        <v>487</v>
      </c>
      <c r="AN220" s="56">
        <v>103.568</v>
      </c>
      <c r="AO220" s="56" t="s">
        <v>488</v>
      </c>
      <c r="AP220" s="56" t="s">
        <v>14</v>
      </c>
      <c r="AQ220" s="56" t="s">
        <v>63</v>
      </c>
    </row>
    <row r="221" spans="1:43" s="4" customFormat="1" ht="10.199999999999999" x14ac:dyDescent="0.2">
      <c r="A221" s="8"/>
      <c r="B221" s="8"/>
      <c r="C221" s="8">
        <v>2.5</v>
      </c>
      <c r="D221" s="27"/>
      <c r="E221" s="28">
        <v>222</v>
      </c>
      <c r="F221" s="29" t="s">
        <v>489</v>
      </c>
      <c r="G221" s="10" t="s">
        <v>490</v>
      </c>
      <c r="H221" s="30">
        <f t="shared" si="49"/>
        <v>0</v>
      </c>
      <c r="I221" s="52" t="str">
        <f>[1]!Plus_ang(I220,[1]!Min_ang(F221,F220))</f>
        <v xml:space="preserve"> 218° 52' 47"</v>
      </c>
      <c r="J221" s="10" t="str">
        <f>[1]!Plus_ang([1]!Plus_ang(J220,[1]!Min_ang(F221,F220)),[1]!DestoDeg(H221/3600))</f>
        <v xml:space="preserve"> 218° 52' 47"</v>
      </c>
      <c r="K221" s="31">
        <v>103.41800000000001</v>
      </c>
      <c r="L221" s="32">
        <f>[1]!Jarakdatar(K221,G221)</f>
        <v>103.34960535227754</v>
      </c>
      <c r="M221" s="33">
        <f>L221*[1]!dsin(J221)</f>
        <v>-64.871264420773429</v>
      </c>
      <c r="N221" s="34">
        <f t="shared" si="50"/>
        <v>0</v>
      </c>
      <c r="O221" s="33">
        <f>L221*[1]!dcos(J221)</f>
        <v>-80.454086154288078</v>
      </c>
      <c r="P221" s="34">
        <f t="shared" si="51"/>
        <v>0</v>
      </c>
      <c r="Q221" s="35">
        <f>L221/[1]!dTAN(G221)-C221+$B$97</f>
        <v>-5.1405581405542229</v>
      </c>
      <c r="R221" s="34">
        <f t="shared" si="52"/>
        <v>0</v>
      </c>
      <c r="S221" s="36">
        <f t="shared" si="53"/>
        <v>9760.9744096149261</v>
      </c>
      <c r="T221" s="40">
        <f t="shared" si="54"/>
        <v>9747.4435379468196</v>
      </c>
      <c r="U221" s="37">
        <f t="shared" si="55"/>
        <v>21.220689969261645</v>
      </c>
      <c r="V221" s="38">
        <f t="shared" si="48"/>
        <v>222</v>
      </c>
      <c r="W221" s="70"/>
      <c r="X221" s="71"/>
      <c r="Y221" s="71"/>
      <c r="Z221" s="72" t="s">
        <v>15</v>
      </c>
      <c r="AB221" s="56"/>
      <c r="AC221" s="56"/>
      <c r="AD221" s="56"/>
      <c r="AE221" s="56"/>
      <c r="AF221" s="56"/>
      <c r="AG221" s="56"/>
      <c r="AH221" s="56"/>
      <c r="AI221" s="56">
        <v>248</v>
      </c>
      <c r="AJ221" s="56">
        <v>83</v>
      </c>
      <c r="AK221" s="56">
        <v>222</v>
      </c>
      <c r="AL221" s="56">
        <v>2.5</v>
      </c>
      <c r="AM221" s="56" t="s">
        <v>489</v>
      </c>
      <c r="AN221" s="56">
        <v>103.41800000000001</v>
      </c>
      <c r="AO221" s="56" t="s">
        <v>490</v>
      </c>
      <c r="AP221" s="56" t="s">
        <v>15</v>
      </c>
      <c r="AQ221" s="56" t="s">
        <v>63</v>
      </c>
    </row>
    <row r="222" spans="1:43" s="4" customFormat="1" ht="10.199999999999999" x14ac:dyDescent="0.2">
      <c r="A222" s="8"/>
      <c r="B222" s="8"/>
      <c r="C222" s="8">
        <v>2.5</v>
      </c>
      <c r="D222" s="27"/>
      <c r="E222" s="28">
        <v>223</v>
      </c>
      <c r="F222" s="29" t="s">
        <v>491</v>
      </c>
      <c r="G222" s="10" t="s">
        <v>492</v>
      </c>
      <c r="H222" s="30">
        <f t="shared" si="49"/>
        <v>0</v>
      </c>
      <c r="I222" s="52" t="str">
        <f>[1]!Plus_ang(I221,[1]!Min_ang(F222,F221))</f>
        <v xml:space="preserve"> 218° 56' 49"</v>
      </c>
      <c r="J222" s="10" t="str">
        <f>[1]!Plus_ang([1]!Plus_ang(J221,[1]!Min_ang(F222,F221)),[1]!DestoDeg(H222/3600))</f>
        <v xml:space="preserve"> 218° 56' 49"</v>
      </c>
      <c r="K222" s="31">
        <v>103.44499999999999</v>
      </c>
      <c r="L222" s="32">
        <f>[1]!Jarakdatar(K222,G222)</f>
        <v>103.3765510182685</v>
      </c>
      <c r="M222" s="33">
        <f>L222*[1]!dsin(J222)</f>
        <v>-64.982550494688283</v>
      </c>
      <c r="N222" s="34">
        <f t="shared" si="50"/>
        <v>0</v>
      </c>
      <c r="O222" s="33">
        <f>L222*[1]!dcos(J222)</f>
        <v>-80.398877054583025</v>
      </c>
      <c r="P222" s="34">
        <f t="shared" si="51"/>
        <v>0</v>
      </c>
      <c r="Q222" s="35">
        <f>L222/[1]!dTAN(G222)-C222+$B$97</f>
        <v>-5.1425423010686266</v>
      </c>
      <c r="R222" s="34">
        <f t="shared" si="52"/>
        <v>0</v>
      </c>
      <c r="S222" s="36">
        <f t="shared" si="53"/>
        <v>9760.8631235410121</v>
      </c>
      <c r="T222" s="40">
        <f t="shared" si="54"/>
        <v>9747.4987470465239</v>
      </c>
      <c r="U222" s="37">
        <f t="shared" si="55"/>
        <v>21.218705808747242</v>
      </c>
      <c r="V222" s="38">
        <f t="shared" si="48"/>
        <v>223</v>
      </c>
      <c r="W222" s="70"/>
      <c r="X222" s="71"/>
      <c r="Y222" s="71"/>
      <c r="Z222" s="72" t="s">
        <v>15</v>
      </c>
      <c r="AB222" s="56"/>
      <c r="AC222" s="56"/>
      <c r="AD222" s="56"/>
      <c r="AE222" s="56"/>
      <c r="AF222" s="56"/>
      <c r="AG222" s="56"/>
      <c r="AH222" s="56"/>
      <c r="AI222" s="56">
        <v>250</v>
      </c>
      <c r="AJ222" s="56">
        <v>83</v>
      </c>
      <c r="AK222" s="56">
        <v>223</v>
      </c>
      <c r="AL222" s="56">
        <v>2.5</v>
      </c>
      <c r="AM222" s="56" t="s">
        <v>491</v>
      </c>
      <c r="AN222" s="56">
        <v>103.44499999999999</v>
      </c>
      <c r="AO222" s="56" t="s">
        <v>492</v>
      </c>
      <c r="AP222" s="56" t="s">
        <v>15</v>
      </c>
      <c r="AQ222" s="56" t="s">
        <v>63</v>
      </c>
    </row>
    <row r="223" spans="1:43" s="4" customFormat="1" ht="10.199999999999999" x14ac:dyDescent="0.2">
      <c r="A223" s="8"/>
      <c r="B223" s="8"/>
      <c r="C223" s="8">
        <v>2.5</v>
      </c>
      <c r="D223" s="27"/>
      <c r="E223" s="28">
        <v>224</v>
      </c>
      <c r="F223" s="29" t="s">
        <v>493</v>
      </c>
      <c r="G223" s="10" t="s">
        <v>494</v>
      </c>
      <c r="H223" s="30">
        <f t="shared" si="49"/>
        <v>0</v>
      </c>
      <c r="I223" s="52" t="str">
        <f>[1]!Plus_ang(I222,[1]!Min_ang(F223,F222))</f>
        <v xml:space="preserve"> 217° 58' 44"</v>
      </c>
      <c r="J223" s="10" t="str">
        <f>[1]!Plus_ang([1]!Plus_ang(J222,[1]!Min_ang(F223,F222)),[1]!DestoDeg(H223/3600))</f>
        <v xml:space="preserve"> 217° 58' 44"</v>
      </c>
      <c r="K223" s="31">
        <v>103.578</v>
      </c>
      <c r="L223" s="32">
        <f>[1]!Jarakdatar(K223,G223)</f>
        <v>103.55996689635532</v>
      </c>
      <c r="M223" s="33">
        <f>L223*[1]!dsin(J223)</f>
        <v>-63.72780912540339</v>
      </c>
      <c r="N223" s="34">
        <f t="shared" si="50"/>
        <v>0</v>
      </c>
      <c r="O223" s="33">
        <f>L223*[1]!dcos(J223)</f>
        <v>-81.629854144487865</v>
      </c>
      <c r="P223" s="34">
        <f t="shared" si="51"/>
        <v>0</v>
      </c>
      <c r="Q223" s="35">
        <f>L223/[1]!dTAN(G223)-C223+$B$97</f>
        <v>-3.3127028808875183</v>
      </c>
      <c r="R223" s="34">
        <f t="shared" si="52"/>
        <v>0</v>
      </c>
      <c r="S223" s="36">
        <f t="shared" si="53"/>
        <v>9762.1178649102967</v>
      </c>
      <c r="T223" s="40">
        <f t="shared" si="54"/>
        <v>9746.2677699566193</v>
      </c>
      <c r="U223" s="37">
        <f t="shared" si="55"/>
        <v>23.048545228928351</v>
      </c>
      <c r="V223" s="38">
        <f t="shared" si="48"/>
        <v>224</v>
      </c>
      <c r="W223" s="70"/>
      <c r="X223" s="71"/>
      <c r="Y223" s="71"/>
      <c r="Z223" s="72" t="s">
        <v>14</v>
      </c>
      <c r="AB223" s="56"/>
      <c r="AC223" s="56"/>
      <c r="AD223" s="56"/>
      <c r="AE223" s="56"/>
      <c r="AF223" s="56"/>
      <c r="AG223" s="56"/>
      <c r="AH223" s="56"/>
      <c r="AI223" s="56">
        <v>252</v>
      </c>
      <c r="AJ223" s="56">
        <v>83</v>
      </c>
      <c r="AK223" s="56">
        <v>224</v>
      </c>
      <c r="AL223" s="56">
        <v>2.5</v>
      </c>
      <c r="AM223" s="56" t="s">
        <v>493</v>
      </c>
      <c r="AN223" s="56">
        <v>103.578</v>
      </c>
      <c r="AO223" s="56" t="s">
        <v>494</v>
      </c>
      <c r="AP223" s="56" t="s">
        <v>14</v>
      </c>
      <c r="AQ223" s="56" t="s">
        <v>63</v>
      </c>
    </row>
    <row r="224" spans="1:43" s="4" customFormat="1" ht="10.199999999999999" x14ac:dyDescent="0.2">
      <c r="A224" s="8"/>
      <c r="B224" s="8"/>
      <c r="C224" s="8">
        <v>2.5</v>
      </c>
      <c r="D224" s="27"/>
      <c r="E224" s="28">
        <v>225</v>
      </c>
      <c r="F224" s="29" t="s">
        <v>495</v>
      </c>
      <c r="G224" s="10" t="s">
        <v>496</v>
      </c>
      <c r="H224" s="30">
        <f t="shared" si="49"/>
        <v>0</v>
      </c>
      <c r="I224" s="52" t="str">
        <f>[1]!Plus_ang(I223,[1]!Min_ang(F224,F223))</f>
        <v xml:space="preserve"> 215° 52' 50"</v>
      </c>
      <c r="J224" s="10" t="str">
        <f>[1]!Plus_ang([1]!Plus_ang(J223,[1]!Min_ang(F224,F223)),[1]!DestoDeg(H224/3600))</f>
        <v xml:space="preserve"> 215° 52' 50"</v>
      </c>
      <c r="K224" s="31">
        <v>104.473</v>
      </c>
      <c r="L224" s="32">
        <f>[1]!Jarakdatar(K224,G224)</f>
        <v>104.4092517675483</v>
      </c>
      <c r="M224" s="33">
        <f>L224*[1]!dsin(J224)</f>
        <v>-61.193993031384828</v>
      </c>
      <c r="N224" s="34">
        <f t="shared" si="50"/>
        <v>0</v>
      </c>
      <c r="O224" s="33">
        <f>L224*[1]!dcos(J224)</f>
        <v>-84.596613830188915</v>
      </c>
      <c r="P224" s="34">
        <f t="shared" si="51"/>
        <v>0</v>
      </c>
      <c r="Q224" s="35">
        <f>L224/[1]!dTAN(G224)-C224+$B$97</f>
        <v>-5.0290922625652827</v>
      </c>
      <c r="R224" s="34">
        <f t="shared" si="52"/>
        <v>0</v>
      </c>
      <c r="S224" s="36">
        <f t="shared" si="53"/>
        <v>9764.651681004314</v>
      </c>
      <c r="T224" s="40">
        <f t="shared" si="54"/>
        <v>9743.3010102709195</v>
      </c>
      <c r="U224" s="37">
        <f t="shared" si="55"/>
        <v>21.332155847250586</v>
      </c>
      <c r="V224" s="38">
        <f t="shared" si="48"/>
        <v>225</v>
      </c>
      <c r="W224" s="70"/>
      <c r="X224" s="71"/>
      <c r="Y224" s="71"/>
      <c r="Z224" s="72" t="s">
        <v>3</v>
      </c>
      <c r="AB224" s="56"/>
      <c r="AC224" s="56"/>
      <c r="AD224" s="56"/>
      <c r="AE224" s="56"/>
      <c r="AF224" s="56"/>
      <c r="AG224" s="56"/>
      <c r="AH224" s="56"/>
      <c r="AI224" s="56">
        <v>254</v>
      </c>
      <c r="AJ224" s="56">
        <v>83</v>
      </c>
      <c r="AK224" s="56">
        <v>225</v>
      </c>
      <c r="AL224" s="56">
        <v>2.5</v>
      </c>
      <c r="AM224" s="56" t="s">
        <v>495</v>
      </c>
      <c r="AN224" s="56">
        <v>104.473</v>
      </c>
      <c r="AO224" s="56" t="s">
        <v>496</v>
      </c>
      <c r="AP224" s="56" t="s">
        <v>3</v>
      </c>
      <c r="AQ224" s="56" t="s">
        <v>63</v>
      </c>
    </row>
    <row r="225" spans="1:43" s="4" customFormat="1" ht="10.199999999999999" x14ac:dyDescent="0.2">
      <c r="A225" s="8"/>
      <c r="B225" s="8"/>
      <c r="C225" s="8">
        <v>2.5</v>
      </c>
      <c r="D225" s="27"/>
      <c r="E225" s="28">
        <v>226</v>
      </c>
      <c r="F225" s="29" t="s">
        <v>497</v>
      </c>
      <c r="G225" s="10" t="s">
        <v>498</v>
      </c>
      <c r="H225" s="30">
        <f t="shared" si="49"/>
        <v>0</v>
      </c>
      <c r="I225" s="52" t="str">
        <f>[1]!Plus_ang(I224,[1]!Min_ang(F225,F224))</f>
        <v xml:space="preserve"> 215° 56' 48"</v>
      </c>
      <c r="J225" s="10" t="str">
        <f>[1]!Plus_ang([1]!Plus_ang(J224,[1]!Min_ang(F225,F224)),[1]!DestoDeg(H225/3600))</f>
        <v xml:space="preserve"> 215° 56' 48"</v>
      </c>
      <c r="K225" s="31">
        <v>104.718</v>
      </c>
      <c r="L225" s="32">
        <f>[1]!Jarakdatar(K225,G225)</f>
        <v>104.64876406756858</v>
      </c>
      <c r="M225" s="33">
        <f>L225*[1]!dsin(J225)</f>
        <v>-61.432165999126873</v>
      </c>
      <c r="N225" s="34">
        <f t="shared" si="50"/>
        <v>0</v>
      </c>
      <c r="O225" s="33">
        <f>L225*[1]!dcos(J225)</f>
        <v>-84.719848922937487</v>
      </c>
      <c r="P225" s="34">
        <f t="shared" si="51"/>
        <v>0</v>
      </c>
      <c r="Q225" s="35">
        <f>L225/[1]!dTAN(G225)-C225+$B$97</f>
        <v>-5.1873223045034687</v>
      </c>
      <c r="R225" s="34">
        <f t="shared" si="52"/>
        <v>0</v>
      </c>
      <c r="S225" s="36">
        <f t="shared" si="53"/>
        <v>9764.4135080365722</v>
      </c>
      <c r="T225" s="40">
        <f t="shared" si="54"/>
        <v>9743.1777751781701</v>
      </c>
      <c r="U225" s="37">
        <f t="shared" si="55"/>
        <v>21.1739258053124</v>
      </c>
      <c r="V225" s="38">
        <f t="shared" ref="V225:V244" si="56">IF(A225&lt;&gt;"",D225,E225)</f>
        <v>226</v>
      </c>
      <c r="W225" s="70"/>
      <c r="X225" s="71"/>
      <c r="Y225" s="71"/>
      <c r="Z225" s="72" t="s">
        <v>64</v>
      </c>
      <c r="AB225" s="56"/>
      <c r="AC225" s="56"/>
      <c r="AD225" s="56"/>
      <c r="AE225" s="56"/>
      <c r="AF225" s="56"/>
      <c r="AG225" s="56"/>
      <c r="AH225" s="56"/>
      <c r="AI225" s="56">
        <v>256</v>
      </c>
      <c r="AJ225" s="56">
        <v>83</v>
      </c>
      <c r="AK225" s="56">
        <v>226</v>
      </c>
      <c r="AL225" s="56">
        <v>2.5</v>
      </c>
      <c r="AM225" s="56" t="s">
        <v>497</v>
      </c>
      <c r="AN225" s="56">
        <v>104.718</v>
      </c>
      <c r="AO225" s="56" t="s">
        <v>498</v>
      </c>
      <c r="AP225" s="56" t="s">
        <v>64</v>
      </c>
      <c r="AQ225" s="56" t="s">
        <v>63</v>
      </c>
    </row>
    <row r="226" spans="1:43" s="4" customFormat="1" ht="10.199999999999999" x14ac:dyDescent="0.2">
      <c r="A226" s="8"/>
      <c r="B226" s="8"/>
      <c r="C226" s="8">
        <v>1.45</v>
      </c>
      <c r="D226" s="27"/>
      <c r="E226" s="28">
        <v>227</v>
      </c>
      <c r="F226" s="29" t="s">
        <v>499</v>
      </c>
      <c r="G226" s="10" t="s">
        <v>500</v>
      </c>
      <c r="H226" s="30">
        <f t="shared" ref="H226:H244" si="57">IF($Y$7="y",$C$416,0)</f>
        <v>0</v>
      </c>
      <c r="I226" s="52" t="str">
        <f>[1]!Plus_ang(I225,[1]!Min_ang(F226,F225))</f>
        <v xml:space="preserve"> 191° 52' 50"</v>
      </c>
      <c r="J226" s="10" t="str">
        <f>[1]!Plus_ang([1]!Plus_ang(J225,[1]!Min_ang(F226,F225)),[1]!DestoDeg(H226/3600))</f>
        <v xml:space="preserve"> 191° 52' 50"</v>
      </c>
      <c r="K226" s="31">
        <v>126.30200000000001</v>
      </c>
      <c r="L226" s="32">
        <f>[1]!Jarakdatar(K226,G226)</f>
        <v>126.30186372532826</v>
      </c>
      <c r="M226" s="33">
        <f>L226*[1]!dsin(J226)</f>
        <v>-26.002029584146836</v>
      </c>
      <c r="N226" s="34">
        <f t="shared" ref="N226:N244" si="58">IF($Y$8="Y",($Y$4*L226/$L$413),0)</f>
        <v>0</v>
      </c>
      <c r="O226" s="33">
        <f>L226*[1]!dcos(J226)</f>
        <v>-123.59633990534081</v>
      </c>
      <c r="P226" s="34">
        <f t="shared" ref="P226:P244" si="59">IF($Y$8="Y",($Y$5*L226/$L$413),0)</f>
        <v>0</v>
      </c>
      <c r="Q226" s="35">
        <f>L226/[1]!dTAN(G226)-C226+$B$97</f>
        <v>-0.51553573405249775</v>
      </c>
      <c r="R226" s="34">
        <f t="shared" ref="R226:R244" si="60">IF(AND($Y$8="Y",W226="P"),($Y$6*L226/$L$413),0)</f>
        <v>0</v>
      </c>
      <c r="S226" s="36">
        <f t="shared" ref="S226:S244" si="61">$S$97+M226+N226</f>
        <v>9799.8436444515537</v>
      </c>
      <c r="T226" s="40">
        <f t="shared" ref="T226:T244" si="62">$T$97+O226+P226</f>
        <v>9704.3012841957661</v>
      </c>
      <c r="U226" s="37">
        <f t="shared" ref="U226:U244" si="63">$U$97+Q226+R226</f>
        <v>25.84571237576337</v>
      </c>
      <c r="V226" s="38">
        <f t="shared" si="56"/>
        <v>227</v>
      </c>
      <c r="W226" s="70"/>
      <c r="X226" s="71"/>
      <c r="Y226" s="71"/>
      <c r="Z226" s="72" t="s">
        <v>3</v>
      </c>
      <c r="AB226" s="56"/>
      <c r="AC226" s="56"/>
      <c r="AD226" s="56"/>
      <c r="AE226" s="56"/>
      <c r="AF226" s="56"/>
      <c r="AG226" s="56"/>
      <c r="AH226" s="56"/>
      <c r="AI226" s="56">
        <v>258</v>
      </c>
      <c r="AJ226" s="56">
        <v>83</v>
      </c>
      <c r="AK226" s="56">
        <v>227</v>
      </c>
      <c r="AL226" s="56">
        <v>1.45</v>
      </c>
      <c r="AM226" s="56" t="s">
        <v>499</v>
      </c>
      <c r="AN226" s="56">
        <v>126.30200000000001</v>
      </c>
      <c r="AO226" s="56" t="s">
        <v>500</v>
      </c>
      <c r="AP226" s="56" t="s">
        <v>3</v>
      </c>
      <c r="AQ226" s="56" t="s">
        <v>63</v>
      </c>
    </row>
    <row r="227" spans="1:43" s="4" customFormat="1" ht="10.199999999999999" x14ac:dyDescent="0.2">
      <c r="A227" s="8"/>
      <c r="B227" s="8"/>
      <c r="C227" s="8">
        <v>1.45</v>
      </c>
      <c r="D227" s="27"/>
      <c r="E227" s="28">
        <v>228</v>
      </c>
      <c r="F227" s="29" t="s">
        <v>501</v>
      </c>
      <c r="G227" s="10" t="s">
        <v>502</v>
      </c>
      <c r="H227" s="30">
        <f t="shared" si="57"/>
        <v>0</v>
      </c>
      <c r="I227" s="52" t="str">
        <f>[1]!Plus_ang(I226,[1]!Min_ang(F227,F226))</f>
        <v xml:space="preserve"> 192° 55' 45"</v>
      </c>
      <c r="J227" s="10" t="str">
        <f>[1]!Plus_ang([1]!Plus_ang(J226,[1]!Min_ang(F227,F226)),[1]!DestoDeg(H227/3600))</f>
        <v xml:space="preserve"> 192° 55' 45"</v>
      </c>
      <c r="K227" s="31">
        <v>122.621</v>
      </c>
      <c r="L227" s="32">
        <f>[1]!Jarakdatar(K227,G227)</f>
        <v>122.62057978469791</v>
      </c>
      <c r="M227" s="33">
        <f>L227*[1]!dsin(J227)</f>
        <v>-27.435900234175421</v>
      </c>
      <c r="N227" s="34">
        <f t="shared" si="58"/>
        <v>0</v>
      </c>
      <c r="O227" s="33">
        <f>L227*[1]!dcos(J227)</f>
        <v>-119.51183190410829</v>
      </c>
      <c r="P227" s="34">
        <f t="shared" si="59"/>
        <v>0</v>
      </c>
      <c r="Q227" s="35">
        <f>L227/[1]!dTAN(G227)-C227+$B$97</f>
        <v>-0.65102066060608133</v>
      </c>
      <c r="R227" s="34">
        <f t="shared" si="60"/>
        <v>0</v>
      </c>
      <c r="S227" s="36">
        <f t="shared" si="61"/>
        <v>9798.4097738015244</v>
      </c>
      <c r="T227" s="40">
        <f t="shared" si="62"/>
        <v>9708.3857921969993</v>
      </c>
      <c r="U227" s="37">
        <f t="shared" si="63"/>
        <v>25.710227449209786</v>
      </c>
      <c r="V227" s="38">
        <f t="shared" si="56"/>
        <v>228</v>
      </c>
      <c r="W227" s="70"/>
      <c r="X227" s="71"/>
      <c r="Y227" s="71"/>
      <c r="Z227" s="72" t="s">
        <v>3</v>
      </c>
      <c r="AB227" s="56"/>
      <c r="AC227" s="56"/>
      <c r="AD227" s="56"/>
      <c r="AE227" s="56"/>
      <c r="AF227" s="56"/>
      <c r="AG227" s="56"/>
      <c r="AH227" s="56"/>
      <c r="AI227" s="56">
        <v>260</v>
      </c>
      <c r="AJ227" s="56">
        <v>83</v>
      </c>
      <c r="AK227" s="56">
        <v>228</v>
      </c>
      <c r="AL227" s="56">
        <v>1.45</v>
      </c>
      <c r="AM227" s="56" t="s">
        <v>501</v>
      </c>
      <c r="AN227" s="56">
        <v>122.621</v>
      </c>
      <c r="AO227" s="56" t="s">
        <v>502</v>
      </c>
      <c r="AP227" s="56" t="s">
        <v>3</v>
      </c>
      <c r="AQ227" s="56" t="s">
        <v>63</v>
      </c>
    </row>
    <row r="228" spans="1:43" s="4" customFormat="1" ht="10.199999999999999" x14ac:dyDescent="0.2">
      <c r="A228" s="8"/>
      <c r="B228" s="8"/>
      <c r="C228" s="8">
        <v>1.45</v>
      </c>
      <c r="D228" s="27"/>
      <c r="E228" s="28">
        <v>229</v>
      </c>
      <c r="F228" s="29" t="s">
        <v>503</v>
      </c>
      <c r="G228" s="10" t="s">
        <v>504</v>
      </c>
      <c r="H228" s="30">
        <f t="shared" si="57"/>
        <v>0</v>
      </c>
      <c r="I228" s="52" t="str">
        <f>[1]!Plus_ang(I227,[1]!Min_ang(F228,F227))</f>
        <v xml:space="preserve"> 194° 53' 46"</v>
      </c>
      <c r="J228" s="10" t="str">
        <f>[1]!Plus_ang([1]!Plus_ang(J227,[1]!Min_ang(F228,F227)),[1]!DestoDeg(H228/3600))</f>
        <v xml:space="preserve"> 194° 53' 46"</v>
      </c>
      <c r="K228" s="31">
        <v>120.452</v>
      </c>
      <c r="L228" s="32">
        <f>[1]!Jarakdatar(K228,G228)</f>
        <v>120.37611645748801</v>
      </c>
      <c r="M228" s="33">
        <f>L228*[1]!dsin(J228)</f>
        <v>-30.944751305023971</v>
      </c>
      <c r="N228" s="34">
        <f t="shared" si="58"/>
        <v>0</v>
      </c>
      <c r="O228" s="33">
        <f>L228*[1]!dcos(J228)</f>
        <v>-116.3307000755043</v>
      </c>
      <c r="P228" s="34">
        <f t="shared" si="59"/>
        <v>0</v>
      </c>
      <c r="Q228" s="35">
        <f>L228/[1]!dTAN(G228)-C228+$B$97</f>
        <v>-4.6049141059537622</v>
      </c>
      <c r="R228" s="34">
        <f t="shared" si="60"/>
        <v>0</v>
      </c>
      <c r="S228" s="36">
        <f t="shared" si="61"/>
        <v>9794.900922730676</v>
      </c>
      <c r="T228" s="40">
        <f t="shared" si="62"/>
        <v>9711.5669240256029</v>
      </c>
      <c r="U228" s="37">
        <f t="shared" si="63"/>
        <v>21.756334003862108</v>
      </c>
      <c r="V228" s="38">
        <f t="shared" si="56"/>
        <v>229</v>
      </c>
      <c r="W228" s="70"/>
      <c r="X228" s="71"/>
      <c r="Y228" s="71"/>
      <c r="Z228" s="72" t="s">
        <v>14</v>
      </c>
      <c r="AB228" s="56"/>
      <c r="AC228" s="56"/>
      <c r="AD228" s="56"/>
      <c r="AE228" s="56"/>
      <c r="AF228" s="56"/>
      <c r="AG228" s="56"/>
      <c r="AH228" s="56"/>
      <c r="AI228" s="56">
        <v>262</v>
      </c>
      <c r="AJ228" s="56">
        <v>83</v>
      </c>
      <c r="AK228" s="56">
        <v>229</v>
      </c>
      <c r="AL228" s="56">
        <v>1.45</v>
      </c>
      <c r="AM228" s="56" t="s">
        <v>503</v>
      </c>
      <c r="AN228" s="56">
        <v>120.452</v>
      </c>
      <c r="AO228" s="56" t="s">
        <v>504</v>
      </c>
      <c r="AP228" s="56" t="s">
        <v>14</v>
      </c>
      <c r="AQ228" s="56" t="s">
        <v>63</v>
      </c>
    </row>
    <row r="229" spans="1:43" s="4" customFormat="1" ht="10.199999999999999" x14ac:dyDescent="0.2">
      <c r="A229" s="8"/>
      <c r="B229" s="8"/>
      <c r="C229" s="8">
        <v>1.45</v>
      </c>
      <c r="D229" s="27"/>
      <c r="E229" s="28">
        <v>230</v>
      </c>
      <c r="F229" s="29" t="s">
        <v>505</v>
      </c>
      <c r="G229" s="10" t="s">
        <v>506</v>
      </c>
      <c r="H229" s="30">
        <f t="shared" si="57"/>
        <v>0</v>
      </c>
      <c r="I229" s="52" t="str">
        <f>[1]!Plus_ang(I228,[1]!Min_ang(F229,F228))</f>
        <v xml:space="preserve"> 195° 50' 49"</v>
      </c>
      <c r="J229" s="10" t="str">
        <f>[1]!Plus_ang([1]!Plus_ang(J228,[1]!Min_ang(F229,F228)),[1]!DestoDeg(H229/3600))</f>
        <v xml:space="preserve"> 195° 50' 49"</v>
      </c>
      <c r="K229" s="31">
        <v>120.316</v>
      </c>
      <c r="L229" s="32">
        <f>[1]!Jarakdatar(K229,G229)</f>
        <v>120.23386436998906</v>
      </c>
      <c r="M229" s="33">
        <f>L229*[1]!dsin(J229)</f>
        <v>-32.832085147562083</v>
      </c>
      <c r="N229" s="34">
        <f t="shared" si="58"/>
        <v>0</v>
      </c>
      <c r="O229" s="33">
        <f>L229*[1]!dcos(J229)</f>
        <v>-115.66432607422288</v>
      </c>
      <c r="P229" s="34">
        <f t="shared" si="59"/>
        <v>0</v>
      </c>
      <c r="Q229" s="35">
        <f>L229/[1]!dTAN(G229)-C229+$B$97</f>
        <v>-4.7749650908725272</v>
      </c>
      <c r="R229" s="34">
        <f t="shared" si="60"/>
        <v>0</v>
      </c>
      <c r="S229" s="36">
        <f t="shared" si="61"/>
        <v>9793.0135888881377</v>
      </c>
      <c r="T229" s="40">
        <f t="shared" si="62"/>
        <v>9712.2332980268857</v>
      </c>
      <c r="U229" s="37">
        <f t="shared" si="63"/>
        <v>21.586283018943341</v>
      </c>
      <c r="V229" s="38">
        <f t="shared" si="56"/>
        <v>230</v>
      </c>
      <c r="W229" s="70"/>
      <c r="X229" s="71"/>
      <c r="Y229" s="71"/>
      <c r="Z229" s="72" t="s">
        <v>15</v>
      </c>
      <c r="AB229" s="56"/>
      <c r="AC229" s="56"/>
      <c r="AD229" s="56"/>
      <c r="AE229" s="56"/>
      <c r="AF229" s="56"/>
      <c r="AG229" s="56"/>
      <c r="AH229" s="56"/>
      <c r="AI229" s="56">
        <v>264</v>
      </c>
      <c r="AJ229" s="56">
        <v>83</v>
      </c>
      <c r="AK229" s="56">
        <v>230</v>
      </c>
      <c r="AL229" s="56">
        <v>1.45</v>
      </c>
      <c r="AM229" s="56" t="s">
        <v>505</v>
      </c>
      <c r="AN229" s="56">
        <v>120.316</v>
      </c>
      <c r="AO229" s="56" t="s">
        <v>506</v>
      </c>
      <c r="AP229" s="56" t="s">
        <v>15</v>
      </c>
      <c r="AQ229" s="56" t="s">
        <v>63</v>
      </c>
    </row>
    <row r="230" spans="1:43" s="4" customFormat="1" ht="10.199999999999999" x14ac:dyDescent="0.2">
      <c r="A230" s="8"/>
      <c r="B230" s="8"/>
      <c r="C230" s="8">
        <v>1.45</v>
      </c>
      <c r="D230" s="27"/>
      <c r="E230" s="28">
        <v>231</v>
      </c>
      <c r="F230" s="29" t="s">
        <v>507</v>
      </c>
      <c r="G230" s="10" t="s">
        <v>508</v>
      </c>
      <c r="H230" s="30">
        <f t="shared" si="57"/>
        <v>0</v>
      </c>
      <c r="I230" s="52" t="str">
        <f>[1]!Plus_ang(I229,[1]!Min_ang(F230,F229))</f>
        <v xml:space="preserve"> 195° 52' 50"</v>
      </c>
      <c r="J230" s="10" t="str">
        <f>[1]!Plus_ang([1]!Plus_ang(J229,[1]!Min_ang(F230,F229)),[1]!DestoDeg(H230/3600))</f>
        <v xml:space="preserve"> 195° 52' 50"</v>
      </c>
      <c r="K230" s="31">
        <v>120.23399999999999</v>
      </c>
      <c r="L230" s="32">
        <f>[1]!Jarakdatar(K230,G230)</f>
        <v>120.15439942087588</v>
      </c>
      <c r="M230" s="33">
        <f>L230*[1]!dsin(J230)</f>
        <v>-32.878186810265213</v>
      </c>
      <c r="N230" s="34">
        <f t="shared" si="58"/>
        <v>0</v>
      </c>
      <c r="O230" s="33">
        <f>L230*[1]!dcos(J230)</f>
        <v>-115.56861395837834</v>
      </c>
      <c r="P230" s="34">
        <f t="shared" si="59"/>
        <v>0</v>
      </c>
      <c r="Q230" s="35">
        <f>L230/[1]!dTAN(G230)-C230+$B$97</f>
        <v>-4.7043634746807177</v>
      </c>
      <c r="R230" s="34">
        <f t="shared" si="60"/>
        <v>0</v>
      </c>
      <c r="S230" s="36">
        <f t="shared" si="61"/>
        <v>9792.9674872254345</v>
      </c>
      <c r="T230" s="40">
        <f t="shared" si="62"/>
        <v>9712.3290101427301</v>
      </c>
      <c r="U230" s="37">
        <f t="shared" si="63"/>
        <v>21.65688463513515</v>
      </c>
      <c r="V230" s="38">
        <f t="shared" si="56"/>
        <v>231</v>
      </c>
      <c r="W230" s="70"/>
      <c r="X230" s="71"/>
      <c r="Y230" s="71"/>
      <c r="Z230" s="72" t="s">
        <v>15</v>
      </c>
      <c r="AB230" s="56"/>
      <c r="AC230" s="56"/>
      <c r="AD230" s="56"/>
      <c r="AE230" s="56"/>
      <c r="AF230" s="56"/>
      <c r="AG230" s="56"/>
      <c r="AH230" s="56"/>
      <c r="AI230" s="56">
        <v>266</v>
      </c>
      <c r="AJ230" s="56">
        <v>83</v>
      </c>
      <c r="AK230" s="56">
        <v>231</v>
      </c>
      <c r="AL230" s="56">
        <v>1.45</v>
      </c>
      <c r="AM230" s="56" t="s">
        <v>507</v>
      </c>
      <c r="AN230" s="56">
        <v>120.23399999999999</v>
      </c>
      <c r="AO230" s="56" t="s">
        <v>508</v>
      </c>
      <c r="AP230" s="56" t="s">
        <v>15</v>
      </c>
      <c r="AQ230" s="56" t="s">
        <v>63</v>
      </c>
    </row>
    <row r="231" spans="1:43" s="4" customFormat="1" ht="10.199999999999999" x14ac:dyDescent="0.2">
      <c r="A231" s="8"/>
      <c r="B231" s="8"/>
      <c r="C231" s="8">
        <v>1.45</v>
      </c>
      <c r="D231" s="27"/>
      <c r="E231" s="28">
        <v>232</v>
      </c>
      <c r="F231" s="29" t="s">
        <v>509</v>
      </c>
      <c r="G231" s="10" t="s">
        <v>510</v>
      </c>
      <c r="H231" s="30">
        <f t="shared" si="57"/>
        <v>0</v>
      </c>
      <c r="I231" s="52" t="str">
        <f>[1]!Plus_ang(I230,[1]!Min_ang(F231,F230))</f>
        <v xml:space="preserve"> 195° 58' 52"</v>
      </c>
      <c r="J231" s="10" t="str">
        <f>[1]!Plus_ang([1]!Plus_ang(J230,[1]!Min_ang(F231,F230)),[1]!DestoDeg(H231/3600))</f>
        <v xml:space="preserve"> 195° 58' 52"</v>
      </c>
      <c r="K231" s="31">
        <v>120.113</v>
      </c>
      <c r="L231" s="32">
        <f>[1]!Jarakdatar(K231,G231)</f>
        <v>120.03100295116606</v>
      </c>
      <c r="M231" s="33">
        <f>L231*[1]!dsin(J231)</f>
        <v>-33.046988369169604</v>
      </c>
      <c r="N231" s="34">
        <f t="shared" si="58"/>
        <v>0</v>
      </c>
      <c r="O231" s="33">
        <f>L231*[1]!dcos(J231)</f>
        <v>-115.39210644229874</v>
      </c>
      <c r="P231" s="34">
        <f t="shared" si="59"/>
        <v>0</v>
      </c>
      <c r="Q231" s="35">
        <f>L231/[1]!dTAN(G231)-C231+$B$97</f>
        <v>-4.7674654406726606</v>
      </c>
      <c r="R231" s="34">
        <f t="shared" si="60"/>
        <v>0</v>
      </c>
      <c r="S231" s="36">
        <f t="shared" si="61"/>
        <v>9792.7986856665302</v>
      </c>
      <c r="T231" s="40">
        <f t="shared" si="62"/>
        <v>9712.5055176588085</v>
      </c>
      <c r="U231" s="37">
        <f t="shared" si="63"/>
        <v>21.593782669143209</v>
      </c>
      <c r="V231" s="38">
        <f t="shared" si="56"/>
        <v>232</v>
      </c>
      <c r="W231" s="70"/>
      <c r="X231" s="71"/>
      <c r="Y231" s="71"/>
      <c r="Z231" s="72" t="s">
        <v>15</v>
      </c>
      <c r="AB231" s="56"/>
      <c r="AC231" s="56"/>
      <c r="AD231" s="56"/>
      <c r="AE231" s="56"/>
      <c r="AF231" s="56"/>
      <c r="AG231" s="56"/>
      <c r="AH231" s="56"/>
      <c r="AI231" s="56">
        <v>268</v>
      </c>
      <c r="AJ231" s="56">
        <v>83</v>
      </c>
      <c r="AK231" s="56">
        <v>232</v>
      </c>
      <c r="AL231" s="56">
        <v>1.45</v>
      </c>
      <c r="AM231" s="56" t="s">
        <v>509</v>
      </c>
      <c r="AN231" s="56">
        <v>120.113</v>
      </c>
      <c r="AO231" s="56" t="s">
        <v>510</v>
      </c>
      <c r="AP231" s="56" t="s">
        <v>15</v>
      </c>
      <c r="AQ231" s="56" t="s">
        <v>63</v>
      </c>
    </row>
    <row r="232" spans="1:43" s="4" customFormat="1" ht="10.199999999999999" x14ac:dyDescent="0.2">
      <c r="A232" s="8"/>
      <c r="B232" s="8"/>
      <c r="C232" s="8">
        <v>1.45</v>
      </c>
      <c r="D232" s="27"/>
      <c r="E232" s="28">
        <v>233</v>
      </c>
      <c r="F232" s="29" t="s">
        <v>511</v>
      </c>
      <c r="G232" s="10" t="s">
        <v>512</v>
      </c>
      <c r="H232" s="30">
        <f t="shared" si="57"/>
        <v>0</v>
      </c>
      <c r="I232" s="52" t="str">
        <f>[1]!Plus_ang(I231,[1]!Min_ang(F232,F231))</f>
        <v xml:space="preserve"> 195° 52' 46"</v>
      </c>
      <c r="J232" s="10" t="str">
        <f>[1]!Plus_ang([1]!Plus_ang(J231,[1]!Min_ang(F232,F231)),[1]!DestoDeg(H232/3600))</f>
        <v xml:space="preserve"> 195° 52' 46"</v>
      </c>
      <c r="K232" s="31">
        <v>120.02500000000001</v>
      </c>
      <c r="L232" s="32">
        <f>[1]!Jarakdatar(K232,G232)</f>
        <v>119.94033193976524</v>
      </c>
      <c r="M232" s="33">
        <f>L232*[1]!dsin(J232)</f>
        <v>-32.817373739240367</v>
      </c>
      <c r="N232" s="34">
        <f t="shared" si="58"/>
        <v>0</v>
      </c>
      <c r="O232" s="33">
        <f>L232*[1]!dcos(J232)</f>
        <v>-115.36335296219544</v>
      </c>
      <c r="P232" s="34">
        <f t="shared" si="59"/>
        <v>0</v>
      </c>
      <c r="Q232" s="35">
        <f>L232/[1]!dTAN(G232)-C232+$B$97</f>
        <v>-4.837482576664117</v>
      </c>
      <c r="R232" s="34">
        <f t="shared" si="60"/>
        <v>0</v>
      </c>
      <c r="S232" s="36">
        <f t="shared" si="61"/>
        <v>9793.0283002964588</v>
      </c>
      <c r="T232" s="40">
        <f t="shared" si="62"/>
        <v>9712.534271138913</v>
      </c>
      <c r="U232" s="37">
        <f t="shared" si="63"/>
        <v>21.523765533151753</v>
      </c>
      <c r="V232" s="38">
        <f t="shared" si="56"/>
        <v>233</v>
      </c>
      <c r="W232" s="70"/>
      <c r="X232" s="71"/>
      <c r="Y232" s="71"/>
      <c r="Z232" s="72" t="s">
        <v>14</v>
      </c>
      <c r="AB232" s="56"/>
      <c r="AC232" s="56"/>
      <c r="AD232" s="56"/>
      <c r="AE232" s="56"/>
      <c r="AF232" s="56"/>
      <c r="AG232" s="56"/>
      <c r="AH232" s="56"/>
      <c r="AI232" s="56">
        <v>270</v>
      </c>
      <c r="AJ232" s="56">
        <v>83</v>
      </c>
      <c r="AK232" s="56">
        <v>233</v>
      </c>
      <c r="AL232" s="56">
        <v>1.45</v>
      </c>
      <c r="AM232" s="56" t="s">
        <v>511</v>
      </c>
      <c r="AN232" s="56">
        <v>120.02500000000001</v>
      </c>
      <c r="AO232" s="56" t="s">
        <v>512</v>
      </c>
      <c r="AP232" s="56" t="s">
        <v>14</v>
      </c>
      <c r="AQ232" s="56" t="s">
        <v>63</v>
      </c>
    </row>
    <row r="233" spans="1:43" s="4" customFormat="1" ht="10.199999999999999" x14ac:dyDescent="0.2">
      <c r="A233" s="8"/>
      <c r="B233" s="8"/>
      <c r="C233" s="8">
        <v>1.45</v>
      </c>
      <c r="D233" s="27"/>
      <c r="E233" s="28">
        <v>234</v>
      </c>
      <c r="F233" s="29" t="s">
        <v>513</v>
      </c>
      <c r="G233" s="10" t="s">
        <v>514</v>
      </c>
      <c r="H233" s="30">
        <f t="shared" si="57"/>
        <v>0</v>
      </c>
      <c r="I233" s="52" t="str">
        <f>[1]!Plus_ang(I232,[1]!Min_ang(F233,F232))</f>
        <v xml:space="preserve"> 195° 53' 51"</v>
      </c>
      <c r="J233" s="10" t="str">
        <f>[1]!Plus_ang([1]!Plus_ang(J232,[1]!Min_ang(F233,F232)),[1]!DestoDeg(H233/3600))</f>
        <v xml:space="preserve"> 195° 53' 51"</v>
      </c>
      <c r="K233" s="31">
        <v>119.946</v>
      </c>
      <c r="L233" s="32">
        <f>[1]!Jarakdatar(K233,G233)</f>
        <v>119.87156607765473</v>
      </c>
      <c r="M233" s="33">
        <f>L233*[1]!dsin(J233)</f>
        <v>-32.834890278677527</v>
      </c>
      <c r="N233" s="34">
        <f t="shared" si="58"/>
        <v>0</v>
      </c>
      <c r="O233" s="33">
        <f>L233*[1]!dcos(J233)</f>
        <v>-115.28686973934524</v>
      </c>
      <c r="P233" s="34">
        <f t="shared" si="59"/>
        <v>0</v>
      </c>
      <c r="Q233" s="35">
        <f>L233/[1]!dTAN(G233)-C233+$B$97</f>
        <v>-4.5549925550768986</v>
      </c>
      <c r="R233" s="34">
        <f t="shared" si="60"/>
        <v>0</v>
      </c>
      <c r="S233" s="36">
        <f t="shared" si="61"/>
        <v>9793.0107837570213</v>
      </c>
      <c r="T233" s="40">
        <f t="shared" si="62"/>
        <v>9712.6107543617618</v>
      </c>
      <c r="U233" s="37">
        <f t="shared" si="63"/>
        <v>21.806255554738968</v>
      </c>
      <c r="V233" s="38">
        <f t="shared" si="56"/>
        <v>234</v>
      </c>
      <c r="W233" s="70"/>
      <c r="X233" s="71"/>
      <c r="Y233" s="71"/>
      <c r="Z233" s="72" t="s">
        <v>14</v>
      </c>
      <c r="AB233" s="56"/>
      <c r="AC233" s="56"/>
      <c r="AD233" s="56"/>
      <c r="AE233" s="56"/>
      <c r="AF233" s="56"/>
      <c r="AG233" s="56"/>
      <c r="AH233" s="56"/>
      <c r="AI233" s="56">
        <v>272</v>
      </c>
      <c r="AJ233" s="56">
        <v>83</v>
      </c>
      <c r="AK233" s="56">
        <v>234</v>
      </c>
      <c r="AL233" s="56">
        <v>1.45</v>
      </c>
      <c r="AM233" s="56" t="s">
        <v>513</v>
      </c>
      <c r="AN233" s="56">
        <v>119.946</v>
      </c>
      <c r="AO233" s="56" t="s">
        <v>514</v>
      </c>
      <c r="AP233" s="56" t="s">
        <v>14</v>
      </c>
      <c r="AQ233" s="56" t="s">
        <v>63</v>
      </c>
    </row>
    <row r="234" spans="1:43" s="4" customFormat="1" ht="10.199999999999999" x14ac:dyDescent="0.2">
      <c r="A234" s="8"/>
      <c r="B234" s="8"/>
      <c r="C234" s="8">
        <v>1.45</v>
      </c>
      <c r="D234" s="27"/>
      <c r="E234" s="28">
        <v>235</v>
      </c>
      <c r="F234" s="29" t="s">
        <v>515</v>
      </c>
      <c r="G234" s="10" t="s">
        <v>516</v>
      </c>
      <c r="H234" s="30">
        <f t="shared" si="57"/>
        <v>0</v>
      </c>
      <c r="I234" s="52" t="str">
        <f>[1]!Plus_ang(I233,[1]!Min_ang(F234,F233))</f>
        <v xml:space="preserve"> 195° 57' 49"</v>
      </c>
      <c r="J234" s="10" t="str">
        <f>[1]!Plus_ang([1]!Plus_ang(J233,[1]!Min_ang(F234,F233)),[1]!DestoDeg(H234/3600))</f>
        <v xml:space="preserve"> 195° 57' 49"</v>
      </c>
      <c r="K234" s="31">
        <v>119.88500000000001</v>
      </c>
      <c r="L234" s="32">
        <f>[1]!Jarakdatar(K234,G234)</f>
        <v>119.8105834576001</v>
      </c>
      <c r="M234" s="33">
        <f>L234*[1]!dsin(J234)</f>
        <v>-32.951121047590227</v>
      </c>
      <c r="N234" s="34">
        <f t="shared" si="58"/>
        <v>0</v>
      </c>
      <c r="O234" s="33">
        <f>L234*[1]!dcos(J234)</f>
        <v>-115.19027532807453</v>
      </c>
      <c r="P234" s="34">
        <f t="shared" si="59"/>
        <v>0</v>
      </c>
      <c r="Q234" s="35">
        <f>L234/[1]!dTAN(G234)-C234+$B$97</f>
        <v>-4.5534247417755704</v>
      </c>
      <c r="R234" s="34">
        <f t="shared" si="60"/>
        <v>0</v>
      </c>
      <c r="S234" s="36">
        <f t="shared" si="61"/>
        <v>9792.8945529881094</v>
      </c>
      <c r="T234" s="40">
        <f t="shared" si="62"/>
        <v>9712.707348773034</v>
      </c>
      <c r="U234" s="37">
        <f t="shared" si="63"/>
        <v>21.807823368040296</v>
      </c>
      <c r="V234" s="38">
        <f t="shared" si="56"/>
        <v>235</v>
      </c>
      <c r="W234" s="70"/>
      <c r="X234" s="71"/>
      <c r="Y234" s="71"/>
      <c r="Z234" s="72" t="s">
        <v>14</v>
      </c>
      <c r="AB234" s="56"/>
      <c r="AC234" s="56"/>
      <c r="AD234" s="56"/>
      <c r="AE234" s="56"/>
      <c r="AF234" s="56"/>
      <c r="AG234" s="56"/>
      <c r="AH234" s="56"/>
      <c r="AI234" s="56">
        <v>274</v>
      </c>
      <c r="AJ234" s="56">
        <v>83</v>
      </c>
      <c r="AK234" s="56">
        <v>235</v>
      </c>
      <c r="AL234" s="56">
        <v>1.45</v>
      </c>
      <c r="AM234" s="56" t="s">
        <v>515</v>
      </c>
      <c r="AN234" s="56">
        <v>119.88500000000001</v>
      </c>
      <c r="AO234" s="56" t="s">
        <v>516</v>
      </c>
      <c r="AP234" s="56" t="s">
        <v>14</v>
      </c>
      <c r="AQ234" s="56" t="s">
        <v>63</v>
      </c>
    </row>
    <row r="235" spans="1:43" s="4" customFormat="1" ht="10.199999999999999" x14ac:dyDescent="0.2">
      <c r="A235" s="8"/>
      <c r="B235" s="8"/>
      <c r="C235" s="8">
        <v>1.45</v>
      </c>
      <c r="D235" s="27"/>
      <c r="E235" s="28">
        <v>236</v>
      </c>
      <c r="F235" s="29" t="s">
        <v>517</v>
      </c>
      <c r="G235" s="10" t="s">
        <v>518</v>
      </c>
      <c r="H235" s="30">
        <f t="shared" si="57"/>
        <v>0</v>
      </c>
      <c r="I235" s="52" t="str">
        <f>[1]!Plus_ang(I234,[1]!Min_ang(F235,F234))</f>
        <v xml:space="preserve"> 195° 51' 45"</v>
      </c>
      <c r="J235" s="10" t="str">
        <f>[1]!Plus_ang([1]!Plus_ang(J234,[1]!Min_ang(F235,F234)),[1]!DestoDeg(H235/3600))</f>
        <v xml:space="preserve"> 195° 51' 45"</v>
      </c>
      <c r="K235" s="31">
        <v>119.846</v>
      </c>
      <c r="L235" s="32">
        <f>[1]!Jarakdatar(K235,G235)</f>
        <v>119.76284894430653</v>
      </c>
      <c r="M235" s="33">
        <f>L235*[1]!dsin(J235)</f>
        <v>-32.73474379399601</v>
      </c>
      <c r="N235" s="34">
        <f t="shared" si="58"/>
        <v>0</v>
      </c>
      <c r="O235" s="33">
        <f>L235*[1]!dcos(J235)</f>
        <v>-115.20232869173358</v>
      </c>
      <c r="P235" s="34">
        <f t="shared" si="59"/>
        <v>0</v>
      </c>
      <c r="Q235" s="35">
        <f>L235/[1]!dTAN(G235)-C235+$B$97</f>
        <v>-4.7936004237855094</v>
      </c>
      <c r="R235" s="34">
        <f t="shared" si="60"/>
        <v>0</v>
      </c>
      <c r="S235" s="36">
        <f t="shared" si="61"/>
        <v>9793.1109302417044</v>
      </c>
      <c r="T235" s="40">
        <f t="shared" si="62"/>
        <v>9712.695295409374</v>
      </c>
      <c r="U235" s="37">
        <f t="shared" si="63"/>
        <v>21.567647686030359</v>
      </c>
      <c r="V235" s="38">
        <f t="shared" si="56"/>
        <v>236</v>
      </c>
      <c r="W235" s="70"/>
      <c r="X235" s="71"/>
      <c r="Y235" s="71"/>
      <c r="Z235" s="72" t="s">
        <v>66</v>
      </c>
      <c r="AB235" s="56"/>
      <c r="AC235" s="56"/>
      <c r="AD235" s="56"/>
      <c r="AE235" s="56"/>
      <c r="AF235" s="56"/>
      <c r="AG235" s="56"/>
      <c r="AH235" s="56"/>
      <c r="AI235" s="56">
        <v>276</v>
      </c>
      <c r="AJ235" s="56">
        <v>83</v>
      </c>
      <c r="AK235" s="56">
        <v>236</v>
      </c>
      <c r="AL235" s="56">
        <v>1.45</v>
      </c>
      <c r="AM235" s="56" t="s">
        <v>517</v>
      </c>
      <c r="AN235" s="56">
        <v>119.846</v>
      </c>
      <c r="AO235" s="56" t="s">
        <v>518</v>
      </c>
      <c r="AP235" s="56" t="s">
        <v>66</v>
      </c>
      <c r="AQ235" s="56" t="s">
        <v>63</v>
      </c>
    </row>
    <row r="236" spans="1:43" s="4" customFormat="1" ht="10.199999999999999" x14ac:dyDescent="0.2">
      <c r="A236" s="8"/>
      <c r="B236" s="8"/>
      <c r="C236" s="8">
        <v>1.45</v>
      </c>
      <c r="D236" s="27"/>
      <c r="E236" s="28">
        <v>237</v>
      </c>
      <c r="F236" s="29" t="s">
        <v>519</v>
      </c>
      <c r="G236" s="10" t="s">
        <v>520</v>
      </c>
      <c r="H236" s="30">
        <f t="shared" si="57"/>
        <v>0</v>
      </c>
      <c r="I236" s="52" t="str">
        <f>[1]!Plus_ang(I235,[1]!Min_ang(F236,F235))</f>
        <v xml:space="preserve"> 197° 50' 47"</v>
      </c>
      <c r="J236" s="10" t="str">
        <f>[1]!Plus_ang([1]!Plus_ang(J235,[1]!Min_ang(F236,F235)),[1]!DestoDeg(H236/3600))</f>
        <v xml:space="preserve"> 197° 50' 47"</v>
      </c>
      <c r="K236" s="31">
        <v>117.70099999999999</v>
      </c>
      <c r="L236" s="32">
        <f>[1]!Jarakdatar(K236,G236)</f>
        <v>117.61937967946123</v>
      </c>
      <c r="M236" s="33">
        <f>L236*[1]!dsin(J236)</f>
        <v>-36.046350884489485</v>
      </c>
      <c r="N236" s="34">
        <f t="shared" si="58"/>
        <v>0</v>
      </c>
      <c r="O236" s="33">
        <f>L236*[1]!dcos(J236)</f>
        <v>-111.95972072175566</v>
      </c>
      <c r="P236" s="34">
        <f t="shared" si="59"/>
        <v>0</v>
      </c>
      <c r="Q236" s="35">
        <f>L236/[1]!dTAN(G236)-C236+$B$97</f>
        <v>-4.7125705720204678</v>
      </c>
      <c r="R236" s="34">
        <f t="shared" si="60"/>
        <v>0</v>
      </c>
      <c r="S236" s="36">
        <f t="shared" si="61"/>
        <v>9789.79932315121</v>
      </c>
      <c r="T236" s="40">
        <f t="shared" si="62"/>
        <v>9715.9379033793521</v>
      </c>
      <c r="U236" s="37">
        <f t="shared" si="63"/>
        <v>21.6486775377954</v>
      </c>
      <c r="V236" s="38">
        <f t="shared" si="56"/>
        <v>237</v>
      </c>
      <c r="W236" s="70"/>
      <c r="X236" s="71"/>
      <c r="Y236" s="71"/>
      <c r="Z236" s="72" t="s">
        <v>66</v>
      </c>
      <c r="AB236" s="56"/>
      <c r="AC236" s="56"/>
      <c r="AD236" s="56"/>
      <c r="AE236" s="56"/>
      <c r="AF236" s="56"/>
      <c r="AG236" s="56"/>
      <c r="AH236" s="56"/>
      <c r="AI236" s="56">
        <v>278</v>
      </c>
      <c r="AJ236" s="56">
        <v>83</v>
      </c>
      <c r="AK236" s="56">
        <v>237</v>
      </c>
      <c r="AL236" s="56">
        <v>1.45</v>
      </c>
      <c r="AM236" s="56" t="s">
        <v>519</v>
      </c>
      <c r="AN236" s="56">
        <v>117.70099999999999</v>
      </c>
      <c r="AO236" s="56" t="s">
        <v>520</v>
      </c>
      <c r="AP236" s="56" t="s">
        <v>66</v>
      </c>
      <c r="AQ236" s="56" t="s">
        <v>63</v>
      </c>
    </row>
    <row r="237" spans="1:43" s="4" customFormat="1" ht="10.199999999999999" x14ac:dyDescent="0.2">
      <c r="A237" s="8"/>
      <c r="B237" s="8"/>
      <c r="C237" s="8">
        <v>1.45</v>
      </c>
      <c r="D237" s="27"/>
      <c r="E237" s="28">
        <v>238</v>
      </c>
      <c r="F237" s="29" t="s">
        <v>521</v>
      </c>
      <c r="G237" s="10" t="s">
        <v>522</v>
      </c>
      <c r="H237" s="30">
        <f t="shared" si="57"/>
        <v>0</v>
      </c>
      <c r="I237" s="52" t="str">
        <f>[1]!Plus_ang(I236,[1]!Min_ang(F237,F236))</f>
        <v xml:space="preserve"> 197° 55' 50"</v>
      </c>
      <c r="J237" s="10" t="str">
        <f>[1]!Plus_ang([1]!Plus_ang(J236,[1]!Min_ang(F237,F236)),[1]!DestoDeg(H237/3600))</f>
        <v xml:space="preserve"> 197° 55' 50"</v>
      </c>
      <c r="K237" s="31">
        <v>117.443</v>
      </c>
      <c r="L237" s="32">
        <f>[1]!Jarakdatar(K237,G237)</f>
        <v>117.3615797901418</v>
      </c>
      <c r="M237" s="33">
        <f>L237*[1]!dsin(J237)</f>
        <v>-36.131411814738229</v>
      </c>
      <c r="N237" s="34">
        <f t="shared" si="58"/>
        <v>0</v>
      </c>
      <c r="O237" s="33">
        <f>L237*[1]!dcos(J237)</f>
        <v>-111.66136973506825</v>
      </c>
      <c r="P237" s="34">
        <f t="shared" si="59"/>
        <v>0</v>
      </c>
      <c r="Q237" s="35">
        <f>L237/[1]!dTAN(G237)-C237+$B$97</f>
        <v>-4.7023950144257833</v>
      </c>
      <c r="R237" s="34">
        <f t="shared" si="60"/>
        <v>0</v>
      </c>
      <c r="S237" s="36">
        <f t="shared" si="61"/>
        <v>9789.7142622209612</v>
      </c>
      <c r="T237" s="40">
        <f t="shared" si="62"/>
        <v>9716.2362543660402</v>
      </c>
      <c r="U237" s="37">
        <f t="shared" si="63"/>
        <v>21.658853095390086</v>
      </c>
      <c r="V237" s="38">
        <f t="shared" si="56"/>
        <v>238</v>
      </c>
      <c r="W237" s="70"/>
      <c r="X237" s="71"/>
      <c r="Y237" s="71"/>
      <c r="Z237" s="72" t="s">
        <v>3</v>
      </c>
      <c r="AB237" s="56"/>
      <c r="AC237" s="56"/>
      <c r="AD237" s="56"/>
      <c r="AE237" s="56"/>
      <c r="AF237" s="56"/>
      <c r="AG237" s="56"/>
      <c r="AH237" s="56"/>
      <c r="AI237" s="56">
        <v>280</v>
      </c>
      <c r="AJ237" s="56">
        <v>83</v>
      </c>
      <c r="AK237" s="56">
        <v>238</v>
      </c>
      <c r="AL237" s="56">
        <v>1.45</v>
      </c>
      <c r="AM237" s="56" t="s">
        <v>521</v>
      </c>
      <c r="AN237" s="56">
        <v>117.443</v>
      </c>
      <c r="AO237" s="56" t="s">
        <v>522</v>
      </c>
      <c r="AP237" s="56" t="s">
        <v>3</v>
      </c>
      <c r="AQ237" s="56" t="s">
        <v>63</v>
      </c>
    </row>
    <row r="238" spans="1:43" s="4" customFormat="1" ht="10.199999999999999" x14ac:dyDescent="0.2">
      <c r="A238" s="8"/>
      <c r="B238" s="8"/>
      <c r="C238" s="8">
        <v>1.45</v>
      </c>
      <c r="D238" s="27"/>
      <c r="E238" s="28">
        <v>239</v>
      </c>
      <c r="F238" s="29" t="s">
        <v>523</v>
      </c>
      <c r="G238" s="10" t="s">
        <v>524</v>
      </c>
      <c r="H238" s="30">
        <f t="shared" si="57"/>
        <v>0</v>
      </c>
      <c r="I238" s="52" t="str">
        <f>[1]!Plus_ang(I237,[1]!Min_ang(F238,F237))</f>
        <v xml:space="preserve"> 197° 56' 50"</v>
      </c>
      <c r="J238" s="10" t="str">
        <f>[1]!Plus_ang([1]!Plus_ang(J237,[1]!Min_ang(F238,F237)),[1]!DestoDeg(H238/3600))</f>
        <v xml:space="preserve"> 197° 56' 50"</v>
      </c>
      <c r="K238" s="31">
        <v>116.774</v>
      </c>
      <c r="L238" s="32">
        <f>[1]!Jarakdatar(K238,G238)</f>
        <v>116.69918255211158</v>
      </c>
      <c r="M238" s="33">
        <f>L238*[1]!dsin(J238)</f>
        <v>-35.959779645616933</v>
      </c>
      <c r="N238" s="34">
        <f t="shared" si="58"/>
        <v>0</v>
      </c>
      <c r="O238" s="33">
        <f>L238*[1]!dcos(J238)</f>
        <v>-111.02068931586463</v>
      </c>
      <c r="P238" s="34">
        <f t="shared" si="59"/>
        <v>0</v>
      </c>
      <c r="Q238" s="35">
        <f>L238/[1]!dTAN(G238)-C238+$B$97</f>
        <v>-4.5094578199731439</v>
      </c>
      <c r="R238" s="34">
        <f t="shared" si="60"/>
        <v>0</v>
      </c>
      <c r="S238" s="36">
        <f t="shared" si="61"/>
        <v>9789.8858943900832</v>
      </c>
      <c r="T238" s="40">
        <f t="shared" si="62"/>
        <v>9716.8769347852431</v>
      </c>
      <c r="U238" s="37">
        <f t="shared" si="63"/>
        <v>21.851790289842725</v>
      </c>
      <c r="V238" s="38">
        <f t="shared" si="56"/>
        <v>239</v>
      </c>
      <c r="W238" s="70"/>
      <c r="X238" s="71"/>
      <c r="Y238" s="71"/>
      <c r="Z238" s="72" t="s">
        <v>14</v>
      </c>
      <c r="AB238" s="56"/>
      <c r="AC238" s="56"/>
      <c r="AD238" s="56"/>
      <c r="AE238" s="56"/>
      <c r="AF238" s="56"/>
      <c r="AG238" s="56"/>
      <c r="AH238" s="56"/>
      <c r="AI238" s="56">
        <v>282</v>
      </c>
      <c r="AJ238" s="56">
        <v>83</v>
      </c>
      <c r="AK238" s="56">
        <v>239</v>
      </c>
      <c r="AL238" s="56">
        <v>1.45</v>
      </c>
      <c r="AM238" s="56" t="s">
        <v>523</v>
      </c>
      <c r="AN238" s="56">
        <v>116.774</v>
      </c>
      <c r="AO238" s="56" t="s">
        <v>524</v>
      </c>
      <c r="AP238" s="56" t="s">
        <v>14</v>
      </c>
      <c r="AQ238" s="56" t="s">
        <v>63</v>
      </c>
    </row>
    <row r="239" spans="1:43" s="4" customFormat="1" ht="10.199999999999999" x14ac:dyDescent="0.2">
      <c r="A239" s="8"/>
      <c r="B239" s="8"/>
      <c r="C239" s="8">
        <v>1.45</v>
      </c>
      <c r="D239" s="27"/>
      <c r="E239" s="28">
        <v>240</v>
      </c>
      <c r="F239" s="29" t="s">
        <v>525</v>
      </c>
      <c r="G239" s="10" t="s">
        <v>526</v>
      </c>
      <c r="H239" s="30">
        <f t="shared" si="57"/>
        <v>0</v>
      </c>
      <c r="I239" s="52" t="str">
        <f>[1]!Plus_ang(I238,[1]!Min_ang(F239,F238))</f>
        <v xml:space="preserve"> 198° 55' 47"</v>
      </c>
      <c r="J239" s="10" t="str">
        <f>[1]!Plus_ang([1]!Plus_ang(J238,[1]!Min_ang(F239,F238)),[1]!DestoDeg(H239/3600))</f>
        <v xml:space="preserve"> 198° 55' 47"</v>
      </c>
      <c r="K239" s="31">
        <v>116.306</v>
      </c>
      <c r="L239" s="32">
        <f>[1]!Jarakdatar(K239,G239)</f>
        <v>116.23264832574976</v>
      </c>
      <c r="M239" s="33">
        <f>L239*[1]!dsin(J239)</f>
        <v>-37.706819223903942</v>
      </c>
      <c r="N239" s="34">
        <f t="shared" si="58"/>
        <v>0</v>
      </c>
      <c r="O239" s="33">
        <f>L239*[1]!dcos(J239)</f>
        <v>-109.94646115647947</v>
      </c>
      <c r="P239" s="34">
        <f t="shared" si="59"/>
        <v>0</v>
      </c>
      <c r="Q239" s="35">
        <f>L239/[1]!dTAN(G239)-C239+$B$97</f>
        <v>-4.4600241140434456</v>
      </c>
      <c r="R239" s="34">
        <f t="shared" si="60"/>
        <v>0</v>
      </c>
      <c r="S239" s="36">
        <f t="shared" si="61"/>
        <v>9788.1388548117957</v>
      </c>
      <c r="T239" s="40">
        <f t="shared" si="62"/>
        <v>9717.9511629446279</v>
      </c>
      <c r="U239" s="37">
        <f t="shared" si="63"/>
        <v>21.901223995772423</v>
      </c>
      <c r="V239" s="38">
        <f t="shared" si="56"/>
        <v>240</v>
      </c>
      <c r="W239" s="70"/>
      <c r="X239" s="71"/>
      <c r="Y239" s="71"/>
      <c r="Z239" s="72" t="s">
        <v>64</v>
      </c>
      <c r="AB239" s="56"/>
      <c r="AC239" s="56"/>
      <c r="AD239" s="56"/>
      <c r="AE239" s="56"/>
      <c r="AF239" s="56"/>
      <c r="AG239" s="56"/>
      <c r="AH239" s="56"/>
      <c r="AI239" s="56">
        <v>284</v>
      </c>
      <c r="AJ239" s="56">
        <v>83</v>
      </c>
      <c r="AK239" s="56">
        <v>240</v>
      </c>
      <c r="AL239" s="56">
        <v>1.45</v>
      </c>
      <c r="AM239" s="56" t="s">
        <v>525</v>
      </c>
      <c r="AN239" s="56">
        <v>116.306</v>
      </c>
      <c r="AO239" s="56" t="s">
        <v>526</v>
      </c>
      <c r="AP239" s="56" t="s">
        <v>64</v>
      </c>
      <c r="AQ239" s="56" t="s">
        <v>63</v>
      </c>
    </row>
    <row r="240" spans="1:43" s="4" customFormat="1" ht="10.199999999999999" x14ac:dyDescent="0.2">
      <c r="A240" s="8"/>
      <c r="B240" s="8"/>
      <c r="C240" s="8">
        <v>2.5</v>
      </c>
      <c r="D240" s="27"/>
      <c r="E240" s="28">
        <v>241</v>
      </c>
      <c r="F240" s="29" t="s">
        <v>527</v>
      </c>
      <c r="G240" s="10" t="s">
        <v>528</v>
      </c>
      <c r="H240" s="30">
        <f t="shared" si="57"/>
        <v>0</v>
      </c>
      <c r="I240" s="52" t="str">
        <f>[1]!Plus_ang(I239,[1]!Min_ang(F240,F239))</f>
        <v xml:space="preserve"> 212° 52' 50"</v>
      </c>
      <c r="J240" s="10" t="str">
        <f>[1]!Plus_ang([1]!Plus_ang(J239,[1]!Min_ang(F240,F239)),[1]!DestoDeg(H240/3600))</f>
        <v xml:space="preserve"> 212° 52' 50"</v>
      </c>
      <c r="K240" s="31">
        <v>105.75700000000001</v>
      </c>
      <c r="L240" s="32">
        <f>[1]!Jarakdatar(K240,G240)</f>
        <v>105.48189105362611</v>
      </c>
      <c r="M240" s="33">
        <f>L240*[1]!dsin(J240)</f>
        <v>-57.265008692273184</v>
      </c>
      <c r="N240" s="34">
        <f t="shared" si="58"/>
        <v>0</v>
      </c>
      <c r="O240" s="33">
        <f>L240*[1]!dcos(J240)</f>
        <v>-88.584130179863067</v>
      </c>
      <c r="P240" s="34">
        <f t="shared" si="59"/>
        <v>0</v>
      </c>
      <c r="Q240" s="35">
        <f>L240/[1]!dTAN(G240)-C240+$B$97</f>
        <v>-9.0032347957379315</v>
      </c>
      <c r="R240" s="34">
        <f t="shared" si="60"/>
        <v>0</v>
      </c>
      <c r="S240" s="36">
        <f t="shared" si="61"/>
        <v>9768.5806653434265</v>
      </c>
      <c r="T240" s="40">
        <f t="shared" si="62"/>
        <v>9739.313493921245</v>
      </c>
      <c r="U240" s="37">
        <f t="shared" si="63"/>
        <v>17.358013314077937</v>
      </c>
      <c r="V240" s="38">
        <f t="shared" si="56"/>
        <v>241</v>
      </c>
      <c r="W240" s="70"/>
      <c r="X240" s="71"/>
      <c r="Y240" s="71"/>
      <c r="Z240" s="72" t="s">
        <v>65</v>
      </c>
      <c r="AB240" s="56"/>
      <c r="AC240" s="56"/>
      <c r="AD240" s="56"/>
      <c r="AE240" s="56"/>
      <c r="AF240" s="56"/>
      <c r="AG240" s="56"/>
      <c r="AH240" s="56"/>
      <c r="AI240" s="56">
        <v>286</v>
      </c>
      <c r="AJ240" s="56">
        <v>83</v>
      </c>
      <c r="AK240" s="56">
        <v>241</v>
      </c>
      <c r="AL240" s="56">
        <v>2.5</v>
      </c>
      <c r="AM240" s="56" t="s">
        <v>527</v>
      </c>
      <c r="AN240" s="56">
        <v>105.75700000000001</v>
      </c>
      <c r="AO240" s="56" t="s">
        <v>528</v>
      </c>
      <c r="AP240" s="56" t="s">
        <v>65</v>
      </c>
      <c r="AQ240" s="56" t="s">
        <v>63</v>
      </c>
    </row>
    <row r="241" spans="1:55" s="4" customFormat="1" ht="10.199999999999999" x14ac:dyDescent="0.2">
      <c r="A241" s="8"/>
      <c r="B241" s="8"/>
      <c r="C241" s="8">
        <v>2.5</v>
      </c>
      <c r="D241" s="27"/>
      <c r="E241" s="28">
        <v>242</v>
      </c>
      <c r="F241" s="29" t="s">
        <v>529</v>
      </c>
      <c r="G241" s="10" t="s">
        <v>410</v>
      </c>
      <c r="H241" s="30">
        <f t="shared" si="57"/>
        <v>0</v>
      </c>
      <c r="I241" s="52" t="str">
        <f>[1]!Plus_ang(I240,[1]!Min_ang(F241,F240))</f>
        <v xml:space="preserve"> 205° 58' 53"</v>
      </c>
      <c r="J241" s="10" t="str">
        <f>[1]!Plus_ang([1]!Plus_ang(J240,[1]!Min_ang(F241,F240)),[1]!DestoDeg(H241/3600))</f>
        <v xml:space="preserve"> 205° 58' 53"</v>
      </c>
      <c r="K241" s="31">
        <v>109.58</v>
      </c>
      <c r="L241" s="32">
        <f>[1]!Jarakdatar(K241,G241)</f>
        <v>109.31288330164105</v>
      </c>
      <c r="M241" s="33">
        <f>L241*[1]!dsin(J241)</f>
        <v>-47.887697486830028</v>
      </c>
      <c r="N241" s="34">
        <f t="shared" si="58"/>
        <v>0</v>
      </c>
      <c r="O241" s="33">
        <f>L241*[1]!dcos(J241)</f>
        <v>-98.265329008394644</v>
      </c>
      <c r="P241" s="34">
        <f t="shared" si="59"/>
        <v>0</v>
      </c>
      <c r="Q241" s="35">
        <f>L241/[1]!dTAN(G241)-C241+$B$97</f>
        <v>-9.0265642141948916</v>
      </c>
      <c r="R241" s="34">
        <f t="shared" si="60"/>
        <v>0</v>
      </c>
      <c r="S241" s="36">
        <f t="shared" si="61"/>
        <v>9777.9579765488688</v>
      </c>
      <c r="T241" s="40">
        <f t="shared" si="62"/>
        <v>9729.6322950927133</v>
      </c>
      <c r="U241" s="37">
        <f t="shared" si="63"/>
        <v>17.334683895620977</v>
      </c>
      <c r="V241" s="38">
        <f t="shared" si="56"/>
        <v>242</v>
      </c>
      <c r="W241" s="70"/>
      <c r="X241" s="71"/>
      <c r="Y241" s="71"/>
      <c r="Z241" s="72" t="s">
        <v>65</v>
      </c>
      <c r="AB241" s="56"/>
      <c r="AC241" s="56"/>
      <c r="AD241" s="56"/>
      <c r="AE241" s="56"/>
      <c r="AF241" s="56"/>
      <c r="AG241" s="56"/>
      <c r="AH241" s="56"/>
      <c r="AI241" s="56">
        <v>288</v>
      </c>
      <c r="AJ241" s="56">
        <v>83</v>
      </c>
      <c r="AK241" s="56">
        <v>242</v>
      </c>
      <c r="AL241" s="56">
        <v>2.5</v>
      </c>
      <c r="AM241" s="56" t="s">
        <v>529</v>
      </c>
      <c r="AN241" s="56">
        <v>109.58</v>
      </c>
      <c r="AO241" s="56" t="s">
        <v>410</v>
      </c>
      <c r="AP241" s="56" t="s">
        <v>65</v>
      </c>
      <c r="AQ241" s="56" t="s">
        <v>63</v>
      </c>
    </row>
    <row r="242" spans="1:55" s="4" customFormat="1" ht="10.199999999999999" x14ac:dyDescent="0.2">
      <c r="A242" s="8"/>
      <c r="B242" s="8"/>
      <c r="C242" s="8">
        <v>2.5</v>
      </c>
      <c r="D242" s="27"/>
      <c r="E242" s="28">
        <v>243</v>
      </c>
      <c r="F242" s="29" t="s">
        <v>530</v>
      </c>
      <c r="G242" s="10" t="s">
        <v>531</v>
      </c>
      <c r="H242" s="30">
        <f t="shared" si="57"/>
        <v>0</v>
      </c>
      <c r="I242" s="52" t="str">
        <f>[1]!Plus_ang(I241,[1]!Min_ang(F242,F241))</f>
        <v xml:space="preserve"> 200° 54' 46"</v>
      </c>
      <c r="J242" s="10" t="str">
        <f>[1]!Plus_ang([1]!Plus_ang(J241,[1]!Min_ang(F242,F241)),[1]!DestoDeg(H242/3600))</f>
        <v xml:space="preserve"> 200° 54' 46"</v>
      </c>
      <c r="K242" s="31">
        <v>113.72199999999999</v>
      </c>
      <c r="L242" s="32">
        <f>[1]!Jarakdatar(K242,G242)</f>
        <v>113.56588814918514</v>
      </c>
      <c r="M242" s="33">
        <f>L242*[1]!dsin(J242)</f>
        <v>-40.536927146727436</v>
      </c>
      <c r="N242" s="34">
        <f t="shared" si="58"/>
        <v>0</v>
      </c>
      <c r="O242" s="33">
        <f>L242*[1]!dcos(J242)</f>
        <v>-106.08472316320641</v>
      </c>
      <c r="P242" s="34">
        <f t="shared" si="59"/>
        <v>0</v>
      </c>
      <c r="Q242" s="35">
        <f>L242/[1]!dTAN(G242)-C242+$B$97</f>
        <v>-7.3367048681942366</v>
      </c>
      <c r="R242" s="34">
        <f t="shared" si="60"/>
        <v>0</v>
      </c>
      <c r="S242" s="36">
        <f t="shared" si="61"/>
        <v>9785.3087468889717</v>
      </c>
      <c r="T242" s="40">
        <f t="shared" si="62"/>
        <v>9721.8129009379008</v>
      </c>
      <c r="U242" s="37">
        <f t="shared" si="63"/>
        <v>19.024543241621632</v>
      </c>
      <c r="V242" s="38">
        <f t="shared" si="56"/>
        <v>243</v>
      </c>
      <c r="W242" s="70"/>
      <c r="X242" s="71"/>
      <c r="Y242" s="71"/>
      <c r="Z242" s="72" t="s">
        <v>65</v>
      </c>
      <c r="AB242" s="56"/>
      <c r="AC242" s="56"/>
      <c r="AD242" s="56"/>
      <c r="AE242" s="56"/>
      <c r="AF242" s="56"/>
      <c r="AG242" s="56"/>
      <c r="AH242" s="56"/>
      <c r="AI242" s="56">
        <v>290</v>
      </c>
      <c r="AJ242" s="56">
        <v>83</v>
      </c>
      <c r="AK242" s="56">
        <v>243</v>
      </c>
      <c r="AL242" s="56">
        <v>2.5</v>
      </c>
      <c r="AM242" s="56" t="s">
        <v>530</v>
      </c>
      <c r="AN242" s="56">
        <v>113.72199999999999</v>
      </c>
      <c r="AO242" s="56" t="s">
        <v>531</v>
      </c>
      <c r="AP242" s="56" t="s">
        <v>65</v>
      </c>
      <c r="AQ242" s="56" t="s">
        <v>63</v>
      </c>
    </row>
    <row r="243" spans="1:55" s="4" customFormat="1" ht="10.199999999999999" x14ac:dyDescent="0.2">
      <c r="A243" s="8"/>
      <c r="B243" s="8"/>
      <c r="C243" s="8">
        <v>1.45</v>
      </c>
      <c r="D243" s="27"/>
      <c r="E243" s="28" t="s">
        <v>74</v>
      </c>
      <c r="F243" s="29" t="s">
        <v>532</v>
      </c>
      <c r="G243" s="10" t="s">
        <v>533</v>
      </c>
      <c r="H243" s="30">
        <f t="shared" si="57"/>
        <v>0</v>
      </c>
      <c r="I243" s="52" t="str">
        <f>[1]!Plus_ang(I242,[1]!Min_ang(F243,F242))</f>
        <v xml:space="preserve"> 224° 59' 46"</v>
      </c>
      <c r="J243" s="10" t="str">
        <f>[1]!Plus_ang([1]!Plus_ang(J242,[1]!Min_ang(F243,F242)),[1]!DestoDeg(H243/3600))</f>
        <v xml:space="preserve"> 224° 59' 46"</v>
      </c>
      <c r="K243" s="31">
        <v>154.697</v>
      </c>
      <c r="L243" s="32">
        <f>[1]!Jarakdatar(K243,G243)</f>
        <v>154.69657937838599</v>
      </c>
      <c r="M243" s="33">
        <f>L243*[1]!dsin(J243)</f>
        <v>-109.37957552886004</v>
      </c>
      <c r="N243" s="34">
        <f t="shared" si="58"/>
        <v>0</v>
      </c>
      <c r="O243" s="33">
        <f>L243*[1]!dcos(J243)</f>
        <v>-109.39442457684797</v>
      </c>
      <c r="P243" s="34">
        <f t="shared" si="59"/>
        <v>0</v>
      </c>
      <c r="Q243" s="35">
        <f>L243/[1]!dTAN(G243)-C243+$B$97</f>
        <v>-0.69074593099115456</v>
      </c>
      <c r="R243" s="34">
        <f t="shared" si="60"/>
        <v>0</v>
      </c>
      <c r="S243" s="36">
        <f t="shared" si="61"/>
        <v>9716.4660985068404</v>
      </c>
      <c r="T243" s="40">
        <f t="shared" si="62"/>
        <v>9718.5031995242607</v>
      </c>
      <c r="U243" s="37">
        <f t="shared" si="63"/>
        <v>25.670502178824712</v>
      </c>
      <c r="V243" s="38" t="str">
        <f t="shared" si="56"/>
        <v>K28</v>
      </c>
      <c r="W243" s="70"/>
      <c r="X243" s="71"/>
      <c r="Y243" s="71"/>
      <c r="Z243" s="72" t="s">
        <v>74</v>
      </c>
      <c r="AB243" s="56"/>
      <c r="AC243" s="56"/>
      <c r="AD243" s="56"/>
      <c r="AE243" s="56"/>
      <c r="AF243" s="56"/>
      <c r="AG243" s="56"/>
      <c r="AH243" s="56"/>
      <c r="AI243" s="56">
        <v>292</v>
      </c>
      <c r="AJ243" s="56">
        <v>83</v>
      </c>
      <c r="AK243" s="56" t="s">
        <v>74</v>
      </c>
      <c r="AL243" s="56">
        <v>1.45</v>
      </c>
      <c r="AM243" s="56" t="s">
        <v>532</v>
      </c>
      <c r="AN243" s="56">
        <v>154.697</v>
      </c>
      <c r="AO243" s="56" t="s">
        <v>533</v>
      </c>
      <c r="AP243" s="56" t="s">
        <v>74</v>
      </c>
      <c r="AQ243" s="56" t="s">
        <v>63</v>
      </c>
    </row>
    <row r="244" spans="1:55" s="4" customFormat="1" ht="10.199999999999999" x14ac:dyDescent="0.2">
      <c r="A244" s="8"/>
      <c r="B244" s="8"/>
      <c r="C244" s="8">
        <v>1.45</v>
      </c>
      <c r="D244" s="27"/>
      <c r="E244" s="28" t="s">
        <v>75</v>
      </c>
      <c r="F244" s="29" t="s">
        <v>534</v>
      </c>
      <c r="G244" s="10" t="s">
        <v>535</v>
      </c>
      <c r="H244" s="30">
        <f t="shared" si="57"/>
        <v>0</v>
      </c>
      <c r="I244" s="52" t="str">
        <f>[1]!Plus_ang(I243,[1]!Min_ang(F244,F243))</f>
        <v xml:space="preserve"> 224° 54' 49"</v>
      </c>
      <c r="J244" s="10" t="str">
        <f>[1]!Plus_ang([1]!Plus_ang(J243,[1]!Min_ang(F244,F243)),[1]!DestoDeg(H244/3600))</f>
        <v xml:space="preserve"> 224° 54' 49"</v>
      </c>
      <c r="K244" s="31">
        <v>204.12299999999999</v>
      </c>
      <c r="L244" s="32">
        <f>[1]!Jarakdatar(K244,G244)</f>
        <v>204.12244267880533</v>
      </c>
      <c r="M244" s="33">
        <f>L244*[1]!dsin(J244)</f>
        <v>-144.11857331011674</v>
      </c>
      <c r="N244" s="34">
        <f t="shared" si="58"/>
        <v>0</v>
      </c>
      <c r="O244" s="33">
        <f>L244*[1]!dcos(J244)</f>
        <v>-144.55382538078567</v>
      </c>
      <c r="P244" s="34">
        <f t="shared" si="59"/>
        <v>0</v>
      </c>
      <c r="Q244" s="35">
        <f>L244/[1]!dTAN(G244)-C244+$B$97</f>
        <v>-0.80699458888385411</v>
      </c>
      <c r="R244" s="34">
        <f t="shared" si="60"/>
        <v>-3.6624480357215159</v>
      </c>
      <c r="S244" s="36">
        <f t="shared" si="61"/>
        <v>9681.7271007255822</v>
      </c>
      <c r="T244" s="40">
        <f t="shared" si="62"/>
        <v>9683.3437987203215</v>
      </c>
      <c r="U244" s="37">
        <f t="shared" si="63"/>
        <v>21.891805485210497</v>
      </c>
      <c r="V244" s="38" t="str">
        <f t="shared" si="56"/>
        <v>K29</v>
      </c>
      <c r="W244" s="70" t="s">
        <v>92</v>
      </c>
      <c r="X244" s="71"/>
      <c r="Y244" s="71"/>
      <c r="Z244" s="72" t="s">
        <v>75</v>
      </c>
      <c r="AB244" s="56"/>
      <c r="AC244" s="56"/>
      <c r="AD244" s="56"/>
      <c r="AE244" s="56"/>
      <c r="AF244" s="56"/>
      <c r="AG244" s="56"/>
      <c r="AH244" s="56"/>
      <c r="AI244" s="56">
        <v>294</v>
      </c>
      <c r="AJ244" s="56">
        <v>83</v>
      </c>
      <c r="AK244" s="56" t="s">
        <v>75</v>
      </c>
      <c r="AL244" s="56">
        <v>1.45</v>
      </c>
      <c r="AM244" s="56" t="s">
        <v>534</v>
      </c>
      <c r="AN244" s="56">
        <v>204.12299999999999</v>
      </c>
      <c r="AO244" s="56" t="s">
        <v>535</v>
      </c>
      <c r="AP244" s="56" t="s">
        <v>75</v>
      </c>
      <c r="AQ244" s="56" t="s">
        <v>63</v>
      </c>
    </row>
    <row r="245" spans="1:55" s="4" customFormat="1" ht="10.199999999999999" x14ac:dyDescent="0.2">
      <c r="A245" s="8"/>
      <c r="B245" s="8"/>
      <c r="C245" s="8"/>
      <c r="D245" s="27"/>
      <c r="E245" s="28"/>
      <c r="F245" s="29"/>
      <c r="G245" s="10"/>
      <c r="H245" s="30"/>
      <c r="I245" s="52"/>
      <c r="J245" s="10"/>
      <c r="K245" s="31"/>
      <c r="L245" s="32"/>
      <c r="M245" s="33"/>
      <c r="N245" s="34"/>
      <c r="O245" s="33"/>
      <c r="P245" s="34"/>
      <c r="Q245" s="35"/>
      <c r="R245" s="34"/>
      <c r="S245" s="36"/>
      <c r="T245" s="40"/>
      <c r="U245" s="37"/>
      <c r="V245" s="38"/>
      <c r="W245" s="70"/>
      <c r="X245" s="71"/>
      <c r="Y245" s="71"/>
      <c r="Z245" s="72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</row>
    <row r="246" spans="1:55" s="4" customFormat="1" ht="10.199999999999999" x14ac:dyDescent="0.2">
      <c r="A246" s="8">
        <v>4</v>
      </c>
      <c r="B246" s="8">
        <v>1.2050000000000001</v>
      </c>
      <c r="C246" s="8">
        <v>1.45</v>
      </c>
      <c r="D246" s="27" t="s">
        <v>75</v>
      </c>
      <c r="E246" s="28" t="s">
        <v>69</v>
      </c>
      <c r="F246" s="29" t="s">
        <v>536</v>
      </c>
      <c r="G246" s="10" t="s">
        <v>537</v>
      </c>
      <c r="H246" s="30"/>
      <c r="I246" s="52" t="str">
        <f>[1]!Plus_ang(VLOOKUP($D$246,$E$14:$I$244,5),[1]!DestoDeg(180))</f>
        <v xml:space="preserve"> 44° 54' 49"</v>
      </c>
      <c r="J246" s="10" t="str">
        <f>[1]!Plus_ang(VLOOKUP($D$246,$E$14:$J$244,6),[1]!DestoDeg(180))</f>
        <v xml:space="preserve"> 44° 54' 49"</v>
      </c>
      <c r="K246" s="31">
        <v>204.17</v>
      </c>
      <c r="L246" s="32">
        <f>[1]!Jarakdatar(K246,G246)</f>
        <v>204.14008448415538</v>
      </c>
      <c r="M246" s="33"/>
      <c r="N246" s="34"/>
      <c r="O246" s="33"/>
      <c r="P246" s="34"/>
      <c r="Q246" s="35"/>
      <c r="R246" s="34"/>
      <c r="S246" s="36">
        <f>VLOOKUP($D$246,$E$14:$S$244,15,0)</f>
        <v>9681.7271007255822</v>
      </c>
      <c r="T246" s="40">
        <f>VLOOKUP($D$246,$E$14:$T$244,16,0)</f>
        <v>9683.3437987203215</v>
      </c>
      <c r="U246" s="37">
        <f>VLOOKUP($D$246,$E$14:$U$244,17,0)</f>
        <v>21.891805485210497</v>
      </c>
      <c r="V246" s="38" t="str">
        <f t="shared" ref="V246:V277" si="64">IF(A246&lt;&gt;"",D246,E246)</f>
        <v>K29</v>
      </c>
      <c r="W246" s="70"/>
      <c r="X246" s="71"/>
      <c r="Y246" s="71"/>
      <c r="Z246" s="72" t="s">
        <v>69</v>
      </c>
      <c r="AB246" s="56">
        <v>6</v>
      </c>
      <c r="AC246" s="56" t="s">
        <v>75</v>
      </c>
      <c r="AD246" s="56">
        <v>1.2050000000000001</v>
      </c>
      <c r="AE246" s="56">
        <v>0</v>
      </c>
      <c r="AF246" s="56">
        <v>0</v>
      </c>
      <c r="AG246" s="56">
        <v>2E-3</v>
      </c>
      <c r="AH246" s="56">
        <v>1E-3</v>
      </c>
      <c r="AI246" s="56">
        <v>2</v>
      </c>
      <c r="AJ246" s="56" t="s">
        <v>75</v>
      </c>
      <c r="AK246" s="56" t="s">
        <v>69</v>
      </c>
      <c r="AL246" s="56">
        <v>1.45</v>
      </c>
      <c r="AM246" s="56" t="s">
        <v>536</v>
      </c>
      <c r="AN246" s="56">
        <v>204.17</v>
      </c>
      <c r="AO246" s="56" t="s">
        <v>537</v>
      </c>
      <c r="AP246" s="56" t="s">
        <v>69</v>
      </c>
      <c r="AQ246" s="56" t="s">
        <v>63</v>
      </c>
    </row>
    <row r="247" spans="1:55" s="4" customFormat="1" ht="10.199999999999999" x14ac:dyDescent="0.2">
      <c r="A247" s="8"/>
      <c r="B247" s="8"/>
      <c r="C247" s="8">
        <v>1.45</v>
      </c>
      <c r="D247" s="27"/>
      <c r="E247" s="28">
        <v>247</v>
      </c>
      <c r="F247" s="29" t="s">
        <v>538</v>
      </c>
      <c r="G247" s="10" t="s">
        <v>539</v>
      </c>
      <c r="H247" s="30">
        <f t="shared" ref="H247:H278" si="65">IF($Y$7="y",$C$416,0)</f>
        <v>0</v>
      </c>
      <c r="I247" s="52" t="str">
        <f>[1]!Plus_ang(I246,[1]!Min_ang(F247,F246))</f>
        <v xml:space="preserve"> 123° 57' 54"</v>
      </c>
      <c r="J247" s="10" t="str">
        <f>[1]!Plus_ang([1]!Plus_ang(J246,[1]!Min_ang(F247,F246)),[1]!DestoDeg(H247/3600))</f>
        <v xml:space="preserve"> 123° 57' 54"</v>
      </c>
      <c r="K247" s="31">
        <v>52.465000000000003</v>
      </c>
      <c r="L247" s="32">
        <f>[1]!Jarakdatar(K247,G247)</f>
        <v>52.253204631625657</v>
      </c>
      <c r="M247" s="33">
        <f>L247*[1]!dsin(J247)</f>
        <v>43.337711093245623</v>
      </c>
      <c r="N247" s="34">
        <f t="shared" ref="N247:N278" si="66">IF($Y$8="Y",($Y$4*L247/$L$413),0)</f>
        <v>0</v>
      </c>
      <c r="O247" s="33">
        <f>L247*[1]!dcos(J247)</f>
        <v>-29.193153160851264</v>
      </c>
      <c r="P247" s="34">
        <f t="shared" ref="P247:P278" si="67">IF($Y$8="Y",($Y$5*L247/$L$413),0)</f>
        <v>0</v>
      </c>
      <c r="Q247" s="35">
        <f>L247/[1]!dTAN(G247)-C247+$B$246</f>
        <v>-4.9544405958091406</v>
      </c>
      <c r="R247" s="34">
        <f t="shared" ref="R247:R278" si="68">IF(AND($Y$8="Y",W247="P"),($Y$6*L247/$L$413),0)</f>
        <v>0</v>
      </c>
      <c r="S247" s="36">
        <f t="shared" ref="S247:S278" si="69">$S$246+M247+N247</f>
        <v>9725.0648118188274</v>
      </c>
      <c r="T247" s="40">
        <f t="shared" ref="T247:T278" si="70">$T$246+O247+P247</f>
        <v>9654.1506455594699</v>
      </c>
      <c r="U247" s="37">
        <f t="shared" ref="U247:U278" si="71">$U$246+Q247+R247</f>
        <v>16.937364889401358</v>
      </c>
      <c r="V247" s="38">
        <f t="shared" si="64"/>
        <v>247</v>
      </c>
      <c r="W247" s="70"/>
      <c r="X247" s="71"/>
      <c r="Y247" s="71"/>
      <c r="Z247" s="72" t="s">
        <v>76</v>
      </c>
      <c r="AB247" s="56"/>
      <c r="AC247" s="56"/>
      <c r="AD247" s="56"/>
      <c r="AE247" s="56"/>
      <c r="AF247" s="56"/>
      <c r="AG247" s="56"/>
      <c r="AH247" s="56"/>
      <c r="AI247" s="56">
        <v>4</v>
      </c>
      <c r="AJ247" s="56">
        <v>245</v>
      </c>
      <c r="AK247" s="56">
        <v>247</v>
      </c>
      <c r="AL247" s="56">
        <v>1.45</v>
      </c>
      <c r="AM247" s="56" t="s">
        <v>538</v>
      </c>
      <c r="AN247" s="56">
        <v>52.465000000000003</v>
      </c>
      <c r="AO247" s="56" t="s">
        <v>539</v>
      </c>
      <c r="AP247" s="56" t="s">
        <v>76</v>
      </c>
      <c r="AQ247" s="56" t="s">
        <v>63</v>
      </c>
    </row>
    <row r="248" spans="1:55" s="4" customFormat="1" ht="10.199999999999999" x14ac:dyDescent="0.2">
      <c r="A248" s="8"/>
      <c r="B248" s="8"/>
      <c r="C248" s="8">
        <v>1.45</v>
      </c>
      <c r="D248" s="27"/>
      <c r="E248" s="28">
        <v>248</v>
      </c>
      <c r="F248" s="29" t="s">
        <v>540</v>
      </c>
      <c r="G248" s="10" t="s">
        <v>541</v>
      </c>
      <c r="H248" s="30">
        <f t="shared" si="65"/>
        <v>0</v>
      </c>
      <c r="I248" s="52" t="str">
        <f>[1]!Plus_ang(I247,[1]!Min_ang(F248,F247))</f>
        <v xml:space="preserve"> 124° 53' 52"</v>
      </c>
      <c r="J248" s="10" t="str">
        <f>[1]!Plus_ang([1]!Plus_ang(J247,[1]!Min_ang(F248,F247)),[1]!DestoDeg(H248/3600))</f>
        <v xml:space="preserve"> 124° 53' 52"</v>
      </c>
      <c r="K248" s="31">
        <v>52.420999999999999</v>
      </c>
      <c r="L248" s="32">
        <f>[1]!Jarakdatar(K248,G248)</f>
        <v>52.291150968570442</v>
      </c>
      <c r="M248" s="33">
        <f>L248*[1]!dsin(J248)</f>
        <v>42.887845905119221</v>
      </c>
      <c r="N248" s="34">
        <f t="shared" si="66"/>
        <v>0</v>
      </c>
      <c r="O248" s="33">
        <f>L248*[1]!dcos(J248)</f>
        <v>-29.916502857730109</v>
      </c>
      <c r="P248" s="34">
        <f t="shared" si="67"/>
        <v>0</v>
      </c>
      <c r="Q248" s="35">
        <f>L248/[1]!dTAN(G248)-C248+$B$246</f>
        <v>-3.9323800159699775</v>
      </c>
      <c r="R248" s="34">
        <f t="shared" si="68"/>
        <v>0</v>
      </c>
      <c r="S248" s="36">
        <f t="shared" si="69"/>
        <v>9724.6149466307015</v>
      </c>
      <c r="T248" s="40">
        <f t="shared" si="70"/>
        <v>9653.4272958625916</v>
      </c>
      <c r="U248" s="37">
        <f t="shared" si="71"/>
        <v>17.959425469240522</v>
      </c>
      <c r="V248" s="38">
        <f t="shared" si="64"/>
        <v>248</v>
      </c>
      <c r="W248" s="70"/>
      <c r="X248" s="71"/>
      <c r="Y248" s="71"/>
      <c r="Z248" s="72" t="s">
        <v>76</v>
      </c>
      <c r="AB248" s="56"/>
      <c r="AC248" s="56"/>
      <c r="AD248" s="56"/>
      <c r="AE248" s="56"/>
      <c r="AF248" s="56"/>
      <c r="AG248" s="56"/>
      <c r="AH248" s="56"/>
      <c r="AI248" s="56">
        <v>6</v>
      </c>
      <c r="AJ248" s="56">
        <v>245</v>
      </c>
      <c r="AK248" s="56">
        <v>248</v>
      </c>
      <c r="AL248" s="56">
        <v>1.45</v>
      </c>
      <c r="AM248" s="56" t="s">
        <v>540</v>
      </c>
      <c r="AN248" s="56">
        <v>52.420999999999999</v>
      </c>
      <c r="AO248" s="56" t="s">
        <v>541</v>
      </c>
      <c r="AP248" s="56" t="s">
        <v>76</v>
      </c>
      <c r="AQ248" s="56" t="s">
        <v>63</v>
      </c>
    </row>
    <row r="249" spans="1:55" s="4" customFormat="1" ht="10.199999999999999" x14ac:dyDescent="0.2">
      <c r="A249" s="8"/>
      <c r="B249" s="8"/>
      <c r="C249" s="8">
        <v>1.45</v>
      </c>
      <c r="D249" s="27"/>
      <c r="E249" s="28">
        <v>249</v>
      </c>
      <c r="F249" s="29" t="s">
        <v>542</v>
      </c>
      <c r="G249" s="10" t="s">
        <v>543</v>
      </c>
      <c r="H249" s="30">
        <f t="shared" si="65"/>
        <v>0</v>
      </c>
      <c r="I249" s="52" t="str">
        <f>[1]!Plus_ang(I248,[1]!Min_ang(F249,F248))</f>
        <v xml:space="preserve"> 124° 53' 46"</v>
      </c>
      <c r="J249" s="10" t="str">
        <f>[1]!Plus_ang([1]!Plus_ang(J248,[1]!Min_ang(F249,F248)),[1]!DestoDeg(H249/3600))</f>
        <v xml:space="preserve"> 124° 53' 46"</v>
      </c>
      <c r="K249" s="31">
        <v>52.408999999999999</v>
      </c>
      <c r="L249" s="32">
        <f>[1]!Jarakdatar(K249,G249)</f>
        <v>52.279109191925102</v>
      </c>
      <c r="M249" s="33">
        <f>L249*[1]!dsin(J249)</f>
        <v>42.87883956945722</v>
      </c>
      <c r="N249" s="34">
        <f t="shared" si="66"/>
        <v>0</v>
      </c>
      <c r="O249" s="33">
        <f>L249*[1]!dcos(J249)</f>
        <v>-29.908366305734216</v>
      </c>
      <c r="P249" s="34">
        <f t="shared" si="67"/>
        <v>0</v>
      </c>
      <c r="Q249" s="35">
        <f>L249/[1]!dTAN(G249)-C249+$B$246</f>
        <v>-3.9325497418709059</v>
      </c>
      <c r="R249" s="34">
        <f t="shared" si="68"/>
        <v>0</v>
      </c>
      <c r="S249" s="36">
        <f t="shared" si="69"/>
        <v>9724.6059402950395</v>
      </c>
      <c r="T249" s="40">
        <f t="shared" si="70"/>
        <v>9653.4354324145879</v>
      </c>
      <c r="U249" s="37">
        <f t="shared" si="71"/>
        <v>17.95925574333959</v>
      </c>
      <c r="V249" s="38">
        <f t="shared" si="64"/>
        <v>249</v>
      </c>
      <c r="W249" s="70"/>
      <c r="X249" s="71"/>
      <c r="Y249" s="71"/>
      <c r="Z249" s="72" t="s">
        <v>77</v>
      </c>
      <c r="AB249" s="56"/>
      <c r="AC249" s="56"/>
      <c r="AD249" s="56"/>
      <c r="AE249" s="56"/>
      <c r="AF249" s="56"/>
      <c r="AG249" s="56"/>
      <c r="AH249" s="56"/>
      <c r="AI249" s="56">
        <v>8</v>
      </c>
      <c r="AJ249" s="56">
        <v>245</v>
      </c>
      <c r="AK249" s="56">
        <v>249</v>
      </c>
      <c r="AL249" s="56">
        <v>1.45</v>
      </c>
      <c r="AM249" s="56" t="s">
        <v>542</v>
      </c>
      <c r="AN249" s="56">
        <v>52.408999999999999</v>
      </c>
      <c r="AO249" s="56" t="s">
        <v>543</v>
      </c>
      <c r="AP249" s="56" t="s">
        <v>77</v>
      </c>
      <c r="AQ249" s="56" t="s">
        <v>63</v>
      </c>
    </row>
    <row r="250" spans="1:55" s="4" customFormat="1" ht="10.199999999999999" x14ac:dyDescent="0.2">
      <c r="A250" s="8"/>
      <c r="B250" s="8"/>
      <c r="C250" s="8">
        <v>1.45</v>
      </c>
      <c r="D250" s="27"/>
      <c r="E250" s="28">
        <v>250</v>
      </c>
      <c r="F250" s="29" t="s">
        <v>544</v>
      </c>
      <c r="G250" s="10" t="s">
        <v>545</v>
      </c>
      <c r="H250" s="30">
        <f t="shared" si="65"/>
        <v>0</v>
      </c>
      <c r="I250" s="52" t="str">
        <f>[1]!Plus_ang(I249,[1]!Min_ang(F250,F249))</f>
        <v xml:space="preserve"> 124° 52' 54"</v>
      </c>
      <c r="J250" s="10" t="str">
        <f>[1]!Plus_ang([1]!Plus_ang(J249,[1]!Min_ang(F250,F249)),[1]!DestoDeg(H250/3600))</f>
        <v xml:space="preserve"> 124° 52' 54"</v>
      </c>
      <c r="K250" s="31">
        <v>56.758000000000003</v>
      </c>
      <c r="L250" s="32">
        <f>[1]!Jarakdatar(K250,G250)</f>
        <v>56.673028667060713</v>
      </c>
      <c r="M250" s="33">
        <f>L250*[1]!dsin(J250)</f>
        <v>46.49086372491449</v>
      </c>
      <c r="N250" s="34">
        <f t="shared" si="66"/>
        <v>0</v>
      </c>
      <c r="O250" s="33">
        <f>L250*[1]!dcos(J250)</f>
        <v>-32.410365138469444</v>
      </c>
      <c r="P250" s="34">
        <f t="shared" si="67"/>
        <v>0</v>
      </c>
      <c r="Q250" s="35">
        <f>L250/[1]!dTAN(G250)-C250+$B$246</f>
        <v>-3.3495749632622784</v>
      </c>
      <c r="R250" s="34">
        <f t="shared" si="68"/>
        <v>0</v>
      </c>
      <c r="S250" s="36">
        <f t="shared" si="69"/>
        <v>9728.2179644504959</v>
      </c>
      <c r="T250" s="40">
        <f t="shared" si="70"/>
        <v>9650.9334335818512</v>
      </c>
      <c r="U250" s="37">
        <f t="shared" si="71"/>
        <v>18.54223052194822</v>
      </c>
      <c r="V250" s="38">
        <f t="shared" si="64"/>
        <v>250</v>
      </c>
      <c r="W250" s="70"/>
      <c r="X250" s="71"/>
      <c r="Y250" s="71"/>
      <c r="Z250" s="72" t="s">
        <v>77</v>
      </c>
      <c r="AB250" s="56"/>
      <c r="AC250" s="56"/>
      <c r="AD250" s="56"/>
      <c r="AE250" s="56"/>
      <c r="AF250" s="56"/>
      <c r="AG250" s="56"/>
      <c r="AH250" s="56"/>
      <c r="AI250" s="56">
        <v>10</v>
      </c>
      <c r="AJ250" s="56">
        <v>245</v>
      </c>
      <c r="AK250" s="56">
        <v>250</v>
      </c>
      <c r="AL250" s="56">
        <v>1.45</v>
      </c>
      <c r="AM250" s="56" t="s">
        <v>544</v>
      </c>
      <c r="AN250" s="56">
        <v>56.758000000000003</v>
      </c>
      <c r="AO250" s="56" t="s">
        <v>545</v>
      </c>
      <c r="AP250" s="56" t="s">
        <v>77</v>
      </c>
      <c r="AQ250" s="56" t="s">
        <v>63</v>
      </c>
    </row>
    <row r="251" spans="1:55" s="4" customFormat="1" ht="10.199999999999999" x14ac:dyDescent="0.2">
      <c r="A251" s="8"/>
      <c r="B251" s="8"/>
      <c r="C251" s="8">
        <v>1.45</v>
      </c>
      <c r="D251" s="27"/>
      <c r="E251" s="28">
        <v>251</v>
      </c>
      <c r="F251" s="29" t="s">
        <v>546</v>
      </c>
      <c r="G251" s="10" t="s">
        <v>547</v>
      </c>
      <c r="H251" s="30">
        <f t="shared" si="65"/>
        <v>0</v>
      </c>
      <c r="I251" s="52" t="str">
        <f>[1]!Plus_ang(I250,[1]!Min_ang(F251,F250))</f>
        <v xml:space="preserve"> 125° 58' 50"</v>
      </c>
      <c r="J251" s="10" t="str">
        <f>[1]!Plus_ang([1]!Plus_ang(J250,[1]!Min_ang(F251,F250)),[1]!DestoDeg(H251/3600))</f>
        <v xml:space="preserve"> 125° 58' 50"</v>
      </c>
      <c r="K251" s="31">
        <v>59.509</v>
      </c>
      <c r="L251" s="32">
        <f>[1]!Jarakdatar(K251,G251)</f>
        <v>59.364018940929299</v>
      </c>
      <c r="M251" s="33">
        <f>L251*[1]!dsin(J251)</f>
        <v>48.038339134439411</v>
      </c>
      <c r="N251" s="34">
        <f t="shared" si="66"/>
        <v>0</v>
      </c>
      <c r="O251" s="33">
        <f>L251*[1]!dcos(J251)</f>
        <v>-34.876994108202609</v>
      </c>
      <c r="P251" s="34">
        <f t="shared" si="67"/>
        <v>0</v>
      </c>
      <c r="Q251" s="35">
        <f>L251/[1]!dTAN(G251)-C251+$B$246</f>
        <v>-4.3964258009734261</v>
      </c>
      <c r="R251" s="34">
        <f t="shared" si="68"/>
        <v>0</v>
      </c>
      <c r="S251" s="36">
        <f t="shared" si="69"/>
        <v>9729.7654398600207</v>
      </c>
      <c r="T251" s="40">
        <f t="shared" si="70"/>
        <v>9648.4668046121187</v>
      </c>
      <c r="U251" s="37">
        <f t="shared" si="71"/>
        <v>17.495379684237072</v>
      </c>
      <c r="V251" s="38">
        <f t="shared" si="64"/>
        <v>251</v>
      </c>
      <c r="W251" s="70"/>
      <c r="X251" s="71"/>
      <c r="Y251" s="71"/>
      <c r="Z251" s="72" t="s">
        <v>77</v>
      </c>
      <c r="AB251" s="56"/>
      <c r="AC251" s="56"/>
      <c r="AD251" s="56"/>
      <c r="AE251" s="56"/>
      <c r="AF251" s="56"/>
      <c r="AG251" s="56"/>
      <c r="AH251" s="56"/>
      <c r="AI251" s="56">
        <v>12</v>
      </c>
      <c r="AJ251" s="56">
        <v>245</v>
      </c>
      <c r="AK251" s="56">
        <v>251</v>
      </c>
      <c r="AL251" s="56">
        <v>1.45</v>
      </c>
      <c r="AM251" s="56" t="s">
        <v>546</v>
      </c>
      <c r="AN251" s="56">
        <v>59.509</v>
      </c>
      <c r="AO251" s="56" t="s">
        <v>547</v>
      </c>
      <c r="AP251" s="56" t="s">
        <v>77</v>
      </c>
      <c r="AQ251" s="56" t="s">
        <v>63</v>
      </c>
    </row>
    <row r="252" spans="1:55" s="4" customFormat="1" ht="10.199999999999999" x14ac:dyDescent="0.2">
      <c r="A252" s="8"/>
      <c r="B252" s="8"/>
      <c r="C252" s="8">
        <v>1.45</v>
      </c>
      <c r="D252" s="27"/>
      <c r="E252" s="28">
        <v>252</v>
      </c>
      <c r="F252" s="29" t="s">
        <v>548</v>
      </c>
      <c r="G252" s="10" t="s">
        <v>549</v>
      </c>
      <c r="H252" s="30">
        <f t="shared" si="65"/>
        <v>0</v>
      </c>
      <c r="I252" s="52" t="str">
        <f>[1]!Plus_ang(I251,[1]!Min_ang(F252,F251))</f>
        <v xml:space="preserve"> 125° 57' 50"</v>
      </c>
      <c r="J252" s="10" t="str">
        <f>[1]!Plus_ang([1]!Plus_ang(J251,[1]!Min_ang(F252,F251)),[1]!DestoDeg(H252/3600))</f>
        <v xml:space="preserve"> 125° 57' 50"</v>
      </c>
      <c r="K252" s="31">
        <v>59.652999999999999</v>
      </c>
      <c r="L252" s="32">
        <f>[1]!Jarakdatar(K252,G252)</f>
        <v>59.498967264338027</v>
      </c>
      <c r="M252" s="33">
        <f>L252*[1]!dsin(J252)</f>
        <v>48.15770786599176</v>
      </c>
      <c r="N252" s="34">
        <f t="shared" si="66"/>
        <v>0</v>
      </c>
      <c r="O252" s="33">
        <f>L252*[1]!dcos(J252)</f>
        <v>-34.942270656277671</v>
      </c>
      <c r="P252" s="34">
        <f t="shared" si="67"/>
        <v>0</v>
      </c>
      <c r="Q252" s="35">
        <f>L252/[1]!dTAN(G252)-C252+$B$246</f>
        <v>-4.5290755685714981</v>
      </c>
      <c r="R252" s="34">
        <f t="shared" si="68"/>
        <v>0</v>
      </c>
      <c r="S252" s="36">
        <f t="shared" si="69"/>
        <v>9729.8848085915743</v>
      </c>
      <c r="T252" s="40">
        <f t="shared" si="70"/>
        <v>9648.4015280640433</v>
      </c>
      <c r="U252" s="37">
        <f t="shared" si="71"/>
        <v>17.362729916638997</v>
      </c>
      <c r="V252" s="38">
        <f t="shared" si="64"/>
        <v>252</v>
      </c>
      <c r="W252" s="70"/>
      <c r="X252" s="71"/>
      <c r="Y252" s="71"/>
      <c r="Z252" s="72" t="s">
        <v>76</v>
      </c>
      <c r="AB252" s="56"/>
      <c r="AC252" s="56"/>
      <c r="AD252" s="56"/>
      <c r="AE252" s="56"/>
      <c r="AF252" s="56"/>
      <c r="AG252" s="56"/>
      <c r="AH252" s="56"/>
      <c r="AI252" s="56">
        <v>14</v>
      </c>
      <c r="AJ252" s="56">
        <v>245</v>
      </c>
      <c r="AK252" s="56">
        <v>252</v>
      </c>
      <c r="AL252" s="56">
        <v>1.45</v>
      </c>
      <c r="AM252" s="56" t="s">
        <v>548</v>
      </c>
      <c r="AN252" s="56">
        <v>59.652999999999999</v>
      </c>
      <c r="AO252" s="56" t="s">
        <v>549</v>
      </c>
      <c r="AP252" s="56" t="s">
        <v>76</v>
      </c>
      <c r="AQ252" s="56" t="s">
        <v>63</v>
      </c>
    </row>
    <row r="253" spans="1:55" s="4" customFormat="1" ht="10.199999999999999" x14ac:dyDescent="0.2">
      <c r="A253" s="8"/>
      <c r="B253" s="8"/>
      <c r="C253" s="8">
        <v>1.45</v>
      </c>
      <c r="D253" s="27"/>
      <c r="E253" s="28">
        <v>253</v>
      </c>
      <c r="F253" s="29" t="s">
        <v>550</v>
      </c>
      <c r="G253" s="10" t="s">
        <v>551</v>
      </c>
      <c r="H253" s="30">
        <f t="shared" si="65"/>
        <v>0</v>
      </c>
      <c r="I253" s="52" t="str">
        <f>[1]!Plus_ang(I252,[1]!Min_ang(F253,F252))</f>
        <v xml:space="preserve"> 136° 50' 46"</v>
      </c>
      <c r="J253" s="10" t="str">
        <f>[1]!Plus_ang([1]!Plus_ang(J252,[1]!Min_ang(F253,F252)),[1]!DestoDeg(H253/3600))</f>
        <v xml:space="preserve"> 136° 50' 46"</v>
      </c>
      <c r="K253" s="31">
        <v>51.540999999999997</v>
      </c>
      <c r="L253" s="32">
        <f>[1]!Jarakdatar(K253,G253)</f>
        <v>51.409023920875129</v>
      </c>
      <c r="M253" s="33">
        <f>L253*[1]!dsin(J253)</f>
        <v>35.161727163148704</v>
      </c>
      <c r="N253" s="34">
        <f t="shared" si="66"/>
        <v>0</v>
      </c>
      <c r="O253" s="33">
        <f>L253*[1]!dcos(J253)</f>
        <v>-37.503875578417251</v>
      </c>
      <c r="P253" s="34">
        <f t="shared" si="67"/>
        <v>0</v>
      </c>
      <c r="Q253" s="35">
        <f>L253/[1]!dTAN(G253)-C253+$B$246</f>
        <v>-3.9310467309691832</v>
      </c>
      <c r="R253" s="34">
        <f t="shared" si="68"/>
        <v>0</v>
      </c>
      <c r="S253" s="36">
        <f t="shared" si="69"/>
        <v>9716.8888278887316</v>
      </c>
      <c r="T253" s="40">
        <f t="shared" si="70"/>
        <v>9645.8399231419044</v>
      </c>
      <c r="U253" s="37">
        <f t="shared" si="71"/>
        <v>17.960758754241315</v>
      </c>
      <c r="V253" s="38">
        <f t="shared" si="64"/>
        <v>253</v>
      </c>
      <c r="W253" s="70"/>
      <c r="X253" s="71"/>
      <c r="Y253" s="71"/>
      <c r="Z253" s="72" t="s">
        <v>64</v>
      </c>
      <c r="AB253" s="56"/>
      <c r="AC253" s="56"/>
      <c r="AD253" s="56"/>
      <c r="AE253" s="56"/>
      <c r="AF253" s="56"/>
      <c r="AG253" s="56"/>
      <c r="AH253" s="56"/>
      <c r="AI253" s="56">
        <v>16</v>
      </c>
      <c r="AJ253" s="56">
        <v>245</v>
      </c>
      <c r="AK253" s="56">
        <v>253</v>
      </c>
      <c r="AL253" s="56">
        <v>1.45</v>
      </c>
      <c r="AM253" s="56" t="s">
        <v>550</v>
      </c>
      <c r="AN253" s="56">
        <v>51.540999999999997</v>
      </c>
      <c r="AO253" s="56" t="s">
        <v>551</v>
      </c>
      <c r="AP253" s="56" t="s">
        <v>64</v>
      </c>
      <c r="AQ253" s="56" t="s">
        <v>63</v>
      </c>
    </row>
    <row r="254" spans="1:55" s="4" customFormat="1" ht="10.199999999999999" x14ac:dyDescent="0.2">
      <c r="A254" s="8"/>
      <c r="B254" s="8"/>
      <c r="C254" s="8">
        <v>1.45</v>
      </c>
      <c r="D254" s="27"/>
      <c r="E254" s="28">
        <v>254</v>
      </c>
      <c r="F254" s="29" t="s">
        <v>552</v>
      </c>
      <c r="G254" s="10" t="s">
        <v>553</v>
      </c>
      <c r="H254" s="30">
        <f t="shared" si="65"/>
        <v>0</v>
      </c>
      <c r="I254" s="52" t="str">
        <f>[1]!Plus_ang(I253,[1]!Min_ang(F254,F253))</f>
        <v xml:space="preserve"> 136° 50' 49"</v>
      </c>
      <c r="J254" s="10" t="str">
        <f>[1]!Plus_ang([1]!Plus_ang(J253,[1]!Min_ang(F254,F253)),[1]!DestoDeg(H254/3600))</f>
        <v xml:space="preserve"> 136° 50' 49"</v>
      </c>
      <c r="K254" s="31">
        <v>52.816000000000003</v>
      </c>
      <c r="L254" s="32">
        <f>[1]!Jarakdatar(K254,G254)</f>
        <v>52.686143359295762</v>
      </c>
      <c r="M254" s="33">
        <f>L254*[1]!dsin(J254)</f>
        <v>36.034667025191659</v>
      </c>
      <c r="N254" s="34">
        <f t="shared" si="66"/>
        <v>0</v>
      </c>
      <c r="O254" s="33">
        <f>L254*[1]!dcos(J254)</f>
        <v>-38.43608297498367</v>
      </c>
      <c r="P254" s="34">
        <f t="shared" si="67"/>
        <v>0</v>
      </c>
      <c r="Q254" s="35">
        <f>L254/[1]!dTAN(G254)-C254+$B$246</f>
        <v>-3.9463718975178956</v>
      </c>
      <c r="R254" s="34">
        <f t="shared" si="68"/>
        <v>0</v>
      </c>
      <c r="S254" s="36">
        <f t="shared" si="69"/>
        <v>9717.7617677507733</v>
      </c>
      <c r="T254" s="40">
        <f t="shared" si="70"/>
        <v>9644.9077157453376</v>
      </c>
      <c r="U254" s="37">
        <f t="shared" si="71"/>
        <v>17.945433587692602</v>
      </c>
      <c r="V254" s="38">
        <f t="shared" si="64"/>
        <v>254</v>
      </c>
      <c r="W254" s="70"/>
      <c r="X254" s="71"/>
      <c r="Y254" s="71"/>
      <c r="Z254" s="72" t="s">
        <v>14</v>
      </c>
      <c r="AB254" s="56"/>
      <c r="AC254" s="56"/>
      <c r="AD254" s="56"/>
      <c r="AE254" s="56"/>
      <c r="AF254" s="56"/>
      <c r="AG254" s="56"/>
      <c r="AH254" s="56"/>
      <c r="AI254" s="56">
        <v>18</v>
      </c>
      <c r="AJ254" s="56">
        <v>245</v>
      </c>
      <c r="AK254" s="56">
        <v>254</v>
      </c>
      <c r="AL254" s="56">
        <v>1.45</v>
      </c>
      <c r="AM254" s="56" t="s">
        <v>552</v>
      </c>
      <c r="AN254" s="56">
        <v>52.816000000000003</v>
      </c>
      <c r="AO254" s="56" t="s">
        <v>553</v>
      </c>
      <c r="AP254" s="56" t="s">
        <v>14</v>
      </c>
      <c r="AQ254" s="56" t="s">
        <v>63</v>
      </c>
    </row>
    <row r="255" spans="1:55" s="4" customFormat="1" ht="10.199999999999999" x14ac:dyDescent="0.2">
      <c r="A255" s="8"/>
      <c r="B255" s="8"/>
      <c r="C255" s="8">
        <v>1.45</v>
      </c>
      <c r="D255" s="27"/>
      <c r="E255" s="28">
        <v>255</v>
      </c>
      <c r="F255" s="29" t="s">
        <v>554</v>
      </c>
      <c r="G255" s="10" t="s">
        <v>555</v>
      </c>
      <c r="H255" s="30">
        <f t="shared" si="65"/>
        <v>0</v>
      </c>
      <c r="I255" s="52" t="str">
        <f>[1]!Plus_ang(I254,[1]!Min_ang(F255,F254))</f>
        <v xml:space="preserve"> 136° 50' 47"</v>
      </c>
      <c r="J255" s="10" t="str">
        <f>[1]!Plus_ang([1]!Plus_ang(J254,[1]!Min_ang(F255,F254)),[1]!DestoDeg(H255/3600))</f>
        <v xml:space="preserve"> 136° 50' 47"</v>
      </c>
      <c r="K255" s="31">
        <v>53.929000000000002</v>
      </c>
      <c r="L255" s="32">
        <f>[1]!Jarakdatar(K255,G255)</f>
        <v>53.847518536410064</v>
      </c>
      <c r="M255" s="33">
        <f>L255*[1]!dsin(J255)</f>
        <v>36.829370021006831</v>
      </c>
      <c r="N255" s="34">
        <f t="shared" si="66"/>
        <v>0</v>
      </c>
      <c r="O255" s="33">
        <f>L255*[1]!dcos(J255)</f>
        <v>-39.282983038267197</v>
      </c>
      <c r="P255" s="34">
        <f t="shared" si="67"/>
        <v>0</v>
      </c>
      <c r="Q255" s="35">
        <f>L255/[1]!dTAN(G255)-C255+$B$246</f>
        <v>-3.2084082524982902</v>
      </c>
      <c r="R255" s="34">
        <f t="shared" si="68"/>
        <v>0</v>
      </c>
      <c r="S255" s="36">
        <f t="shared" si="69"/>
        <v>9718.5564707465892</v>
      </c>
      <c r="T255" s="40">
        <f t="shared" si="70"/>
        <v>9644.0608156820545</v>
      </c>
      <c r="U255" s="37">
        <f t="shared" si="71"/>
        <v>18.683397232712206</v>
      </c>
      <c r="V255" s="38">
        <f t="shared" si="64"/>
        <v>255</v>
      </c>
      <c r="W255" s="70"/>
      <c r="X255" s="71"/>
      <c r="Y255" s="71"/>
      <c r="Z255" s="72" t="s">
        <v>14</v>
      </c>
      <c r="AB255" s="56"/>
      <c r="AC255" s="56"/>
      <c r="AD255" s="56"/>
      <c r="AE255" s="56"/>
      <c r="AF255" s="56"/>
      <c r="AG255" s="56"/>
      <c r="AH255" s="56"/>
      <c r="AI255" s="56">
        <v>20</v>
      </c>
      <c r="AJ255" s="56">
        <v>245</v>
      </c>
      <c r="AK255" s="56">
        <v>255</v>
      </c>
      <c r="AL255" s="56">
        <v>1.45</v>
      </c>
      <c r="AM255" s="56" t="s">
        <v>554</v>
      </c>
      <c r="AN255" s="56">
        <v>53.929000000000002</v>
      </c>
      <c r="AO255" s="56" t="s">
        <v>555</v>
      </c>
      <c r="AP255" s="56" t="s">
        <v>14</v>
      </c>
      <c r="AQ255" s="56" t="s">
        <v>63</v>
      </c>
    </row>
    <row r="256" spans="1:55" x14ac:dyDescent="0.25">
      <c r="A256" s="8"/>
      <c r="B256" s="8"/>
      <c r="C256" s="8">
        <v>1.45</v>
      </c>
      <c r="D256" s="27"/>
      <c r="E256" s="28">
        <v>256</v>
      </c>
      <c r="F256" s="29" t="s">
        <v>556</v>
      </c>
      <c r="G256" s="10" t="s">
        <v>557</v>
      </c>
      <c r="H256" s="30">
        <f t="shared" si="65"/>
        <v>0</v>
      </c>
      <c r="I256" s="52" t="str">
        <f>[1]!Plus_ang(I255,[1]!Min_ang(F256,F255))</f>
        <v xml:space="preserve"> 136° 51' 49"</v>
      </c>
      <c r="J256" s="10" t="str">
        <f>[1]!Plus_ang([1]!Plus_ang(J255,[1]!Min_ang(F256,F255)),[1]!DestoDeg(H256/3600))</f>
        <v xml:space="preserve"> 136° 51' 49"</v>
      </c>
      <c r="K256" s="31">
        <v>54.414000000000001</v>
      </c>
      <c r="L256" s="32">
        <f>[1]!Jarakdatar(K256,G256)</f>
        <v>54.338471810662632</v>
      </c>
      <c r="M256" s="33">
        <f>L256*[1]!dsin(J256)</f>
        <v>37.153243600960636</v>
      </c>
      <c r="N256" s="34">
        <f t="shared" si="66"/>
        <v>0</v>
      </c>
      <c r="O256" s="33">
        <f>L256*[1]!dcos(J256)</f>
        <v>-39.652314038979561</v>
      </c>
      <c r="P256" s="34">
        <f t="shared" si="67"/>
        <v>0</v>
      </c>
      <c r="Q256" s="35">
        <f>L256/[1]!dTAN(G256)-C256+$B$246</f>
        <v>-3.1109862668586636</v>
      </c>
      <c r="R256" s="34">
        <f t="shared" si="68"/>
        <v>0</v>
      </c>
      <c r="S256" s="36">
        <f t="shared" si="69"/>
        <v>9718.8803443265424</v>
      </c>
      <c r="T256" s="40">
        <f t="shared" si="70"/>
        <v>9643.6914846813415</v>
      </c>
      <c r="U256" s="37">
        <f t="shared" si="71"/>
        <v>18.780819218351834</v>
      </c>
      <c r="V256" s="38">
        <f t="shared" si="64"/>
        <v>256</v>
      </c>
      <c r="W256" s="70"/>
      <c r="X256" s="71"/>
      <c r="Y256" s="71"/>
      <c r="Z256" s="72" t="s">
        <v>66</v>
      </c>
      <c r="AB256" s="56"/>
      <c r="AC256" s="56"/>
      <c r="AD256" s="56"/>
      <c r="AE256" s="56"/>
      <c r="AF256" s="56"/>
      <c r="AG256" s="56"/>
      <c r="AH256" s="56"/>
      <c r="AI256" s="56">
        <v>22</v>
      </c>
      <c r="AJ256" s="56">
        <v>245</v>
      </c>
      <c r="AK256" s="56">
        <v>256</v>
      </c>
      <c r="AL256" s="56">
        <v>1.45</v>
      </c>
      <c r="AM256" s="56" t="s">
        <v>556</v>
      </c>
      <c r="AN256" s="56">
        <v>54.414000000000001</v>
      </c>
      <c r="AO256" s="56" t="s">
        <v>557</v>
      </c>
      <c r="AP256" s="56" t="s">
        <v>66</v>
      </c>
      <c r="AQ256" s="56" t="s">
        <v>63</v>
      </c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1:46" x14ac:dyDescent="0.25">
      <c r="A257" s="8"/>
      <c r="B257" s="8"/>
      <c r="C257" s="8">
        <v>1.45</v>
      </c>
      <c r="D257" s="27"/>
      <c r="E257" s="28">
        <v>257</v>
      </c>
      <c r="F257" s="29" t="s">
        <v>558</v>
      </c>
      <c r="G257" s="10" t="s">
        <v>559</v>
      </c>
      <c r="H257" s="30">
        <f t="shared" si="65"/>
        <v>0</v>
      </c>
      <c r="I257" s="52" t="str">
        <f>[1]!Plus_ang(I256,[1]!Min_ang(F257,F256))</f>
        <v xml:space="preserve"> 136° 51' 49"</v>
      </c>
      <c r="J257" s="10" t="str">
        <f>[1]!Plus_ang([1]!Plus_ang(J256,[1]!Min_ang(F257,F256)),[1]!DestoDeg(H257/3600))</f>
        <v xml:space="preserve"> 136° 51' 49"</v>
      </c>
      <c r="K257" s="31">
        <v>58.372</v>
      </c>
      <c r="L257" s="32">
        <f>[1]!Jarakdatar(K257,G257)</f>
        <v>58.283805596382798</v>
      </c>
      <c r="M257" s="33">
        <f>L257*[1]!dsin(J257)</f>
        <v>39.850815732519884</v>
      </c>
      <c r="N257" s="34">
        <f t="shared" si="66"/>
        <v>0</v>
      </c>
      <c r="O257" s="33">
        <f>L257*[1]!dcos(J257)</f>
        <v>-42.531335274708795</v>
      </c>
      <c r="P257" s="34">
        <f t="shared" si="67"/>
        <v>0</v>
      </c>
      <c r="Q257" s="35">
        <f>L257/[1]!dTAN(G257)-C257+$B$246</f>
        <v>-3.4525519018492865</v>
      </c>
      <c r="R257" s="34">
        <f t="shared" si="68"/>
        <v>0</v>
      </c>
      <c r="S257" s="36">
        <f t="shared" si="69"/>
        <v>9721.5779164581018</v>
      </c>
      <c r="T257" s="40">
        <f t="shared" si="70"/>
        <v>9640.8124634456126</v>
      </c>
      <c r="U257" s="37">
        <f t="shared" si="71"/>
        <v>18.439253583361211</v>
      </c>
      <c r="V257" s="38">
        <f t="shared" si="64"/>
        <v>257</v>
      </c>
      <c r="W257" s="70"/>
      <c r="X257" s="71"/>
      <c r="Y257" s="71"/>
      <c r="Z257" s="72" t="s">
        <v>66</v>
      </c>
      <c r="AB257" s="56"/>
      <c r="AC257" s="56"/>
      <c r="AD257" s="56"/>
      <c r="AE257" s="56"/>
      <c r="AF257" s="56"/>
      <c r="AG257" s="56"/>
      <c r="AH257" s="56"/>
      <c r="AI257" s="56">
        <v>24</v>
      </c>
      <c r="AJ257" s="56">
        <v>245</v>
      </c>
      <c r="AK257" s="56">
        <v>257</v>
      </c>
      <c r="AL257" s="56">
        <v>1.45</v>
      </c>
      <c r="AM257" s="56" t="s">
        <v>558</v>
      </c>
      <c r="AN257" s="56">
        <v>58.372</v>
      </c>
      <c r="AO257" s="56" t="s">
        <v>559</v>
      </c>
      <c r="AP257" s="56" t="s">
        <v>66</v>
      </c>
      <c r="AQ257" s="56" t="s">
        <v>63</v>
      </c>
      <c r="AR257" s="4"/>
      <c r="AS257" s="4"/>
      <c r="AT257" s="4"/>
    </row>
    <row r="258" spans="1:46" x14ac:dyDescent="0.25">
      <c r="A258" s="8"/>
      <c r="B258" s="8"/>
      <c r="C258" s="8">
        <v>1.45</v>
      </c>
      <c r="D258" s="27"/>
      <c r="E258" s="28">
        <v>258</v>
      </c>
      <c r="F258" s="29" t="s">
        <v>560</v>
      </c>
      <c r="G258" s="10" t="s">
        <v>561</v>
      </c>
      <c r="H258" s="30">
        <f t="shared" si="65"/>
        <v>0</v>
      </c>
      <c r="I258" s="52" t="str">
        <f>[1]!Plus_ang(I257,[1]!Min_ang(F258,F257))</f>
        <v xml:space="preserve"> 136° 51' 48"</v>
      </c>
      <c r="J258" s="10" t="str">
        <f>[1]!Plus_ang([1]!Plus_ang(J257,[1]!Min_ang(F258,F257)),[1]!DestoDeg(H258/3600))</f>
        <v xml:space="preserve"> 136° 51' 48"</v>
      </c>
      <c r="K258" s="31">
        <v>58.442</v>
      </c>
      <c r="L258" s="32">
        <f>[1]!Jarakdatar(K258,G258)</f>
        <v>58.355465820720163</v>
      </c>
      <c r="M258" s="33">
        <f>L258*[1]!dsin(J258)</f>
        <v>39.900018956356377</v>
      </c>
      <c r="N258" s="34">
        <f t="shared" si="66"/>
        <v>0</v>
      </c>
      <c r="O258" s="33">
        <f>L258*[1]!dcos(J258)</f>
        <v>-42.583434319411587</v>
      </c>
      <c r="P258" s="34">
        <f t="shared" si="67"/>
        <v>0</v>
      </c>
      <c r="Q258" s="35">
        <f>L258/[1]!dTAN(G258)-C258+$B$246</f>
        <v>-3.4241465594968403</v>
      </c>
      <c r="R258" s="34">
        <f t="shared" si="68"/>
        <v>0</v>
      </c>
      <c r="S258" s="36">
        <f t="shared" si="69"/>
        <v>9721.627119681938</v>
      </c>
      <c r="T258" s="40">
        <f t="shared" si="70"/>
        <v>9640.7603644009105</v>
      </c>
      <c r="U258" s="37">
        <f t="shared" si="71"/>
        <v>18.467658925713657</v>
      </c>
      <c r="V258" s="38">
        <f t="shared" si="64"/>
        <v>258</v>
      </c>
      <c r="W258" s="70"/>
      <c r="X258" s="71"/>
      <c r="Y258" s="71"/>
      <c r="Z258" s="72" t="s">
        <v>14</v>
      </c>
      <c r="AB258" s="56"/>
      <c r="AC258" s="56"/>
      <c r="AD258" s="56"/>
      <c r="AE258" s="56"/>
      <c r="AF258" s="56"/>
      <c r="AG258" s="56"/>
      <c r="AH258" s="56"/>
      <c r="AI258" s="56">
        <v>26</v>
      </c>
      <c r="AJ258" s="56">
        <v>245</v>
      </c>
      <c r="AK258" s="56">
        <v>258</v>
      </c>
      <c r="AL258" s="56">
        <v>1.45</v>
      </c>
      <c r="AM258" s="56" t="s">
        <v>560</v>
      </c>
      <c r="AN258" s="56">
        <v>58.442</v>
      </c>
      <c r="AO258" s="56" t="s">
        <v>561</v>
      </c>
      <c r="AP258" s="56" t="s">
        <v>14</v>
      </c>
      <c r="AQ258" s="56" t="s">
        <v>63</v>
      </c>
      <c r="AR258" s="4"/>
      <c r="AS258" s="4"/>
      <c r="AT258" s="4"/>
    </row>
    <row r="259" spans="1:46" x14ac:dyDescent="0.25">
      <c r="A259" s="8"/>
      <c r="B259" s="8"/>
      <c r="C259" s="8">
        <v>1.45</v>
      </c>
      <c r="D259" s="27"/>
      <c r="E259" s="28">
        <v>259</v>
      </c>
      <c r="F259" s="29" t="s">
        <v>560</v>
      </c>
      <c r="G259" s="10" t="s">
        <v>562</v>
      </c>
      <c r="H259" s="30">
        <f t="shared" si="65"/>
        <v>0</v>
      </c>
      <c r="I259" s="52" t="str">
        <f>[1]!Plus_ang(I258,[1]!Min_ang(F259,F258))</f>
        <v xml:space="preserve"> 136° 51' 48"</v>
      </c>
      <c r="J259" s="10" t="str">
        <f>[1]!Plus_ang([1]!Plus_ang(J258,[1]!Min_ang(F259,F258)),[1]!DestoDeg(H259/3600))</f>
        <v xml:space="preserve"> 136° 51' 48"</v>
      </c>
      <c r="K259" s="31">
        <v>58.652000000000001</v>
      </c>
      <c r="L259" s="32">
        <f>[1]!Jarakdatar(K259,G259)</f>
        <v>58.565185810807293</v>
      </c>
      <c r="M259" s="33">
        <f>L259*[1]!dsin(J259)</f>
        <v>40.043413091975324</v>
      </c>
      <c r="N259" s="34">
        <f t="shared" si="66"/>
        <v>0</v>
      </c>
      <c r="O259" s="33">
        <f>L259*[1]!dcos(J259)</f>
        <v>-42.73647221051128</v>
      </c>
      <c r="P259" s="34">
        <f t="shared" si="67"/>
        <v>0</v>
      </c>
      <c r="Q259" s="35">
        <f>L259/[1]!dTAN(G259)-C259+$B$246</f>
        <v>-3.4350023425722283</v>
      </c>
      <c r="R259" s="34">
        <f t="shared" si="68"/>
        <v>0</v>
      </c>
      <c r="S259" s="36">
        <f t="shared" si="69"/>
        <v>9721.770513817557</v>
      </c>
      <c r="T259" s="40">
        <f t="shared" si="70"/>
        <v>9640.6073265098094</v>
      </c>
      <c r="U259" s="37">
        <f t="shared" si="71"/>
        <v>18.456803142638268</v>
      </c>
      <c r="V259" s="38">
        <f t="shared" si="64"/>
        <v>259</v>
      </c>
      <c r="W259" s="70"/>
      <c r="X259" s="71"/>
      <c r="Y259" s="71"/>
      <c r="Z259" s="72" t="s">
        <v>14</v>
      </c>
      <c r="AB259" s="56"/>
      <c r="AC259" s="56"/>
      <c r="AD259" s="56"/>
      <c r="AE259" s="56"/>
      <c r="AF259" s="56"/>
      <c r="AG259" s="56"/>
      <c r="AH259" s="56"/>
      <c r="AI259" s="56">
        <v>28</v>
      </c>
      <c r="AJ259" s="56">
        <v>245</v>
      </c>
      <c r="AK259" s="56">
        <v>259</v>
      </c>
      <c r="AL259" s="56">
        <v>1.45</v>
      </c>
      <c r="AM259" s="56" t="s">
        <v>560</v>
      </c>
      <c r="AN259" s="56">
        <v>58.652000000000001</v>
      </c>
      <c r="AO259" s="56" t="s">
        <v>562</v>
      </c>
      <c r="AP259" s="56" t="s">
        <v>14</v>
      </c>
      <c r="AQ259" s="56" t="s">
        <v>63</v>
      </c>
      <c r="AR259" s="4"/>
      <c r="AS259" s="4"/>
      <c r="AT259" s="4"/>
    </row>
    <row r="260" spans="1:46" x14ac:dyDescent="0.25">
      <c r="A260" s="8"/>
      <c r="B260" s="8"/>
      <c r="C260" s="8">
        <v>1.45</v>
      </c>
      <c r="D260" s="27"/>
      <c r="E260" s="28">
        <v>260</v>
      </c>
      <c r="F260" s="29" t="s">
        <v>563</v>
      </c>
      <c r="G260" s="10" t="s">
        <v>564</v>
      </c>
      <c r="H260" s="30">
        <f t="shared" si="65"/>
        <v>0</v>
      </c>
      <c r="I260" s="52" t="str">
        <f>[1]!Plus_ang(I259,[1]!Min_ang(F260,F259))</f>
        <v xml:space="preserve"> 136° 51' 55"</v>
      </c>
      <c r="J260" s="10" t="str">
        <f>[1]!Plus_ang([1]!Plus_ang(J259,[1]!Min_ang(F260,F259)),[1]!DestoDeg(H260/3600))</f>
        <v xml:space="preserve"> 136° 51' 55"</v>
      </c>
      <c r="K260" s="31">
        <v>58.814999999999998</v>
      </c>
      <c r="L260" s="32">
        <f>[1]!Jarakdatar(K260,G260)</f>
        <v>58.669192390988414</v>
      </c>
      <c r="M260" s="33">
        <f>L260*[1]!dsin(J260)</f>
        <v>40.113073700500799</v>
      </c>
      <c r="N260" s="34">
        <f t="shared" si="66"/>
        <v>0</v>
      </c>
      <c r="O260" s="33">
        <f>L260*[1]!dcos(J260)</f>
        <v>-42.813729738356166</v>
      </c>
      <c r="P260" s="34">
        <f t="shared" si="67"/>
        <v>0</v>
      </c>
      <c r="Q260" s="35">
        <f>L260/[1]!dTAN(G260)-C260+$B$246</f>
        <v>-4.3838511919597742</v>
      </c>
      <c r="R260" s="34">
        <f t="shared" si="68"/>
        <v>0</v>
      </c>
      <c r="S260" s="36">
        <f t="shared" si="69"/>
        <v>9721.8401744260827</v>
      </c>
      <c r="T260" s="40">
        <f t="shared" si="70"/>
        <v>9640.5300689819651</v>
      </c>
      <c r="U260" s="37">
        <f t="shared" si="71"/>
        <v>17.507954293250723</v>
      </c>
      <c r="V260" s="38">
        <f t="shared" si="64"/>
        <v>260</v>
      </c>
      <c r="W260" s="70"/>
      <c r="X260" s="71"/>
      <c r="Y260" s="71"/>
      <c r="Z260" s="72" t="s">
        <v>14</v>
      </c>
      <c r="AB260" s="56"/>
      <c r="AC260" s="56"/>
      <c r="AD260" s="56"/>
      <c r="AE260" s="56"/>
      <c r="AF260" s="56"/>
      <c r="AG260" s="56"/>
      <c r="AH260" s="56"/>
      <c r="AI260" s="56">
        <v>30</v>
      </c>
      <c r="AJ260" s="56">
        <v>245</v>
      </c>
      <c r="AK260" s="56">
        <v>260</v>
      </c>
      <c r="AL260" s="56">
        <v>1.45</v>
      </c>
      <c r="AM260" s="56" t="s">
        <v>563</v>
      </c>
      <c r="AN260" s="56">
        <v>58.814999999999998</v>
      </c>
      <c r="AO260" s="56" t="s">
        <v>564</v>
      </c>
      <c r="AP260" s="56" t="s">
        <v>14</v>
      </c>
      <c r="AQ260" s="56" t="s">
        <v>63</v>
      </c>
      <c r="AR260" s="4"/>
      <c r="AS260" s="4"/>
      <c r="AT260" s="4"/>
    </row>
    <row r="261" spans="1:46" x14ac:dyDescent="0.25">
      <c r="A261" s="8"/>
      <c r="B261" s="8"/>
      <c r="C261" s="8">
        <v>1.45</v>
      </c>
      <c r="D261" s="27"/>
      <c r="E261" s="28">
        <v>261</v>
      </c>
      <c r="F261" s="29" t="s">
        <v>565</v>
      </c>
      <c r="G261" s="10" t="s">
        <v>566</v>
      </c>
      <c r="H261" s="30">
        <f t="shared" si="65"/>
        <v>0</v>
      </c>
      <c r="I261" s="52" t="str">
        <f>[1]!Plus_ang(I260,[1]!Min_ang(F261,F260))</f>
        <v xml:space="preserve"> 136° 52' 51"</v>
      </c>
      <c r="J261" s="10" t="str">
        <f>[1]!Plus_ang([1]!Plus_ang(J260,[1]!Min_ang(F261,F260)),[1]!DestoDeg(H261/3600))</f>
        <v xml:space="preserve"> 136° 52' 51"</v>
      </c>
      <c r="K261" s="31">
        <v>58.850999999999999</v>
      </c>
      <c r="L261" s="32">
        <f>[1]!Jarakdatar(K261,G261)</f>
        <v>58.701527724090042</v>
      </c>
      <c r="M261" s="33">
        <f>L261*[1]!dsin(J261)</f>
        <v>40.12355026230513</v>
      </c>
      <c r="N261" s="34">
        <f t="shared" si="66"/>
        <v>0</v>
      </c>
      <c r="O261" s="33">
        <f>L261*[1]!dcos(J261)</f>
        <v>-42.848221334034221</v>
      </c>
      <c r="P261" s="34">
        <f t="shared" si="67"/>
        <v>0</v>
      </c>
      <c r="Q261" s="35">
        <f>L261/[1]!dTAN(G261)-C261+$B$246</f>
        <v>-4.436759041009843</v>
      </c>
      <c r="R261" s="34">
        <f t="shared" si="68"/>
        <v>0</v>
      </c>
      <c r="S261" s="36">
        <f t="shared" si="69"/>
        <v>9721.850650987888</v>
      </c>
      <c r="T261" s="40">
        <f t="shared" si="70"/>
        <v>9640.4955773862876</v>
      </c>
      <c r="U261" s="37">
        <f t="shared" si="71"/>
        <v>17.455046444200654</v>
      </c>
      <c r="V261" s="38">
        <f t="shared" si="64"/>
        <v>261</v>
      </c>
      <c r="W261" s="70"/>
      <c r="X261" s="71"/>
      <c r="Y261" s="71"/>
      <c r="Z261" s="72" t="s">
        <v>15</v>
      </c>
      <c r="AB261" s="56"/>
      <c r="AC261" s="56"/>
      <c r="AD261" s="56"/>
      <c r="AE261" s="56"/>
      <c r="AF261" s="56"/>
      <c r="AG261" s="56"/>
      <c r="AH261" s="56"/>
      <c r="AI261" s="56">
        <v>32</v>
      </c>
      <c r="AJ261" s="56">
        <v>245</v>
      </c>
      <c r="AK261" s="56">
        <v>261</v>
      </c>
      <c r="AL261" s="56">
        <v>1.45</v>
      </c>
      <c r="AM261" s="56" t="s">
        <v>565</v>
      </c>
      <c r="AN261" s="56">
        <v>58.850999999999999</v>
      </c>
      <c r="AO261" s="56" t="s">
        <v>566</v>
      </c>
      <c r="AP261" s="56" t="s">
        <v>15</v>
      </c>
      <c r="AQ261" s="56" t="s">
        <v>63</v>
      </c>
      <c r="AR261" s="4"/>
      <c r="AS261" s="4"/>
      <c r="AT261" s="4"/>
    </row>
    <row r="262" spans="1:46" x14ac:dyDescent="0.25">
      <c r="A262" s="8"/>
      <c r="B262" s="8"/>
      <c r="C262" s="8">
        <v>1.45</v>
      </c>
      <c r="D262" s="27"/>
      <c r="E262" s="28">
        <v>262</v>
      </c>
      <c r="F262" s="29" t="s">
        <v>567</v>
      </c>
      <c r="G262" s="10" t="s">
        <v>568</v>
      </c>
      <c r="H262" s="30">
        <f t="shared" si="65"/>
        <v>0</v>
      </c>
      <c r="I262" s="52" t="str">
        <f>[1]!Plus_ang(I261,[1]!Min_ang(F262,F261))</f>
        <v xml:space="preserve"> 136° 52' 54"</v>
      </c>
      <c r="J262" s="10" t="str">
        <f>[1]!Plus_ang([1]!Plus_ang(J261,[1]!Min_ang(F262,F261)),[1]!DestoDeg(H262/3600))</f>
        <v xml:space="preserve"> 136° 52' 54"</v>
      </c>
      <c r="K262" s="31">
        <v>59.155999999999999</v>
      </c>
      <c r="L262" s="32">
        <f>[1]!Jarakdatar(K262,G262)</f>
        <v>59.009407561622957</v>
      </c>
      <c r="M262" s="33">
        <f>L262*[1]!dsin(J262)</f>
        <v>40.333365195158763</v>
      </c>
      <c r="N262" s="34">
        <f t="shared" si="66"/>
        <v>0</v>
      </c>
      <c r="O262" s="33">
        <f>L262*[1]!dcos(J262)</f>
        <v>-43.073539822119102</v>
      </c>
      <c r="P262" s="34">
        <f t="shared" si="67"/>
        <v>0</v>
      </c>
      <c r="Q262" s="35">
        <f>L262/[1]!dTAN(G262)-C262+$B$246</f>
        <v>-4.4069893351947798</v>
      </c>
      <c r="R262" s="34">
        <f t="shared" si="68"/>
        <v>0</v>
      </c>
      <c r="S262" s="36">
        <f t="shared" si="69"/>
        <v>9722.0604659207402</v>
      </c>
      <c r="T262" s="40">
        <f t="shared" si="70"/>
        <v>9640.2702588982029</v>
      </c>
      <c r="U262" s="37">
        <f t="shared" si="71"/>
        <v>17.484816150015718</v>
      </c>
      <c r="V262" s="38">
        <f t="shared" si="64"/>
        <v>262</v>
      </c>
      <c r="W262" s="70"/>
      <c r="X262" s="71"/>
      <c r="Y262" s="71"/>
      <c r="Z262" s="72" t="s">
        <v>15</v>
      </c>
      <c r="AB262" s="56"/>
      <c r="AC262" s="56"/>
      <c r="AD262" s="56"/>
      <c r="AE262" s="56"/>
      <c r="AF262" s="56"/>
      <c r="AG262" s="56"/>
      <c r="AH262" s="56"/>
      <c r="AI262" s="56">
        <v>34</v>
      </c>
      <c r="AJ262" s="56">
        <v>245</v>
      </c>
      <c r="AK262" s="56">
        <v>262</v>
      </c>
      <c r="AL262" s="56">
        <v>1.45</v>
      </c>
      <c r="AM262" s="56" t="s">
        <v>567</v>
      </c>
      <c r="AN262" s="56">
        <v>59.155999999999999</v>
      </c>
      <c r="AO262" s="56" t="s">
        <v>568</v>
      </c>
      <c r="AP262" s="56" t="s">
        <v>15</v>
      </c>
      <c r="AQ262" s="56" t="s">
        <v>63</v>
      </c>
      <c r="AR262" s="4"/>
      <c r="AS262" s="4"/>
      <c r="AT262" s="4"/>
    </row>
    <row r="263" spans="1:46" x14ac:dyDescent="0.25">
      <c r="A263" s="8"/>
      <c r="B263" s="8"/>
      <c r="C263" s="8">
        <v>1.45</v>
      </c>
      <c r="D263" s="27"/>
      <c r="E263" s="28">
        <v>263</v>
      </c>
      <c r="F263" s="29" t="s">
        <v>569</v>
      </c>
      <c r="G263" s="10" t="s">
        <v>570</v>
      </c>
      <c r="H263" s="30">
        <f t="shared" si="65"/>
        <v>0</v>
      </c>
      <c r="I263" s="52" t="str">
        <f>[1]!Plus_ang(I262,[1]!Min_ang(F263,F262))</f>
        <v xml:space="preserve"> 136° 52' 55"</v>
      </c>
      <c r="J263" s="10" t="str">
        <f>[1]!Plus_ang([1]!Plus_ang(J262,[1]!Min_ang(F263,F262)),[1]!DestoDeg(H263/3600))</f>
        <v xml:space="preserve"> 136° 52' 55"</v>
      </c>
      <c r="K263" s="31">
        <v>59.341000000000001</v>
      </c>
      <c r="L263" s="32">
        <f>[1]!Jarakdatar(K263,G263)</f>
        <v>59.255095533577155</v>
      </c>
      <c r="M263" s="33">
        <f>L263*[1]!dsin(J263)</f>
        <v>40.501085039309913</v>
      </c>
      <c r="N263" s="34">
        <f t="shared" si="66"/>
        <v>0</v>
      </c>
      <c r="O263" s="33">
        <f>L263*[1]!dcos(J263)</f>
        <v>-43.253074541955307</v>
      </c>
      <c r="P263" s="34">
        <f t="shared" si="67"/>
        <v>0</v>
      </c>
      <c r="Q263" s="35">
        <f>L263/[1]!dTAN(G263)-C263+$B$246</f>
        <v>-3.4368543680194472</v>
      </c>
      <c r="R263" s="34">
        <f t="shared" si="68"/>
        <v>0</v>
      </c>
      <c r="S263" s="36">
        <f t="shared" si="69"/>
        <v>9722.2281857648923</v>
      </c>
      <c r="T263" s="40">
        <f t="shared" si="70"/>
        <v>9640.0907241783661</v>
      </c>
      <c r="U263" s="37">
        <f t="shared" si="71"/>
        <v>18.454951117191051</v>
      </c>
      <c r="V263" s="38">
        <f t="shared" si="64"/>
        <v>263</v>
      </c>
      <c r="W263" s="70"/>
      <c r="X263" s="71"/>
      <c r="Y263" s="71"/>
      <c r="Z263" s="72" t="s">
        <v>14</v>
      </c>
      <c r="AB263" s="56"/>
      <c r="AC263" s="56"/>
      <c r="AD263" s="56"/>
      <c r="AE263" s="56"/>
      <c r="AF263" s="56"/>
      <c r="AG263" s="56"/>
      <c r="AH263" s="56"/>
      <c r="AI263" s="56">
        <v>36</v>
      </c>
      <c r="AJ263" s="56">
        <v>245</v>
      </c>
      <c r="AK263" s="56">
        <v>263</v>
      </c>
      <c r="AL263" s="56">
        <v>1.45</v>
      </c>
      <c r="AM263" s="56" t="s">
        <v>569</v>
      </c>
      <c r="AN263" s="56">
        <v>59.341000000000001</v>
      </c>
      <c r="AO263" s="56" t="s">
        <v>570</v>
      </c>
      <c r="AP263" s="56" t="s">
        <v>14</v>
      </c>
      <c r="AQ263" s="56" t="s">
        <v>63</v>
      </c>
      <c r="AR263" s="4"/>
      <c r="AS263" s="4"/>
      <c r="AT263" s="4"/>
    </row>
    <row r="264" spans="1:46" x14ac:dyDescent="0.25">
      <c r="A264" s="8"/>
      <c r="B264" s="8"/>
      <c r="C264" s="8">
        <v>1.45</v>
      </c>
      <c r="D264" s="27"/>
      <c r="E264" s="28">
        <v>264</v>
      </c>
      <c r="F264" s="29" t="s">
        <v>571</v>
      </c>
      <c r="G264" s="10" t="s">
        <v>572</v>
      </c>
      <c r="H264" s="30">
        <f t="shared" si="65"/>
        <v>0</v>
      </c>
      <c r="I264" s="52" t="str">
        <f>[1]!Plus_ang(I263,[1]!Min_ang(F264,F263))</f>
        <v xml:space="preserve"> 136° 52' 53"</v>
      </c>
      <c r="J264" s="10" t="str">
        <f>[1]!Plus_ang([1]!Plus_ang(J263,[1]!Min_ang(F264,F263)),[1]!DestoDeg(H264/3600))</f>
        <v xml:space="preserve"> 136° 52' 53"</v>
      </c>
      <c r="K264" s="31">
        <v>64.594999999999999</v>
      </c>
      <c r="L264" s="32">
        <f>[1]!Jarakdatar(K264,G264)</f>
        <v>64.59495480418289</v>
      </c>
      <c r="M264" s="33">
        <f>L264*[1]!dsin(J264)</f>
        <v>44.151356514862492</v>
      </c>
      <c r="N264" s="34">
        <f t="shared" si="66"/>
        <v>0</v>
      </c>
      <c r="O264" s="33">
        <f>L264*[1]!dcos(J264)</f>
        <v>-47.150460274020013</v>
      </c>
      <c r="P264" s="34">
        <f t="shared" si="67"/>
        <v>0</v>
      </c>
      <c r="Q264" s="35">
        <f>L264/[1]!dTAN(G264)-C264+$B$246</f>
        <v>-0.32141233912289757</v>
      </c>
      <c r="R264" s="34">
        <f t="shared" si="68"/>
        <v>0</v>
      </c>
      <c r="S264" s="36">
        <f t="shared" si="69"/>
        <v>9725.8784572404438</v>
      </c>
      <c r="T264" s="40">
        <f t="shared" si="70"/>
        <v>9636.1933384463009</v>
      </c>
      <c r="U264" s="37">
        <f t="shared" si="71"/>
        <v>21.5703931460876</v>
      </c>
      <c r="V264" s="38">
        <f t="shared" si="64"/>
        <v>264</v>
      </c>
      <c r="W264" s="70"/>
      <c r="X264" s="71"/>
      <c r="Y264" s="71"/>
      <c r="Z264" s="72" t="s">
        <v>3</v>
      </c>
      <c r="AB264" s="56"/>
      <c r="AC264" s="56"/>
      <c r="AD264" s="56"/>
      <c r="AE264" s="56"/>
      <c r="AF264" s="56"/>
      <c r="AG264" s="56"/>
      <c r="AH264" s="56"/>
      <c r="AI264" s="56">
        <v>38</v>
      </c>
      <c r="AJ264" s="56">
        <v>245</v>
      </c>
      <c r="AK264" s="56">
        <v>264</v>
      </c>
      <c r="AL264" s="56">
        <v>1.45</v>
      </c>
      <c r="AM264" s="56" t="s">
        <v>571</v>
      </c>
      <c r="AN264" s="56">
        <v>64.594999999999999</v>
      </c>
      <c r="AO264" s="56" t="s">
        <v>572</v>
      </c>
      <c r="AP264" s="56" t="s">
        <v>3</v>
      </c>
      <c r="AQ264" s="56" t="s">
        <v>63</v>
      </c>
      <c r="AR264" s="4"/>
      <c r="AS264" s="4"/>
      <c r="AT264" s="4"/>
    </row>
    <row r="265" spans="1:46" x14ac:dyDescent="0.25">
      <c r="A265" s="8"/>
      <c r="B265" s="8"/>
      <c r="C265" s="8">
        <v>1.45</v>
      </c>
      <c r="D265" s="27"/>
      <c r="E265" s="28">
        <v>265</v>
      </c>
      <c r="F265" s="29" t="s">
        <v>573</v>
      </c>
      <c r="G265" s="10" t="s">
        <v>574</v>
      </c>
      <c r="H265" s="30">
        <f t="shared" si="65"/>
        <v>0</v>
      </c>
      <c r="I265" s="52" t="str">
        <f>[1]!Plus_ang(I264,[1]!Min_ang(F265,F264))</f>
        <v xml:space="preserve"> 136° 52' 46"</v>
      </c>
      <c r="J265" s="10" t="str">
        <f>[1]!Plus_ang([1]!Plus_ang(J264,[1]!Min_ang(F265,F264)),[1]!DestoDeg(H265/3600))</f>
        <v xml:space="preserve"> 136° 52' 46"</v>
      </c>
      <c r="K265" s="31">
        <v>71.004000000000005</v>
      </c>
      <c r="L265" s="32">
        <f>[1]!Jarakdatar(K265,G265)</f>
        <v>71.003949090784133</v>
      </c>
      <c r="M265" s="33">
        <f>L265*[1]!dsin(J265)</f>
        <v>48.53373292780099</v>
      </c>
      <c r="N265" s="34">
        <f t="shared" si="66"/>
        <v>0</v>
      </c>
      <c r="O265" s="33">
        <f>L265*[1]!dcos(J265)</f>
        <v>-51.826996387785691</v>
      </c>
      <c r="P265" s="34">
        <f t="shared" si="67"/>
        <v>0</v>
      </c>
      <c r="Q265" s="35">
        <f>L265/[1]!dTAN(G265)-C265+$B$246</f>
        <v>-0.33002654489425609</v>
      </c>
      <c r="R265" s="34">
        <f t="shared" si="68"/>
        <v>0</v>
      </c>
      <c r="S265" s="36">
        <f t="shared" si="69"/>
        <v>9730.2608336533831</v>
      </c>
      <c r="T265" s="40">
        <f t="shared" si="70"/>
        <v>9631.516802332535</v>
      </c>
      <c r="U265" s="37">
        <f t="shared" si="71"/>
        <v>21.561778940316241</v>
      </c>
      <c r="V265" s="38">
        <f t="shared" si="64"/>
        <v>265</v>
      </c>
      <c r="W265" s="70"/>
      <c r="X265" s="71"/>
      <c r="Y265" s="71"/>
      <c r="Z265" s="72" t="s">
        <v>3</v>
      </c>
      <c r="AB265" s="56"/>
      <c r="AC265" s="56"/>
      <c r="AD265" s="56"/>
      <c r="AE265" s="56"/>
      <c r="AF265" s="56"/>
      <c r="AG265" s="56"/>
      <c r="AH265" s="56"/>
      <c r="AI265" s="56">
        <v>40</v>
      </c>
      <c r="AJ265" s="56">
        <v>245</v>
      </c>
      <c r="AK265" s="56">
        <v>265</v>
      </c>
      <c r="AL265" s="56">
        <v>1.45</v>
      </c>
      <c r="AM265" s="56" t="s">
        <v>573</v>
      </c>
      <c r="AN265" s="56">
        <v>71.004000000000005</v>
      </c>
      <c r="AO265" s="56" t="s">
        <v>574</v>
      </c>
      <c r="AP265" s="56" t="s">
        <v>3</v>
      </c>
      <c r="AQ265" s="56" t="s">
        <v>63</v>
      </c>
      <c r="AR265" s="4"/>
      <c r="AS265" s="4"/>
      <c r="AT265" s="4"/>
    </row>
    <row r="266" spans="1:46" x14ac:dyDescent="0.25">
      <c r="A266" s="8"/>
      <c r="B266" s="8"/>
      <c r="C266" s="8">
        <v>1.45</v>
      </c>
      <c r="D266" s="27"/>
      <c r="E266" s="28">
        <v>266</v>
      </c>
      <c r="F266" s="29" t="s">
        <v>575</v>
      </c>
      <c r="G266" s="10" t="s">
        <v>576</v>
      </c>
      <c r="H266" s="30">
        <f t="shared" si="65"/>
        <v>0</v>
      </c>
      <c r="I266" s="52" t="str">
        <f>[1]!Plus_ang(I265,[1]!Min_ang(F266,F265))</f>
        <v xml:space="preserve"> 317° 55' 50"</v>
      </c>
      <c r="J266" s="10" t="str">
        <f>[1]!Plus_ang([1]!Plus_ang(J265,[1]!Min_ang(F266,F265)),[1]!DestoDeg(H266/3600))</f>
        <v xml:space="preserve"> 317° 55' 50"</v>
      </c>
      <c r="K266" s="31">
        <v>4.556</v>
      </c>
      <c r="L266" s="32">
        <f>[1]!Jarakdatar(K266,G266)</f>
        <v>4.5533216445462985</v>
      </c>
      <c r="M266" s="33">
        <f>L266*[1]!dsin(J266)</f>
        <v>-3.0508658880333073</v>
      </c>
      <c r="N266" s="34">
        <f t="shared" si="66"/>
        <v>0</v>
      </c>
      <c r="O266" s="33">
        <f>L266*[1]!dcos(J266)</f>
        <v>3.380082148695287</v>
      </c>
      <c r="P266" s="34">
        <f t="shared" si="67"/>
        <v>0</v>
      </c>
      <c r="Q266" s="35">
        <f>L266/[1]!dTAN(G266)-C266+$B$246</f>
        <v>-8.8801404275859142E-2</v>
      </c>
      <c r="R266" s="34">
        <f t="shared" si="68"/>
        <v>0</v>
      </c>
      <c r="S266" s="36">
        <f t="shared" si="69"/>
        <v>9678.6762348375487</v>
      </c>
      <c r="T266" s="40">
        <f t="shared" si="70"/>
        <v>9686.7238808690163</v>
      </c>
      <c r="U266" s="37">
        <f t="shared" si="71"/>
        <v>21.803004080934638</v>
      </c>
      <c r="V266" s="38">
        <f t="shared" si="64"/>
        <v>266</v>
      </c>
      <c r="W266" s="70"/>
      <c r="X266" s="71"/>
      <c r="Y266" s="71"/>
      <c r="Z266" s="72" t="s">
        <v>3</v>
      </c>
      <c r="AB266" s="56"/>
      <c r="AC266" s="56"/>
      <c r="AD266" s="56"/>
      <c r="AE266" s="56"/>
      <c r="AF266" s="56"/>
      <c r="AG266" s="56"/>
      <c r="AH266" s="56"/>
      <c r="AI266" s="56">
        <v>42</v>
      </c>
      <c r="AJ266" s="56">
        <v>245</v>
      </c>
      <c r="AK266" s="56">
        <v>266</v>
      </c>
      <c r="AL266" s="56">
        <v>1.45</v>
      </c>
      <c r="AM266" s="56" t="s">
        <v>575</v>
      </c>
      <c r="AN266" s="56">
        <v>4.556</v>
      </c>
      <c r="AO266" s="56" t="s">
        <v>576</v>
      </c>
      <c r="AP266" s="56" t="s">
        <v>3</v>
      </c>
      <c r="AQ266" s="56" t="s">
        <v>63</v>
      </c>
      <c r="AR266" s="4"/>
      <c r="AS266" s="4"/>
      <c r="AT266" s="4"/>
    </row>
    <row r="267" spans="1:46" x14ac:dyDescent="0.25">
      <c r="A267" s="8"/>
      <c r="B267" s="8"/>
      <c r="C267" s="8">
        <v>1.45</v>
      </c>
      <c r="D267" s="27"/>
      <c r="E267" s="28">
        <v>267</v>
      </c>
      <c r="F267" s="29" t="s">
        <v>577</v>
      </c>
      <c r="G267" s="10" t="s">
        <v>578</v>
      </c>
      <c r="H267" s="30">
        <f t="shared" si="65"/>
        <v>0</v>
      </c>
      <c r="I267" s="52" t="str">
        <f>[1]!Plus_ang(I266,[1]!Min_ang(F267,F266))</f>
        <v xml:space="preserve"> 318° 55' 54"</v>
      </c>
      <c r="J267" s="10" t="str">
        <f>[1]!Plus_ang([1]!Plus_ang(J266,[1]!Min_ang(F267,F266)),[1]!DestoDeg(H267/3600))</f>
        <v xml:space="preserve"> 318° 55' 54"</v>
      </c>
      <c r="K267" s="31">
        <v>4.9279999999999999</v>
      </c>
      <c r="L267" s="32">
        <f>[1]!Jarakdatar(K267,G267)</f>
        <v>4.9271698827030077</v>
      </c>
      <c r="M267" s="33">
        <f>L267*[1]!dsin(J267)</f>
        <v>-3.2369469250786773</v>
      </c>
      <c r="N267" s="34">
        <f t="shared" si="66"/>
        <v>0</v>
      </c>
      <c r="O267" s="33">
        <f>L267*[1]!dcos(J267)</f>
        <v>3.714724438937465</v>
      </c>
      <c r="P267" s="34">
        <f t="shared" si="67"/>
        <v>0</v>
      </c>
      <c r="Q267" s="35">
        <f>L267/[1]!dTAN(G267)-C267+$B$246</f>
        <v>-0.33544858752033746</v>
      </c>
      <c r="R267" s="34">
        <f t="shared" si="68"/>
        <v>0</v>
      </c>
      <c r="S267" s="36">
        <f t="shared" si="69"/>
        <v>9678.4901538005033</v>
      </c>
      <c r="T267" s="40">
        <f t="shared" si="70"/>
        <v>9687.0585231592595</v>
      </c>
      <c r="U267" s="37">
        <f t="shared" si="71"/>
        <v>21.556356897690161</v>
      </c>
      <c r="V267" s="38">
        <f t="shared" si="64"/>
        <v>267</v>
      </c>
      <c r="W267" s="70"/>
      <c r="X267" s="71"/>
      <c r="Y267" s="71"/>
      <c r="Z267" s="72" t="s">
        <v>16</v>
      </c>
      <c r="AB267" s="56"/>
      <c r="AC267" s="56"/>
      <c r="AD267" s="56"/>
      <c r="AE267" s="56"/>
      <c r="AF267" s="56"/>
      <c r="AG267" s="56"/>
      <c r="AH267" s="56"/>
      <c r="AI267" s="56">
        <v>44</v>
      </c>
      <c r="AJ267" s="56">
        <v>245</v>
      </c>
      <c r="AK267" s="56">
        <v>267</v>
      </c>
      <c r="AL267" s="56">
        <v>1.45</v>
      </c>
      <c r="AM267" s="56" t="s">
        <v>577</v>
      </c>
      <c r="AN267" s="56">
        <v>4.9279999999999999</v>
      </c>
      <c r="AO267" s="56" t="s">
        <v>578</v>
      </c>
      <c r="AP267" s="56" t="s">
        <v>16</v>
      </c>
      <c r="AQ267" s="56" t="s">
        <v>63</v>
      </c>
      <c r="AR267" s="4"/>
      <c r="AS267" s="4"/>
      <c r="AT267" s="4"/>
    </row>
    <row r="268" spans="1:46" x14ac:dyDescent="0.25">
      <c r="A268" s="8"/>
      <c r="B268" s="8"/>
      <c r="C268" s="8">
        <v>1.45</v>
      </c>
      <c r="D268" s="27"/>
      <c r="E268" s="28">
        <v>268</v>
      </c>
      <c r="F268" s="29" t="s">
        <v>577</v>
      </c>
      <c r="G268" s="10" t="s">
        <v>579</v>
      </c>
      <c r="H268" s="30">
        <f t="shared" si="65"/>
        <v>0</v>
      </c>
      <c r="I268" s="52" t="str">
        <f>[1]!Plus_ang(I267,[1]!Min_ang(F268,F267))</f>
        <v xml:space="preserve"> 318° 55' 54"</v>
      </c>
      <c r="J268" s="10" t="str">
        <f>[1]!Plus_ang([1]!Plus_ang(J267,[1]!Min_ang(F268,F267)),[1]!DestoDeg(H268/3600))</f>
        <v xml:space="preserve"> 318° 55' 54"</v>
      </c>
      <c r="K268" s="31">
        <v>11.144</v>
      </c>
      <c r="L268" s="32">
        <f>[1]!Jarakdatar(K268,G268)</f>
        <v>11.143960956757947</v>
      </c>
      <c r="M268" s="33">
        <f>L268*[1]!dsin(J268)</f>
        <v>-7.3211216602877567</v>
      </c>
      <c r="N268" s="34">
        <f t="shared" si="66"/>
        <v>0</v>
      </c>
      <c r="O268" s="33">
        <f>L268*[1]!dcos(J268)</f>
        <v>8.40172859839039</v>
      </c>
      <c r="P268" s="34">
        <f t="shared" si="67"/>
        <v>0</v>
      </c>
      <c r="Q268" s="35">
        <f>L268/[1]!dTAN(G268)-C268+$B$246</f>
        <v>-0.2744990551458375</v>
      </c>
      <c r="R268" s="34">
        <f t="shared" si="68"/>
        <v>0</v>
      </c>
      <c r="S268" s="36">
        <f t="shared" si="69"/>
        <v>9674.4059790652936</v>
      </c>
      <c r="T268" s="40">
        <f t="shared" si="70"/>
        <v>9691.7455273187115</v>
      </c>
      <c r="U268" s="37">
        <f t="shared" si="71"/>
        <v>21.617306430064659</v>
      </c>
      <c r="V268" s="38">
        <f t="shared" si="64"/>
        <v>268</v>
      </c>
      <c r="W268" s="70"/>
      <c r="X268" s="71"/>
      <c r="Y268" s="71"/>
      <c r="Z268" s="72" t="s">
        <v>16</v>
      </c>
      <c r="AB268" s="56"/>
      <c r="AC268" s="56"/>
      <c r="AD268" s="56"/>
      <c r="AE268" s="56"/>
      <c r="AF268" s="56"/>
      <c r="AG268" s="56"/>
      <c r="AH268" s="56"/>
      <c r="AI268" s="56">
        <v>46</v>
      </c>
      <c r="AJ268" s="56">
        <v>245</v>
      </c>
      <c r="AK268" s="56">
        <v>268</v>
      </c>
      <c r="AL268" s="56">
        <v>1.45</v>
      </c>
      <c r="AM268" s="56" t="s">
        <v>577</v>
      </c>
      <c r="AN268" s="56">
        <v>11.144</v>
      </c>
      <c r="AO268" s="56" t="s">
        <v>579</v>
      </c>
      <c r="AP268" s="56" t="s">
        <v>16</v>
      </c>
      <c r="AQ268" s="56" t="s">
        <v>63</v>
      </c>
      <c r="AR268" s="4"/>
      <c r="AS268" s="4"/>
      <c r="AT268" s="4"/>
    </row>
    <row r="269" spans="1:46" x14ac:dyDescent="0.25">
      <c r="A269" s="8"/>
      <c r="B269" s="8"/>
      <c r="C269" s="8">
        <v>1.45</v>
      </c>
      <c r="D269" s="27"/>
      <c r="E269" s="28">
        <v>269</v>
      </c>
      <c r="F269" s="29" t="s">
        <v>580</v>
      </c>
      <c r="G269" s="10" t="s">
        <v>581</v>
      </c>
      <c r="H269" s="30">
        <f t="shared" si="65"/>
        <v>0</v>
      </c>
      <c r="I269" s="52" t="str">
        <f>[1]!Plus_ang(I268,[1]!Min_ang(F269,F268))</f>
        <v xml:space="preserve"> 136° 58' 49"</v>
      </c>
      <c r="J269" s="10" t="str">
        <f>[1]!Plus_ang([1]!Plus_ang(J268,[1]!Min_ang(F269,F268)),[1]!DestoDeg(H269/3600))</f>
        <v xml:space="preserve"> 136° 58' 49"</v>
      </c>
      <c r="K269" s="31">
        <v>0.28399999999999997</v>
      </c>
      <c r="L269" s="32">
        <f>[1]!Jarakdatar(K269,G269)</f>
        <v>0.28395526719471459</v>
      </c>
      <c r="M269" s="33">
        <f>L269*[1]!dsin(J269)</f>
        <v>0.19372849937374431</v>
      </c>
      <c r="N269" s="34">
        <f t="shared" si="66"/>
        <v>0</v>
      </c>
      <c r="O269" s="33">
        <f>L269*[1]!dcos(J269)</f>
        <v>-0.2076050632764502</v>
      </c>
      <c r="P269" s="34">
        <f t="shared" si="67"/>
        <v>0</v>
      </c>
      <c r="Q269" s="35">
        <f>L269/[1]!dTAN(G269)-C269+$B$246</f>
        <v>-0.25004045954038268</v>
      </c>
      <c r="R269" s="34">
        <f t="shared" si="68"/>
        <v>0</v>
      </c>
      <c r="S269" s="36">
        <f t="shared" si="69"/>
        <v>9681.9208292249568</v>
      </c>
      <c r="T269" s="40">
        <f t="shared" si="70"/>
        <v>9683.1361936570447</v>
      </c>
      <c r="U269" s="37">
        <f t="shared" si="71"/>
        <v>21.641765025670114</v>
      </c>
      <c r="V269" s="38">
        <f t="shared" si="64"/>
        <v>269</v>
      </c>
      <c r="W269" s="70"/>
      <c r="X269" s="71"/>
      <c r="Y269" s="71"/>
      <c r="Z269" s="72" t="s">
        <v>3</v>
      </c>
      <c r="AB269" s="56"/>
      <c r="AC269" s="56"/>
      <c r="AD269" s="56"/>
      <c r="AE269" s="56"/>
      <c r="AF269" s="56"/>
      <c r="AG269" s="56"/>
      <c r="AH269" s="56"/>
      <c r="AI269" s="56">
        <v>48</v>
      </c>
      <c r="AJ269" s="56">
        <v>245</v>
      </c>
      <c r="AK269" s="56">
        <v>269</v>
      </c>
      <c r="AL269" s="56">
        <v>1.45</v>
      </c>
      <c r="AM269" s="56" t="s">
        <v>580</v>
      </c>
      <c r="AN269" s="56">
        <v>0.28399999999999997</v>
      </c>
      <c r="AO269" s="56" t="s">
        <v>581</v>
      </c>
      <c r="AP269" s="56" t="s">
        <v>3</v>
      </c>
      <c r="AQ269" s="56" t="s">
        <v>63</v>
      </c>
      <c r="AR269" s="4"/>
      <c r="AS269" s="4"/>
      <c r="AT269" s="4"/>
    </row>
    <row r="270" spans="1:46" x14ac:dyDescent="0.25">
      <c r="A270" s="8"/>
      <c r="B270" s="8"/>
      <c r="C270" s="8">
        <v>1.45</v>
      </c>
      <c r="D270" s="27"/>
      <c r="E270" s="28">
        <v>270</v>
      </c>
      <c r="F270" s="29" t="s">
        <v>582</v>
      </c>
      <c r="G270" s="10" t="s">
        <v>583</v>
      </c>
      <c r="H270" s="30">
        <f t="shared" si="65"/>
        <v>0</v>
      </c>
      <c r="I270" s="52" t="str">
        <f>[1]!Plus_ang(I269,[1]!Min_ang(F270,F269))</f>
        <v xml:space="preserve"> 136° 58' 46"</v>
      </c>
      <c r="J270" s="10" t="str">
        <f>[1]!Plus_ang([1]!Plus_ang(J269,[1]!Min_ang(F270,F269)),[1]!DestoDeg(H270/3600))</f>
        <v xml:space="preserve"> 136° 58' 46"</v>
      </c>
      <c r="K270" s="31">
        <v>2.4620000000000002</v>
      </c>
      <c r="L270" s="32">
        <f>[1]!Jarakdatar(K270,G270)</f>
        <v>2.3120377425299612</v>
      </c>
      <c r="M270" s="33">
        <f>L270*[1]!dsin(J270)</f>
        <v>1.5774124844235471</v>
      </c>
      <c r="N270" s="34">
        <f t="shared" si="66"/>
        <v>0</v>
      </c>
      <c r="O270" s="33">
        <f>L270*[1]!dcos(J270)</f>
        <v>-1.6903515542240826</v>
      </c>
      <c r="P270" s="34">
        <f t="shared" si="67"/>
        <v>0</v>
      </c>
      <c r="Q270" s="35">
        <f>L270/[1]!dTAN(G270)-C270+$B$246</f>
        <v>-1.0911237953851445</v>
      </c>
      <c r="R270" s="34">
        <f t="shared" si="68"/>
        <v>0</v>
      </c>
      <c r="S270" s="36">
        <f t="shared" si="69"/>
        <v>9683.3045132100051</v>
      </c>
      <c r="T270" s="40">
        <f t="shared" si="70"/>
        <v>9681.653447166098</v>
      </c>
      <c r="U270" s="37">
        <f t="shared" si="71"/>
        <v>20.800681689825353</v>
      </c>
      <c r="V270" s="38">
        <f t="shared" si="64"/>
        <v>270</v>
      </c>
      <c r="W270" s="70"/>
      <c r="X270" s="71"/>
      <c r="Y270" s="71"/>
      <c r="Z270" s="72" t="s">
        <v>3</v>
      </c>
      <c r="AB270" s="56"/>
      <c r="AC270" s="56"/>
      <c r="AD270" s="56"/>
      <c r="AE270" s="56"/>
      <c r="AF270" s="56"/>
      <c r="AG270" s="56"/>
      <c r="AH270" s="56"/>
      <c r="AI270" s="56">
        <v>50</v>
      </c>
      <c r="AJ270" s="56">
        <v>245</v>
      </c>
      <c r="AK270" s="56">
        <v>270</v>
      </c>
      <c r="AL270" s="56">
        <v>1.45</v>
      </c>
      <c r="AM270" s="56" t="s">
        <v>582</v>
      </c>
      <c r="AN270" s="56">
        <v>2.4620000000000002</v>
      </c>
      <c r="AO270" s="56" t="s">
        <v>583</v>
      </c>
      <c r="AP270" s="56" t="s">
        <v>3</v>
      </c>
      <c r="AQ270" s="56" t="s">
        <v>63</v>
      </c>
    </row>
    <row r="271" spans="1:46" x14ac:dyDescent="0.25">
      <c r="A271" s="8"/>
      <c r="B271" s="8"/>
      <c r="C271" s="8">
        <v>1.45</v>
      </c>
      <c r="D271" s="27"/>
      <c r="E271" s="28">
        <v>271</v>
      </c>
      <c r="F271" s="29" t="s">
        <v>584</v>
      </c>
      <c r="G271" s="10" t="s">
        <v>585</v>
      </c>
      <c r="H271" s="30">
        <f t="shared" si="65"/>
        <v>0</v>
      </c>
      <c r="I271" s="52" t="str">
        <f>[1]!Plus_ang(I270,[1]!Min_ang(F271,F270))</f>
        <v xml:space="preserve"> 136° 58' 46"</v>
      </c>
      <c r="J271" s="10" t="str">
        <f>[1]!Plus_ang([1]!Plus_ang(J270,[1]!Min_ang(F271,F270)),[1]!DestoDeg(H271/3600))</f>
        <v xml:space="preserve"> 136° 58' 46"</v>
      </c>
      <c r="K271" s="31">
        <v>6.1859999999999999</v>
      </c>
      <c r="L271" s="32">
        <f>[1]!Jarakdatar(K271,G271)</f>
        <v>6.1086910597512336</v>
      </c>
      <c r="M271" s="33">
        <f>L271*[1]!dsin(J271)</f>
        <v>4.1677198273562501</v>
      </c>
      <c r="N271" s="34">
        <f t="shared" si="66"/>
        <v>0</v>
      </c>
      <c r="O271" s="33">
        <f>L271*[1]!dcos(J271)</f>
        <v>-4.4661188860291476</v>
      </c>
      <c r="P271" s="34">
        <f t="shared" si="67"/>
        <v>0</v>
      </c>
      <c r="Q271" s="35">
        <f>L271/[1]!dTAN(G271)-C271+$B$246</f>
        <v>-1.2199305290713491</v>
      </c>
      <c r="R271" s="34">
        <f t="shared" si="68"/>
        <v>0</v>
      </c>
      <c r="S271" s="36">
        <f t="shared" si="69"/>
        <v>9685.8948205529377</v>
      </c>
      <c r="T271" s="40">
        <f t="shared" si="70"/>
        <v>9678.8776798342915</v>
      </c>
      <c r="U271" s="37">
        <f t="shared" si="71"/>
        <v>20.671874956139149</v>
      </c>
      <c r="V271" s="38">
        <f t="shared" si="64"/>
        <v>271</v>
      </c>
      <c r="W271" s="70"/>
      <c r="X271" s="71"/>
      <c r="Y271" s="71"/>
      <c r="Z271" s="72" t="s">
        <v>3</v>
      </c>
      <c r="AB271" s="56"/>
      <c r="AC271" s="56"/>
      <c r="AD271" s="56"/>
      <c r="AE271" s="56"/>
      <c r="AF271" s="56"/>
      <c r="AG271" s="56"/>
      <c r="AH271" s="56"/>
      <c r="AI271" s="56">
        <v>52</v>
      </c>
      <c r="AJ271" s="56">
        <v>245</v>
      </c>
      <c r="AK271" s="56">
        <v>271</v>
      </c>
      <c r="AL271" s="56">
        <v>1.45</v>
      </c>
      <c r="AM271" s="56" t="s">
        <v>584</v>
      </c>
      <c r="AN271" s="56">
        <v>6.1859999999999999</v>
      </c>
      <c r="AO271" s="56" t="s">
        <v>585</v>
      </c>
      <c r="AP271" s="56" t="s">
        <v>3</v>
      </c>
      <c r="AQ271" s="56" t="s">
        <v>63</v>
      </c>
    </row>
    <row r="272" spans="1:46" x14ac:dyDescent="0.25">
      <c r="A272" s="8"/>
      <c r="B272" s="8"/>
      <c r="C272" s="8">
        <v>2.5</v>
      </c>
      <c r="D272" s="27"/>
      <c r="E272" s="28">
        <v>272</v>
      </c>
      <c r="F272" s="29" t="s">
        <v>586</v>
      </c>
      <c r="G272" s="10" t="s">
        <v>587</v>
      </c>
      <c r="H272" s="30">
        <f t="shared" si="65"/>
        <v>0</v>
      </c>
      <c r="I272" s="52" t="str">
        <f>[1]!Plus_ang(I271,[1]!Min_ang(F272,F271))</f>
        <v xml:space="preserve"> 137° 52' 46"</v>
      </c>
      <c r="J272" s="10" t="str">
        <f>[1]!Plus_ang([1]!Plus_ang(J271,[1]!Min_ang(F272,F271)),[1]!DestoDeg(H272/3600))</f>
        <v xml:space="preserve"> 137° 52' 46"</v>
      </c>
      <c r="K272" s="31">
        <v>11.074999999999999</v>
      </c>
      <c r="L272" s="32">
        <f>[1]!Jarakdatar(K272,G272)</f>
        <v>10.739761097724475</v>
      </c>
      <c r="M272" s="33">
        <f>L272*[1]!dsin(J272)</f>
        <v>7.2030801051260882</v>
      </c>
      <c r="N272" s="34">
        <f t="shared" si="66"/>
        <v>0</v>
      </c>
      <c r="O272" s="33">
        <f>L272*[1]!dcos(J272)</f>
        <v>-7.9660595927555535</v>
      </c>
      <c r="P272" s="34">
        <f t="shared" si="67"/>
        <v>0</v>
      </c>
      <c r="Q272" s="35">
        <f>L272/[1]!dTAN(G272)-C272+$B$246</f>
        <v>-3.9992848525634175</v>
      </c>
      <c r="R272" s="34">
        <f t="shared" si="68"/>
        <v>0</v>
      </c>
      <c r="S272" s="36">
        <f t="shared" si="69"/>
        <v>9688.9301808307082</v>
      </c>
      <c r="T272" s="40">
        <f t="shared" si="70"/>
        <v>9675.3777391275653</v>
      </c>
      <c r="U272" s="37">
        <f t="shared" si="71"/>
        <v>17.892520632647081</v>
      </c>
      <c r="V272" s="38">
        <f t="shared" si="64"/>
        <v>272</v>
      </c>
      <c r="W272" s="70"/>
      <c r="X272" s="71"/>
      <c r="Y272" s="71"/>
      <c r="Z272" s="72" t="s">
        <v>14</v>
      </c>
      <c r="AB272" s="56"/>
      <c r="AC272" s="56"/>
      <c r="AD272" s="56"/>
      <c r="AE272" s="56"/>
      <c r="AF272" s="56"/>
      <c r="AG272" s="56"/>
      <c r="AH272" s="56"/>
      <c r="AI272" s="56">
        <v>54</v>
      </c>
      <c r="AJ272" s="56">
        <v>245</v>
      </c>
      <c r="AK272" s="56">
        <v>272</v>
      </c>
      <c r="AL272" s="56">
        <v>2.5</v>
      </c>
      <c r="AM272" s="56" t="s">
        <v>586</v>
      </c>
      <c r="AN272" s="56">
        <v>11.074999999999999</v>
      </c>
      <c r="AO272" s="56" t="s">
        <v>587</v>
      </c>
      <c r="AP272" s="56" t="s">
        <v>14</v>
      </c>
      <c r="AQ272" s="56" t="s">
        <v>63</v>
      </c>
    </row>
    <row r="273" spans="1:43" x14ac:dyDescent="0.25">
      <c r="A273" s="8"/>
      <c r="B273" s="8"/>
      <c r="C273" s="8">
        <v>2.5</v>
      </c>
      <c r="D273" s="27"/>
      <c r="E273" s="28">
        <v>273</v>
      </c>
      <c r="F273" s="29" t="s">
        <v>588</v>
      </c>
      <c r="G273" s="10" t="s">
        <v>589</v>
      </c>
      <c r="H273" s="30">
        <f t="shared" si="65"/>
        <v>0</v>
      </c>
      <c r="I273" s="52" t="str">
        <f>[1]!Plus_ang(I272,[1]!Min_ang(F273,F272))</f>
        <v xml:space="preserve"> 137° 52' 50"</v>
      </c>
      <c r="J273" s="10" t="str">
        <f>[1]!Plus_ang([1]!Plus_ang(J272,[1]!Min_ang(F273,F272)),[1]!DestoDeg(H273/3600))</f>
        <v xml:space="preserve"> 137° 52' 50"</v>
      </c>
      <c r="K273" s="31">
        <v>11.711</v>
      </c>
      <c r="L273" s="32">
        <f>[1]!Jarakdatar(K273,G273)</f>
        <v>11.251590199796519</v>
      </c>
      <c r="M273" s="33">
        <f>L273*[1]!dsin(J273)</f>
        <v>7.5461983368379348</v>
      </c>
      <c r="N273" s="34">
        <f t="shared" si="66"/>
        <v>0</v>
      </c>
      <c r="O273" s="33">
        <f>L273*[1]!dcos(J273)</f>
        <v>-8.3458476313231031</v>
      </c>
      <c r="P273" s="34">
        <f t="shared" si="67"/>
        <v>0</v>
      </c>
      <c r="Q273" s="35">
        <f>L273/[1]!dTAN(G273)-C273+$B$246</f>
        <v>-4.5429592016900333</v>
      </c>
      <c r="R273" s="34">
        <f t="shared" si="68"/>
        <v>0</v>
      </c>
      <c r="S273" s="36">
        <f t="shared" si="69"/>
        <v>9689.2732990624208</v>
      </c>
      <c r="T273" s="40">
        <f t="shared" si="70"/>
        <v>9674.9979510889989</v>
      </c>
      <c r="U273" s="37">
        <f t="shared" si="71"/>
        <v>17.348846283520466</v>
      </c>
      <c r="V273" s="38">
        <f t="shared" si="64"/>
        <v>273</v>
      </c>
      <c r="W273" s="70"/>
      <c r="X273" s="71"/>
      <c r="Y273" s="71"/>
      <c r="Z273" s="72" t="s">
        <v>15</v>
      </c>
      <c r="AB273" s="56"/>
      <c r="AC273" s="56"/>
      <c r="AD273" s="56"/>
      <c r="AE273" s="56"/>
      <c r="AF273" s="56"/>
      <c r="AG273" s="56"/>
      <c r="AH273" s="56"/>
      <c r="AI273" s="56">
        <v>56</v>
      </c>
      <c r="AJ273" s="56">
        <v>245</v>
      </c>
      <c r="AK273" s="56">
        <v>273</v>
      </c>
      <c r="AL273" s="56">
        <v>2.5</v>
      </c>
      <c r="AM273" s="56" t="s">
        <v>588</v>
      </c>
      <c r="AN273" s="56">
        <v>11.711</v>
      </c>
      <c r="AO273" s="56" t="s">
        <v>589</v>
      </c>
      <c r="AP273" s="56" t="s">
        <v>15</v>
      </c>
      <c r="AQ273" s="56" t="s">
        <v>63</v>
      </c>
    </row>
    <row r="274" spans="1:43" x14ac:dyDescent="0.25">
      <c r="A274" s="8"/>
      <c r="B274" s="8"/>
      <c r="C274" s="8">
        <v>2.5</v>
      </c>
      <c r="D274" s="27"/>
      <c r="E274" s="28">
        <v>274</v>
      </c>
      <c r="F274" s="29" t="s">
        <v>590</v>
      </c>
      <c r="G274" s="10" t="s">
        <v>591</v>
      </c>
      <c r="H274" s="30">
        <f t="shared" si="65"/>
        <v>0</v>
      </c>
      <c r="I274" s="52" t="str">
        <f>[1]!Plus_ang(I273,[1]!Min_ang(F274,F273))</f>
        <v xml:space="preserve"> 137° 51' 51"</v>
      </c>
      <c r="J274" s="10" t="str">
        <f>[1]!Plus_ang([1]!Plus_ang(J273,[1]!Min_ang(F274,F273)),[1]!DestoDeg(H274/3600))</f>
        <v xml:space="preserve"> 137° 51' 51"</v>
      </c>
      <c r="K274" s="31">
        <v>11.897</v>
      </c>
      <c r="L274" s="32">
        <f>[1]!Jarakdatar(K274,G274)</f>
        <v>11.487038870392778</v>
      </c>
      <c r="M274" s="33">
        <f>L274*[1]!dsin(J274)</f>
        <v>7.7065455575693198</v>
      </c>
      <c r="N274" s="34">
        <f t="shared" si="66"/>
        <v>0</v>
      </c>
      <c r="O274" s="33">
        <f>L274*[1]!dcos(J274)</f>
        <v>-8.5182872444537328</v>
      </c>
      <c r="P274" s="34">
        <f t="shared" si="67"/>
        <v>0</v>
      </c>
      <c r="Q274" s="35">
        <f>L274/[1]!dTAN(G274)-C274+$B$246</f>
        <v>-4.3912149457176568</v>
      </c>
      <c r="R274" s="34">
        <f t="shared" si="68"/>
        <v>0</v>
      </c>
      <c r="S274" s="36">
        <f t="shared" si="69"/>
        <v>9689.4336462831507</v>
      </c>
      <c r="T274" s="40">
        <f t="shared" si="70"/>
        <v>9674.8255114758686</v>
      </c>
      <c r="U274" s="37">
        <f t="shared" si="71"/>
        <v>17.50059053949284</v>
      </c>
      <c r="V274" s="38">
        <f t="shared" si="64"/>
        <v>274</v>
      </c>
      <c r="W274" s="70"/>
      <c r="X274" s="71"/>
      <c r="Y274" s="71"/>
      <c r="Z274" s="72" t="s">
        <v>15</v>
      </c>
      <c r="AB274" s="56"/>
      <c r="AC274" s="56"/>
      <c r="AD274" s="56"/>
      <c r="AE274" s="56"/>
      <c r="AF274" s="56"/>
      <c r="AG274" s="56"/>
      <c r="AH274" s="56"/>
      <c r="AI274" s="56">
        <v>58</v>
      </c>
      <c r="AJ274" s="56">
        <v>245</v>
      </c>
      <c r="AK274" s="56">
        <v>274</v>
      </c>
      <c r="AL274" s="56">
        <v>2.5</v>
      </c>
      <c r="AM274" s="56" t="s">
        <v>590</v>
      </c>
      <c r="AN274" s="56">
        <v>11.897</v>
      </c>
      <c r="AO274" s="56" t="s">
        <v>591</v>
      </c>
      <c r="AP274" s="56" t="s">
        <v>15</v>
      </c>
      <c r="AQ274" s="56" t="s">
        <v>63</v>
      </c>
    </row>
    <row r="275" spans="1:43" x14ac:dyDescent="0.25">
      <c r="A275" s="8"/>
      <c r="B275" s="8"/>
      <c r="C275" s="8">
        <v>2.5</v>
      </c>
      <c r="D275" s="27"/>
      <c r="E275" s="28">
        <v>275</v>
      </c>
      <c r="F275" s="29" t="s">
        <v>592</v>
      </c>
      <c r="G275" s="10" t="s">
        <v>593</v>
      </c>
      <c r="H275" s="30">
        <f t="shared" si="65"/>
        <v>0</v>
      </c>
      <c r="I275" s="52" t="str">
        <f>[1]!Plus_ang(I274,[1]!Min_ang(F275,F274))</f>
        <v xml:space="preserve"> 137° 51' 48"</v>
      </c>
      <c r="J275" s="10" t="str">
        <f>[1]!Plus_ang([1]!Plus_ang(J274,[1]!Min_ang(F275,F274)),[1]!DestoDeg(H275/3600))</f>
        <v xml:space="preserve"> 137° 51' 48"</v>
      </c>
      <c r="K275" s="31">
        <v>11.991</v>
      </c>
      <c r="L275" s="32">
        <f>[1]!Jarakdatar(K275,G275)</f>
        <v>11.678088794074135</v>
      </c>
      <c r="M275" s="33">
        <f>L275*[1]!dsin(J275)</f>
        <v>7.8348450946933275</v>
      </c>
      <c r="N275" s="34">
        <f t="shared" si="66"/>
        <v>0</v>
      </c>
      <c r="O275" s="33">
        <f>L275*[1]!dcos(J275)</f>
        <v>-8.6598475866749407</v>
      </c>
      <c r="P275" s="34">
        <f t="shared" si="67"/>
        <v>0</v>
      </c>
      <c r="Q275" s="35">
        <f>L275/[1]!dTAN(G275)-C275+$B$246</f>
        <v>-4.0164560657339496</v>
      </c>
      <c r="R275" s="34">
        <f t="shared" si="68"/>
        <v>0</v>
      </c>
      <c r="S275" s="36">
        <f t="shared" si="69"/>
        <v>9689.5619458202764</v>
      </c>
      <c r="T275" s="40">
        <f t="shared" si="70"/>
        <v>9674.6839511336457</v>
      </c>
      <c r="U275" s="37">
        <f t="shared" si="71"/>
        <v>17.875349419476549</v>
      </c>
      <c r="V275" s="38">
        <f t="shared" si="64"/>
        <v>275</v>
      </c>
      <c r="W275" s="70"/>
      <c r="X275" s="71"/>
      <c r="Y275" s="71"/>
      <c r="Z275" s="72" t="s">
        <v>14</v>
      </c>
      <c r="AB275" s="56"/>
      <c r="AC275" s="56"/>
      <c r="AD275" s="56"/>
      <c r="AE275" s="56"/>
      <c r="AF275" s="56"/>
      <c r="AG275" s="56"/>
      <c r="AH275" s="56"/>
      <c r="AI275" s="56">
        <v>60</v>
      </c>
      <c r="AJ275" s="56">
        <v>245</v>
      </c>
      <c r="AK275" s="56">
        <v>275</v>
      </c>
      <c r="AL275" s="56">
        <v>2.5</v>
      </c>
      <c r="AM275" s="56" t="s">
        <v>592</v>
      </c>
      <c r="AN275" s="56">
        <v>11.991</v>
      </c>
      <c r="AO275" s="56" t="s">
        <v>593</v>
      </c>
      <c r="AP275" s="56" t="s">
        <v>14</v>
      </c>
      <c r="AQ275" s="56" t="s">
        <v>63</v>
      </c>
    </row>
    <row r="276" spans="1:43" x14ac:dyDescent="0.25">
      <c r="A276" s="8"/>
      <c r="B276" s="8"/>
      <c r="C276" s="8">
        <v>2.5</v>
      </c>
      <c r="D276" s="27"/>
      <c r="E276" s="28">
        <v>276</v>
      </c>
      <c r="F276" s="29" t="s">
        <v>594</v>
      </c>
      <c r="G276" s="10" t="s">
        <v>595</v>
      </c>
      <c r="H276" s="30">
        <f t="shared" si="65"/>
        <v>0</v>
      </c>
      <c r="I276" s="52" t="str">
        <f>[1]!Plus_ang(I275,[1]!Min_ang(F276,F275))</f>
        <v xml:space="preserve"> 137° 51' 52"</v>
      </c>
      <c r="J276" s="10" t="str">
        <f>[1]!Plus_ang([1]!Plus_ang(J275,[1]!Min_ang(F276,F275)),[1]!DestoDeg(H276/3600))</f>
        <v xml:space="preserve"> 137° 51' 52"</v>
      </c>
      <c r="K276" s="31">
        <v>15.946</v>
      </c>
      <c r="L276" s="32">
        <f>[1]!Jarakdatar(K276,G276)</f>
        <v>15.701214108351103</v>
      </c>
      <c r="M276" s="33">
        <f>L276*[1]!dsin(J276)</f>
        <v>10.533739353809095</v>
      </c>
      <c r="N276" s="34">
        <f t="shared" si="66"/>
        <v>0</v>
      </c>
      <c r="O276" s="33">
        <f>L276*[1]!dcos(J276)</f>
        <v>-11.643386951497288</v>
      </c>
      <c r="P276" s="34">
        <f t="shared" si="67"/>
        <v>0</v>
      </c>
      <c r="Q276" s="35">
        <f>L276/[1]!dTAN(G276)-C276+$B$246</f>
        <v>-4.0783058624082837</v>
      </c>
      <c r="R276" s="34">
        <f t="shared" si="68"/>
        <v>0</v>
      </c>
      <c r="S276" s="36">
        <f t="shared" si="69"/>
        <v>9692.2608400793906</v>
      </c>
      <c r="T276" s="40">
        <f t="shared" si="70"/>
        <v>9671.7004117688248</v>
      </c>
      <c r="U276" s="37">
        <f t="shared" si="71"/>
        <v>17.813499622802212</v>
      </c>
      <c r="V276" s="38">
        <f t="shared" si="64"/>
        <v>276</v>
      </c>
      <c r="W276" s="70"/>
      <c r="X276" s="71"/>
      <c r="Y276" s="71"/>
      <c r="Z276" s="72" t="s">
        <v>3</v>
      </c>
      <c r="AB276" s="56"/>
      <c r="AC276" s="56"/>
      <c r="AD276" s="56"/>
      <c r="AE276" s="56"/>
      <c r="AF276" s="56"/>
      <c r="AG276" s="56"/>
      <c r="AH276" s="56"/>
      <c r="AI276" s="56">
        <v>62</v>
      </c>
      <c r="AJ276" s="56">
        <v>245</v>
      </c>
      <c r="AK276" s="56">
        <v>276</v>
      </c>
      <c r="AL276" s="56">
        <v>2.5</v>
      </c>
      <c r="AM276" s="56" t="s">
        <v>594</v>
      </c>
      <c r="AN276" s="56">
        <v>15.946</v>
      </c>
      <c r="AO276" s="56" t="s">
        <v>595</v>
      </c>
      <c r="AP276" s="56" t="s">
        <v>3</v>
      </c>
      <c r="AQ276" s="56" t="s">
        <v>63</v>
      </c>
    </row>
    <row r="277" spans="1:43" x14ac:dyDescent="0.25">
      <c r="A277" s="8"/>
      <c r="B277" s="8"/>
      <c r="C277" s="8">
        <v>2.5</v>
      </c>
      <c r="D277" s="27"/>
      <c r="E277" s="28">
        <v>277</v>
      </c>
      <c r="F277" s="29" t="s">
        <v>594</v>
      </c>
      <c r="G277" s="10" t="s">
        <v>596</v>
      </c>
      <c r="H277" s="30">
        <f t="shared" si="65"/>
        <v>0</v>
      </c>
      <c r="I277" s="52" t="str">
        <f>[1]!Plus_ang(I276,[1]!Min_ang(F277,F276))</f>
        <v xml:space="preserve"> 137° 51' 52"</v>
      </c>
      <c r="J277" s="10" t="str">
        <f>[1]!Plus_ang([1]!Plus_ang(J276,[1]!Min_ang(F277,F276)),[1]!DestoDeg(H277/3600))</f>
        <v xml:space="preserve"> 137° 51' 52"</v>
      </c>
      <c r="K277" s="31">
        <v>17.059999999999999</v>
      </c>
      <c r="L277" s="32">
        <f>[1]!Jarakdatar(K277,G277)</f>
        <v>16.740821000239677</v>
      </c>
      <c r="M277" s="33">
        <f>L277*[1]!dsin(J277)</f>
        <v>11.231198031463409</v>
      </c>
      <c r="N277" s="34">
        <f t="shared" si="66"/>
        <v>0</v>
      </c>
      <c r="O277" s="33">
        <f>L277*[1]!dcos(J277)</f>
        <v>-12.414317481848055</v>
      </c>
      <c r="P277" s="34">
        <f t="shared" si="67"/>
        <v>0</v>
      </c>
      <c r="Q277" s="35">
        <f>L277/[1]!dTAN(G277)-C277+$B$246</f>
        <v>-4.5795870726674597</v>
      </c>
      <c r="R277" s="34">
        <f t="shared" si="68"/>
        <v>0</v>
      </c>
      <c r="S277" s="36">
        <f t="shared" si="69"/>
        <v>9692.9582987570448</v>
      </c>
      <c r="T277" s="40">
        <f t="shared" si="70"/>
        <v>9670.9294812384742</v>
      </c>
      <c r="U277" s="37">
        <f t="shared" si="71"/>
        <v>17.312218412543039</v>
      </c>
      <c r="V277" s="38">
        <f t="shared" si="64"/>
        <v>277</v>
      </c>
      <c r="W277" s="70"/>
      <c r="X277" s="71"/>
      <c r="Y277" s="71"/>
      <c r="Z277" s="72" t="s">
        <v>64</v>
      </c>
      <c r="AB277" s="56"/>
      <c r="AC277" s="56"/>
      <c r="AD277" s="56"/>
      <c r="AE277" s="56"/>
      <c r="AF277" s="56"/>
      <c r="AG277" s="56"/>
      <c r="AH277" s="56"/>
      <c r="AI277" s="56">
        <v>64</v>
      </c>
      <c r="AJ277" s="56">
        <v>245</v>
      </c>
      <c r="AK277" s="56">
        <v>277</v>
      </c>
      <c r="AL277" s="56">
        <v>2.5</v>
      </c>
      <c r="AM277" s="56" t="s">
        <v>594</v>
      </c>
      <c r="AN277" s="56">
        <v>17.059999999999999</v>
      </c>
      <c r="AO277" s="56" t="s">
        <v>596</v>
      </c>
      <c r="AP277" s="56" t="s">
        <v>64</v>
      </c>
      <c r="AQ277" s="56" t="s">
        <v>63</v>
      </c>
    </row>
    <row r="278" spans="1:43" x14ac:dyDescent="0.25">
      <c r="A278" s="8"/>
      <c r="B278" s="8"/>
      <c r="C278" s="8">
        <v>2.5</v>
      </c>
      <c r="D278" s="27"/>
      <c r="E278" s="28">
        <v>278</v>
      </c>
      <c r="F278" s="29" t="s">
        <v>597</v>
      </c>
      <c r="G278" s="10" t="s">
        <v>598</v>
      </c>
      <c r="H278" s="30">
        <f t="shared" si="65"/>
        <v>0</v>
      </c>
      <c r="I278" s="52" t="str">
        <f>[1]!Plus_ang(I277,[1]!Min_ang(F278,F277))</f>
        <v xml:space="preserve"> 137° 51' 51"</v>
      </c>
      <c r="J278" s="10" t="str">
        <f>[1]!Plus_ang([1]!Plus_ang(J277,[1]!Min_ang(F278,F277)),[1]!DestoDeg(H278/3600))</f>
        <v xml:space="preserve"> 137° 51' 51"</v>
      </c>
      <c r="K278" s="31">
        <v>23.06</v>
      </c>
      <c r="L278" s="32">
        <f>[1]!Jarakdatar(K278,G278)</f>
        <v>22.034661366071951</v>
      </c>
      <c r="M278" s="33">
        <f>L278*[1]!dsin(J278)</f>
        <v>14.782845568750107</v>
      </c>
      <c r="N278" s="34">
        <f t="shared" si="66"/>
        <v>0</v>
      </c>
      <c r="O278" s="33">
        <f>L278*[1]!dcos(J278)</f>
        <v>-16.339944259634091</v>
      </c>
      <c r="P278" s="34">
        <f t="shared" si="67"/>
        <v>0</v>
      </c>
      <c r="Q278" s="35">
        <f>L278/[1]!dTAN(G278)-C278+$B$246</f>
        <v>-8.0948013561085883</v>
      </c>
      <c r="R278" s="34">
        <f t="shared" si="68"/>
        <v>0</v>
      </c>
      <c r="S278" s="36">
        <f t="shared" si="69"/>
        <v>9696.5099462943326</v>
      </c>
      <c r="T278" s="40">
        <f t="shared" si="70"/>
        <v>9667.0038544606869</v>
      </c>
      <c r="U278" s="37">
        <f t="shared" si="71"/>
        <v>13.797004129101909</v>
      </c>
      <c r="V278" s="38">
        <f t="shared" ref="V278:V310" si="72">IF(A278&lt;&gt;"",D278,E278)</f>
        <v>278</v>
      </c>
      <c r="W278" s="70"/>
      <c r="X278" s="71"/>
      <c r="Y278" s="71"/>
      <c r="Z278" s="72" t="s">
        <v>65</v>
      </c>
      <c r="AB278" s="56"/>
      <c r="AC278" s="56"/>
      <c r="AD278" s="56"/>
      <c r="AE278" s="56"/>
      <c r="AF278" s="56"/>
      <c r="AG278" s="56"/>
      <c r="AH278" s="56"/>
      <c r="AI278" s="56">
        <v>66</v>
      </c>
      <c r="AJ278" s="56">
        <v>245</v>
      </c>
      <c r="AK278" s="56">
        <v>278</v>
      </c>
      <c r="AL278" s="56">
        <v>2.5</v>
      </c>
      <c r="AM278" s="56" t="s">
        <v>597</v>
      </c>
      <c r="AN278" s="56">
        <v>23.06</v>
      </c>
      <c r="AO278" s="56" t="s">
        <v>598</v>
      </c>
      <c r="AP278" s="56" t="s">
        <v>65</v>
      </c>
      <c r="AQ278" s="56" t="s">
        <v>63</v>
      </c>
    </row>
    <row r="279" spans="1:43" x14ac:dyDescent="0.25">
      <c r="A279" s="8"/>
      <c r="B279" s="8"/>
      <c r="C279" s="8">
        <v>2.5</v>
      </c>
      <c r="D279" s="27"/>
      <c r="E279" s="28">
        <v>279</v>
      </c>
      <c r="F279" s="29" t="s">
        <v>599</v>
      </c>
      <c r="G279" s="10" t="s">
        <v>600</v>
      </c>
      <c r="H279" s="30">
        <f t="shared" ref="H279:H310" si="73">IF($Y$7="y",$C$416,0)</f>
        <v>0</v>
      </c>
      <c r="I279" s="52" t="str">
        <f>[1]!Plus_ang(I278,[1]!Min_ang(F279,F278))</f>
        <v xml:space="preserve"> 136° 57' 55"</v>
      </c>
      <c r="J279" s="10" t="str">
        <f>[1]!Plus_ang([1]!Plus_ang(J278,[1]!Min_ang(F279,F278)),[1]!DestoDeg(H279/3600))</f>
        <v xml:space="preserve"> 136° 57' 55"</v>
      </c>
      <c r="K279" s="31">
        <v>35.137</v>
      </c>
      <c r="L279" s="32">
        <f>[1]!Jarakdatar(K279,G279)</f>
        <v>34.487397601696713</v>
      </c>
      <c r="M279" s="33">
        <f>L279*[1]!dsin(J279)</f>
        <v>23.535629545033895</v>
      </c>
      <c r="N279" s="34">
        <f t="shared" ref="N279:N310" si="74">IF($Y$8="Y",($Y$4*L279/$L$413),0)</f>
        <v>0</v>
      </c>
      <c r="O279" s="33">
        <f>L279*[1]!dcos(J279)</f>
        <v>-25.208227531035256</v>
      </c>
      <c r="P279" s="34">
        <f t="shared" ref="P279:P310" si="75">IF($Y$8="Y",($Y$5*L279/$L$413),0)</f>
        <v>0</v>
      </c>
      <c r="Q279" s="35">
        <f>L279/[1]!dTAN(G279)-C279+$B$246</f>
        <v>-8.0201896376595574</v>
      </c>
      <c r="R279" s="34">
        <f t="shared" ref="R279:R310" si="76">IF(AND($Y$8="Y",W279="P"),($Y$6*L279/$L$413),0)</f>
        <v>0</v>
      </c>
      <c r="S279" s="36">
        <f t="shared" ref="S279:S310" si="77">$S$246+M279+N279</f>
        <v>9705.2627302706169</v>
      </c>
      <c r="T279" s="40">
        <f t="shared" ref="T279:T310" si="78">$T$246+O279+P279</f>
        <v>9658.1355711892866</v>
      </c>
      <c r="U279" s="37">
        <f t="shared" ref="U279:U310" si="79">$U$246+Q279+R279</f>
        <v>13.87161584755094</v>
      </c>
      <c r="V279" s="38">
        <f t="shared" si="72"/>
        <v>279</v>
      </c>
      <c r="W279" s="70"/>
      <c r="X279" s="71"/>
      <c r="Y279" s="71"/>
      <c r="Z279" s="72" t="s">
        <v>65</v>
      </c>
      <c r="AB279" s="56"/>
      <c r="AC279" s="56"/>
      <c r="AD279" s="56"/>
      <c r="AE279" s="56"/>
      <c r="AF279" s="56"/>
      <c r="AG279" s="56"/>
      <c r="AH279" s="56"/>
      <c r="AI279" s="56">
        <v>68</v>
      </c>
      <c r="AJ279" s="56">
        <v>245</v>
      </c>
      <c r="AK279" s="56">
        <v>279</v>
      </c>
      <c r="AL279" s="56">
        <v>2.5</v>
      </c>
      <c r="AM279" s="56" t="s">
        <v>599</v>
      </c>
      <c r="AN279" s="56">
        <v>35.137</v>
      </c>
      <c r="AO279" s="56" t="s">
        <v>600</v>
      </c>
      <c r="AP279" s="56" t="s">
        <v>65</v>
      </c>
      <c r="AQ279" s="56" t="s">
        <v>63</v>
      </c>
    </row>
    <row r="280" spans="1:43" x14ac:dyDescent="0.25">
      <c r="A280" s="8"/>
      <c r="B280" s="8"/>
      <c r="C280" s="8">
        <v>2.5</v>
      </c>
      <c r="D280" s="27"/>
      <c r="E280" s="28">
        <v>280</v>
      </c>
      <c r="F280" s="29" t="s">
        <v>601</v>
      </c>
      <c r="G280" s="10" t="s">
        <v>602</v>
      </c>
      <c r="H280" s="30">
        <f t="shared" si="73"/>
        <v>0</v>
      </c>
      <c r="I280" s="52" t="str">
        <f>[1]!Plus_ang(I279,[1]!Min_ang(F280,F279))</f>
        <v xml:space="preserve"> 136° 58' 47"</v>
      </c>
      <c r="J280" s="10" t="str">
        <f>[1]!Plus_ang([1]!Plus_ang(J279,[1]!Min_ang(F280,F279)),[1]!DestoDeg(H280/3600))</f>
        <v xml:space="preserve"> 136° 58' 47"</v>
      </c>
      <c r="K280" s="31">
        <v>46.329000000000001</v>
      </c>
      <c r="L280" s="32">
        <f>[1]!Jarakdatar(K280,G280)</f>
        <v>45.868576620865355</v>
      </c>
      <c r="M280" s="33">
        <f>L280*[1]!dsin(J280)</f>
        <v>31.294164527319655</v>
      </c>
      <c r="N280" s="34">
        <f t="shared" si="74"/>
        <v>0</v>
      </c>
      <c r="O280" s="33">
        <f>L280*[1]!dcos(J280)</f>
        <v>-33.535079957579406</v>
      </c>
      <c r="P280" s="34">
        <f t="shared" si="75"/>
        <v>0</v>
      </c>
      <c r="Q280" s="35">
        <f>L280/[1]!dTAN(G280)-C280+$B$246</f>
        <v>-7.810360295164374</v>
      </c>
      <c r="R280" s="34">
        <f t="shared" si="76"/>
        <v>0</v>
      </c>
      <c r="S280" s="36">
        <f t="shared" si="77"/>
        <v>9713.0212652529026</v>
      </c>
      <c r="T280" s="40">
        <f t="shared" si="78"/>
        <v>9649.8087187627425</v>
      </c>
      <c r="U280" s="37">
        <f t="shared" si="79"/>
        <v>14.081445190046123</v>
      </c>
      <c r="V280" s="38">
        <f t="shared" si="72"/>
        <v>280</v>
      </c>
      <c r="W280" s="70"/>
      <c r="X280" s="71"/>
      <c r="Y280" s="71"/>
      <c r="Z280" s="72" t="s">
        <v>65</v>
      </c>
      <c r="AB280" s="56"/>
      <c r="AC280" s="56"/>
      <c r="AD280" s="56"/>
      <c r="AE280" s="56"/>
      <c r="AF280" s="56"/>
      <c r="AG280" s="56"/>
      <c r="AH280" s="56"/>
      <c r="AI280" s="56">
        <v>70</v>
      </c>
      <c r="AJ280" s="56">
        <v>245</v>
      </c>
      <c r="AK280" s="56">
        <v>280</v>
      </c>
      <c r="AL280" s="56">
        <v>2.5</v>
      </c>
      <c r="AM280" s="56" t="s">
        <v>601</v>
      </c>
      <c r="AN280" s="56">
        <v>46.329000000000001</v>
      </c>
      <c r="AO280" s="56" t="s">
        <v>602</v>
      </c>
      <c r="AP280" s="56" t="s">
        <v>65</v>
      </c>
      <c r="AQ280" s="56" t="s">
        <v>63</v>
      </c>
    </row>
    <row r="281" spans="1:43" x14ac:dyDescent="0.25">
      <c r="A281" s="8"/>
      <c r="B281" s="8"/>
      <c r="C281" s="8">
        <v>2.5</v>
      </c>
      <c r="D281" s="27"/>
      <c r="E281" s="28">
        <v>281</v>
      </c>
      <c r="F281" s="29" t="s">
        <v>603</v>
      </c>
      <c r="G281" s="10" t="s">
        <v>604</v>
      </c>
      <c r="H281" s="30">
        <f t="shared" si="73"/>
        <v>0</v>
      </c>
      <c r="I281" s="52" t="str">
        <f>[1]!Plus_ang(I280,[1]!Min_ang(F281,F280))</f>
        <v xml:space="preserve"> 89° 52' 46"</v>
      </c>
      <c r="J281" s="10" t="str">
        <f>[1]!Plus_ang([1]!Plus_ang(J280,[1]!Min_ang(F281,F280)),[1]!DestoDeg(H281/3600))</f>
        <v xml:space="preserve"> 89° 52' 46"</v>
      </c>
      <c r="K281" s="31">
        <v>65.808000000000007</v>
      </c>
      <c r="L281" s="32">
        <f>[1]!Jarakdatar(K281,G281)</f>
        <v>65.445359377887996</v>
      </c>
      <c r="M281" s="33">
        <f>L281*[1]!dsin(J281)</f>
        <v>65.445214508076958</v>
      </c>
      <c r="N281" s="34">
        <f t="shared" si="74"/>
        <v>0</v>
      </c>
      <c r="O281" s="33">
        <f>L281*[1]!dcos(J281)</f>
        <v>0.13770291466078546</v>
      </c>
      <c r="P281" s="34">
        <f t="shared" si="75"/>
        <v>0</v>
      </c>
      <c r="Q281" s="35">
        <f>L281/[1]!dTAN(G281)-C281+$B$246</f>
        <v>-8.1941158780737435</v>
      </c>
      <c r="R281" s="34">
        <f t="shared" si="76"/>
        <v>0</v>
      </c>
      <c r="S281" s="36">
        <f t="shared" si="77"/>
        <v>9747.1723152336599</v>
      </c>
      <c r="T281" s="40">
        <f t="shared" si="78"/>
        <v>9683.4815016349821</v>
      </c>
      <c r="U281" s="37">
        <f t="shared" si="79"/>
        <v>13.697689607136754</v>
      </c>
      <c r="V281" s="38">
        <f t="shared" si="72"/>
        <v>281</v>
      </c>
      <c r="W281" s="70"/>
      <c r="X281" s="71"/>
      <c r="Y281" s="71"/>
      <c r="Z281" s="72" t="s">
        <v>65</v>
      </c>
      <c r="AB281" s="56"/>
      <c r="AC281" s="56"/>
      <c r="AD281" s="56"/>
      <c r="AE281" s="56"/>
      <c r="AF281" s="56"/>
      <c r="AG281" s="56"/>
      <c r="AH281" s="56"/>
      <c r="AI281" s="56">
        <v>72</v>
      </c>
      <c r="AJ281" s="56">
        <v>245</v>
      </c>
      <c r="AK281" s="56">
        <v>281</v>
      </c>
      <c r="AL281" s="56">
        <v>2.5</v>
      </c>
      <c r="AM281" s="56" t="s">
        <v>603</v>
      </c>
      <c r="AN281" s="56">
        <v>65.808000000000007</v>
      </c>
      <c r="AO281" s="56" t="s">
        <v>604</v>
      </c>
      <c r="AP281" s="56" t="s">
        <v>65</v>
      </c>
      <c r="AQ281" s="56" t="s">
        <v>63</v>
      </c>
    </row>
    <row r="282" spans="1:43" x14ac:dyDescent="0.25">
      <c r="A282" s="8"/>
      <c r="B282" s="8"/>
      <c r="C282" s="8">
        <v>2.5</v>
      </c>
      <c r="D282" s="27"/>
      <c r="E282" s="28">
        <v>282</v>
      </c>
      <c r="F282" s="29" t="s">
        <v>605</v>
      </c>
      <c r="G282" s="10" t="s">
        <v>606</v>
      </c>
      <c r="H282" s="30">
        <f t="shared" si="73"/>
        <v>0</v>
      </c>
      <c r="I282" s="52" t="str">
        <f>[1]!Plus_ang(I281,[1]!Min_ang(F282,F281))</f>
        <v xml:space="preserve"> 81° 53' 52"</v>
      </c>
      <c r="J282" s="10" t="str">
        <f>[1]!Plus_ang([1]!Plus_ang(J281,[1]!Min_ang(F282,F281)),[1]!DestoDeg(H282/3600))</f>
        <v xml:space="preserve"> 81° 53' 52"</v>
      </c>
      <c r="K282" s="31">
        <v>58.338000000000001</v>
      </c>
      <c r="L282" s="32">
        <f>[1]!Jarakdatar(K282,G282)</f>
        <v>58.002073220777049</v>
      </c>
      <c r="M282" s="33">
        <f>L282*[1]!dsin(J282)</f>
        <v>57.423107668336463</v>
      </c>
      <c r="N282" s="34">
        <f t="shared" si="74"/>
        <v>0</v>
      </c>
      <c r="O282" s="33">
        <f>L282*[1]!dcos(J282)</f>
        <v>8.1747907385461644</v>
      </c>
      <c r="P282" s="34">
        <f t="shared" si="75"/>
        <v>0</v>
      </c>
      <c r="Q282" s="35">
        <f>L282/[1]!dTAN(G282)-C282+$B$246</f>
        <v>-7.5465394977252362</v>
      </c>
      <c r="R282" s="34">
        <f t="shared" si="76"/>
        <v>0</v>
      </c>
      <c r="S282" s="36">
        <f t="shared" si="77"/>
        <v>9739.1502083939195</v>
      </c>
      <c r="T282" s="40">
        <f t="shared" si="78"/>
        <v>9691.5185894588685</v>
      </c>
      <c r="U282" s="37">
        <f t="shared" si="79"/>
        <v>14.345265987485261</v>
      </c>
      <c r="V282" s="38">
        <f t="shared" si="72"/>
        <v>282</v>
      </c>
      <c r="W282" s="70"/>
      <c r="X282" s="71"/>
      <c r="Y282" s="71"/>
      <c r="Z282" s="72" t="s">
        <v>65</v>
      </c>
      <c r="AB282" s="56"/>
      <c r="AC282" s="56"/>
      <c r="AD282" s="56"/>
      <c r="AE282" s="56"/>
      <c r="AF282" s="56"/>
      <c r="AG282" s="56"/>
      <c r="AH282" s="56"/>
      <c r="AI282" s="56">
        <v>74</v>
      </c>
      <c r="AJ282" s="56">
        <v>245</v>
      </c>
      <c r="AK282" s="56">
        <v>282</v>
      </c>
      <c r="AL282" s="56">
        <v>2.5</v>
      </c>
      <c r="AM282" s="56" t="s">
        <v>605</v>
      </c>
      <c r="AN282" s="56">
        <v>58.338000000000001</v>
      </c>
      <c r="AO282" s="56" t="s">
        <v>606</v>
      </c>
      <c r="AP282" s="56" t="s">
        <v>65</v>
      </c>
      <c r="AQ282" s="56" t="s">
        <v>63</v>
      </c>
    </row>
    <row r="283" spans="1:43" x14ac:dyDescent="0.25">
      <c r="A283" s="8"/>
      <c r="B283" s="8"/>
      <c r="C283" s="8">
        <v>2.5</v>
      </c>
      <c r="D283" s="27"/>
      <c r="E283" s="28">
        <v>283</v>
      </c>
      <c r="F283" s="29" t="s">
        <v>607</v>
      </c>
      <c r="G283" s="10" t="s">
        <v>190</v>
      </c>
      <c r="H283" s="30">
        <f t="shared" si="73"/>
        <v>0</v>
      </c>
      <c r="I283" s="52" t="str">
        <f>[1]!Plus_ang(I282,[1]!Min_ang(F283,F282))</f>
        <v xml:space="preserve"> 70° 52' 54"</v>
      </c>
      <c r="J283" s="10" t="str">
        <f>[1]!Plus_ang([1]!Plus_ang(J282,[1]!Min_ang(F283,F282)),[1]!DestoDeg(H283/3600))</f>
        <v xml:space="preserve"> 70° 52' 54"</v>
      </c>
      <c r="K283" s="31">
        <v>52.146999999999998</v>
      </c>
      <c r="L283" s="32">
        <f>[1]!Jarakdatar(K283,G283)</f>
        <v>51.745162501707398</v>
      </c>
      <c r="M283" s="33">
        <f>L283*[1]!dsin(J283)</f>
        <v>48.891114679413036</v>
      </c>
      <c r="N283" s="34">
        <f t="shared" si="74"/>
        <v>0</v>
      </c>
      <c r="O283" s="33">
        <f>L283*[1]!dcos(J283)</f>
        <v>16.94758825711164</v>
      </c>
      <c r="P283" s="34">
        <f t="shared" si="75"/>
        <v>0</v>
      </c>
      <c r="Q283" s="35">
        <f>L283/[1]!dTAN(G283)-C283+$B$246</f>
        <v>-7.7562511692314526</v>
      </c>
      <c r="R283" s="34">
        <f t="shared" si="76"/>
        <v>0</v>
      </c>
      <c r="S283" s="36">
        <f t="shared" si="77"/>
        <v>9730.6182154049948</v>
      </c>
      <c r="T283" s="40">
        <f t="shared" si="78"/>
        <v>9700.2913869774329</v>
      </c>
      <c r="U283" s="37">
        <f t="shared" si="79"/>
        <v>14.135554315979045</v>
      </c>
      <c r="V283" s="38">
        <f t="shared" si="72"/>
        <v>283</v>
      </c>
      <c r="W283" s="70"/>
      <c r="X283" s="71"/>
      <c r="Y283" s="71"/>
      <c r="Z283" s="72" t="s">
        <v>65</v>
      </c>
      <c r="AB283" s="56"/>
      <c r="AC283" s="56"/>
      <c r="AD283" s="56"/>
      <c r="AE283" s="56"/>
      <c r="AF283" s="56"/>
      <c r="AG283" s="56"/>
      <c r="AH283" s="56"/>
      <c r="AI283" s="56">
        <v>76</v>
      </c>
      <c r="AJ283" s="56">
        <v>245</v>
      </c>
      <c r="AK283" s="56">
        <v>283</v>
      </c>
      <c r="AL283" s="56">
        <v>2.5</v>
      </c>
      <c r="AM283" s="56" t="s">
        <v>607</v>
      </c>
      <c r="AN283" s="56">
        <v>52.146999999999998</v>
      </c>
      <c r="AO283" s="56" t="s">
        <v>190</v>
      </c>
      <c r="AP283" s="56" t="s">
        <v>65</v>
      </c>
      <c r="AQ283" s="56" t="s">
        <v>63</v>
      </c>
    </row>
    <row r="284" spans="1:43" x14ac:dyDescent="0.25">
      <c r="A284" s="8"/>
      <c r="B284" s="8"/>
      <c r="C284" s="8">
        <v>2.5</v>
      </c>
      <c r="D284" s="27"/>
      <c r="E284" s="28">
        <v>284</v>
      </c>
      <c r="F284" s="29" t="s">
        <v>608</v>
      </c>
      <c r="G284" s="10" t="s">
        <v>609</v>
      </c>
      <c r="H284" s="30">
        <f t="shared" si="73"/>
        <v>0</v>
      </c>
      <c r="I284" s="52" t="str">
        <f>[1]!Plus_ang(I283,[1]!Min_ang(F284,F283))</f>
        <v xml:space="preserve"> 70° 55' 52"</v>
      </c>
      <c r="J284" s="10" t="str">
        <f>[1]!Plus_ang([1]!Plus_ang(J283,[1]!Min_ang(F284,F283)),[1]!DestoDeg(H284/3600))</f>
        <v xml:space="preserve"> 70° 55' 52"</v>
      </c>
      <c r="K284" s="31">
        <v>52.079000000000001</v>
      </c>
      <c r="L284" s="32">
        <f>[1]!Jarakdatar(K284,G284)</f>
        <v>51.675681825005697</v>
      </c>
      <c r="M284" s="33">
        <f>L284*[1]!dsin(J284)</f>
        <v>48.840053679688118</v>
      </c>
      <c r="N284" s="34">
        <f t="shared" si="74"/>
        <v>0</v>
      </c>
      <c r="O284" s="33">
        <f>L284*[1]!dcos(J284)</f>
        <v>16.882690799881615</v>
      </c>
      <c r="P284" s="34">
        <f t="shared" si="75"/>
        <v>0</v>
      </c>
      <c r="Q284" s="35">
        <f>L284/[1]!dTAN(G284)-C284+$B$246</f>
        <v>-7.7638599398020816</v>
      </c>
      <c r="R284" s="34">
        <f t="shared" si="76"/>
        <v>0</v>
      </c>
      <c r="S284" s="36">
        <f t="shared" si="77"/>
        <v>9730.5671544052711</v>
      </c>
      <c r="T284" s="40">
        <f t="shared" si="78"/>
        <v>9700.2264895202024</v>
      </c>
      <c r="U284" s="37">
        <f t="shared" si="79"/>
        <v>14.127945545408416</v>
      </c>
      <c r="V284" s="38">
        <f t="shared" si="72"/>
        <v>284</v>
      </c>
      <c r="W284" s="70"/>
      <c r="X284" s="71"/>
      <c r="Y284" s="71"/>
      <c r="Z284" s="72" t="s">
        <v>65</v>
      </c>
      <c r="AB284" s="56"/>
      <c r="AC284" s="56"/>
      <c r="AD284" s="56"/>
      <c r="AE284" s="56"/>
      <c r="AF284" s="56"/>
      <c r="AG284" s="56"/>
      <c r="AH284" s="56"/>
      <c r="AI284" s="56">
        <v>78</v>
      </c>
      <c r="AJ284" s="56">
        <v>245</v>
      </c>
      <c r="AK284" s="56">
        <v>284</v>
      </c>
      <c r="AL284" s="56">
        <v>2.5</v>
      </c>
      <c r="AM284" s="56" t="s">
        <v>608</v>
      </c>
      <c r="AN284" s="56">
        <v>52.079000000000001</v>
      </c>
      <c r="AO284" s="56" t="s">
        <v>609</v>
      </c>
      <c r="AP284" s="56" t="s">
        <v>65</v>
      </c>
      <c r="AQ284" s="56" t="s">
        <v>63</v>
      </c>
    </row>
    <row r="285" spans="1:43" x14ac:dyDescent="0.25">
      <c r="A285" s="8"/>
      <c r="B285" s="8"/>
      <c r="C285" s="8">
        <v>1.45</v>
      </c>
      <c r="D285" s="27"/>
      <c r="E285" s="28">
        <v>285</v>
      </c>
      <c r="F285" s="29" t="s">
        <v>610</v>
      </c>
      <c r="G285" s="10" t="s">
        <v>611</v>
      </c>
      <c r="H285" s="30">
        <f t="shared" si="73"/>
        <v>0</v>
      </c>
      <c r="I285" s="52" t="str">
        <f>[1]!Plus_ang(I284,[1]!Min_ang(F285,F284))</f>
        <v xml:space="preserve"> 101° 50' 51"</v>
      </c>
      <c r="J285" s="10" t="str">
        <f>[1]!Plus_ang([1]!Plus_ang(J284,[1]!Min_ang(F285,F284)),[1]!DestoDeg(H285/3600))</f>
        <v xml:space="preserve"> 101° 50' 51"</v>
      </c>
      <c r="K285" s="31">
        <v>83.998000000000005</v>
      </c>
      <c r="L285" s="32">
        <f>[1]!Jarakdatar(K285,G285)</f>
        <v>83.997965479914171</v>
      </c>
      <c r="M285" s="33">
        <f>L285*[1]!dsin(J285)</f>
        <v>82.208600395213054</v>
      </c>
      <c r="N285" s="34">
        <f t="shared" si="74"/>
        <v>0</v>
      </c>
      <c r="O285" s="33">
        <f>L285*[1]!dcos(J285)</f>
        <v>-17.245411732545794</v>
      </c>
      <c r="P285" s="34">
        <f t="shared" si="75"/>
        <v>0</v>
      </c>
      <c r="Q285" s="35">
        <f>L285/[1]!dTAN(G285)-C285+$B$246</f>
        <v>-0.32115270939353469</v>
      </c>
      <c r="R285" s="34">
        <f t="shared" si="76"/>
        <v>0</v>
      </c>
      <c r="S285" s="36">
        <f t="shared" si="77"/>
        <v>9763.9357011207958</v>
      </c>
      <c r="T285" s="40">
        <f t="shared" si="78"/>
        <v>9666.0983869877764</v>
      </c>
      <c r="U285" s="37">
        <f t="shared" si="79"/>
        <v>21.570652775816963</v>
      </c>
      <c r="V285" s="38">
        <f t="shared" si="72"/>
        <v>285</v>
      </c>
      <c r="W285" s="70"/>
      <c r="X285" s="71"/>
      <c r="Y285" s="71"/>
      <c r="Z285" s="72" t="s">
        <v>3</v>
      </c>
      <c r="AB285" s="56"/>
      <c r="AC285" s="56"/>
      <c r="AD285" s="56"/>
      <c r="AE285" s="56"/>
      <c r="AF285" s="56"/>
      <c r="AG285" s="56"/>
      <c r="AH285" s="56"/>
      <c r="AI285" s="56">
        <v>80</v>
      </c>
      <c r="AJ285" s="56">
        <v>245</v>
      </c>
      <c r="AK285" s="56">
        <v>285</v>
      </c>
      <c r="AL285" s="56">
        <v>1.45</v>
      </c>
      <c r="AM285" s="56" t="s">
        <v>610</v>
      </c>
      <c r="AN285" s="56">
        <v>83.998000000000005</v>
      </c>
      <c r="AO285" s="56" t="s">
        <v>611</v>
      </c>
      <c r="AP285" s="56" t="s">
        <v>3</v>
      </c>
      <c r="AQ285" s="56" t="s">
        <v>63</v>
      </c>
    </row>
    <row r="286" spans="1:43" x14ac:dyDescent="0.25">
      <c r="A286" s="8"/>
      <c r="B286" s="8"/>
      <c r="C286" s="8">
        <v>1.45</v>
      </c>
      <c r="D286" s="27"/>
      <c r="E286" s="28">
        <v>286</v>
      </c>
      <c r="F286" s="29" t="s">
        <v>612</v>
      </c>
      <c r="G286" s="10" t="s">
        <v>613</v>
      </c>
      <c r="H286" s="30">
        <f t="shared" si="73"/>
        <v>0</v>
      </c>
      <c r="I286" s="52" t="str">
        <f>[1]!Plus_ang(I285,[1]!Min_ang(F286,F285))</f>
        <v xml:space="preserve"> 99° 55' 47"</v>
      </c>
      <c r="J286" s="10" t="str">
        <f>[1]!Plus_ang([1]!Plus_ang(J285,[1]!Min_ang(F286,F285)),[1]!DestoDeg(H286/3600))</f>
        <v xml:space="preserve"> 99° 55' 47"</v>
      </c>
      <c r="K286" s="31">
        <v>79.120999999999995</v>
      </c>
      <c r="L286" s="32">
        <f>[1]!Jarakdatar(K286,G286)</f>
        <v>79.120873391133074</v>
      </c>
      <c r="M286" s="33">
        <f>L286*[1]!dsin(J286)</f>
        <v>77.93564312554156</v>
      </c>
      <c r="N286" s="34">
        <f t="shared" si="74"/>
        <v>0</v>
      </c>
      <c r="O286" s="33">
        <f>L286*[1]!dcos(J286)</f>
        <v>-13.643611574064066</v>
      </c>
      <c r="P286" s="34">
        <f t="shared" si="75"/>
        <v>0</v>
      </c>
      <c r="Q286" s="35">
        <f>L286/[1]!dTAN(G286)-C286+$B$246</f>
        <v>-0.3865444251412109</v>
      </c>
      <c r="R286" s="34">
        <f t="shared" si="76"/>
        <v>0</v>
      </c>
      <c r="S286" s="36">
        <f t="shared" si="77"/>
        <v>9759.6627438511241</v>
      </c>
      <c r="T286" s="40">
        <f t="shared" si="78"/>
        <v>9669.700187146258</v>
      </c>
      <c r="U286" s="37">
        <f t="shared" si="79"/>
        <v>21.505261060069287</v>
      </c>
      <c r="V286" s="38">
        <f t="shared" si="72"/>
        <v>286</v>
      </c>
      <c r="W286" s="70"/>
      <c r="X286" s="71"/>
      <c r="Y286" s="71"/>
      <c r="Z286" s="72" t="s">
        <v>3</v>
      </c>
      <c r="AB286" s="56"/>
      <c r="AC286" s="56"/>
      <c r="AD286" s="56"/>
      <c r="AE286" s="56"/>
      <c r="AF286" s="56"/>
      <c r="AG286" s="56"/>
      <c r="AH286" s="56"/>
      <c r="AI286" s="56">
        <v>82</v>
      </c>
      <c r="AJ286" s="56">
        <v>245</v>
      </c>
      <c r="AK286" s="56">
        <v>286</v>
      </c>
      <c r="AL286" s="56">
        <v>1.45</v>
      </c>
      <c r="AM286" s="56" t="s">
        <v>612</v>
      </c>
      <c r="AN286" s="56">
        <v>79.120999999999995</v>
      </c>
      <c r="AO286" s="56" t="s">
        <v>613</v>
      </c>
      <c r="AP286" s="56" t="s">
        <v>3</v>
      </c>
      <c r="AQ286" s="56" t="s">
        <v>63</v>
      </c>
    </row>
    <row r="287" spans="1:43" x14ac:dyDescent="0.25">
      <c r="A287" s="8"/>
      <c r="B287" s="8"/>
      <c r="C287" s="8">
        <v>1.45</v>
      </c>
      <c r="D287" s="27"/>
      <c r="E287" s="28">
        <v>287</v>
      </c>
      <c r="F287" s="29" t="s">
        <v>614</v>
      </c>
      <c r="G287" s="10" t="s">
        <v>615</v>
      </c>
      <c r="H287" s="30">
        <f t="shared" si="73"/>
        <v>0</v>
      </c>
      <c r="I287" s="52" t="str">
        <f>[1]!Plus_ang(I286,[1]!Min_ang(F287,F286))</f>
        <v xml:space="preserve"> 97° 59' 51"</v>
      </c>
      <c r="J287" s="10" t="str">
        <f>[1]!Plus_ang([1]!Plus_ang(J286,[1]!Min_ang(F287,F286)),[1]!DestoDeg(H287/3600))</f>
        <v xml:space="preserve"> 97° 59' 51"</v>
      </c>
      <c r="K287" s="31">
        <v>74.968000000000004</v>
      </c>
      <c r="L287" s="32">
        <f>[1]!Jarakdatar(K287,G287)</f>
        <v>74.861709821995774</v>
      </c>
      <c r="M287" s="33">
        <f>L287*[1]!dsin(J287)</f>
        <v>74.13361534068072</v>
      </c>
      <c r="N287" s="34">
        <f t="shared" si="74"/>
        <v>0</v>
      </c>
      <c r="O287" s="33">
        <f>L287*[1]!dcos(J287)</f>
        <v>-10.415501619830328</v>
      </c>
      <c r="P287" s="34">
        <f t="shared" si="75"/>
        <v>0</v>
      </c>
      <c r="Q287" s="35">
        <f>L287/[1]!dTAN(G287)-C287+$B$246</f>
        <v>-4.2356674288022163</v>
      </c>
      <c r="R287" s="34">
        <f t="shared" si="76"/>
        <v>0</v>
      </c>
      <c r="S287" s="36">
        <f t="shared" si="77"/>
        <v>9755.8607160662632</v>
      </c>
      <c r="T287" s="40">
        <f t="shared" si="78"/>
        <v>9672.9282971004905</v>
      </c>
      <c r="U287" s="37">
        <f t="shared" si="79"/>
        <v>17.656138056408281</v>
      </c>
      <c r="V287" s="38">
        <f t="shared" si="72"/>
        <v>287</v>
      </c>
      <c r="W287" s="70"/>
      <c r="X287" s="71"/>
      <c r="Y287" s="71"/>
      <c r="Z287" s="72" t="s">
        <v>14</v>
      </c>
      <c r="AB287" s="56"/>
      <c r="AC287" s="56"/>
      <c r="AD287" s="56"/>
      <c r="AE287" s="56"/>
      <c r="AF287" s="56"/>
      <c r="AG287" s="56"/>
      <c r="AH287" s="56"/>
      <c r="AI287" s="56">
        <v>84</v>
      </c>
      <c r="AJ287" s="56">
        <v>245</v>
      </c>
      <c r="AK287" s="56">
        <v>287</v>
      </c>
      <c r="AL287" s="56">
        <v>1.45</v>
      </c>
      <c r="AM287" s="56" t="s">
        <v>614</v>
      </c>
      <c r="AN287" s="56">
        <v>74.968000000000004</v>
      </c>
      <c r="AO287" s="56" t="s">
        <v>615</v>
      </c>
      <c r="AP287" s="56" t="s">
        <v>14</v>
      </c>
      <c r="AQ287" s="56" t="s">
        <v>63</v>
      </c>
    </row>
    <row r="288" spans="1:43" x14ac:dyDescent="0.25">
      <c r="A288" s="8"/>
      <c r="B288" s="8"/>
      <c r="C288" s="8">
        <v>1.45</v>
      </c>
      <c r="D288" s="27"/>
      <c r="E288" s="28">
        <v>288</v>
      </c>
      <c r="F288" s="29" t="s">
        <v>616</v>
      </c>
      <c r="G288" s="10" t="s">
        <v>617</v>
      </c>
      <c r="H288" s="30">
        <f t="shared" si="73"/>
        <v>0</v>
      </c>
      <c r="I288" s="52" t="str">
        <f>[1]!Plus_ang(I287,[1]!Min_ang(F288,F287))</f>
        <v xml:space="preserve"> 97° 53' 55"</v>
      </c>
      <c r="J288" s="10" t="str">
        <f>[1]!Plus_ang([1]!Plus_ang(J287,[1]!Min_ang(F288,F287)),[1]!DestoDeg(H288/3600))</f>
        <v xml:space="preserve"> 97° 53' 55"</v>
      </c>
      <c r="K288" s="31">
        <v>74.799000000000007</v>
      </c>
      <c r="L288" s="32">
        <f>[1]!Jarakdatar(K288,G288)</f>
        <v>74.685966072423426</v>
      </c>
      <c r="M288" s="33">
        <f>L288*[1]!dsin(J288)</f>
        <v>73.977404979049453</v>
      </c>
      <c r="N288" s="34">
        <f t="shared" si="74"/>
        <v>0</v>
      </c>
      <c r="O288" s="33">
        <f>L288*[1]!dcos(J288)</f>
        <v>-10.263385442284239</v>
      </c>
      <c r="P288" s="34">
        <f t="shared" si="75"/>
        <v>0</v>
      </c>
      <c r="Q288" s="35">
        <f>L288/[1]!dTAN(G288)-C288+$B$246</f>
        <v>-4.3555805951007152</v>
      </c>
      <c r="R288" s="34">
        <f t="shared" si="76"/>
        <v>0</v>
      </c>
      <c r="S288" s="36">
        <f t="shared" si="77"/>
        <v>9755.7045057046325</v>
      </c>
      <c r="T288" s="40">
        <f t="shared" si="78"/>
        <v>9673.0804132780377</v>
      </c>
      <c r="U288" s="37">
        <f t="shared" si="79"/>
        <v>17.536224890109782</v>
      </c>
      <c r="V288" s="38">
        <f t="shared" si="72"/>
        <v>288</v>
      </c>
      <c r="W288" s="70"/>
      <c r="X288" s="71"/>
      <c r="Y288" s="71"/>
      <c r="Z288" s="72" t="s">
        <v>15</v>
      </c>
      <c r="AB288" s="56"/>
      <c r="AC288" s="56"/>
      <c r="AD288" s="56"/>
      <c r="AE288" s="56"/>
      <c r="AF288" s="56"/>
      <c r="AG288" s="56"/>
      <c r="AH288" s="56"/>
      <c r="AI288" s="56">
        <v>86</v>
      </c>
      <c r="AJ288" s="56">
        <v>245</v>
      </c>
      <c r="AK288" s="56">
        <v>288</v>
      </c>
      <c r="AL288" s="56">
        <v>1.45</v>
      </c>
      <c r="AM288" s="56" t="s">
        <v>616</v>
      </c>
      <c r="AN288" s="56">
        <v>74.799000000000007</v>
      </c>
      <c r="AO288" s="56" t="s">
        <v>617</v>
      </c>
      <c r="AP288" s="56" t="s">
        <v>15</v>
      </c>
      <c r="AQ288" s="56" t="s">
        <v>63</v>
      </c>
    </row>
    <row r="289" spans="1:43" x14ac:dyDescent="0.25">
      <c r="A289" s="8"/>
      <c r="B289" s="8"/>
      <c r="C289" s="8">
        <v>1.45</v>
      </c>
      <c r="D289" s="27"/>
      <c r="E289" s="28">
        <v>289</v>
      </c>
      <c r="F289" s="29" t="s">
        <v>618</v>
      </c>
      <c r="G289" s="10" t="s">
        <v>619</v>
      </c>
      <c r="H289" s="30">
        <f t="shared" si="73"/>
        <v>0</v>
      </c>
      <c r="I289" s="52" t="str">
        <f>[1]!Plus_ang(I288,[1]!Min_ang(F289,F288))</f>
        <v xml:space="preserve"> 97° 54' 48"</v>
      </c>
      <c r="J289" s="10" t="str">
        <f>[1]!Plus_ang([1]!Plus_ang(J288,[1]!Min_ang(F289,F288)),[1]!DestoDeg(H289/3600))</f>
        <v xml:space="preserve"> 97° 54' 48"</v>
      </c>
      <c r="K289" s="31">
        <v>74.475999999999999</v>
      </c>
      <c r="L289" s="32">
        <f>[1]!Jarakdatar(K289,G289)</f>
        <v>74.371595683859866</v>
      </c>
      <c r="M289" s="33">
        <f>L289*[1]!dsin(J289)</f>
        <v>73.663388565880339</v>
      </c>
      <c r="N289" s="34">
        <f t="shared" si="74"/>
        <v>0</v>
      </c>
      <c r="O289" s="33">
        <f>L289*[1]!dcos(J289)</f>
        <v>-10.239112732832464</v>
      </c>
      <c r="P289" s="34">
        <f t="shared" si="75"/>
        <v>0</v>
      </c>
      <c r="Q289" s="35">
        <f>L289/[1]!dTAN(G289)-C289+$B$246</f>
        <v>-4.1871227069279326</v>
      </c>
      <c r="R289" s="34">
        <f t="shared" si="76"/>
        <v>0</v>
      </c>
      <c r="S289" s="36">
        <f t="shared" si="77"/>
        <v>9755.3904892914634</v>
      </c>
      <c r="T289" s="40">
        <f t="shared" si="78"/>
        <v>9673.1046859874896</v>
      </c>
      <c r="U289" s="37">
        <f t="shared" si="79"/>
        <v>17.704682778282564</v>
      </c>
      <c r="V289" s="38">
        <f t="shared" si="72"/>
        <v>289</v>
      </c>
      <c r="W289" s="70"/>
      <c r="X289" s="71"/>
      <c r="Y289" s="71"/>
      <c r="Z289" s="72" t="s">
        <v>15</v>
      </c>
      <c r="AB289" s="56"/>
      <c r="AC289" s="56"/>
      <c r="AD289" s="56"/>
      <c r="AE289" s="56"/>
      <c r="AF289" s="56"/>
      <c r="AG289" s="56"/>
      <c r="AH289" s="56"/>
      <c r="AI289" s="56">
        <v>88</v>
      </c>
      <c r="AJ289" s="56">
        <v>245</v>
      </c>
      <c r="AK289" s="56">
        <v>289</v>
      </c>
      <c r="AL289" s="56">
        <v>1.45</v>
      </c>
      <c r="AM289" s="56" t="s">
        <v>618</v>
      </c>
      <c r="AN289" s="56">
        <v>74.475999999999999</v>
      </c>
      <c r="AO289" s="56" t="s">
        <v>619</v>
      </c>
      <c r="AP289" s="56" t="s">
        <v>15</v>
      </c>
      <c r="AQ289" s="56" t="s">
        <v>63</v>
      </c>
    </row>
    <row r="290" spans="1:43" x14ac:dyDescent="0.25">
      <c r="A290" s="8"/>
      <c r="B290" s="8"/>
      <c r="C290" s="8">
        <v>1.45</v>
      </c>
      <c r="D290" s="27"/>
      <c r="E290" s="28">
        <v>290</v>
      </c>
      <c r="F290" s="29" t="s">
        <v>620</v>
      </c>
      <c r="G290" s="10" t="s">
        <v>621</v>
      </c>
      <c r="H290" s="30">
        <f t="shared" si="73"/>
        <v>0</v>
      </c>
      <c r="I290" s="52" t="str">
        <f>[1]!Plus_ang(I289,[1]!Min_ang(F290,F289))</f>
        <v xml:space="preserve"> 97° 59' 52"</v>
      </c>
      <c r="J290" s="10" t="str">
        <f>[1]!Plus_ang([1]!Plus_ang(J289,[1]!Min_ang(F290,F289)),[1]!DestoDeg(H290/3600))</f>
        <v xml:space="preserve"> 97° 59' 52"</v>
      </c>
      <c r="K290" s="31">
        <v>74.373000000000005</v>
      </c>
      <c r="L290" s="32">
        <f>[1]!Jarakdatar(K290,G290)</f>
        <v>74.271055516628266</v>
      </c>
      <c r="M290" s="33">
        <f>L290*[1]!dsin(J290)</f>
        <v>73.548655557943874</v>
      </c>
      <c r="N290" s="34">
        <f t="shared" si="74"/>
        <v>0</v>
      </c>
      <c r="O290" s="33">
        <f>L290*[1]!dcos(J290)</f>
        <v>-10.333680524044114</v>
      </c>
      <c r="P290" s="34">
        <f t="shared" si="75"/>
        <v>0</v>
      </c>
      <c r="Q290" s="35">
        <f>L290/[1]!dTAN(G290)-C290+$B$246</f>
        <v>-4.1377421499404603</v>
      </c>
      <c r="R290" s="34">
        <f t="shared" si="76"/>
        <v>0</v>
      </c>
      <c r="S290" s="36">
        <f t="shared" si="77"/>
        <v>9755.2757562835268</v>
      </c>
      <c r="T290" s="40">
        <f t="shared" si="78"/>
        <v>9673.0101181962782</v>
      </c>
      <c r="U290" s="37">
        <f t="shared" si="79"/>
        <v>17.754063335270036</v>
      </c>
      <c r="V290" s="38">
        <f t="shared" si="72"/>
        <v>290</v>
      </c>
      <c r="W290" s="70"/>
      <c r="X290" s="71"/>
      <c r="Y290" s="71"/>
      <c r="Z290" s="72" t="s">
        <v>14</v>
      </c>
      <c r="AB290" s="56"/>
      <c r="AC290" s="56"/>
      <c r="AD290" s="56"/>
      <c r="AE290" s="56"/>
      <c r="AF290" s="56"/>
      <c r="AG290" s="56"/>
      <c r="AH290" s="56"/>
      <c r="AI290" s="56">
        <v>90</v>
      </c>
      <c r="AJ290" s="56">
        <v>245</v>
      </c>
      <c r="AK290" s="56">
        <v>290</v>
      </c>
      <c r="AL290" s="56">
        <v>1.45</v>
      </c>
      <c r="AM290" s="56" t="s">
        <v>620</v>
      </c>
      <c r="AN290" s="56">
        <v>74.373000000000005</v>
      </c>
      <c r="AO290" s="56" t="s">
        <v>621</v>
      </c>
      <c r="AP290" s="56" t="s">
        <v>14</v>
      </c>
      <c r="AQ290" s="56" t="s">
        <v>63</v>
      </c>
    </row>
    <row r="291" spans="1:43" x14ac:dyDescent="0.25">
      <c r="A291" s="8"/>
      <c r="B291" s="8"/>
      <c r="C291" s="8">
        <v>1.45</v>
      </c>
      <c r="D291" s="27"/>
      <c r="E291" s="28">
        <v>291</v>
      </c>
      <c r="F291" s="29" t="s">
        <v>620</v>
      </c>
      <c r="G291" s="10" t="s">
        <v>622</v>
      </c>
      <c r="H291" s="30">
        <f t="shared" si="73"/>
        <v>0</v>
      </c>
      <c r="I291" s="52" t="str">
        <f>[1]!Plus_ang(I290,[1]!Min_ang(F291,F290))</f>
        <v xml:space="preserve"> 97° 59' 52"</v>
      </c>
      <c r="J291" s="10" t="str">
        <f>[1]!Plus_ang([1]!Plus_ang(J290,[1]!Min_ang(F291,F290)),[1]!DestoDeg(H291/3600))</f>
        <v xml:space="preserve"> 97° 59' 52"</v>
      </c>
      <c r="K291" s="31">
        <v>74.337999999999994</v>
      </c>
      <c r="L291" s="32">
        <f>[1]!Jarakdatar(K291,G291)</f>
        <v>74.290397217795871</v>
      </c>
      <c r="M291" s="33">
        <f>L291*[1]!dsin(J291)</f>
        <v>73.567809131394341</v>
      </c>
      <c r="N291" s="34">
        <f t="shared" si="74"/>
        <v>0</v>
      </c>
      <c r="O291" s="33">
        <f>L291*[1]!dcos(J291)</f>
        <v>-10.33637162570232</v>
      </c>
      <c r="P291" s="34">
        <f t="shared" si="75"/>
        <v>0</v>
      </c>
      <c r="Q291" s="35">
        <f>L291/[1]!dTAN(G291)-C291+$B$246</f>
        <v>-2.9049107545377888</v>
      </c>
      <c r="R291" s="34">
        <f t="shared" si="76"/>
        <v>0</v>
      </c>
      <c r="S291" s="36">
        <f t="shared" si="77"/>
        <v>9755.294909856977</v>
      </c>
      <c r="T291" s="40">
        <f t="shared" si="78"/>
        <v>9673.0074270946188</v>
      </c>
      <c r="U291" s="37">
        <f t="shared" si="79"/>
        <v>18.986894730672709</v>
      </c>
      <c r="V291" s="38">
        <f t="shared" si="72"/>
        <v>291</v>
      </c>
      <c r="W291" s="70"/>
      <c r="X291" s="71"/>
      <c r="Y291" s="71"/>
      <c r="Z291" s="72" t="s">
        <v>14</v>
      </c>
      <c r="AB291" s="56"/>
      <c r="AC291" s="56"/>
      <c r="AD291" s="56"/>
      <c r="AE291" s="56"/>
      <c r="AF291" s="56"/>
      <c r="AG291" s="56"/>
      <c r="AH291" s="56"/>
      <c r="AI291" s="56">
        <v>92</v>
      </c>
      <c r="AJ291" s="56">
        <v>245</v>
      </c>
      <c r="AK291" s="56">
        <v>291</v>
      </c>
      <c r="AL291" s="56">
        <v>1.45</v>
      </c>
      <c r="AM291" s="56" t="s">
        <v>620</v>
      </c>
      <c r="AN291" s="56">
        <v>74.337999999999994</v>
      </c>
      <c r="AO291" s="56" t="s">
        <v>622</v>
      </c>
      <c r="AP291" s="56" t="s">
        <v>14</v>
      </c>
      <c r="AQ291" s="56" t="s">
        <v>63</v>
      </c>
    </row>
    <row r="292" spans="1:43" x14ac:dyDescent="0.25">
      <c r="A292" s="8"/>
      <c r="B292" s="8"/>
      <c r="C292" s="8">
        <v>1.45</v>
      </c>
      <c r="D292" s="27"/>
      <c r="E292" s="28">
        <v>292</v>
      </c>
      <c r="F292" s="29" t="s">
        <v>623</v>
      </c>
      <c r="G292" s="10" t="s">
        <v>622</v>
      </c>
      <c r="H292" s="30">
        <f t="shared" si="73"/>
        <v>0</v>
      </c>
      <c r="I292" s="52" t="str">
        <f>[1]!Plus_ang(I291,[1]!Min_ang(F292,F291))</f>
        <v xml:space="preserve"> 97° 50' 49"</v>
      </c>
      <c r="J292" s="10" t="str">
        <f>[1]!Plus_ang([1]!Plus_ang(J291,[1]!Min_ang(F292,F291)),[1]!DestoDeg(H292/3600))</f>
        <v xml:space="preserve"> 97° 50' 49"</v>
      </c>
      <c r="K292" s="31">
        <v>74.117999999999995</v>
      </c>
      <c r="L292" s="32">
        <f>[1]!Jarakdatar(K292,G292)</f>
        <v>74.070538096109587</v>
      </c>
      <c r="M292" s="33">
        <f>L292*[1]!dsin(J292)</f>
        <v>73.376964642902038</v>
      </c>
      <c r="N292" s="34">
        <f t="shared" si="74"/>
        <v>0</v>
      </c>
      <c r="O292" s="33">
        <f>L292*[1]!dcos(J292)</f>
        <v>-10.112649190074999</v>
      </c>
      <c r="P292" s="34">
        <f t="shared" si="75"/>
        <v>0</v>
      </c>
      <c r="Q292" s="35">
        <f>L292/[1]!dTAN(G292)-C292+$B$246</f>
        <v>-2.8970388671316405</v>
      </c>
      <c r="R292" s="34">
        <f t="shared" si="76"/>
        <v>0</v>
      </c>
      <c r="S292" s="36">
        <f t="shared" si="77"/>
        <v>9755.104065368485</v>
      </c>
      <c r="T292" s="40">
        <f t="shared" si="78"/>
        <v>9673.2311495302456</v>
      </c>
      <c r="U292" s="37">
        <f t="shared" si="79"/>
        <v>18.994766618078856</v>
      </c>
      <c r="V292" s="38">
        <f t="shared" si="72"/>
        <v>292</v>
      </c>
      <c r="W292" s="70"/>
      <c r="X292" s="71"/>
      <c r="Y292" s="71"/>
      <c r="Z292" s="72" t="s">
        <v>14</v>
      </c>
      <c r="AB292" s="56"/>
      <c r="AC292" s="56"/>
      <c r="AD292" s="56"/>
      <c r="AE292" s="56"/>
      <c r="AF292" s="56"/>
      <c r="AG292" s="56"/>
      <c r="AH292" s="56"/>
      <c r="AI292" s="56">
        <v>94</v>
      </c>
      <c r="AJ292" s="56">
        <v>245</v>
      </c>
      <c r="AK292" s="56">
        <v>292</v>
      </c>
      <c r="AL292" s="56">
        <v>1.45</v>
      </c>
      <c r="AM292" s="56" t="s">
        <v>623</v>
      </c>
      <c r="AN292" s="56">
        <v>74.117999999999995</v>
      </c>
      <c r="AO292" s="56" t="s">
        <v>622</v>
      </c>
      <c r="AP292" s="56" t="s">
        <v>14</v>
      </c>
      <c r="AQ292" s="56" t="s">
        <v>63</v>
      </c>
    </row>
    <row r="293" spans="1:43" x14ac:dyDescent="0.25">
      <c r="A293" s="8"/>
      <c r="B293" s="8"/>
      <c r="C293" s="8">
        <v>1.45</v>
      </c>
      <c r="D293" s="27"/>
      <c r="E293" s="28">
        <v>293</v>
      </c>
      <c r="F293" s="29" t="s">
        <v>624</v>
      </c>
      <c r="G293" s="10" t="s">
        <v>625</v>
      </c>
      <c r="H293" s="30">
        <f t="shared" si="73"/>
        <v>0</v>
      </c>
      <c r="I293" s="52" t="str">
        <f>[1]!Plus_ang(I292,[1]!Min_ang(F293,F292))</f>
        <v xml:space="preserve"> 96° 59' 54"</v>
      </c>
      <c r="J293" s="10" t="str">
        <f>[1]!Plus_ang([1]!Plus_ang(J292,[1]!Min_ang(F293,F292)),[1]!DestoDeg(H293/3600))</f>
        <v xml:space="preserve"> 96° 59' 54"</v>
      </c>
      <c r="K293" s="31">
        <v>74.088999999999999</v>
      </c>
      <c r="L293" s="32">
        <f>[1]!Jarakdatar(K293,G293)</f>
        <v>74.039936518333036</v>
      </c>
      <c r="M293" s="33">
        <f>L293*[1]!dsin(J293)</f>
        <v>73.488316502151235</v>
      </c>
      <c r="N293" s="34">
        <f t="shared" si="74"/>
        <v>0</v>
      </c>
      <c r="O293" s="33">
        <f>L293*[1]!dcos(J293)</f>
        <v>-9.0210607645904588</v>
      </c>
      <c r="P293" s="34">
        <f t="shared" si="75"/>
        <v>0</v>
      </c>
      <c r="Q293" s="35">
        <f>L293/[1]!dTAN(G293)-C293+$B$246</f>
        <v>-2.9408711692539518</v>
      </c>
      <c r="R293" s="34">
        <f t="shared" si="76"/>
        <v>0</v>
      </c>
      <c r="S293" s="36">
        <f t="shared" si="77"/>
        <v>9755.2154172277333</v>
      </c>
      <c r="T293" s="40">
        <f t="shared" si="78"/>
        <v>9674.3227379557302</v>
      </c>
      <c r="U293" s="37">
        <f t="shared" si="79"/>
        <v>18.950934315956545</v>
      </c>
      <c r="V293" s="38">
        <f t="shared" si="72"/>
        <v>293</v>
      </c>
      <c r="W293" s="70"/>
      <c r="X293" s="71"/>
      <c r="Y293" s="71"/>
      <c r="Z293" s="72" t="s">
        <v>66</v>
      </c>
      <c r="AB293" s="56"/>
      <c r="AC293" s="56"/>
      <c r="AD293" s="56"/>
      <c r="AE293" s="56"/>
      <c r="AF293" s="56"/>
      <c r="AG293" s="56"/>
      <c r="AH293" s="56"/>
      <c r="AI293" s="56">
        <v>96</v>
      </c>
      <c r="AJ293" s="56">
        <v>245</v>
      </c>
      <c r="AK293" s="56">
        <v>293</v>
      </c>
      <c r="AL293" s="56">
        <v>1.45</v>
      </c>
      <c r="AM293" s="56" t="s">
        <v>624</v>
      </c>
      <c r="AN293" s="56">
        <v>74.088999999999999</v>
      </c>
      <c r="AO293" s="56" t="s">
        <v>625</v>
      </c>
      <c r="AP293" s="56" t="s">
        <v>66</v>
      </c>
      <c r="AQ293" s="56" t="s">
        <v>63</v>
      </c>
    </row>
    <row r="294" spans="1:43" x14ac:dyDescent="0.25">
      <c r="A294" s="8"/>
      <c r="B294" s="8"/>
      <c r="C294" s="8">
        <v>1.45</v>
      </c>
      <c r="D294" s="27"/>
      <c r="E294" s="28">
        <v>294</v>
      </c>
      <c r="F294" s="29" t="s">
        <v>626</v>
      </c>
      <c r="G294" s="10" t="s">
        <v>627</v>
      </c>
      <c r="H294" s="30">
        <f t="shared" si="73"/>
        <v>0</v>
      </c>
      <c r="I294" s="52" t="str">
        <f>[1]!Plus_ang(I293,[1]!Min_ang(F294,F293))</f>
        <v xml:space="preserve"> 94° 57' 53"</v>
      </c>
      <c r="J294" s="10" t="str">
        <f>[1]!Plus_ang([1]!Plus_ang(J293,[1]!Min_ang(F294,F293)),[1]!DestoDeg(H294/3600))</f>
        <v xml:space="preserve"> 94° 57' 53"</v>
      </c>
      <c r="K294" s="31">
        <v>70.879000000000005</v>
      </c>
      <c r="L294" s="32">
        <f>[1]!Jarakdatar(K294,G294)</f>
        <v>70.828987615476493</v>
      </c>
      <c r="M294" s="33">
        <f>L294*[1]!dsin(J294)</f>
        <v>70.56324945173607</v>
      </c>
      <c r="N294" s="34">
        <f t="shared" si="74"/>
        <v>0</v>
      </c>
      <c r="O294" s="33">
        <f>L294*[1]!dcos(J294)</f>
        <v>-6.1297074518602015</v>
      </c>
      <c r="P294" s="34">
        <f t="shared" si="75"/>
        <v>0</v>
      </c>
      <c r="Q294" s="35">
        <f>L294/[1]!dTAN(G294)-C294+$B$246</f>
        <v>-2.9071709874984784</v>
      </c>
      <c r="R294" s="34">
        <f t="shared" si="76"/>
        <v>0</v>
      </c>
      <c r="S294" s="36">
        <f t="shared" si="77"/>
        <v>9752.290350177318</v>
      </c>
      <c r="T294" s="40">
        <f t="shared" si="78"/>
        <v>9677.2140912684608</v>
      </c>
      <c r="U294" s="37">
        <f t="shared" si="79"/>
        <v>18.984634497712019</v>
      </c>
      <c r="V294" s="38">
        <f t="shared" si="72"/>
        <v>294</v>
      </c>
      <c r="W294" s="70"/>
      <c r="X294" s="71"/>
      <c r="Y294" s="71"/>
      <c r="Z294" s="72" t="s">
        <v>66</v>
      </c>
      <c r="AB294" s="56"/>
      <c r="AC294" s="56"/>
      <c r="AD294" s="56"/>
      <c r="AE294" s="56"/>
      <c r="AF294" s="56"/>
      <c r="AG294" s="56"/>
      <c r="AH294" s="56"/>
      <c r="AI294" s="56">
        <v>98</v>
      </c>
      <c r="AJ294" s="56">
        <v>245</v>
      </c>
      <c r="AK294" s="56">
        <v>294</v>
      </c>
      <c r="AL294" s="56">
        <v>1.45</v>
      </c>
      <c r="AM294" s="56" t="s">
        <v>626</v>
      </c>
      <c r="AN294" s="56">
        <v>70.879000000000005</v>
      </c>
      <c r="AO294" s="56" t="s">
        <v>627</v>
      </c>
      <c r="AP294" s="56" t="s">
        <v>66</v>
      </c>
      <c r="AQ294" s="56" t="s">
        <v>63</v>
      </c>
    </row>
    <row r="295" spans="1:43" x14ac:dyDescent="0.25">
      <c r="A295" s="8"/>
      <c r="B295" s="8"/>
      <c r="C295" s="8">
        <v>1.45</v>
      </c>
      <c r="D295" s="27"/>
      <c r="E295" s="28">
        <v>295</v>
      </c>
      <c r="F295" s="29" t="s">
        <v>628</v>
      </c>
      <c r="G295" s="10" t="s">
        <v>629</v>
      </c>
      <c r="H295" s="30">
        <f t="shared" si="73"/>
        <v>0</v>
      </c>
      <c r="I295" s="52" t="str">
        <f>[1]!Plus_ang(I294,[1]!Min_ang(F295,F294))</f>
        <v xml:space="preserve"> 94° 55' 48"</v>
      </c>
      <c r="J295" s="10" t="str">
        <f>[1]!Plus_ang([1]!Plus_ang(J294,[1]!Min_ang(F295,F294)),[1]!DestoDeg(H295/3600))</f>
        <v xml:space="preserve"> 94° 55' 48"</v>
      </c>
      <c r="K295" s="31">
        <v>70.561999999999998</v>
      </c>
      <c r="L295" s="32">
        <f>[1]!Jarakdatar(K295,G295)</f>
        <v>70.464184010687504</v>
      </c>
      <c r="M295" s="33">
        <f>L295*[1]!dsin(J295)</f>
        <v>70.203497211343446</v>
      </c>
      <c r="N295" s="34">
        <f t="shared" si="74"/>
        <v>0</v>
      </c>
      <c r="O295" s="33">
        <f>L295*[1]!dcos(J295)</f>
        <v>-6.0555930831688043</v>
      </c>
      <c r="P295" s="34">
        <f t="shared" si="75"/>
        <v>0</v>
      </c>
      <c r="Q295" s="35">
        <f>L295/[1]!dTAN(G295)-C295+$B$246</f>
        <v>-3.9591103521531954</v>
      </c>
      <c r="R295" s="34">
        <f t="shared" si="76"/>
        <v>0</v>
      </c>
      <c r="S295" s="36">
        <f t="shared" si="77"/>
        <v>9751.9305979369256</v>
      </c>
      <c r="T295" s="40">
        <f t="shared" si="78"/>
        <v>9677.2882056371527</v>
      </c>
      <c r="U295" s="37">
        <f t="shared" si="79"/>
        <v>17.932695133057301</v>
      </c>
      <c r="V295" s="38">
        <f t="shared" si="72"/>
        <v>295</v>
      </c>
      <c r="W295" s="70"/>
      <c r="X295" s="71"/>
      <c r="Y295" s="71"/>
      <c r="Z295" s="72" t="s">
        <v>3</v>
      </c>
      <c r="AB295" s="56"/>
      <c r="AC295" s="56"/>
      <c r="AD295" s="56"/>
      <c r="AE295" s="56"/>
      <c r="AF295" s="56"/>
      <c r="AG295" s="56"/>
      <c r="AH295" s="56"/>
      <c r="AI295" s="56">
        <v>100</v>
      </c>
      <c r="AJ295" s="56">
        <v>245</v>
      </c>
      <c r="AK295" s="56">
        <v>295</v>
      </c>
      <c r="AL295" s="56">
        <v>1.45</v>
      </c>
      <c r="AM295" s="56" t="s">
        <v>628</v>
      </c>
      <c r="AN295" s="56">
        <v>70.561999999999998</v>
      </c>
      <c r="AO295" s="56" t="s">
        <v>629</v>
      </c>
      <c r="AP295" s="56" t="s">
        <v>3</v>
      </c>
      <c r="AQ295" s="56" t="s">
        <v>63</v>
      </c>
    </row>
    <row r="296" spans="1:43" x14ac:dyDescent="0.25">
      <c r="A296" s="8"/>
      <c r="B296" s="8"/>
      <c r="C296" s="8">
        <v>1.45</v>
      </c>
      <c r="D296" s="27"/>
      <c r="E296" s="28">
        <v>296</v>
      </c>
      <c r="F296" s="29" t="s">
        <v>630</v>
      </c>
      <c r="G296" s="10" t="s">
        <v>631</v>
      </c>
      <c r="H296" s="30">
        <f t="shared" si="73"/>
        <v>0</v>
      </c>
      <c r="I296" s="52" t="str">
        <f>[1]!Plus_ang(I295,[1]!Min_ang(F296,F295))</f>
        <v xml:space="preserve"> 94° 57' 52"</v>
      </c>
      <c r="J296" s="10" t="str">
        <f>[1]!Plus_ang([1]!Plus_ang(J295,[1]!Min_ang(F296,F295)),[1]!DestoDeg(H296/3600))</f>
        <v xml:space="preserve"> 94° 57' 52"</v>
      </c>
      <c r="K296" s="31">
        <v>69.724999999999994</v>
      </c>
      <c r="L296" s="32">
        <f>[1]!Jarakdatar(K296,G296)</f>
        <v>69.623917717413306</v>
      </c>
      <c r="M296" s="33">
        <f>L296*[1]!dsin(J296)</f>
        <v>69.362729979634651</v>
      </c>
      <c r="N296" s="34">
        <f t="shared" si="74"/>
        <v>0</v>
      </c>
      <c r="O296" s="33">
        <f>L296*[1]!dcos(J296)</f>
        <v>-6.0250815839646643</v>
      </c>
      <c r="P296" s="34">
        <f t="shared" si="75"/>
        <v>0</v>
      </c>
      <c r="Q296" s="35">
        <f>L296/[1]!dTAN(G296)-C296+$B$246</f>
        <v>-3.9980929483373702</v>
      </c>
      <c r="R296" s="34">
        <f t="shared" si="76"/>
        <v>0</v>
      </c>
      <c r="S296" s="36">
        <f t="shared" si="77"/>
        <v>9751.0898307052175</v>
      </c>
      <c r="T296" s="40">
        <f t="shared" si="78"/>
        <v>9677.318717136357</v>
      </c>
      <c r="U296" s="37">
        <f t="shared" si="79"/>
        <v>17.893712536873128</v>
      </c>
      <c r="V296" s="38">
        <f t="shared" si="72"/>
        <v>296</v>
      </c>
      <c r="W296" s="70"/>
      <c r="X296" s="71"/>
      <c r="Y296" s="71"/>
      <c r="Z296" s="72" t="s">
        <v>14</v>
      </c>
      <c r="AB296" s="56"/>
      <c r="AC296" s="56"/>
      <c r="AD296" s="56"/>
      <c r="AE296" s="56"/>
      <c r="AF296" s="56"/>
      <c r="AG296" s="56"/>
      <c r="AH296" s="56"/>
      <c r="AI296" s="56">
        <v>102</v>
      </c>
      <c r="AJ296" s="56">
        <v>245</v>
      </c>
      <c r="AK296" s="56">
        <v>296</v>
      </c>
      <c r="AL296" s="56">
        <v>1.45</v>
      </c>
      <c r="AM296" s="56" t="s">
        <v>630</v>
      </c>
      <c r="AN296" s="56">
        <v>69.724999999999994</v>
      </c>
      <c r="AO296" s="56" t="s">
        <v>631</v>
      </c>
      <c r="AP296" s="56" t="s">
        <v>14</v>
      </c>
      <c r="AQ296" s="56" t="s">
        <v>63</v>
      </c>
    </row>
    <row r="297" spans="1:43" x14ac:dyDescent="0.25">
      <c r="A297" s="8"/>
      <c r="B297" s="8"/>
      <c r="C297" s="8">
        <v>1.45</v>
      </c>
      <c r="D297" s="27"/>
      <c r="E297" s="28">
        <v>297</v>
      </c>
      <c r="F297" s="29" t="s">
        <v>632</v>
      </c>
      <c r="G297" s="10" t="s">
        <v>633</v>
      </c>
      <c r="H297" s="30">
        <f t="shared" si="73"/>
        <v>0</v>
      </c>
      <c r="I297" s="52" t="str">
        <f>[1]!Plus_ang(I296,[1]!Min_ang(F297,F296))</f>
        <v xml:space="preserve"> 93° 57' 52"</v>
      </c>
      <c r="J297" s="10" t="str">
        <f>[1]!Plus_ang([1]!Plus_ang(J296,[1]!Min_ang(F297,F296)),[1]!DestoDeg(H297/3600))</f>
        <v xml:space="preserve"> 93° 57' 52"</v>
      </c>
      <c r="K297" s="31">
        <v>68.751000000000005</v>
      </c>
      <c r="L297" s="32">
        <f>[1]!Jarakdatar(K297,G297)</f>
        <v>68.65462128552889</v>
      </c>
      <c r="M297" s="33">
        <f>L297*[1]!dsin(J297)</f>
        <v>68.49034082512425</v>
      </c>
      <c r="N297" s="34">
        <f t="shared" si="74"/>
        <v>0</v>
      </c>
      <c r="O297" s="33">
        <f>L297*[1]!dcos(J297)</f>
        <v>-4.7466027343474879</v>
      </c>
      <c r="P297" s="34">
        <f t="shared" si="75"/>
        <v>0</v>
      </c>
      <c r="Q297" s="35">
        <f>L297/[1]!dTAN(G297)-C297+$B$246</f>
        <v>-3.8840901528546414</v>
      </c>
      <c r="R297" s="34">
        <f t="shared" si="76"/>
        <v>0</v>
      </c>
      <c r="S297" s="36">
        <f t="shared" si="77"/>
        <v>9750.217441550707</v>
      </c>
      <c r="T297" s="40">
        <f t="shared" si="78"/>
        <v>9678.5971959859744</v>
      </c>
      <c r="U297" s="37">
        <f t="shared" si="79"/>
        <v>18.007715332355858</v>
      </c>
      <c r="V297" s="38">
        <f t="shared" si="72"/>
        <v>297</v>
      </c>
      <c r="W297" s="70"/>
      <c r="X297" s="71"/>
      <c r="Y297" s="71"/>
      <c r="Z297" s="72" t="s">
        <v>64</v>
      </c>
      <c r="AB297" s="56"/>
      <c r="AC297" s="56"/>
      <c r="AD297" s="56"/>
      <c r="AE297" s="56"/>
      <c r="AF297" s="56"/>
      <c r="AG297" s="56"/>
      <c r="AH297" s="56"/>
      <c r="AI297" s="56">
        <v>104</v>
      </c>
      <c r="AJ297" s="56">
        <v>245</v>
      </c>
      <c r="AK297" s="56">
        <v>297</v>
      </c>
      <c r="AL297" s="56">
        <v>1.45</v>
      </c>
      <c r="AM297" s="56" t="s">
        <v>632</v>
      </c>
      <c r="AN297" s="56">
        <v>68.751000000000005</v>
      </c>
      <c r="AO297" s="56" t="s">
        <v>633</v>
      </c>
      <c r="AP297" s="56" t="s">
        <v>64</v>
      </c>
      <c r="AQ297" s="56" t="s">
        <v>63</v>
      </c>
    </row>
    <row r="298" spans="1:43" x14ac:dyDescent="0.25">
      <c r="A298" s="8"/>
      <c r="B298" s="8"/>
      <c r="C298" s="8">
        <v>2.5</v>
      </c>
      <c r="D298" s="27"/>
      <c r="E298" s="28">
        <v>298</v>
      </c>
      <c r="F298" s="29" t="s">
        <v>634</v>
      </c>
      <c r="G298" s="10" t="s">
        <v>635</v>
      </c>
      <c r="H298" s="30">
        <f t="shared" si="73"/>
        <v>0</v>
      </c>
      <c r="I298" s="52" t="str">
        <f>[1]!Plus_ang(I297,[1]!Min_ang(F298,F297))</f>
        <v xml:space="preserve"> 64° 55' 47"</v>
      </c>
      <c r="J298" s="10" t="str">
        <f>[1]!Plus_ang([1]!Plus_ang(J297,[1]!Min_ang(F298,F297)),[1]!DestoDeg(H298/3600))</f>
        <v xml:space="preserve"> 64° 55' 47"</v>
      </c>
      <c r="K298" s="31">
        <v>49.301000000000002</v>
      </c>
      <c r="L298" s="32">
        <f>[1]!Jarakdatar(K298,G298)</f>
        <v>49.227205474667898</v>
      </c>
      <c r="M298" s="33">
        <f>L298*[1]!dsin(J298)</f>
        <v>44.589447971545638</v>
      </c>
      <c r="N298" s="34">
        <f t="shared" si="74"/>
        <v>0</v>
      </c>
      <c r="O298" s="33">
        <f>L298*[1]!dcos(J298)</f>
        <v>20.859024148746691</v>
      </c>
      <c r="P298" s="34">
        <f t="shared" si="75"/>
        <v>0</v>
      </c>
      <c r="Q298" s="35">
        <f>L298/[1]!dTAN(G298)-C298+$B$246</f>
        <v>-3.9914499169884401</v>
      </c>
      <c r="R298" s="34">
        <f t="shared" si="76"/>
        <v>0</v>
      </c>
      <c r="S298" s="36">
        <f t="shared" si="77"/>
        <v>9726.3165486971284</v>
      </c>
      <c r="T298" s="40">
        <f t="shared" si="78"/>
        <v>9704.2028228690688</v>
      </c>
      <c r="U298" s="37">
        <f t="shared" si="79"/>
        <v>17.900355568222057</v>
      </c>
      <c r="V298" s="38">
        <f t="shared" si="72"/>
        <v>298</v>
      </c>
      <c r="W298" s="70"/>
      <c r="X298" s="71"/>
      <c r="Y298" s="71"/>
      <c r="Z298" s="72" t="s">
        <v>64</v>
      </c>
      <c r="AB298" s="56"/>
      <c r="AC298" s="56"/>
      <c r="AD298" s="56"/>
      <c r="AE298" s="56"/>
      <c r="AF298" s="56"/>
      <c r="AG298" s="56"/>
      <c r="AH298" s="56"/>
      <c r="AI298" s="56">
        <v>106</v>
      </c>
      <c r="AJ298" s="56">
        <v>245</v>
      </c>
      <c r="AK298" s="56">
        <v>298</v>
      </c>
      <c r="AL298" s="56">
        <v>2.5</v>
      </c>
      <c r="AM298" s="56" t="s">
        <v>634</v>
      </c>
      <c r="AN298" s="56">
        <v>49.301000000000002</v>
      </c>
      <c r="AO298" s="56" t="s">
        <v>635</v>
      </c>
      <c r="AP298" s="56" t="s">
        <v>64</v>
      </c>
      <c r="AQ298" s="56" t="s">
        <v>63</v>
      </c>
    </row>
    <row r="299" spans="1:43" x14ac:dyDescent="0.25">
      <c r="A299" s="8"/>
      <c r="B299" s="8"/>
      <c r="C299" s="8">
        <v>2.5</v>
      </c>
      <c r="D299" s="27"/>
      <c r="E299" s="28">
        <v>299</v>
      </c>
      <c r="F299" s="29" t="s">
        <v>636</v>
      </c>
      <c r="G299" s="10" t="s">
        <v>637</v>
      </c>
      <c r="H299" s="30">
        <f t="shared" si="73"/>
        <v>0</v>
      </c>
      <c r="I299" s="52" t="str">
        <f>[1]!Plus_ang(I298,[1]!Min_ang(F299,F298))</f>
        <v xml:space="preserve"> 64° 53' 53"</v>
      </c>
      <c r="J299" s="10" t="str">
        <f>[1]!Plus_ang([1]!Plus_ang(J298,[1]!Min_ang(F299,F298)),[1]!DestoDeg(H299/3600))</f>
        <v xml:space="preserve"> 64° 53' 53"</v>
      </c>
      <c r="K299" s="31">
        <v>49.087000000000003</v>
      </c>
      <c r="L299" s="32">
        <f>[1]!Jarakdatar(K299,G299)</f>
        <v>49.01582439285189</v>
      </c>
      <c r="M299" s="33">
        <f>L299*[1]!dsin(J299)</f>
        <v>44.386495568751656</v>
      </c>
      <c r="N299" s="34">
        <f t="shared" si="74"/>
        <v>0</v>
      </c>
      <c r="O299" s="33">
        <f>L299*[1]!dcos(J299)</f>
        <v>20.793990767432877</v>
      </c>
      <c r="P299" s="34">
        <f t="shared" si="75"/>
        <v>0</v>
      </c>
      <c r="Q299" s="35">
        <f>L299/[1]!dTAN(G299)-C299+$B$246</f>
        <v>-3.9374473673293569</v>
      </c>
      <c r="R299" s="34">
        <f t="shared" si="76"/>
        <v>0</v>
      </c>
      <c r="S299" s="36">
        <f t="shared" si="77"/>
        <v>9726.1135962943335</v>
      </c>
      <c r="T299" s="40">
        <f t="shared" si="78"/>
        <v>9704.1377894877551</v>
      </c>
      <c r="U299" s="37">
        <f t="shared" si="79"/>
        <v>17.954358117881142</v>
      </c>
      <c r="V299" s="38">
        <f t="shared" si="72"/>
        <v>299</v>
      </c>
      <c r="W299" s="70"/>
      <c r="X299" s="71"/>
      <c r="Y299" s="71"/>
      <c r="Z299" s="72" t="s">
        <v>14</v>
      </c>
      <c r="AB299" s="56"/>
      <c r="AC299" s="56"/>
      <c r="AD299" s="56"/>
      <c r="AE299" s="56"/>
      <c r="AF299" s="56"/>
      <c r="AG299" s="56"/>
      <c r="AH299" s="56"/>
      <c r="AI299" s="56">
        <v>108</v>
      </c>
      <c r="AJ299" s="56">
        <v>245</v>
      </c>
      <c r="AK299" s="56">
        <v>299</v>
      </c>
      <c r="AL299" s="56">
        <v>2.5</v>
      </c>
      <c r="AM299" s="56" t="s">
        <v>636</v>
      </c>
      <c r="AN299" s="56">
        <v>49.087000000000003</v>
      </c>
      <c r="AO299" s="56" t="s">
        <v>637</v>
      </c>
      <c r="AP299" s="56" t="s">
        <v>14</v>
      </c>
      <c r="AQ299" s="56" t="s">
        <v>63</v>
      </c>
    </row>
    <row r="300" spans="1:43" x14ac:dyDescent="0.25">
      <c r="A300" s="8"/>
      <c r="B300" s="8"/>
      <c r="C300" s="8">
        <v>2.5</v>
      </c>
      <c r="D300" s="27"/>
      <c r="E300" s="28">
        <v>300</v>
      </c>
      <c r="F300" s="29" t="s">
        <v>638</v>
      </c>
      <c r="G300" s="10" t="s">
        <v>639</v>
      </c>
      <c r="H300" s="30">
        <f t="shared" si="73"/>
        <v>0</v>
      </c>
      <c r="I300" s="52" t="str">
        <f>[1]!Plus_ang(I299,[1]!Min_ang(F300,F299))</f>
        <v xml:space="preserve"> 59° 55' 50"</v>
      </c>
      <c r="J300" s="10" t="str">
        <f>[1]!Plus_ang([1]!Plus_ang(J299,[1]!Min_ang(F300,F299)),[1]!DestoDeg(H300/3600))</f>
        <v xml:space="preserve"> 59° 55' 50"</v>
      </c>
      <c r="K300" s="31">
        <v>48.155999999999999</v>
      </c>
      <c r="L300" s="32">
        <f>[1]!Jarakdatar(K300,G300)</f>
        <v>48.08697636788127</v>
      </c>
      <c r="M300" s="33">
        <f>L300*[1]!dsin(J300)</f>
        <v>41.615371014395677</v>
      </c>
      <c r="N300" s="34">
        <f t="shared" si="74"/>
        <v>0</v>
      </c>
      <c r="O300" s="33">
        <f>L300*[1]!dcos(J300)</f>
        <v>24.093945121946462</v>
      </c>
      <c r="P300" s="34">
        <f t="shared" si="75"/>
        <v>0</v>
      </c>
      <c r="Q300" s="35">
        <f>L300/[1]!dTAN(G300)-C300+$B$246</f>
        <v>-3.872409512442351</v>
      </c>
      <c r="R300" s="34">
        <f t="shared" si="76"/>
        <v>0</v>
      </c>
      <c r="S300" s="36">
        <f t="shared" si="77"/>
        <v>9723.3424717399776</v>
      </c>
      <c r="T300" s="40">
        <f t="shared" si="78"/>
        <v>9707.4377438422671</v>
      </c>
      <c r="U300" s="37">
        <f t="shared" si="79"/>
        <v>18.019395972768145</v>
      </c>
      <c r="V300" s="38">
        <f t="shared" si="72"/>
        <v>300</v>
      </c>
      <c r="W300" s="70"/>
      <c r="X300" s="71"/>
      <c r="Y300" s="71"/>
      <c r="Z300" s="72" t="s">
        <v>14</v>
      </c>
      <c r="AB300" s="56"/>
      <c r="AC300" s="56"/>
      <c r="AD300" s="56"/>
      <c r="AE300" s="56"/>
      <c r="AF300" s="56"/>
      <c r="AG300" s="56"/>
      <c r="AH300" s="56"/>
      <c r="AI300" s="56">
        <v>110</v>
      </c>
      <c r="AJ300" s="56">
        <v>245</v>
      </c>
      <c r="AK300" s="56">
        <v>300</v>
      </c>
      <c r="AL300" s="56">
        <v>2.5</v>
      </c>
      <c r="AM300" s="56" t="s">
        <v>638</v>
      </c>
      <c r="AN300" s="56">
        <v>48.155999999999999</v>
      </c>
      <c r="AO300" s="56" t="s">
        <v>639</v>
      </c>
      <c r="AP300" s="56" t="s">
        <v>14</v>
      </c>
      <c r="AQ300" s="56" t="s">
        <v>63</v>
      </c>
    </row>
    <row r="301" spans="1:43" x14ac:dyDescent="0.25">
      <c r="A301" s="8"/>
      <c r="B301" s="8"/>
      <c r="C301" s="8">
        <v>2.5</v>
      </c>
      <c r="D301" s="27"/>
      <c r="E301" s="28">
        <v>301</v>
      </c>
      <c r="F301" s="29" t="s">
        <v>640</v>
      </c>
      <c r="G301" s="10" t="s">
        <v>641</v>
      </c>
      <c r="H301" s="30">
        <f t="shared" si="73"/>
        <v>0</v>
      </c>
      <c r="I301" s="52" t="str">
        <f>[1]!Plus_ang(I300,[1]!Min_ang(F301,F300))</f>
        <v xml:space="preserve"> 58° 56' 54"</v>
      </c>
      <c r="J301" s="10" t="str">
        <f>[1]!Plus_ang([1]!Plus_ang(J300,[1]!Min_ang(F301,F300)),[1]!DestoDeg(H301/3600))</f>
        <v xml:space="preserve"> 58° 56' 54"</v>
      </c>
      <c r="K301" s="31">
        <v>48.341999999999999</v>
      </c>
      <c r="L301" s="32">
        <f>[1]!Jarakdatar(K301,G301)</f>
        <v>48.271170968471253</v>
      </c>
      <c r="M301" s="33">
        <f>L301*[1]!dsin(J301)</f>
        <v>41.354033565808493</v>
      </c>
      <c r="N301" s="34">
        <f t="shared" si="74"/>
        <v>0</v>
      </c>
      <c r="O301" s="33">
        <f>L301*[1]!dcos(J301)</f>
        <v>24.898792229852557</v>
      </c>
      <c r="P301" s="34">
        <f t="shared" si="75"/>
        <v>0</v>
      </c>
      <c r="Q301" s="35">
        <f>L301/[1]!dTAN(G301)-C301+$B$246</f>
        <v>-3.9109161555022922</v>
      </c>
      <c r="R301" s="34">
        <f t="shared" si="76"/>
        <v>0</v>
      </c>
      <c r="S301" s="36">
        <f t="shared" si="77"/>
        <v>9723.0811342913912</v>
      </c>
      <c r="T301" s="40">
        <f t="shared" si="78"/>
        <v>9708.2425909501744</v>
      </c>
      <c r="U301" s="37">
        <f t="shared" si="79"/>
        <v>17.980889329708205</v>
      </c>
      <c r="V301" s="38">
        <f t="shared" si="72"/>
        <v>301</v>
      </c>
      <c r="W301" s="70"/>
      <c r="X301" s="71"/>
      <c r="Y301" s="71"/>
      <c r="Z301" s="72" t="s">
        <v>15</v>
      </c>
      <c r="AB301" s="56"/>
      <c r="AC301" s="56"/>
      <c r="AD301" s="56"/>
      <c r="AE301" s="56"/>
      <c r="AF301" s="56"/>
      <c r="AG301" s="56"/>
      <c r="AH301" s="56"/>
      <c r="AI301" s="56">
        <v>112</v>
      </c>
      <c r="AJ301" s="56">
        <v>245</v>
      </c>
      <c r="AK301" s="56">
        <v>301</v>
      </c>
      <c r="AL301" s="56">
        <v>2.5</v>
      </c>
      <c r="AM301" s="56" t="s">
        <v>640</v>
      </c>
      <c r="AN301" s="56">
        <v>48.341999999999999</v>
      </c>
      <c r="AO301" s="56" t="s">
        <v>641</v>
      </c>
      <c r="AP301" s="56" t="s">
        <v>15</v>
      </c>
      <c r="AQ301" s="56" t="s">
        <v>63</v>
      </c>
    </row>
    <row r="302" spans="1:43" x14ac:dyDescent="0.25">
      <c r="A302" s="8"/>
      <c r="B302" s="8"/>
      <c r="C302" s="8">
        <v>2.5</v>
      </c>
      <c r="D302" s="27"/>
      <c r="E302" s="28">
        <v>302</v>
      </c>
      <c r="F302" s="29" t="s">
        <v>642</v>
      </c>
      <c r="G302" s="10" t="s">
        <v>643</v>
      </c>
      <c r="H302" s="30">
        <f t="shared" si="73"/>
        <v>0</v>
      </c>
      <c r="I302" s="52" t="str">
        <f>[1]!Plus_ang(I301,[1]!Min_ang(F302,F301))</f>
        <v xml:space="preserve"> 58° 56' 46"</v>
      </c>
      <c r="J302" s="10" t="str">
        <f>[1]!Plus_ang([1]!Plus_ang(J301,[1]!Min_ang(F302,F301)),[1]!DestoDeg(H302/3600))</f>
        <v xml:space="preserve"> 58° 56' 46"</v>
      </c>
      <c r="K302" s="31">
        <v>48.283000000000001</v>
      </c>
      <c r="L302" s="32">
        <f>[1]!Jarakdatar(K302,G302)</f>
        <v>48.216031121601766</v>
      </c>
      <c r="M302" s="33">
        <f>L302*[1]!dsin(J302)</f>
        <v>41.305830490361814</v>
      </c>
      <c r="N302" s="34">
        <f t="shared" si="74"/>
        <v>0</v>
      </c>
      <c r="O302" s="33">
        <f>L302*[1]!dcos(J302)</f>
        <v>24.871952569526307</v>
      </c>
      <c r="P302" s="34">
        <f t="shared" si="75"/>
        <v>0</v>
      </c>
      <c r="Q302" s="35">
        <f>L302/[1]!dTAN(G302)-C302+$B$246</f>
        <v>-3.8371313657500545</v>
      </c>
      <c r="R302" s="34">
        <f t="shared" si="76"/>
        <v>0</v>
      </c>
      <c r="S302" s="36">
        <f t="shared" si="77"/>
        <v>9723.0329312159447</v>
      </c>
      <c r="T302" s="40">
        <f t="shared" si="78"/>
        <v>9708.2157512898484</v>
      </c>
      <c r="U302" s="37">
        <f t="shared" si="79"/>
        <v>18.054674119460444</v>
      </c>
      <c r="V302" s="38">
        <f t="shared" si="72"/>
        <v>302</v>
      </c>
      <c r="W302" s="70"/>
      <c r="X302" s="71"/>
      <c r="Y302" s="71"/>
      <c r="Z302" s="72" t="s">
        <v>15</v>
      </c>
      <c r="AB302" s="56"/>
      <c r="AC302" s="56"/>
      <c r="AD302" s="56"/>
      <c r="AE302" s="56"/>
      <c r="AF302" s="56"/>
      <c r="AG302" s="56"/>
      <c r="AH302" s="56"/>
      <c r="AI302" s="56">
        <v>114</v>
      </c>
      <c r="AJ302" s="56">
        <v>245</v>
      </c>
      <c r="AK302" s="56">
        <v>302</v>
      </c>
      <c r="AL302" s="56">
        <v>2.5</v>
      </c>
      <c r="AM302" s="56" t="s">
        <v>642</v>
      </c>
      <c r="AN302" s="56">
        <v>48.283000000000001</v>
      </c>
      <c r="AO302" s="56" t="s">
        <v>643</v>
      </c>
      <c r="AP302" s="56" t="s">
        <v>15</v>
      </c>
      <c r="AQ302" s="56" t="s">
        <v>63</v>
      </c>
    </row>
    <row r="303" spans="1:43" x14ac:dyDescent="0.25">
      <c r="A303" s="8"/>
      <c r="B303" s="8"/>
      <c r="C303" s="8">
        <v>2.5</v>
      </c>
      <c r="D303" s="27"/>
      <c r="E303" s="28">
        <v>303</v>
      </c>
      <c r="F303" s="29" t="s">
        <v>644</v>
      </c>
      <c r="G303" s="10" t="s">
        <v>645</v>
      </c>
      <c r="H303" s="30">
        <f t="shared" si="73"/>
        <v>0</v>
      </c>
      <c r="I303" s="52" t="str">
        <f>[1]!Plus_ang(I302,[1]!Min_ang(F303,F302))</f>
        <v xml:space="preserve"> 58° 58' 53"</v>
      </c>
      <c r="J303" s="10" t="str">
        <f>[1]!Plus_ang([1]!Plus_ang(J302,[1]!Min_ang(F303,F302)),[1]!DestoDeg(H303/3600))</f>
        <v xml:space="preserve"> 58° 58' 53"</v>
      </c>
      <c r="K303" s="31">
        <v>48.210999999999999</v>
      </c>
      <c r="L303" s="32">
        <f>[1]!Jarakdatar(K303,G303)</f>
        <v>48.138080794626511</v>
      </c>
      <c r="M303" s="33">
        <f>L303*[1]!dsin(J303)</f>
        <v>41.254333226716753</v>
      </c>
      <c r="N303" s="34">
        <f t="shared" si="74"/>
        <v>0</v>
      </c>
      <c r="O303" s="33">
        <f>L303*[1]!dcos(J303)</f>
        <v>24.806346216422202</v>
      </c>
      <c r="P303" s="34">
        <f t="shared" si="75"/>
        <v>0</v>
      </c>
      <c r="Q303" s="35">
        <f>L303/[1]!dTAN(G303)-C303+$B$246</f>
        <v>-3.9456034048892361</v>
      </c>
      <c r="R303" s="34">
        <f t="shared" si="76"/>
        <v>0</v>
      </c>
      <c r="S303" s="36">
        <f t="shared" si="77"/>
        <v>9722.9814339522982</v>
      </c>
      <c r="T303" s="40">
        <f t="shared" si="78"/>
        <v>9708.1501449367443</v>
      </c>
      <c r="U303" s="37">
        <f t="shared" si="79"/>
        <v>17.94620208032126</v>
      </c>
      <c r="V303" s="38">
        <f t="shared" si="72"/>
        <v>303</v>
      </c>
      <c r="W303" s="70"/>
      <c r="X303" s="71"/>
      <c r="Y303" s="71"/>
      <c r="Z303" s="72" t="s">
        <v>14</v>
      </c>
      <c r="AB303" s="56"/>
      <c r="AC303" s="56"/>
      <c r="AD303" s="56"/>
      <c r="AE303" s="56"/>
      <c r="AF303" s="56"/>
      <c r="AG303" s="56"/>
      <c r="AH303" s="56"/>
      <c r="AI303" s="56">
        <v>116</v>
      </c>
      <c r="AJ303" s="56">
        <v>245</v>
      </c>
      <c r="AK303" s="56">
        <v>303</v>
      </c>
      <c r="AL303" s="56">
        <v>2.5</v>
      </c>
      <c r="AM303" s="56" t="s">
        <v>644</v>
      </c>
      <c r="AN303" s="56">
        <v>48.210999999999999</v>
      </c>
      <c r="AO303" s="56" t="s">
        <v>645</v>
      </c>
      <c r="AP303" s="56" t="s">
        <v>14</v>
      </c>
      <c r="AQ303" s="56" t="s">
        <v>63</v>
      </c>
    </row>
    <row r="304" spans="1:43" x14ac:dyDescent="0.25">
      <c r="A304" s="8"/>
      <c r="B304" s="8"/>
      <c r="C304" s="8">
        <v>2.5</v>
      </c>
      <c r="D304" s="27"/>
      <c r="E304" s="28">
        <v>304</v>
      </c>
      <c r="F304" s="29" t="s">
        <v>646</v>
      </c>
      <c r="G304" s="10" t="s">
        <v>647</v>
      </c>
      <c r="H304" s="30">
        <f t="shared" si="73"/>
        <v>0</v>
      </c>
      <c r="I304" s="52" t="str">
        <f>[1]!Plus_ang(I303,[1]!Min_ang(F304,F303))</f>
        <v xml:space="preserve"> 52° 53' 46"</v>
      </c>
      <c r="J304" s="10" t="str">
        <f>[1]!Plus_ang([1]!Plus_ang(J303,[1]!Min_ang(F304,F303)),[1]!DestoDeg(H304/3600))</f>
        <v xml:space="preserve"> 52° 53' 46"</v>
      </c>
      <c r="K304" s="31">
        <v>49.466000000000001</v>
      </c>
      <c r="L304" s="32">
        <f>[1]!Jarakdatar(K304,G304)</f>
        <v>49.465896963624765</v>
      </c>
      <c r="M304" s="33">
        <f>L304*[1]!dsin(J304)</f>
        <v>39.451179115133847</v>
      </c>
      <c r="N304" s="34">
        <f t="shared" si="74"/>
        <v>0</v>
      </c>
      <c r="O304" s="33">
        <f>L304*[1]!dcos(J304)</f>
        <v>29.840901944170003</v>
      </c>
      <c r="P304" s="34">
        <f t="shared" si="75"/>
        <v>0</v>
      </c>
      <c r="Q304" s="35">
        <f>L304/[1]!dTAN(G304)-C304+$B$246</f>
        <v>-1.3959632807431634</v>
      </c>
      <c r="R304" s="34">
        <f t="shared" si="76"/>
        <v>0</v>
      </c>
      <c r="S304" s="36">
        <f t="shared" si="77"/>
        <v>9721.1782798407166</v>
      </c>
      <c r="T304" s="40">
        <f t="shared" si="78"/>
        <v>9713.1847006644912</v>
      </c>
      <c r="U304" s="37">
        <f t="shared" si="79"/>
        <v>20.495842204467333</v>
      </c>
      <c r="V304" s="38">
        <f t="shared" si="72"/>
        <v>304</v>
      </c>
      <c r="W304" s="70"/>
      <c r="X304" s="71"/>
      <c r="Y304" s="71"/>
      <c r="Z304" s="72" t="s">
        <v>3</v>
      </c>
      <c r="AB304" s="56"/>
      <c r="AC304" s="56"/>
      <c r="AD304" s="56"/>
      <c r="AE304" s="56"/>
      <c r="AF304" s="56"/>
      <c r="AG304" s="56"/>
      <c r="AH304" s="56"/>
      <c r="AI304" s="56">
        <v>118</v>
      </c>
      <c r="AJ304" s="56">
        <v>245</v>
      </c>
      <c r="AK304" s="56">
        <v>304</v>
      </c>
      <c r="AL304" s="56">
        <v>2.5</v>
      </c>
      <c r="AM304" s="56" t="s">
        <v>646</v>
      </c>
      <c r="AN304" s="56">
        <v>49.466000000000001</v>
      </c>
      <c r="AO304" s="56" t="s">
        <v>647</v>
      </c>
      <c r="AP304" s="56" t="s">
        <v>3</v>
      </c>
      <c r="AQ304" s="56" t="s">
        <v>63</v>
      </c>
    </row>
    <row r="305" spans="1:43" x14ac:dyDescent="0.25">
      <c r="A305" s="8"/>
      <c r="B305" s="8"/>
      <c r="C305" s="8">
        <v>2.5</v>
      </c>
      <c r="D305" s="27"/>
      <c r="E305" s="28">
        <v>305</v>
      </c>
      <c r="F305" s="29" t="s">
        <v>648</v>
      </c>
      <c r="G305" s="10" t="s">
        <v>649</v>
      </c>
      <c r="H305" s="30">
        <f t="shared" si="73"/>
        <v>0</v>
      </c>
      <c r="I305" s="52" t="str">
        <f>[1]!Plus_ang(I304,[1]!Min_ang(F305,F304))</f>
        <v xml:space="preserve"> 47° 51' 46"</v>
      </c>
      <c r="J305" s="10" t="str">
        <f>[1]!Plus_ang([1]!Plus_ang(J304,[1]!Min_ang(F305,F304)),[1]!DestoDeg(H305/3600))</f>
        <v xml:space="preserve"> 47° 51' 46"</v>
      </c>
      <c r="K305" s="31">
        <v>49.027000000000001</v>
      </c>
      <c r="L305" s="32">
        <f>[1]!Jarakdatar(K305,G305)</f>
        <v>49.020955393568293</v>
      </c>
      <c r="M305" s="33">
        <f>L305*[1]!dsin(J305)</f>
        <v>36.351006201776947</v>
      </c>
      <c r="N305" s="34">
        <f t="shared" si="74"/>
        <v>0</v>
      </c>
      <c r="O305" s="33">
        <f>L305*[1]!dcos(J305)</f>
        <v>32.888575764489808</v>
      </c>
      <c r="P305" s="34">
        <f t="shared" si="75"/>
        <v>0</v>
      </c>
      <c r="Q305" s="35">
        <f>L305/[1]!dTAN(G305)-C305+$B$246</f>
        <v>-0.52515501444268042</v>
      </c>
      <c r="R305" s="34">
        <f t="shared" si="76"/>
        <v>0</v>
      </c>
      <c r="S305" s="36">
        <f t="shared" si="77"/>
        <v>9718.0781069273598</v>
      </c>
      <c r="T305" s="40">
        <f t="shared" si="78"/>
        <v>9716.2323744848109</v>
      </c>
      <c r="U305" s="37">
        <f t="shared" si="79"/>
        <v>21.366650470767816</v>
      </c>
      <c r="V305" s="38">
        <f t="shared" si="72"/>
        <v>305</v>
      </c>
      <c r="W305" s="70"/>
      <c r="X305" s="71"/>
      <c r="Y305" s="71"/>
      <c r="Z305" s="72" t="s">
        <v>3</v>
      </c>
      <c r="AB305" s="56"/>
      <c r="AC305" s="56"/>
      <c r="AD305" s="56"/>
      <c r="AE305" s="56"/>
      <c r="AF305" s="56"/>
      <c r="AG305" s="56"/>
      <c r="AH305" s="56"/>
      <c r="AI305" s="56">
        <v>120</v>
      </c>
      <c r="AJ305" s="56">
        <v>245</v>
      </c>
      <c r="AK305" s="56">
        <v>305</v>
      </c>
      <c r="AL305" s="56">
        <v>2.5</v>
      </c>
      <c r="AM305" s="56" t="s">
        <v>648</v>
      </c>
      <c r="AN305" s="56">
        <v>49.027000000000001</v>
      </c>
      <c r="AO305" s="56" t="s">
        <v>649</v>
      </c>
      <c r="AP305" s="56" t="s">
        <v>3</v>
      </c>
      <c r="AQ305" s="56" t="s">
        <v>63</v>
      </c>
    </row>
    <row r="306" spans="1:43" x14ac:dyDescent="0.25">
      <c r="A306" s="8"/>
      <c r="B306" s="8"/>
      <c r="C306" s="8">
        <v>2.5</v>
      </c>
      <c r="D306" s="27"/>
      <c r="E306" s="28">
        <v>306</v>
      </c>
      <c r="F306" s="29" t="s">
        <v>650</v>
      </c>
      <c r="G306" s="10" t="s">
        <v>651</v>
      </c>
      <c r="H306" s="30">
        <f t="shared" si="73"/>
        <v>0</v>
      </c>
      <c r="I306" s="52" t="str">
        <f>[1]!Plus_ang(I305,[1]!Min_ang(F306,F305))</f>
        <v xml:space="preserve"> 45° 51' 46"</v>
      </c>
      <c r="J306" s="10" t="str">
        <f>[1]!Plus_ang([1]!Plus_ang(J305,[1]!Min_ang(F306,F305)),[1]!DestoDeg(H306/3600))</f>
        <v xml:space="preserve"> 45° 51' 46"</v>
      </c>
      <c r="K306" s="31">
        <v>49.238999999999997</v>
      </c>
      <c r="L306" s="32">
        <f>[1]!Jarakdatar(K306,G306)</f>
        <v>49.211492123750688</v>
      </c>
      <c r="M306" s="33">
        <f>L306*[1]!dsin(J306)</f>
        <v>35.317810675641226</v>
      </c>
      <c r="N306" s="34">
        <f t="shared" si="74"/>
        <v>0</v>
      </c>
      <c r="O306" s="33">
        <f>L306*[1]!dcos(J306)</f>
        <v>34.269858565881748</v>
      </c>
      <c r="P306" s="34">
        <f t="shared" si="75"/>
        <v>0</v>
      </c>
      <c r="Q306" s="35">
        <f>L306/[1]!dTAN(G306)-C306+$B$246</f>
        <v>0.35065000957792103</v>
      </c>
      <c r="R306" s="34">
        <f t="shared" si="76"/>
        <v>0</v>
      </c>
      <c r="S306" s="36">
        <f t="shared" si="77"/>
        <v>9717.0449114012226</v>
      </c>
      <c r="T306" s="40">
        <f t="shared" si="78"/>
        <v>9717.6136572862033</v>
      </c>
      <c r="U306" s="37">
        <f t="shared" si="79"/>
        <v>22.24245549478842</v>
      </c>
      <c r="V306" s="38">
        <f t="shared" si="72"/>
        <v>306</v>
      </c>
      <c r="W306" s="70"/>
      <c r="X306" s="71"/>
      <c r="Y306" s="71"/>
      <c r="Z306" s="72" t="s">
        <v>3</v>
      </c>
      <c r="AB306" s="56"/>
      <c r="AC306" s="56"/>
      <c r="AD306" s="56"/>
      <c r="AE306" s="56"/>
      <c r="AF306" s="56"/>
      <c r="AG306" s="56"/>
      <c r="AH306" s="56"/>
      <c r="AI306" s="56">
        <v>122</v>
      </c>
      <c r="AJ306" s="56">
        <v>245</v>
      </c>
      <c r="AK306" s="56">
        <v>306</v>
      </c>
      <c r="AL306" s="56">
        <v>2.5</v>
      </c>
      <c r="AM306" s="56" t="s">
        <v>650</v>
      </c>
      <c r="AN306" s="56">
        <v>49.238999999999997</v>
      </c>
      <c r="AO306" s="56" t="s">
        <v>651</v>
      </c>
      <c r="AP306" s="56" t="s">
        <v>3</v>
      </c>
      <c r="AQ306" s="56" t="s">
        <v>63</v>
      </c>
    </row>
    <row r="307" spans="1:43" x14ac:dyDescent="0.25">
      <c r="A307" s="8"/>
      <c r="B307" s="8"/>
      <c r="C307" s="8">
        <v>2.5</v>
      </c>
      <c r="D307" s="27"/>
      <c r="E307" s="28">
        <v>307</v>
      </c>
      <c r="F307" s="29" t="s">
        <v>652</v>
      </c>
      <c r="G307" s="10" t="s">
        <v>653</v>
      </c>
      <c r="H307" s="30">
        <f t="shared" si="73"/>
        <v>0</v>
      </c>
      <c r="I307" s="52" t="str">
        <f>[1]!Plus_ang(I306,[1]!Min_ang(F307,F306))</f>
        <v xml:space="preserve"> 40° 57' 47"</v>
      </c>
      <c r="J307" s="10" t="str">
        <f>[1]!Plus_ang([1]!Plus_ang(J306,[1]!Min_ang(F307,F306)),[1]!DestoDeg(H307/3600))</f>
        <v xml:space="preserve"> 40° 57' 47"</v>
      </c>
      <c r="K307" s="31">
        <v>48.954999999999998</v>
      </c>
      <c r="L307" s="32">
        <f>[1]!Jarakdatar(K307,G307)</f>
        <v>48.927666645623987</v>
      </c>
      <c r="M307" s="33">
        <f>L307*[1]!dsin(J307)</f>
        <v>32.075620717813173</v>
      </c>
      <c r="N307" s="34">
        <f t="shared" si="74"/>
        <v>0</v>
      </c>
      <c r="O307" s="33">
        <f>L307*[1]!dcos(J307)</f>
        <v>36.946868865335539</v>
      </c>
      <c r="P307" s="34">
        <f t="shared" si="75"/>
        <v>0</v>
      </c>
      <c r="Q307" s="35">
        <f>L307/[1]!dTAN(G307)-C307+$B$246</f>
        <v>0.34068383702162874</v>
      </c>
      <c r="R307" s="34">
        <f t="shared" si="76"/>
        <v>0</v>
      </c>
      <c r="S307" s="36">
        <f t="shared" si="77"/>
        <v>9713.8027214433951</v>
      </c>
      <c r="T307" s="40">
        <f t="shared" si="78"/>
        <v>9720.2906675856575</v>
      </c>
      <c r="U307" s="37">
        <f t="shared" si="79"/>
        <v>22.232489322232126</v>
      </c>
      <c r="V307" s="38">
        <f t="shared" si="72"/>
        <v>307</v>
      </c>
      <c r="W307" s="70"/>
      <c r="X307" s="71"/>
      <c r="Y307" s="71"/>
      <c r="Z307" s="72" t="s">
        <v>3</v>
      </c>
      <c r="AB307" s="56"/>
      <c r="AC307" s="56"/>
      <c r="AD307" s="56"/>
      <c r="AE307" s="56"/>
      <c r="AF307" s="56"/>
      <c r="AG307" s="56"/>
      <c r="AH307" s="56"/>
      <c r="AI307" s="56">
        <v>124</v>
      </c>
      <c r="AJ307" s="56">
        <v>245</v>
      </c>
      <c r="AK307" s="56">
        <v>307</v>
      </c>
      <c r="AL307" s="56">
        <v>2.5</v>
      </c>
      <c r="AM307" s="56" t="s">
        <v>652</v>
      </c>
      <c r="AN307" s="56">
        <v>48.954999999999998</v>
      </c>
      <c r="AO307" s="56" t="s">
        <v>653</v>
      </c>
      <c r="AP307" s="56" t="s">
        <v>3</v>
      </c>
      <c r="AQ307" s="56" t="s">
        <v>63</v>
      </c>
    </row>
    <row r="308" spans="1:43" x14ac:dyDescent="0.25">
      <c r="A308" s="8"/>
      <c r="B308" s="8"/>
      <c r="C308" s="8">
        <v>2.5</v>
      </c>
      <c r="D308" s="27"/>
      <c r="E308" s="28">
        <v>308</v>
      </c>
      <c r="F308" s="29" t="s">
        <v>654</v>
      </c>
      <c r="G308" s="10" t="s">
        <v>655</v>
      </c>
      <c r="H308" s="30">
        <f t="shared" si="73"/>
        <v>0</v>
      </c>
      <c r="I308" s="52" t="str">
        <f>[1]!Plus_ang(I307,[1]!Min_ang(F308,F307))</f>
        <v xml:space="preserve"> 40° 57' 46"</v>
      </c>
      <c r="J308" s="10" t="str">
        <f>[1]!Plus_ang([1]!Plus_ang(J307,[1]!Min_ang(F308,F307)),[1]!DestoDeg(H308/3600))</f>
        <v xml:space="preserve"> 40° 57' 46"</v>
      </c>
      <c r="K308" s="31">
        <v>48.817999999999998</v>
      </c>
      <c r="L308" s="32">
        <f>[1]!Jarakdatar(K308,G308)</f>
        <v>48.791683819930526</v>
      </c>
      <c r="M308" s="33">
        <f>L308*[1]!dsin(J308)</f>
        <v>31.98629552421496</v>
      </c>
      <c r="N308" s="34">
        <f t="shared" si="74"/>
        <v>0</v>
      </c>
      <c r="O308" s="33">
        <f>L308*[1]!dcos(J308)</f>
        <v>36.844338895163474</v>
      </c>
      <c r="P308" s="34">
        <f t="shared" si="75"/>
        <v>0</v>
      </c>
      <c r="Q308" s="35">
        <f>L308/[1]!dTAN(G308)-C308+$B$246</f>
        <v>0.30772081658945249</v>
      </c>
      <c r="R308" s="34">
        <f t="shared" si="76"/>
        <v>0</v>
      </c>
      <c r="S308" s="36">
        <f t="shared" si="77"/>
        <v>9713.7133962497974</v>
      </c>
      <c r="T308" s="40">
        <f t="shared" si="78"/>
        <v>9720.1881376154852</v>
      </c>
      <c r="U308" s="37">
        <f t="shared" si="79"/>
        <v>22.199526301799949</v>
      </c>
      <c r="V308" s="38">
        <f t="shared" si="72"/>
        <v>308</v>
      </c>
      <c r="W308" s="70"/>
      <c r="X308" s="71"/>
      <c r="Y308" s="71"/>
      <c r="Z308" s="72" t="s">
        <v>16</v>
      </c>
      <c r="AB308" s="56"/>
      <c r="AC308" s="56"/>
      <c r="AD308" s="56"/>
      <c r="AE308" s="56"/>
      <c r="AF308" s="56"/>
      <c r="AG308" s="56"/>
      <c r="AH308" s="56"/>
      <c r="AI308" s="56">
        <v>126</v>
      </c>
      <c r="AJ308" s="56">
        <v>245</v>
      </c>
      <c r="AK308" s="56">
        <v>308</v>
      </c>
      <c r="AL308" s="56">
        <v>2.5</v>
      </c>
      <c r="AM308" s="56" t="s">
        <v>654</v>
      </c>
      <c r="AN308" s="56">
        <v>48.817999999999998</v>
      </c>
      <c r="AO308" s="56" t="s">
        <v>655</v>
      </c>
      <c r="AP308" s="56" t="s">
        <v>16</v>
      </c>
      <c r="AQ308" s="56" t="s">
        <v>63</v>
      </c>
    </row>
    <row r="309" spans="1:43" x14ac:dyDescent="0.25">
      <c r="A309" s="8"/>
      <c r="B309" s="8"/>
      <c r="C309" s="8">
        <v>2.5</v>
      </c>
      <c r="D309" s="27"/>
      <c r="E309" s="28">
        <v>309</v>
      </c>
      <c r="F309" s="29" t="s">
        <v>656</v>
      </c>
      <c r="G309" s="10" t="s">
        <v>657</v>
      </c>
      <c r="H309" s="30">
        <f t="shared" si="73"/>
        <v>0</v>
      </c>
      <c r="I309" s="52" t="str">
        <f>[1]!Plus_ang(I308,[1]!Min_ang(F309,F308))</f>
        <v xml:space="preserve"> 33° 57' 49"</v>
      </c>
      <c r="J309" s="10" t="str">
        <f>[1]!Plus_ang([1]!Plus_ang(J308,[1]!Min_ang(F309,F308)),[1]!DestoDeg(H309/3600))</f>
        <v xml:space="preserve"> 33° 57' 49"</v>
      </c>
      <c r="K309" s="31">
        <v>49.253</v>
      </c>
      <c r="L309" s="32">
        <f>[1]!Jarakdatar(K309,G309)</f>
        <v>49.227389428692121</v>
      </c>
      <c r="M309" s="33">
        <f>L309*[1]!dsin(J309)</f>
        <v>27.501681741364777</v>
      </c>
      <c r="N309" s="34">
        <f t="shared" si="74"/>
        <v>0</v>
      </c>
      <c r="O309" s="33">
        <f>L309*[1]!dcos(J309)</f>
        <v>40.828830149304942</v>
      </c>
      <c r="P309" s="34">
        <f t="shared" si="75"/>
        <v>0</v>
      </c>
      <c r="Q309" s="35">
        <f>L309/[1]!dTAN(G309)-C309+$B$246</f>
        <v>0.29312437670702107</v>
      </c>
      <c r="R309" s="34">
        <f t="shared" si="76"/>
        <v>0</v>
      </c>
      <c r="S309" s="36">
        <f t="shared" si="77"/>
        <v>9709.2287824669475</v>
      </c>
      <c r="T309" s="40">
        <f t="shared" si="78"/>
        <v>9724.1726288696264</v>
      </c>
      <c r="U309" s="37">
        <f t="shared" si="79"/>
        <v>22.184929861917517</v>
      </c>
      <c r="V309" s="38">
        <f t="shared" si="72"/>
        <v>309</v>
      </c>
      <c r="W309" s="70"/>
      <c r="X309" s="71"/>
      <c r="Y309" s="71"/>
      <c r="Z309" s="72" t="s">
        <v>16</v>
      </c>
      <c r="AB309" s="56"/>
      <c r="AC309" s="56"/>
      <c r="AD309" s="56"/>
      <c r="AE309" s="56"/>
      <c r="AF309" s="56"/>
      <c r="AG309" s="56"/>
      <c r="AH309" s="56"/>
      <c r="AI309" s="56">
        <v>128</v>
      </c>
      <c r="AJ309" s="56">
        <v>245</v>
      </c>
      <c r="AK309" s="56">
        <v>309</v>
      </c>
      <c r="AL309" s="56">
        <v>2.5</v>
      </c>
      <c r="AM309" s="56" t="s">
        <v>656</v>
      </c>
      <c r="AN309" s="56">
        <v>49.253</v>
      </c>
      <c r="AO309" s="56" t="s">
        <v>657</v>
      </c>
      <c r="AP309" s="56" t="s">
        <v>16</v>
      </c>
      <c r="AQ309" s="56" t="s">
        <v>63</v>
      </c>
    </row>
    <row r="310" spans="1:43" x14ac:dyDescent="0.25">
      <c r="A310" s="8"/>
      <c r="B310" s="8"/>
      <c r="C310" s="8">
        <v>1.45</v>
      </c>
      <c r="D310" s="27"/>
      <c r="E310" s="28" t="s">
        <v>78</v>
      </c>
      <c r="F310" s="29" t="s">
        <v>658</v>
      </c>
      <c r="G310" s="10" t="s">
        <v>659</v>
      </c>
      <c r="H310" s="30">
        <f t="shared" si="73"/>
        <v>0</v>
      </c>
      <c r="I310" s="52" t="str">
        <f>[1]!Plus_ang(I309,[1]!Min_ang(F310,F309))</f>
        <v xml:space="preserve"> 225° 59' 49"</v>
      </c>
      <c r="J310" s="10" t="str">
        <f>[1]!Plus_ang([1]!Plus_ang(J309,[1]!Min_ang(F310,F309)),[1]!DestoDeg(H310/3600))</f>
        <v xml:space="preserve"> 225° 59' 49"</v>
      </c>
      <c r="K310" s="31">
        <v>52.454000000000001</v>
      </c>
      <c r="L310" s="32">
        <f>[1]!Jarakdatar(K310,G310)</f>
        <v>52.448026232060222</v>
      </c>
      <c r="M310" s="33">
        <f>L310*[1]!dsin(J310)</f>
        <v>-37.726009685869961</v>
      </c>
      <c r="N310" s="34">
        <f t="shared" si="74"/>
        <v>0</v>
      </c>
      <c r="O310" s="33">
        <f>L310*[1]!dcos(J310)</f>
        <v>-36.435472397383883</v>
      </c>
      <c r="P310" s="34">
        <f t="shared" si="75"/>
        <v>0</v>
      </c>
      <c r="Q310" s="35">
        <f>L310/[1]!dTAN(G310)-C310+$B$246</f>
        <v>0.54661882312325161</v>
      </c>
      <c r="R310" s="34">
        <f t="shared" si="76"/>
        <v>-0.94104385647264566</v>
      </c>
      <c r="S310" s="36">
        <f t="shared" si="77"/>
        <v>9644.0010910397123</v>
      </c>
      <c r="T310" s="40">
        <f t="shared" si="78"/>
        <v>9646.9083263229368</v>
      </c>
      <c r="U310" s="37">
        <f t="shared" si="79"/>
        <v>21.497380451861101</v>
      </c>
      <c r="V310" s="38" t="str">
        <f t="shared" si="72"/>
        <v>K30</v>
      </c>
      <c r="W310" s="70" t="s">
        <v>92</v>
      </c>
      <c r="X310" s="71"/>
      <c r="Y310" s="71"/>
      <c r="Z310" s="72" t="s">
        <v>78</v>
      </c>
      <c r="AB310" s="56"/>
      <c r="AC310" s="56"/>
      <c r="AD310" s="56"/>
      <c r="AE310" s="56"/>
      <c r="AF310" s="56"/>
      <c r="AG310" s="56"/>
      <c r="AH310" s="56"/>
      <c r="AI310" s="56">
        <v>130</v>
      </c>
      <c r="AJ310" s="56">
        <v>245</v>
      </c>
      <c r="AK310" s="56" t="s">
        <v>78</v>
      </c>
      <c r="AL310" s="56">
        <v>1.45</v>
      </c>
      <c r="AM310" s="56" t="s">
        <v>658</v>
      </c>
      <c r="AN310" s="56">
        <v>52.454000000000001</v>
      </c>
      <c r="AO310" s="56" t="s">
        <v>659</v>
      </c>
      <c r="AP310" s="56" t="s">
        <v>78</v>
      </c>
      <c r="AQ310" s="56" t="s">
        <v>63</v>
      </c>
    </row>
    <row r="311" spans="1:43" x14ac:dyDescent="0.25">
      <c r="A311" s="8"/>
      <c r="B311" s="8"/>
      <c r="C311" s="8"/>
      <c r="D311" s="27"/>
      <c r="E311" s="28"/>
      <c r="F311" s="29"/>
      <c r="G311" s="10"/>
      <c r="H311" s="30"/>
      <c r="I311" s="52"/>
      <c r="J311" s="10"/>
      <c r="K311" s="31"/>
      <c r="L311" s="32"/>
      <c r="M311" s="33"/>
      <c r="N311" s="34"/>
      <c r="O311" s="33"/>
      <c r="P311" s="34"/>
      <c r="Q311" s="35"/>
      <c r="R311" s="34"/>
      <c r="S311" s="36"/>
      <c r="T311" s="40"/>
      <c r="U311" s="37"/>
      <c r="V311" s="38"/>
      <c r="W311" s="70"/>
      <c r="X311" s="71"/>
      <c r="Y311" s="71"/>
      <c r="Z311" s="72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</row>
    <row r="312" spans="1:43" x14ac:dyDescent="0.25">
      <c r="A312" s="8">
        <v>5</v>
      </c>
      <c r="B312" s="8">
        <v>1.25</v>
      </c>
      <c r="C312" s="8">
        <v>1.45</v>
      </c>
      <c r="D312" s="27" t="s">
        <v>78</v>
      </c>
      <c r="E312" s="28" t="s">
        <v>75</v>
      </c>
      <c r="F312" s="29" t="s">
        <v>660</v>
      </c>
      <c r="G312" s="10" t="s">
        <v>661</v>
      </c>
      <c r="H312" s="30"/>
      <c r="I312" s="52" t="str">
        <f>[1]!Plus_ang(VLOOKUP($D$312,$E$14:$I$310,5),[1]!DestoDeg(180))</f>
        <v xml:space="preserve"> 45° 59' 49"</v>
      </c>
      <c r="J312" s="10" t="str">
        <f>[1]!Plus_ang(VLOOKUP($D$312,$E$14:$J$310,6),[1]!DestoDeg(180))</f>
        <v xml:space="preserve"> 45° 59' 49"</v>
      </c>
      <c r="K312" s="31">
        <v>99.778999999999996</v>
      </c>
      <c r="L312" s="32">
        <f>[1]!Jarakdatar(K312,G312)</f>
        <v>99.764832013235065</v>
      </c>
      <c r="M312" s="33"/>
      <c r="N312" s="34"/>
      <c r="O312" s="33"/>
      <c r="P312" s="34"/>
      <c r="Q312" s="35"/>
      <c r="R312" s="34"/>
      <c r="S312" s="36">
        <f>VLOOKUP($D$312,$E$14:$S$310,15,0)</f>
        <v>9644.0010910397123</v>
      </c>
      <c r="T312" s="40">
        <f>VLOOKUP($D$312,$E$14:$T$310,16,0)</f>
        <v>9646.9083263229368</v>
      </c>
      <c r="U312" s="37">
        <f>VLOOKUP($D$312,$E$14:$U$310,17,0)</f>
        <v>21.497380451861101</v>
      </c>
      <c r="V312" s="38" t="str">
        <f t="shared" ref="V312:V343" si="80">IF(A312&lt;&gt;"",D312,E312)</f>
        <v>K30</v>
      </c>
      <c r="W312" s="70"/>
      <c r="X312" s="71"/>
      <c r="Y312" s="71"/>
      <c r="Z312" s="72" t="s">
        <v>75</v>
      </c>
      <c r="AB312" s="56">
        <v>7</v>
      </c>
      <c r="AC312" s="56" t="s">
        <v>78</v>
      </c>
      <c r="AD312" s="56">
        <v>1.25</v>
      </c>
      <c r="AE312" s="56">
        <v>0</v>
      </c>
      <c r="AF312" s="56">
        <v>0</v>
      </c>
      <c r="AG312" s="56">
        <v>2E-3</v>
      </c>
      <c r="AH312" s="56">
        <v>1E-3</v>
      </c>
      <c r="AI312" s="56">
        <v>1</v>
      </c>
      <c r="AJ312" s="56" t="s">
        <v>78</v>
      </c>
      <c r="AK312" s="56" t="s">
        <v>75</v>
      </c>
      <c r="AL312" s="56">
        <v>1.45</v>
      </c>
      <c r="AM312" s="56" t="s">
        <v>660</v>
      </c>
      <c r="AN312" s="56">
        <v>99.778999999999996</v>
      </c>
      <c r="AO312" s="56" t="s">
        <v>661</v>
      </c>
      <c r="AP312" s="56" t="s">
        <v>75</v>
      </c>
      <c r="AQ312" s="56" t="s">
        <v>63</v>
      </c>
    </row>
    <row r="313" spans="1:43" x14ac:dyDescent="0.25">
      <c r="A313" s="8"/>
      <c r="B313" s="8"/>
      <c r="C313" s="8">
        <v>1.45</v>
      </c>
      <c r="D313" s="27"/>
      <c r="E313" s="28">
        <v>313</v>
      </c>
      <c r="F313" s="29" t="s">
        <v>662</v>
      </c>
      <c r="G313" s="10" t="s">
        <v>663</v>
      </c>
      <c r="H313" s="30">
        <f t="shared" ref="H313:H344" si="81">IF($Y$7="y",$C$416,0)</f>
        <v>0</v>
      </c>
      <c r="I313" s="52" t="str">
        <f>[1]!Plus_ang(I312,[1]!Min_ang(F313,F312))</f>
        <v xml:space="preserve"> 47° 8' 57"</v>
      </c>
      <c r="J313" s="10" t="str">
        <f>[1]!Plus_ang([1]!Plus_ang(J312,[1]!Min_ang(F313,F312)),[1]!DestoDeg(H313/3600))</f>
        <v xml:space="preserve"> 47° 8' 57"</v>
      </c>
      <c r="K313" s="31">
        <v>99.8</v>
      </c>
      <c r="L313" s="32">
        <f>[1]!Jarakdatar(K313,G313)</f>
        <v>99.79998078368078</v>
      </c>
      <c r="M313" s="33">
        <f>L313*[1]!dsin(J313)</f>
        <v>73.166037492442953</v>
      </c>
      <c r="N313" s="34">
        <f t="shared" ref="N313:N344" si="82">IF($Y$8="Y",($Y$4*L313/$L$413),0)</f>
        <v>0</v>
      </c>
      <c r="O313" s="33">
        <f>L313*[1]!dcos(J313)</f>
        <v>67.873169382882693</v>
      </c>
      <c r="P313" s="34">
        <f t="shared" ref="P313:P344" si="83">IF($Y$8="Y",($Y$5*L313/$L$413),0)</f>
        <v>0</v>
      </c>
      <c r="Q313" s="35">
        <f>L313/[1]!dTAN(G313)-C313+$B$312</f>
        <v>-0.26193203490470429</v>
      </c>
      <c r="R313" s="34">
        <f t="shared" ref="R313:R344" si="84">IF(AND($Y$8="Y",W313="P"),($Y$6*L313/$L$413),0)</f>
        <v>0</v>
      </c>
      <c r="S313" s="36">
        <f t="shared" ref="S313:S344" si="85">$S$312+M313+N313</f>
        <v>9717.1671285321554</v>
      </c>
      <c r="T313" s="40">
        <f t="shared" ref="T313:T344" si="86">$T$312+O313+P313</f>
        <v>9714.7814957058199</v>
      </c>
      <c r="U313" s="37">
        <f t="shared" ref="U313:U344" si="87">$U$312+Q313+R313</f>
        <v>21.235448416956398</v>
      </c>
      <c r="V313" s="38">
        <f t="shared" si="80"/>
        <v>313</v>
      </c>
      <c r="W313" s="70"/>
      <c r="X313" s="71"/>
      <c r="Y313" s="71"/>
      <c r="Z313" s="72" t="s">
        <v>3</v>
      </c>
      <c r="AB313" s="56"/>
      <c r="AC313" s="56"/>
      <c r="AD313" s="56"/>
      <c r="AE313" s="56"/>
      <c r="AF313" s="56"/>
      <c r="AG313" s="56"/>
      <c r="AH313" s="56"/>
      <c r="AI313" s="56">
        <v>4</v>
      </c>
      <c r="AJ313" s="56">
        <v>320</v>
      </c>
      <c r="AK313" s="56">
        <v>313</v>
      </c>
      <c r="AL313" s="56">
        <v>1.45</v>
      </c>
      <c r="AM313" s="56" t="s">
        <v>662</v>
      </c>
      <c r="AN313" s="56">
        <v>99.8</v>
      </c>
      <c r="AO313" s="56" t="s">
        <v>663</v>
      </c>
      <c r="AP313" s="56" t="s">
        <v>3</v>
      </c>
      <c r="AQ313" s="56" t="s">
        <v>63</v>
      </c>
    </row>
    <row r="314" spans="1:43" x14ac:dyDescent="0.25">
      <c r="A314" s="8"/>
      <c r="B314" s="8"/>
      <c r="C314" s="8">
        <v>1.45</v>
      </c>
      <c r="D314" s="27"/>
      <c r="E314" s="28">
        <v>314</v>
      </c>
      <c r="F314" s="29" t="s">
        <v>664</v>
      </c>
      <c r="G314" s="10" t="s">
        <v>665</v>
      </c>
      <c r="H314" s="30">
        <f t="shared" si="81"/>
        <v>0</v>
      </c>
      <c r="I314" s="52" t="str">
        <f>[1]!Plus_ang(I313,[1]!Min_ang(F314,F313))</f>
        <v xml:space="preserve"> 47° 7' 53"</v>
      </c>
      <c r="J314" s="10" t="str">
        <f>[1]!Plus_ang([1]!Plus_ang(J313,[1]!Min_ang(F314,F313)),[1]!DestoDeg(H314/3600))</f>
        <v xml:space="preserve"> 47° 7' 53"</v>
      </c>
      <c r="K314" s="31">
        <v>99.921000000000006</v>
      </c>
      <c r="L314" s="32">
        <f>[1]!Jarakdatar(K314,G314)</f>
        <v>99.920994728598316</v>
      </c>
      <c r="M314" s="33">
        <f>L314*[1]!dsin(J314)</f>
        <v>73.233667254394803</v>
      </c>
      <c r="N314" s="34">
        <f t="shared" si="82"/>
        <v>0</v>
      </c>
      <c r="O314" s="33">
        <f>L314*[1]!dcos(J314)</f>
        <v>67.978196269282947</v>
      </c>
      <c r="P314" s="34">
        <f t="shared" si="83"/>
        <v>0</v>
      </c>
      <c r="Q314" s="35">
        <f>L314/[1]!dTAN(G314)-C314+$B$312</f>
        <v>-0.23245685487543821</v>
      </c>
      <c r="R314" s="34">
        <f t="shared" si="84"/>
        <v>0</v>
      </c>
      <c r="S314" s="36">
        <f t="shared" si="85"/>
        <v>9717.2347582941075</v>
      </c>
      <c r="T314" s="40">
        <f t="shared" si="86"/>
        <v>9714.88652259222</v>
      </c>
      <c r="U314" s="37">
        <f t="shared" si="87"/>
        <v>21.264923596985664</v>
      </c>
      <c r="V314" s="38">
        <f t="shared" si="80"/>
        <v>314</v>
      </c>
      <c r="W314" s="70"/>
      <c r="X314" s="71"/>
      <c r="Y314" s="71"/>
      <c r="Z314" s="72" t="s">
        <v>64</v>
      </c>
      <c r="AB314" s="56"/>
      <c r="AC314" s="56"/>
      <c r="AD314" s="56"/>
      <c r="AE314" s="56"/>
      <c r="AF314" s="56"/>
      <c r="AG314" s="56"/>
      <c r="AH314" s="56"/>
      <c r="AI314" s="56">
        <v>6</v>
      </c>
      <c r="AJ314" s="56">
        <v>320</v>
      </c>
      <c r="AK314" s="56">
        <v>314</v>
      </c>
      <c r="AL314" s="56">
        <v>1.45</v>
      </c>
      <c r="AM314" s="56" t="s">
        <v>664</v>
      </c>
      <c r="AN314" s="56">
        <v>99.921000000000006</v>
      </c>
      <c r="AO314" s="56" t="s">
        <v>665</v>
      </c>
      <c r="AP314" s="56" t="s">
        <v>64</v>
      </c>
      <c r="AQ314" s="56" t="s">
        <v>63</v>
      </c>
    </row>
    <row r="315" spans="1:43" x14ac:dyDescent="0.25">
      <c r="A315" s="8"/>
      <c r="B315" s="8"/>
      <c r="C315" s="8">
        <v>1.45</v>
      </c>
      <c r="D315" s="27"/>
      <c r="E315" s="28">
        <v>315</v>
      </c>
      <c r="F315" s="29" t="s">
        <v>666</v>
      </c>
      <c r="G315" s="10" t="s">
        <v>667</v>
      </c>
      <c r="H315" s="30">
        <f t="shared" si="81"/>
        <v>0</v>
      </c>
      <c r="I315" s="52" t="str">
        <f>[1]!Plus_ang(I314,[1]!Min_ang(F315,F314))</f>
        <v xml:space="preserve"> 44° 3' 53"</v>
      </c>
      <c r="J315" s="10" t="str">
        <f>[1]!Plus_ang([1]!Plus_ang(J314,[1]!Min_ang(F315,F314)),[1]!DestoDeg(H315/3600))</f>
        <v xml:space="preserve"> 44° 3' 53"</v>
      </c>
      <c r="K315" s="31">
        <v>99.8</v>
      </c>
      <c r="L315" s="32">
        <f>[1]!Jarakdatar(K315,G315)</f>
        <v>99.799930743143378</v>
      </c>
      <c r="M315" s="33">
        <f>L315*[1]!dsin(J315)</f>
        <v>69.407908207198133</v>
      </c>
      <c r="N315" s="34">
        <f t="shared" si="82"/>
        <v>0</v>
      </c>
      <c r="O315" s="33">
        <f>L315*[1]!dcos(J315)</f>
        <v>71.711703749369747</v>
      </c>
      <c r="P315" s="34">
        <f t="shared" si="83"/>
        <v>0</v>
      </c>
      <c r="Q315" s="35">
        <f>L315/[1]!dTAN(G315)-C315+$B$312</f>
        <v>-0.31757407786347924</v>
      </c>
      <c r="R315" s="34">
        <f t="shared" si="84"/>
        <v>0</v>
      </c>
      <c r="S315" s="36">
        <f t="shared" si="85"/>
        <v>9713.4089992469108</v>
      </c>
      <c r="T315" s="40">
        <f t="shared" si="86"/>
        <v>9718.6200300723067</v>
      </c>
      <c r="U315" s="37">
        <f t="shared" si="87"/>
        <v>21.179806373997621</v>
      </c>
      <c r="V315" s="38">
        <f t="shared" si="80"/>
        <v>315</v>
      </c>
      <c r="W315" s="70"/>
      <c r="X315" s="71"/>
      <c r="Y315" s="71"/>
      <c r="Z315" s="72" t="s">
        <v>14</v>
      </c>
      <c r="AB315" s="56"/>
      <c r="AC315" s="56"/>
      <c r="AD315" s="56"/>
      <c r="AE315" s="56"/>
      <c r="AF315" s="56"/>
      <c r="AG315" s="56"/>
      <c r="AH315" s="56"/>
      <c r="AI315" s="56">
        <v>8</v>
      </c>
      <c r="AJ315" s="56">
        <v>320</v>
      </c>
      <c r="AK315" s="56">
        <v>315</v>
      </c>
      <c r="AL315" s="56">
        <v>1.45</v>
      </c>
      <c r="AM315" s="56" t="s">
        <v>666</v>
      </c>
      <c r="AN315" s="56">
        <v>99.8</v>
      </c>
      <c r="AO315" s="56" t="s">
        <v>667</v>
      </c>
      <c r="AP315" s="56" t="s">
        <v>14</v>
      </c>
      <c r="AQ315" s="56" t="s">
        <v>63</v>
      </c>
    </row>
    <row r="316" spans="1:43" x14ac:dyDescent="0.25">
      <c r="A316" s="8"/>
      <c r="B316" s="8"/>
      <c r="C316" s="8">
        <v>1.45</v>
      </c>
      <c r="D316" s="27"/>
      <c r="E316" s="28">
        <v>316</v>
      </c>
      <c r="F316" s="29" t="s">
        <v>668</v>
      </c>
      <c r="G316" s="10" t="s">
        <v>669</v>
      </c>
      <c r="H316" s="30">
        <f t="shared" si="81"/>
        <v>0</v>
      </c>
      <c r="I316" s="52" t="str">
        <f>[1]!Plus_ang(I315,[1]!Min_ang(F316,F315))</f>
        <v xml:space="preserve"> 41° 5' 52"</v>
      </c>
      <c r="J316" s="10" t="str">
        <f>[1]!Plus_ang([1]!Plus_ang(J315,[1]!Min_ang(F316,F315)),[1]!DestoDeg(H316/3600))</f>
        <v xml:space="preserve"> 41° 5' 52"</v>
      </c>
      <c r="K316" s="31">
        <v>99.811999999999998</v>
      </c>
      <c r="L316" s="32">
        <f>[1]!Jarakdatar(K316,G316)</f>
        <v>99.759990484815958</v>
      </c>
      <c r="M316" s="33">
        <f>L316*[1]!dsin(J316)</f>
        <v>65.5768325280753</v>
      </c>
      <c r="N316" s="34">
        <f t="shared" si="82"/>
        <v>0</v>
      </c>
      <c r="O316" s="33">
        <f>L316*[1]!dcos(J316)</f>
        <v>75.178020305906799</v>
      </c>
      <c r="P316" s="34">
        <f t="shared" si="83"/>
        <v>0</v>
      </c>
      <c r="Q316" s="35">
        <f>L316/[1]!dTAN(G316)-C316+$B$312</f>
        <v>3.0217452521003256</v>
      </c>
      <c r="R316" s="34">
        <f t="shared" si="84"/>
        <v>0</v>
      </c>
      <c r="S316" s="36">
        <f t="shared" si="85"/>
        <v>9709.5779235677874</v>
      </c>
      <c r="T316" s="40">
        <f t="shared" si="86"/>
        <v>9722.0863466288429</v>
      </c>
      <c r="U316" s="37">
        <f t="shared" si="87"/>
        <v>24.519125703961429</v>
      </c>
      <c r="V316" s="38">
        <f t="shared" si="80"/>
        <v>316</v>
      </c>
      <c r="W316" s="70"/>
      <c r="X316" s="71"/>
      <c r="Y316" s="71"/>
      <c r="Z316" s="72" t="s">
        <v>3</v>
      </c>
      <c r="AB316" s="56"/>
      <c r="AC316" s="56"/>
      <c r="AD316" s="56"/>
      <c r="AE316" s="56"/>
      <c r="AF316" s="56"/>
      <c r="AG316" s="56"/>
      <c r="AH316" s="56"/>
      <c r="AI316" s="56">
        <v>10</v>
      </c>
      <c r="AJ316" s="56">
        <v>320</v>
      </c>
      <c r="AK316" s="56">
        <v>316</v>
      </c>
      <c r="AL316" s="56">
        <v>1.45</v>
      </c>
      <c r="AM316" s="56" t="s">
        <v>668</v>
      </c>
      <c r="AN316" s="56">
        <v>99.811999999999998</v>
      </c>
      <c r="AO316" s="56" t="s">
        <v>669</v>
      </c>
      <c r="AP316" s="56" t="s">
        <v>3</v>
      </c>
      <c r="AQ316" s="56" t="s">
        <v>63</v>
      </c>
    </row>
    <row r="317" spans="1:43" x14ac:dyDescent="0.25">
      <c r="A317" s="8"/>
      <c r="B317" s="8"/>
      <c r="C317" s="8">
        <v>1.45</v>
      </c>
      <c r="D317" s="27"/>
      <c r="E317" s="28">
        <v>317</v>
      </c>
      <c r="F317" s="29" t="s">
        <v>670</v>
      </c>
      <c r="G317" s="10" t="s">
        <v>671</v>
      </c>
      <c r="H317" s="30">
        <f t="shared" si="81"/>
        <v>0</v>
      </c>
      <c r="I317" s="52" t="str">
        <f>[1]!Plus_ang(I316,[1]!Min_ang(F317,F316))</f>
        <v xml:space="preserve"> 39° 59' 51"</v>
      </c>
      <c r="J317" s="10" t="str">
        <f>[1]!Plus_ang([1]!Plus_ang(J316,[1]!Min_ang(F317,F316)),[1]!DestoDeg(H317/3600))</f>
        <v xml:space="preserve"> 39° 59' 51"</v>
      </c>
      <c r="K317" s="31">
        <v>99.626999999999995</v>
      </c>
      <c r="L317" s="32">
        <f>[1]!Jarakdatar(K317,G317)</f>
        <v>99.571326202757405</v>
      </c>
      <c r="M317" s="33">
        <f>L317*[1]!dsin(J317)</f>
        <v>63.999886531245629</v>
      </c>
      <c r="N317" s="34">
        <f t="shared" si="82"/>
        <v>0</v>
      </c>
      <c r="O317" s="33">
        <f>L317*[1]!dcos(J317)</f>
        <v>76.278853726072782</v>
      </c>
      <c r="P317" s="34">
        <f t="shared" si="83"/>
        <v>0</v>
      </c>
      <c r="Q317" s="35">
        <f>L317/[1]!dTAN(G317)-C317+$B$312</f>
        <v>3.1301842627813903</v>
      </c>
      <c r="R317" s="34">
        <f t="shared" si="84"/>
        <v>0</v>
      </c>
      <c r="S317" s="36">
        <f t="shared" si="85"/>
        <v>9708.0009775709586</v>
      </c>
      <c r="T317" s="40">
        <f t="shared" si="86"/>
        <v>9723.1871800490098</v>
      </c>
      <c r="U317" s="37">
        <f t="shared" si="87"/>
        <v>24.627564714642492</v>
      </c>
      <c r="V317" s="38">
        <f t="shared" si="80"/>
        <v>317</v>
      </c>
      <c r="W317" s="70"/>
      <c r="X317" s="71"/>
      <c r="Y317" s="71"/>
      <c r="Z317" s="72" t="s">
        <v>3</v>
      </c>
      <c r="AB317" s="56"/>
      <c r="AC317" s="56"/>
      <c r="AD317" s="56"/>
      <c r="AE317" s="56"/>
      <c r="AF317" s="56"/>
      <c r="AG317" s="56"/>
      <c r="AH317" s="56"/>
      <c r="AI317" s="56">
        <v>12</v>
      </c>
      <c r="AJ317" s="56">
        <v>320</v>
      </c>
      <c r="AK317" s="56">
        <v>317</v>
      </c>
      <c r="AL317" s="56">
        <v>1.45</v>
      </c>
      <c r="AM317" s="56" t="s">
        <v>670</v>
      </c>
      <c r="AN317" s="56">
        <v>99.626999999999995</v>
      </c>
      <c r="AO317" s="56" t="s">
        <v>671</v>
      </c>
      <c r="AP317" s="56" t="s">
        <v>3</v>
      </c>
      <c r="AQ317" s="56" t="s">
        <v>63</v>
      </c>
    </row>
    <row r="318" spans="1:43" x14ac:dyDescent="0.25">
      <c r="A318" s="8"/>
      <c r="B318" s="8"/>
      <c r="C318" s="8">
        <v>2.5</v>
      </c>
      <c r="D318" s="27"/>
      <c r="E318" s="28">
        <v>318</v>
      </c>
      <c r="F318" s="29" t="s">
        <v>672</v>
      </c>
      <c r="G318" s="10" t="s">
        <v>673</v>
      </c>
      <c r="H318" s="30">
        <f t="shared" si="81"/>
        <v>0</v>
      </c>
      <c r="I318" s="52" t="str">
        <f>[1]!Plus_ang(I317,[1]!Min_ang(F318,F317))</f>
        <v xml:space="preserve"> 50° 3' 53"</v>
      </c>
      <c r="J318" s="10" t="str">
        <f>[1]!Plus_ang([1]!Plus_ang(J317,[1]!Min_ang(F318,F317)),[1]!DestoDeg(H318/3600))</f>
        <v xml:space="preserve"> 50° 3' 53"</v>
      </c>
      <c r="K318" s="31">
        <v>99.805999999999997</v>
      </c>
      <c r="L318" s="32">
        <f>[1]!Jarakdatar(K318,G318)</f>
        <v>99.786979328164847</v>
      </c>
      <c r="M318" s="33">
        <f>L318*[1]!dsin(J318)</f>
        <v>76.513667857791404</v>
      </c>
      <c r="N318" s="34">
        <f t="shared" si="82"/>
        <v>0</v>
      </c>
      <c r="O318" s="33">
        <f>L318*[1]!dcos(J318)</f>
        <v>64.055443752948733</v>
      </c>
      <c r="P318" s="34">
        <f t="shared" si="83"/>
        <v>0</v>
      </c>
      <c r="Q318" s="35">
        <f>L318/[1]!dTAN(G318)-C318+$B$312</f>
        <v>-3.1984333605235538</v>
      </c>
      <c r="R318" s="34">
        <f t="shared" si="84"/>
        <v>0</v>
      </c>
      <c r="S318" s="36">
        <f t="shared" si="85"/>
        <v>9720.5147588975033</v>
      </c>
      <c r="T318" s="40">
        <f t="shared" si="86"/>
        <v>9710.9637700758849</v>
      </c>
      <c r="U318" s="37">
        <f t="shared" si="87"/>
        <v>18.298947091337546</v>
      </c>
      <c r="V318" s="38">
        <f t="shared" si="80"/>
        <v>318</v>
      </c>
      <c r="W318" s="70"/>
      <c r="X318" s="71"/>
      <c r="Y318" s="71"/>
      <c r="Z318" s="72" t="s">
        <v>65</v>
      </c>
      <c r="AB318" s="56"/>
      <c r="AC318" s="56"/>
      <c r="AD318" s="56"/>
      <c r="AE318" s="56"/>
      <c r="AF318" s="56"/>
      <c r="AG318" s="56"/>
      <c r="AH318" s="56"/>
      <c r="AI318" s="56">
        <v>14</v>
      </c>
      <c r="AJ318" s="56">
        <v>320</v>
      </c>
      <c r="AK318" s="56">
        <v>318</v>
      </c>
      <c r="AL318" s="56">
        <v>2.5</v>
      </c>
      <c r="AM318" s="56" t="s">
        <v>672</v>
      </c>
      <c r="AN318" s="56">
        <v>99.805999999999997</v>
      </c>
      <c r="AO318" s="56" t="s">
        <v>673</v>
      </c>
      <c r="AP318" s="56" t="s">
        <v>65</v>
      </c>
      <c r="AQ318" s="56" t="s">
        <v>63</v>
      </c>
    </row>
    <row r="319" spans="1:43" x14ac:dyDescent="0.25">
      <c r="A319" s="8"/>
      <c r="B319" s="8"/>
      <c r="C319" s="8">
        <v>2.5</v>
      </c>
      <c r="D319" s="27"/>
      <c r="E319" s="28">
        <v>319</v>
      </c>
      <c r="F319" s="29" t="s">
        <v>674</v>
      </c>
      <c r="G319" s="10" t="s">
        <v>675</v>
      </c>
      <c r="H319" s="30">
        <f t="shared" si="81"/>
        <v>0</v>
      </c>
      <c r="I319" s="52" t="str">
        <f>[1]!Plus_ang(I318,[1]!Min_ang(F319,F318))</f>
        <v xml:space="preserve"> 57° 3' 53"</v>
      </c>
      <c r="J319" s="10" t="str">
        <f>[1]!Plus_ang([1]!Plus_ang(J318,[1]!Min_ang(F319,F318)),[1]!DestoDeg(H319/3600))</f>
        <v xml:space="preserve"> 57° 3' 53"</v>
      </c>
      <c r="K319" s="31">
        <v>101.312</v>
      </c>
      <c r="L319" s="32">
        <f>[1]!Jarakdatar(K319,G319)</f>
        <v>101.29651821577239</v>
      </c>
      <c r="M319" s="33">
        <f>L319*[1]!dsin(J319)</f>
        <v>85.016675198175747</v>
      </c>
      <c r="N319" s="34">
        <f t="shared" si="82"/>
        <v>0</v>
      </c>
      <c r="O319" s="33">
        <f>L319*[1]!dcos(J319)</f>
        <v>55.07403690384605</v>
      </c>
      <c r="P319" s="34">
        <f t="shared" si="83"/>
        <v>0</v>
      </c>
      <c r="Q319" s="35">
        <f>L319/[1]!dTAN(G319)-C319+$B$312</f>
        <v>-3.0210847979957363</v>
      </c>
      <c r="R319" s="34">
        <f t="shared" si="84"/>
        <v>0</v>
      </c>
      <c r="S319" s="36">
        <f t="shared" si="85"/>
        <v>9729.0177662378883</v>
      </c>
      <c r="T319" s="40">
        <f t="shared" si="86"/>
        <v>9701.9823632267835</v>
      </c>
      <c r="U319" s="37">
        <f t="shared" si="87"/>
        <v>18.476295653865364</v>
      </c>
      <c r="V319" s="38">
        <f t="shared" si="80"/>
        <v>319</v>
      </c>
      <c r="W319" s="70"/>
      <c r="X319" s="71"/>
      <c r="Y319" s="71"/>
      <c r="Z319" s="72" t="s">
        <v>65</v>
      </c>
      <c r="AB319" s="56"/>
      <c r="AC319" s="56"/>
      <c r="AD319" s="56"/>
      <c r="AE319" s="56"/>
      <c r="AF319" s="56"/>
      <c r="AG319" s="56"/>
      <c r="AH319" s="56"/>
      <c r="AI319" s="56">
        <v>16</v>
      </c>
      <c r="AJ319" s="56">
        <v>320</v>
      </c>
      <c r="AK319" s="56">
        <v>319</v>
      </c>
      <c r="AL319" s="56">
        <v>2.5</v>
      </c>
      <c r="AM319" s="56" t="s">
        <v>674</v>
      </c>
      <c r="AN319" s="56">
        <v>101.312</v>
      </c>
      <c r="AO319" s="56" t="s">
        <v>675</v>
      </c>
      <c r="AP319" s="56" t="s">
        <v>65</v>
      </c>
      <c r="AQ319" s="56" t="s">
        <v>63</v>
      </c>
    </row>
    <row r="320" spans="1:43" x14ac:dyDescent="0.25">
      <c r="A320" s="8"/>
      <c r="B320" s="8"/>
      <c r="C320" s="8">
        <v>2.5</v>
      </c>
      <c r="D320" s="27"/>
      <c r="E320" s="28">
        <v>350</v>
      </c>
      <c r="F320" s="29" t="s">
        <v>676</v>
      </c>
      <c r="G320" s="10" t="s">
        <v>677</v>
      </c>
      <c r="H320" s="30">
        <f t="shared" si="81"/>
        <v>0</v>
      </c>
      <c r="I320" s="52" t="str">
        <f>[1]!Plus_ang(I319,[1]!Min_ang(F320,F319))</f>
        <v xml:space="preserve"> 63° 59' 53"</v>
      </c>
      <c r="J320" s="10" t="str">
        <f>[1]!Plus_ang([1]!Plus_ang(J319,[1]!Min_ang(F320,F319)),[1]!DestoDeg(H320/3600))</f>
        <v xml:space="preserve"> 63° 59' 53"</v>
      </c>
      <c r="K320" s="31">
        <v>104.509</v>
      </c>
      <c r="L320" s="32">
        <f>[1]!Jarakdatar(K320,G320)</f>
        <v>104.48847510290108</v>
      </c>
      <c r="M320" s="33">
        <f>L320*[1]!dsin(J320)</f>
        <v>93.91206480201194</v>
      </c>
      <c r="N320" s="34">
        <f t="shared" si="82"/>
        <v>0</v>
      </c>
      <c r="O320" s="33">
        <f>L320*[1]!dcos(J320)</f>
        <v>45.807919773247583</v>
      </c>
      <c r="P320" s="34">
        <f t="shared" si="83"/>
        <v>0</v>
      </c>
      <c r="Q320" s="35">
        <f>L320/[1]!dTAN(G320)-C320+$B$312</f>
        <v>-3.3211474284609821</v>
      </c>
      <c r="R320" s="34">
        <f t="shared" si="84"/>
        <v>0</v>
      </c>
      <c r="S320" s="36">
        <f t="shared" si="85"/>
        <v>9737.9131558417248</v>
      </c>
      <c r="T320" s="40">
        <f t="shared" si="86"/>
        <v>9692.7162460961845</v>
      </c>
      <c r="U320" s="37">
        <f t="shared" si="87"/>
        <v>18.176233023400119</v>
      </c>
      <c r="V320" s="38">
        <f t="shared" si="80"/>
        <v>350</v>
      </c>
      <c r="W320" s="70"/>
      <c r="X320" s="71"/>
      <c r="Y320" s="71"/>
      <c r="Z320" s="72" t="s">
        <v>65</v>
      </c>
      <c r="AB320" s="56"/>
      <c r="AC320" s="56"/>
      <c r="AD320" s="56"/>
      <c r="AE320" s="56"/>
      <c r="AF320" s="56"/>
      <c r="AG320" s="56"/>
      <c r="AH320" s="56"/>
      <c r="AI320" s="56">
        <v>18</v>
      </c>
      <c r="AJ320" s="56">
        <v>320</v>
      </c>
      <c r="AK320" s="56">
        <v>350</v>
      </c>
      <c r="AL320" s="56">
        <v>2.5</v>
      </c>
      <c r="AM320" s="56" t="s">
        <v>676</v>
      </c>
      <c r="AN320" s="56">
        <v>104.509</v>
      </c>
      <c r="AO320" s="56" t="s">
        <v>677</v>
      </c>
      <c r="AP320" s="56" t="s">
        <v>65</v>
      </c>
      <c r="AQ320" s="56" t="s">
        <v>63</v>
      </c>
    </row>
    <row r="321" spans="1:43" x14ac:dyDescent="0.25">
      <c r="A321" s="8"/>
      <c r="B321" s="8"/>
      <c r="C321" s="8">
        <v>1.45</v>
      </c>
      <c r="D321" s="27"/>
      <c r="E321" s="28">
        <v>351</v>
      </c>
      <c r="F321" s="29" t="s">
        <v>678</v>
      </c>
      <c r="G321" s="10" t="s">
        <v>679</v>
      </c>
      <c r="H321" s="30">
        <f t="shared" si="81"/>
        <v>0</v>
      </c>
      <c r="I321" s="52" t="str">
        <f>[1]!Plus_ang(I320,[1]!Min_ang(F321,F320))</f>
        <v xml:space="preserve"> 66° 7' 56"</v>
      </c>
      <c r="J321" s="10" t="str">
        <f>[1]!Plus_ang([1]!Plus_ang(J320,[1]!Min_ang(F321,F320)),[1]!DestoDeg(H321/3600))</f>
        <v xml:space="preserve"> 66° 7' 56"</v>
      </c>
      <c r="K321" s="31">
        <v>106.41200000000001</v>
      </c>
      <c r="L321" s="32">
        <f>[1]!Jarakdatar(K321,G321)</f>
        <v>106.41163126891432</v>
      </c>
      <c r="M321" s="33">
        <f>L321*[1]!dsin(J321)</f>
        <v>97.311484752540707</v>
      </c>
      <c r="N321" s="34">
        <f t="shared" si="82"/>
        <v>0</v>
      </c>
      <c r="O321" s="33">
        <f>L321*[1]!dcos(J321)</f>
        <v>43.057057546555846</v>
      </c>
      <c r="P321" s="34">
        <f t="shared" si="83"/>
        <v>0</v>
      </c>
      <c r="Q321" s="35">
        <f>L321/[1]!dTAN(G321)-C321+$B$312</f>
        <v>-0.48013334078155667</v>
      </c>
      <c r="R321" s="34">
        <f t="shared" si="84"/>
        <v>0</v>
      </c>
      <c r="S321" s="36">
        <f t="shared" si="85"/>
        <v>9741.3125757922535</v>
      </c>
      <c r="T321" s="40">
        <f t="shared" si="86"/>
        <v>9689.9653838694921</v>
      </c>
      <c r="U321" s="37">
        <f t="shared" si="87"/>
        <v>21.017247111079545</v>
      </c>
      <c r="V321" s="38">
        <f t="shared" si="80"/>
        <v>351</v>
      </c>
      <c r="W321" s="70"/>
      <c r="X321" s="71"/>
      <c r="Y321" s="71"/>
      <c r="Z321" s="72" t="s">
        <v>64</v>
      </c>
      <c r="AB321" s="56"/>
      <c r="AC321" s="56"/>
      <c r="AD321" s="56"/>
      <c r="AE321" s="56"/>
      <c r="AF321" s="56"/>
      <c r="AG321" s="56"/>
      <c r="AH321" s="56"/>
      <c r="AI321" s="56">
        <v>20</v>
      </c>
      <c r="AJ321" s="56">
        <v>320</v>
      </c>
      <c r="AK321" s="56">
        <v>351</v>
      </c>
      <c r="AL321" s="56">
        <v>1.45</v>
      </c>
      <c r="AM321" s="56" t="s">
        <v>678</v>
      </c>
      <c r="AN321" s="56">
        <v>106.41200000000001</v>
      </c>
      <c r="AO321" s="56" t="s">
        <v>679</v>
      </c>
      <c r="AP321" s="56" t="s">
        <v>64</v>
      </c>
      <c r="AQ321" s="56" t="s">
        <v>63</v>
      </c>
    </row>
    <row r="322" spans="1:43" x14ac:dyDescent="0.25">
      <c r="A322" s="8"/>
      <c r="B322" s="8"/>
      <c r="C322" s="8">
        <v>1.45</v>
      </c>
      <c r="D322" s="27"/>
      <c r="E322" s="28">
        <v>352</v>
      </c>
      <c r="F322" s="29" t="s">
        <v>680</v>
      </c>
      <c r="G322" s="10" t="s">
        <v>681</v>
      </c>
      <c r="H322" s="30">
        <f t="shared" si="81"/>
        <v>0</v>
      </c>
      <c r="I322" s="52" t="str">
        <f>[1]!Plus_ang(I321,[1]!Min_ang(F322,F321))</f>
        <v xml:space="preserve"> 67° 2' 52"</v>
      </c>
      <c r="J322" s="10" t="str">
        <f>[1]!Plus_ang([1]!Plus_ang(J321,[1]!Min_ang(F322,F321)),[1]!DestoDeg(H322/3600))</f>
        <v xml:space="preserve"> 67° 2' 52"</v>
      </c>
      <c r="K322" s="31">
        <v>106.923</v>
      </c>
      <c r="L322" s="32">
        <f>[1]!Jarakdatar(K322,G322)</f>
        <v>106.90836295051415</v>
      </c>
      <c r="M322" s="33">
        <f>L322*[1]!dsin(J322)</f>
        <v>98.444465922177443</v>
      </c>
      <c r="N322" s="34">
        <f t="shared" si="82"/>
        <v>0</v>
      </c>
      <c r="O322" s="33">
        <f>L322*[1]!dcos(J322)</f>
        <v>41.690348979783174</v>
      </c>
      <c r="P322" s="34">
        <f t="shared" si="83"/>
        <v>0</v>
      </c>
      <c r="Q322" s="35">
        <f>L322/[1]!dTAN(G322)-C322+$B$312</f>
        <v>1.5691411026638107</v>
      </c>
      <c r="R322" s="34">
        <f t="shared" si="84"/>
        <v>0</v>
      </c>
      <c r="S322" s="36">
        <f t="shared" si="85"/>
        <v>9742.4455569618895</v>
      </c>
      <c r="T322" s="40">
        <f t="shared" si="86"/>
        <v>9688.5986753027191</v>
      </c>
      <c r="U322" s="37">
        <f t="shared" si="87"/>
        <v>23.066521554524911</v>
      </c>
      <c r="V322" s="38">
        <f t="shared" si="80"/>
        <v>352</v>
      </c>
      <c r="W322" s="70"/>
      <c r="X322" s="71"/>
      <c r="Y322" s="71"/>
      <c r="Z322" s="72" t="s">
        <v>14</v>
      </c>
      <c r="AB322" s="56"/>
      <c r="AC322" s="56"/>
      <c r="AD322" s="56"/>
      <c r="AE322" s="56"/>
      <c r="AF322" s="56"/>
      <c r="AG322" s="56"/>
      <c r="AH322" s="56"/>
      <c r="AI322" s="56">
        <v>22</v>
      </c>
      <c r="AJ322" s="56">
        <v>320</v>
      </c>
      <c r="AK322" s="56">
        <v>352</v>
      </c>
      <c r="AL322" s="56">
        <v>1.45</v>
      </c>
      <c r="AM322" s="56" t="s">
        <v>680</v>
      </c>
      <c r="AN322" s="56">
        <v>106.923</v>
      </c>
      <c r="AO322" s="56" t="s">
        <v>681</v>
      </c>
      <c r="AP322" s="56" t="s">
        <v>14</v>
      </c>
      <c r="AQ322" s="56" t="s">
        <v>63</v>
      </c>
    </row>
    <row r="323" spans="1:43" x14ac:dyDescent="0.25">
      <c r="A323" s="8"/>
      <c r="B323" s="8"/>
      <c r="C323" s="8">
        <v>1.45</v>
      </c>
      <c r="D323" s="27"/>
      <c r="E323" s="28">
        <v>353</v>
      </c>
      <c r="F323" s="29" t="s">
        <v>682</v>
      </c>
      <c r="G323" s="10" t="s">
        <v>683</v>
      </c>
      <c r="H323" s="30">
        <f t="shared" si="81"/>
        <v>0</v>
      </c>
      <c r="I323" s="52" t="str">
        <f>[1]!Plus_ang(I322,[1]!Min_ang(F323,F322))</f>
        <v xml:space="preserve"> 67° 6' 51"</v>
      </c>
      <c r="J323" s="10" t="str">
        <f>[1]!Plus_ang([1]!Plus_ang(J322,[1]!Min_ang(F323,F322)),[1]!DestoDeg(H323/3600))</f>
        <v xml:space="preserve"> 67° 6' 51"</v>
      </c>
      <c r="K323" s="31">
        <v>107.233</v>
      </c>
      <c r="L323" s="32">
        <f>[1]!Jarakdatar(K323,G323)</f>
        <v>107.21724341593558</v>
      </c>
      <c r="M323" s="33">
        <f>L323*[1]!dsin(J323)</f>
        <v>98.77727251536939</v>
      </c>
      <c r="N323" s="34">
        <f t="shared" si="82"/>
        <v>0</v>
      </c>
      <c r="O323" s="33">
        <f>L323*[1]!dcos(J323)</f>
        <v>41.696375383676141</v>
      </c>
      <c r="P323" s="34">
        <f t="shared" si="83"/>
        <v>0</v>
      </c>
      <c r="Q323" s="35">
        <f>L323/[1]!dTAN(G323)-C323+$B$312</f>
        <v>1.63820654117522</v>
      </c>
      <c r="R323" s="34">
        <f t="shared" si="84"/>
        <v>0</v>
      </c>
      <c r="S323" s="36">
        <f t="shared" si="85"/>
        <v>9742.7783635550823</v>
      </c>
      <c r="T323" s="40">
        <f t="shared" si="86"/>
        <v>9688.6047017066121</v>
      </c>
      <c r="U323" s="37">
        <f t="shared" si="87"/>
        <v>23.13558699303632</v>
      </c>
      <c r="V323" s="38">
        <f t="shared" si="80"/>
        <v>353</v>
      </c>
      <c r="W323" s="70"/>
      <c r="X323" s="71"/>
      <c r="Y323" s="71"/>
      <c r="Z323" s="72" t="s">
        <v>3</v>
      </c>
      <c r="AB323" s="56"/>
      <c r="AC323" s="56"/>
      <c r="AD323" s="56"/>
      <c r="AE323" s="56"/>
      <c r="AF323" s="56"/>
      <c r="AG323" s="56"/>
      <c r="AH323" s="56"/>
      <c r="AI323" s="56">
        <v>24</v>
      </c>
      <c r="AJ323" s="56">
        <v>320</v>
      </c>
      <c r="AK323" s="56">
        <v>353</v>
      </c>
      <c r="AL323" s="56">
        <v>1.45</v>
      </c>
      <c r="AM323" s="56" t="s">
        <v>682</v>
      </c>
      <c r="AN323" s="56">
        <v>107.233</v>
      </c>
      <c r="AO323" s="56" t="s">
        <v>683</v>
      </c>
      <c r="AP323" s="56" t="s">
        <v>3</v>
      </c>
      <c r="AQ323" s="56" t="s">
        <v>63</v>
      </c>
    </row>
    <row r="324" spans="1:43" x14ac:dyDescent="0.25">
      <c r="A324" s="8"/>
      <c r="B324" s="8"/>
      <c r="C324" s="8">
        <v>1.45</v>
      </c>
      <c r="D324" s="27"/>
      <c r="E324" s="28">
        <v>354</v>
      </c>
      <c r="F324" s="29" t="s">
        <v>684</v>
      </c>
      <c r="G324" s="10" t="s">
        <v>685</v>
      </c>
      <c r="H324" s="30">
        <f t="shared" si="81"/>
        <v>0</v>
      </c>
      <c r="I324" s="52" t="str">
        <f>[1]!Plus_ang(I323,[1]!Min_ang(F324,F323))</f>
        <v xml:space="preserve"> 68° 0' 50"</v>
      </c>
      <c r="J324" s="10" t="str">
        <f>[1]!Plus_ang([1]!Plus_ang(J323,[1]!Min_ang(F324,F323)),[1]!DestoDeg(H324/3600))</f>
        <v xml:space="preserve"> 68° 0' 50"</v>
      </c>
      <c r="K324" s="31">
        <v>107.39100000000001</v>
      </c>
      <c r="L324" s="32">
        <f>[1]!Jarakdatar(K324,G324)</f>
        <v>107.37679428496786</v>
      </c>
      <c r="M324" s="33">
        <f>L324*[1]!dsin(J324)</f>
        <v>99.567777677113213</v>
      </c>
      <c r="N324" s="34">
        <f t="shared" si="82"/>
        <v>0</v>
      </c>
      <c r="O324" s="33">
        <f>L324*[1]!dcos(J324)</f>
        <v>40.199920389936885</v>
      </c>
      <c r="P324" s="34">
        <f t="shared" si="83"/>
        <v>0</v>
      </c>
      <c r="Q324" s="35">
        <f>L324/[1]!dTAN(G324)-C324+$B$312</f>
        <v>1.5466911815467335</v>
      </c>
      <c r="R324" s="34">
        <f t="shared" si="84"/>
        <v>0</v>
      </c>
      <c r="S324" s="36">
        <f t="shared" si="85"/>
        <v>9743.5688687168258</v>
      </c>
      <c r="T324" s="40">
        <f t="shared" si="86"/>
        <v>9687.1082467128745</v>
      </c>
      <c r="U324" s="37">
        <f t="shared" si="87"/>
        <v>23.044071633407835</v>
      </c>
      <c r="V324" s="38">
        <f t="shared" si="80"/>
        <v>354</v>
      </c>
      <c r="W324" s="70"/>
      <c r="X324" s="71"/>
      <c r="Y324" s="71"/>
      <c r="Z324" s="72" t="s">
        <v>66</v>
      </c>
      <c r="AB324" s="56"/>
      <c r="AC324" s="56"/>
      <c r="AD324" s="56"/>
      <c r="AE324" s="56"/>
      <c r="AF324" s="56"/>
      <c r="AG324" s="56"/>
      <c r="AH324" s="56"/>
      <c r="AI324" s="56">
        <v>26</v>
      </c>
      <c r="AJ324" s="56">
        <v>320</v>
      </c>
      <c r="AK324" s="56">
        <v>354</v>
      </c>
      <c r="AL324" s="56">
        <v>1.45</v>
      </c>
      <c r="AM324" s="56" t="s">
        <v>684</v>
      </c>
      <c r="AN324" s="56">
        <v>107.39100000000001</v>
      </c>
      <c r="AO324" s="56" t="s">
        <v>685</v>
      </c>
      <c r="AP324" s="56" t="s">
        <v>66</v>
      </c>
      <c r="AQ324" s="56" t="s">
        <v>63</v>
      </c>
    </row>
    <row r="325" spans="1:43" x14ac:dyDescent="0.25">
      <c r="A325" s="8"/>
      <c r="B325" s="8"/>
      <c r="C325" s="8">
        <v>1.45</v>
      </c>
      <c r="D325" s="27"/>
      <c r="E325" s="28">
        <v>355</v>
      </c>
      <c r="F325" s="29" t="s">
        <v>686</v>
      </c>
      <c r="G325" s="10" t="s">
        <v>687</v>
      </c>
      <c r="H325" s="30">
        <f t="shared" si="81"/>
        <v>0</v>
      </c>
      <c r="I325" s="52" t="str">
        <f>[1]!Plus_ang(I324,[1]!Min_ang(F325,F324))</f>
        <v xml:space="preserve"> 70° 5' 58"</v>
      </c>
      <c r="J325" s="10" t="str">
        <f>[1]!Plus_ang([1]!Plus_ang(J324,[1]!Min_ang(F325,F324)),[1]!DestoDeg(H325/3600))</f>
        <v xml:space="preserve"> 70° 5' 58"</v>
      </c>
      <c r="K325" s="31">
        <v>109.104</v>
      </c>
      <c r="L325" s="32">
        <f>[1]!Jarakdatar(K325,G325)</f>
        <v>109.09008771804497</v>
      </c>
      <c r="M325" s="33">
        <f>L325*[1]!dsin(J325)</f>
        <v>102.57575420860942</v>
      </c>
      <c r="N325" s="34">
        <f t="shared" si="82"/>
        <v>0</v>
      </c>
      <c r="O325" s="33">
        <f>L325*[1]!dcos(J325)</f>
        <v>37.13302959449571</v>
      </c>
      <c r="P325" s="34">
        <f t="shared" si="83"/>
        <v>0</v>
      </c>
      <c r="Q325" s="35">
        <f>L325/[1]!dTAN(G325)-C325+$B$312</f>
        <v>1.5422909255495683</v>
      </c>
      <c r="R325" s="34">
        <f t="shared" si="84"/>
        <v>0</v>
      </c>
      <c r="S325" s="36">
        <f t="shared" si="85"/>
        <v>9746.5768452483226</v>
      </c>
      <c r="T325" s="40">
        <f t="shared" si="86"/>
        <v>9684.0413559174322</v>
      </c>
      <c r="U325" s="37">
        <f t="shared" si="87"/>
        <v>23.03967137741067</v>
      </c>
      <c r="V325" s="38">
        <f t="shared" si="80"/>
        <v>355</v>
      </c>
      <c r="W325" s="70"/>
      <c r="X325" s="71"/>
      <c r="Y325" s="71"/>
      <c r="Z325" s="72" t="s">
        <v>66</v>
      </c>
      <c r="AB325" s="56"/>
      <c r="AC325" s="56"/>
      <c r="AD325" s="56"/>
      <c r="AE325" s="56"/>
      <c r="AF325" s="56"/>
      <c r="AG325" s="56"/>
      <c r="AH325" s="56"/>
      <c r="AI325" s="56">
        <v>28</v>
      </c>
      <c r="AJ325" s="56">
        <v>320</v>
      </c>
      <c r="AK325" s="56">
        <v>355</v>
      </c>
      <c r="AL325" s="56">
        <v>1.45</v>
      </c>
      <c r="AM325" s="56" t="s">
        <v>686</v>
      </c>
      <c r="AN325" s="56">
        <v>109.104</v>
      </c>
      <c r="AO325" s="56" t="s">
        <v>687</v>
      </c>
      <c r="AP325" s="56" t="s">
        <v>66</v>
      </c>
      <c r="AQ325" s="56" t="s">
        <v>63</v>
      </c>
    </row>
    <row r="326" spans="1:43" x14ac:dyDescent="0.25">
      <c r="A326" s="8"/>
      <c r="B326" s="8"/>
      <c r="C326" s="8">
        <v>1.45</v>
      </c>
      <c r="D326" s="27"/>
      <c r="E326" s="28">
        <v>356</v>
      </c>
      <c r="F326" s="29" t="s">
        <v>688</v>
      </c>
      <c r="G326" s="10" t="s">
        <v>689</v>
      </c>
      <c r="H326" s="30">
        <f t="shared" si="81"/>
        <v>0</v>
      </c>
      <c r="I326" s="52" t="str">
        <f>[1]!Plus_ang(I325,[1]!Min_ang(F326,F325))</f>
        <v xml:space="preserve"> 70° 0' 50"</v>
      </c>
      <c r="J326" s="10" t="str">
        <f>[1]!Plus_ang([1]!Plus_ang(J325,[1]!Min_ang(F326,F325)),[1]!DestoDeg(H326/3600))</f>
        <v xml:space="preserve"> 70° 0' 50"</v>
      </c>
      <c r="K326" s="31">
        <v>109.123</v>
      </c>
      <c r="L326" s="32">
        <f>[1]!Jarakdatar(K326,G326)</f>
        <v>109.10961245108108</v>
      </c>
      <c r="M326" s="33">
        <f>L326*[1]!dsin(J326)</f>
        <v>102.53854072681841</v>
      </c>
      <c r="N326" s="34">
        <f t="shared" si="82"/>
        <v>0</v>
      </c>
      <c r="O326" s="33">
        <f>L326*[1]!dcos(J326)</f>
        <v>37.292830340961082</v>
      </c>
      <c r="P326" s="34">
        <f t="shared" si="83"/>
        <v>0</v>
      </c>
      <c r="Q326" s="35">
        <f>L326/[1]!dTAN(G326)-C326+$B$312</f>
        <v>1.5092687836893031</v>
      </c>
      <c r="R326" s="34">
        <f t="shared" si="84"/>
        <v>0</v>
      </c>
      <c r="S326" s="36">
        <f t="shared" si="85"/>
        <v>9746.5396317665309</v>
      </c>
      <c r="T326" s="40">
        <f t="shared" si="86"/>
        <v>9684.2011566638976</v>
      </c>
      <c r="U326" s="37">
        <f t="shared" si="87"/>
        <v>23.006649235550405</v>
      </c>
      <c r="V326" s="38">
        <f t="shared" si="80"/>
        <v>356</v>
      </c>
      <c r="W326" s="70"/>
      <c r="X326" s="71"/>
      <c r="Y326" s="71"/>
      <c r="Z326" s="72" t="s">
        <v>14</v>
      </c>
      <c r="AB326" s="56"/>
      <c r="AC326" s="56"/>
      <c r="AD326" s="56"/>
      <c r="AE326" s="56"/>
      <c r="AF326" s="56"/>
      <c r="AG326" s="56"/>
      <c r="AH326" s="56"/>
      <c r="AI326" s="56">
        <v>30</v>
      </c>
      <c r="AJ326" s="56">
        <v>320</v>
      </c>
      <c r="AK326" s="56">
        <v>356</v>
      </c>
      <c r="AL326" s="56">
        <v>1.45</v>
      </c>
      <c r="AM326" s="56" t="s">
        <v>688</v>
      </c>
      <c r="AN326" s="56">
        <v>109.123</v>
      </c>
      <c r="AO326" s="56" t="s">
        <v>689</v>
      </c>
      <c r="AP326" s="56" t="s">
        <v>14</v>
      </c>
      <c r="AQ326" s="56" t="s">
        <v>63</v>
      </c>
    </row>
    <row r="327" spans="1:43" x14ac:dyDescent="0.25">
      <c r="A327" s="8"/>
      <c r="B327" s="8"/>
      <c r="C327" s="8">
        <v>1.45</v>
      </c>
      <c r="D327" s="27"/>
      <c r="E327" s="28">
        <v>357</v>
      </c>
      <c r="F327" s="29" t="s">
        <v>690</v>
      </c>
      <c r="G327" s="10" t="s">
        <v>691</v>
      </c>
      <c r="H327" s="30">
        <f t="shared" si="81"/>
        <v>0</v>
      </c>
      <c r="I327" s="52" t="str">
        <f>[1]!Plus_ang(I326,[1]!Min_ang(F327,F326))</f>
        <v xml:space="preserve"> 70° 4' 56"</v>
      </c>
      <c r="J327" s="10" t="str">
        <f>[1]!Plus_ang([1]!Plus_ang(J326,[1]!Min_ang(F327,F326)),[1]!DestoDeg(H327/3600))</f>
        <v xml:space="preserve"> 70° 4' 56"</v>
      </c>
      <c r="K327" s="31">
        <v>109.205</v>
      </c>
      <c r="L327" s="32">
        <f>[1]!Jarakdatar(K327,G327)</f>
        <v>109.19153596497084</v>
      </c>
      <c r="M327" s="33">
        <f>L327*[1]!dsin(J327)</f>
        <v>102.65996782561083</v>
      </c>
      <c r="N327" s="34">
        <f t="shared" si="82"/>
        <v>0</v>
      </c>
      <c r="O327" s="33">
        <f>L327*[1]!dcos(J327)</f>
        <v>37.198421101359514</v>
      </c>
      <c r="P327" s="34">
        <f t="shared" si="83"/>
        <v>0</v>
      </c>
      <c r="Q327" s="35">
        <f>L327/[1]!dTAN(G327)-C327+$B$312</f>
        <v>1.5147882115525542</v>
      </c>
      <c r="R327" s="34">
        <f t="shared" si="84"/>
        <v>0</v>
      </c>
      <c r="S327" s="36">
        <f t="shared" si="85"/>
        <v>9746.6610588653239</v>
      </c>
      <c r="T327" s="40">
        <f t="shared" si="86"/>
        <v>9684.1067474242955</v>
      </c>
      <c r="U327" s="37">
        <f t="shared" si="87"/>
        <v>23.012168663413654</v>
      </c>
      <c r="V327" s="38">
        <f t="shared" si="80"/>
        <v>357</v>
      </c>
      <c r="W327" s="70"/>
      <c r="X327" s="71"/>
      <c r="Y327" s="71"/>
      <c r="Z327" s="72" t="s">
        <v>14</v>
      </c>
      <c r="AB327" s="56"/>
      <c r="AC327" s="56"/>
      <c r="AD327" s="56"/>
      <c r="AE327" s="56"/>
      <c r="AF327" s="56"/>
      <c r="AG327" s="56"/>
      <c r="AH327" s="56"/>
      <c r="AI327" s="56">
        <v>32</v>
      </c>
      <c r="AJ327" s="56">
        <v>320</v>
      </c>
      <c r="AK327" s="56">
        <v>357</v>
      </c>
      <c r="AL327" s="56">
        <v>1.45</v>
      </c>
      <c r="AM327" s="56" t="s">
        <v>690</v>
      </c>
      <c r="AN327" s="56">
        <v>109.205</v>
      </c>
      <c r="AO327" s="56" t="s">
        <v>691</v>
      </c>
      <c r="AP327" s="56" t="s">
        <v>14</v>
      </c>
      <c r="AQ327" s="56" t="s">
        <v>63</v>
      </c>
    </row>
    <row r="328" spans="1:43" x14ac:dyDescent="0.25">
      <c r="A328" s="8"/>
      <c r="B328" s="8"/>
      <c r="C328" s="8">
        <v>1.45</v>
      </c>
      <c r="D328" s="27"/>
      <c r="E328" s="28">
        <v>358</v>
      </c>
      <c r="F328" s="29" t="s">
        <v>692</v>
      </c>
      <c r="G328" s="10" t="s">
        <v>693</v>
      </c>
      <c r="H328" s="30">
        <f t="shared" si="81"/>
        <v>0</v>
      </c>
      <c r="I328" s="52" t="str">
        <f>[1]!Plus_ang(I327,[1]!Min_ang(F328,F327))</f>
        <v xml:space="preserve"> 69° 59' 57"</v>
      </c>
      <c r="J328" s="10" t="str">
        <f>[1]!Plus_ang([1]!Plus_ang(J327,[1]!Min_ang(F328,F327)),[1]!DestoDeg(H328/3600))</f>
        <v xml:space="preserve"> 69° 59' 57"</v>
      </c>
      <c r="K328" s="31">
        <v>109.28100000000001</v>
      </c>
      <c r="L328" s="32">
        <f>[1]!Jarakdatar(K328,G328)</f>
        <v>109.2808781667721</v>
      </c>
      <c r="M328" s="33">
        <f>L328*[1]!dsin(J328)</f>
        <v>102.68989117976872</v>
      </c>
      <c r="N328" s="34">
        <f t="shared" si="82"/>
        <v>0</v>
      </c>
      <c r="O328" s="33">
        <f>L328*[1]!dcos(J328)</f>
        <v>37.377755181232388</v>
      </c>
      <c r="P328" s="34">
        <f t="shared" si="83"/>
        <v>0</v>
      </c>
      <c r="Q328" s="35">
        <f>L328/[1]!dTAN(G328)-C328+$B$312</f>
        <v>-0.36318118492530838</v>
      </c>
      <c r="R328" s="34">
        <f t="shared" si="84"/>
        <v>0</v>
      </c>
      <c r="S328" s="36">
        <f t="shared" si="85"/>
        <v>9746.6909822194812</v>
      </c>
      <c r="T328" s="40">
        <f t="shared" si="86"/>
        <v>9684.2860815041695</v>
      </c>
      <c r="U328" s="37">
        <f t="shared" si="87"/>
        <v>21.134199266935791</v>
      </c>
      <c r="V328" s="38">
        <f t="shared" si="80"/>
        <v>358</v>
      </c>
      <c r="W328" s="70"/>
      <c r="X328" s="71"/>
      <c r="Y328" s="71"/>
      <c r="Z328" s="72" t="s">
        <v>14</v>
      </c>
      <c r="AB328" s="56"/>
      <c r="AC328" s="56"/>
      <c r="AD328" s="56"/>
      <c r="AE328" s="56"/>
      <c r="AF328" s="56"/>
      <c r="AG328" s="56"/>
      <c r="AH328" s="56"/>
      <c r="AI328" s="56">
        <v>34</v>
      </c>
      <c r="AJ328" s="56">
        <v>320</v>
      </c>
      <c r="AK328" s="56">
        <v>358</v>
      </c>
      <c r="AL328" s="56">
        <v>1.45</v>
      </c>
      <c r="AM328" s="56" t="s">
        <v>692</v>
      </c>
      <c r="AN328" s="56">
        <v>109.28100000000001</v>
      </c>
      <c r="AO328" s="56" t="s">
        <v>693</v>
      </c>
      <c r="AP328" s="56" t="s">
        <v>14</v>
      </c>
      <c r="AQ328" s="56" t="s">
        <v>63</v>
      </c>
    </row>
    <row r="329" spans="1:43" x14ac:dyDescent="0.25">
      <c r="A329" s="8"/>
      <c r="B329" s="8"/>
      <c r="C329" s="8">
        <v>1.45</v>
      </c>
      <c r="D329" s="27"/>
      <c r="E329" s="28">
        <v>359</v>
      </c>
      <c r="F329" s="29" t="s">
        <v>694</v>
      </c>
      <c r="G329" s="10" t="s">
        <v>695</v>
      </c>
      <c r="H329" s="30">
        <f t="shared" si="81"/>
        <v>0</v>
      </c>
      <c r="I329" s="52" t="str">
        <f>[1]!Plus_ang(I328,[1]!Min_ang(F329,F328))</f>
        <v xml:space="preserve"> 70° 0' 49"</v>
      </c>
      <c r="J329" s="10" t="str">
        <f>[1]!Plus_ang([1]!Plus_ang(J328,[1]!Min_ang(F329,F328)),[1]!DestoDeg(H329/3600))</f>
        <v xml:space="preserve"> 70° 0' 49"</v>
      </c>
      <c r="K329" s="31">
        <v>109.28400000000001</v>
      </c>
      <c r="L329" s="32">
        <f>[1]!Jarakdatar(K329,G329)</f>
        <v>109.28398056938573</v>
      </c>
      <c r="M329" s="33">
        <f>L329*[1]!dsin(J329)</f>
        <v>102.70222652170297</v>
      </c>
      <c r="N329" s="34">
        <f t="shared" si="82"/>
        <v>0</v>
      </c>
      <c r="O329" s="33">
        <f>L329*[1]!dcos(J329)</f>
        <v>37.352925943956379</v>
      </c>
      <c r="P329" s="34">
        <f t="shared" si="83"/>
        <v>0</v>
      </c>
      <c r="Q329" s="35">
        <f>L329/[1]!dTAN(G329)-C329+$B$312</f>
        <v>-0.2651683214791285</v>
      </c>
      <c r="R329" s="34">
        <f t="shared" si="84"/>
        <v>0</v>
      </c>
      <c r="S329" s="36">
        <f t="shared" si="85"/>
        <v>9746.703317561416</v>
      </c>
      <c r="T329" s="40">
        <f t="shared" si="86"/>
        <v>9684.2612522668933</v>
      </c>
      <c r="U329" s="37">
        <f t="shared" si="87"/>
        <v>21.232212130381974</v>
      </c>
      <c r="V329" s="38">
        <f t="shared" si="80"/>
        <v>359</v>
      </c>
      <c r="W329" s="70"/>
      <c r="X329" s="71"/>
      <c r="Y329" s="71"/>
      <c r="Z329" s="72" t="s">
        <v>15</v>
      </c>
      <c r="AB329" s="56"/>
      <c r="AC329" s="56"/>
      <c r="AD329" s="56"/>
      <c r="AE329" s="56"/>
      <c r="AF329" s="56"/>
      <c r="AG329" s="56"/>
      <c r="AH329" s="56"/>
      <c r="AI329" s="56">
        <v>36</v>
      </c>
      <c r="AJ329" s="56">
        <v>320</v>
      </c>
      <c r="AK329" s="56">
        <v>359</v>
      </c>
      <c r="AL329" s="56">
        <v>1.45</v>
      </c>
      <c r="AM329" s="56" t="s">
        <v>694</v>
      </c>
      <c r="AN329" s="56">
        <v>109.28400000000001</v>
      </c>
      <c r="AO329" s="56" t="s">
        <v>695</v>
      </c>
      <c r="AP329" s="56" t="s">
        <v>15</v>
      </c>
      <c r="AQ329" s="56" t="s">
        <v>63</v>
      </c>
    </row>
    <row r="330" spans="1:43" x14ac:dyDescent="0.25">
      <c r="A330" s="8"/>
      <c r="B330" s="8"/>
      <c r="C330" s="8">
        <v>1.45</v>
      </c>
      <c r="D330" s="27"/>
      <c r="E330" s="28">
        <v>360</v>
      </c>
      <c r="F330" s="29" t="s">
        <v>696</v>
      </c>
      <c r="G330" s="10" t="s">
        <v>697</v>
      </c>
      <c r="H330" s="30">
        <f t="shared" si="81"/>
        <v>0</v>
      </c>
      <c r="I330" s="52" t="str">
        <f>[1]!Plus_ang(I329,[1]!Min_ang(F330,F329))</f>
        <v xml:space="preserve"> 70° 6' 58"</v>
      </c>
      <c r="J330" s="10" t="str">
        <f>[1]!Plus_ang([1]!Plus_ang(J329,[1]!Min_ang(F330,F329)),[1]!DestoDeg(H330/3600))</f>
        <v xml:space="preserve"> 70° 6' 58"</v>
      </c>
      <c r="K330" s="31">
        <v>109.419</v>
      </c>
      <c r="L330" s="32">
        <f>[1]!Jarakdatar(K330,G330)</f>
        <v>109.41895646404289</v>
      </c>
      <c r="M330" s="33">
        <f>L330*[1]!dsin(J330)</f>
        <v>102.89581427080697</v>
      </c>
      <c r="N330" s="34">
        <f t="shared" si="82"/>
        <v>0</v>
      </c>
      <c r="O330" s="33">
        <f>L330*[1]!dcos(J330)</f>
        <v>37.215043184547184</v>
      </c>
      <c r="P330" s="34">
        <f t="shared" si="83"/>
        <v>0</v>
      </c>
      <c r="Q330" s="35">
        <f>L330/[1]!dTAN(G330)-C330+$B$312</f>
        <v>-0.29760799089339351</v>
      </c>
      <c r="R330" s="34">
        <f t="shared" si="84"/>
        <v>0</v>
      </c>
      <c r="S330" s="36">
        <f t="shared" si="85"/>
        <v>9746.8969053105193</v>
      </c>
      <c r="T330" s="40">
        <f t="shared" si="86"/>
        <v>9684.1233695074843</v>
      </c>
      <c r="U330" s="37">
        <f t="shared" si="87"/>
        <v>21.199772460967708</v>
      </c>
      <c r="V330" s="38">
        <f t="shared" si="80"/>
        <v>360</v>
      </c>
      <c r="W330" s="70"/>
      <c r="X330" s="71"/>
      <c r="Y330" s="71"/>
      <c r="Z330" s="72" t="s">
        <v>15</v>
      </c>
      <c r="AB330" s="56"/>
      <c r="AC330" s="56"/>
      <c r="AD330" s="56"/>
      <c r="AE330" s="56"/>
      <c r="AF330" s="56"/>
      <c r="AG330" s="56"/>
      <c r="AH330" s="56"/>
      <c r="AI330" s="56">
        <v>38</v>
      </c>
      <c r="AJ330" s="56">
        <v>320</v>
      </c>
      <c r="AK330" s="56">
        <v>360</v>
      </c>
      <c r="AL330" s="56">
        <v>1.45</v>
      </c>
      <c r="AM330" s="56" t="s">
        <v>696</v>
      </c>
      <c r="AN330" s="56">
        <v>109.419</v>
      </c>
      <c r="AO330" s="56" t="s">
        <v>697</v>
      </c>
      <c r="AP330" s="56" t="s">
        <v>15</v>
      </c>
      <c r="AQ330" s="56" t="s">
        <v>63</v>
      </c>
    </row>
    <row r="331" spans="1:43" x14ac:dyDescent="0.25">
      <c r="A331" s="8"/>
      <c r="B331" s="8"/>
      <c r="C331" s="8">
        <v>1.45</v>
      </c>
      <c r="D331" s="27"/>
      <c r="E331" s="28">
        <v>361</v>
      </c>
      <c r="F331" s="29" t="s">
        <v>698</v>
      </c>
      <c r="G331" s="10" t="s">
        <v>699</v>
      </c>
      <c r="H331" s="30">
        <f t="shared" si="81"/>
        <v>0</v>
      </c>
      <c r="I331" s="52" t="str">
        <f>[1]!Plus_ang(I330,[1]!Min_ang(F331,F330))</f>
        <v xml:space="preserve"> 70° 4' 54"</v>
      </c>
      <c r="J331" s="10" t="str">
        <f>[1]!Plus_ang([1]!Plus_ang(J330,[1]!Min_ang(F331,F330)),[1]!DestoDeg(H331/3600))</f>
        <v xml:space="preserve"> 70° 4' 54"</v>
      </c>
      <c r="K331" s="31">
        <v>109.547</v>
      </c>
      <c r="L331" s="32">
        <f>[1]!Jarakdatar(K331,G331)</f>
        <v>109.53500042384069</v>
      </c>
      <c r="M331" s="33">
        <f>L331*[1]!dsin(J331)</f>
        <v>102.98252526294513</v>
      </c>
      <c r="N331" s="34">
        <f t="shared" si="82"/>
        <v>0</v>
      </c>
      <c r="O331" s="33">
        <f>L331*[1]!dcos(J331)</f>
        <v>37.316428129145045</v>
      </c>
      <c r="P331" s="34">
        <f t="shared" si="83"/>
        <v>0</v>
      </c>
      <c r="Q331" s="35">
        <f>L331/[1]!dTAN(G331)-C331+$B$312</f>
        <v>1.4213855646392433</v>
      </c>
      <c r="R331" s="34">
        <f t="shared" si="84"/>
        <v>0</v>
      </c>
      <c r="S331" s="36">
        <f t="shared" si="85"/>
        <v>9746.9836163026575</v>
      </c>
      <c r="T331" s="40">
        <f t="shared" si="86"/>
        <v>9684.2247544520815</v>
      </c>
      <c r="U331" s="37">
        <f t="shared" si="87"/>
        <v>22.918766016500346</v>
      </c>
      <c r="V331" s="38">
        <f t="shared" si="80"/>
        <v>361</v>
      </c>
      <c r="W331" s="70"/>
      <c r="X331" s="71"/>
      <c r="Y331" s="71"/>
      <c r="Z331" s="72" t="s">
        <v>14</v>
      </c>
      <c r="AB331" s="56"/>
      <c r="AC331" s="56"/>
      <c r="AD331" s="56"/>
      <c r="AE331" s="56"/>
      <c r="AF331" s="56"/>
      <c r="AG331" s="56"/>
      <c r="AH331" s="56"/>
      <c r="AI331" s="56">
        <v>40</v>
      </c>
      <c r="AJ331" s="56">
        <v>320</v>
      </c>
      <c r="AK331" s="56">
        <v>361</v>
      </c>
      <c r="AL331" s="56">
        <v>1.45</v>
      </c>
      <c r="AM331" s="56" t="s">
        <v>698</v>
      </c>
      <c r="AN331" s="56">
        <v>109.547</v>
      </c>
      <c r="AO331" s="56" t="s">
        <v>699</v>
      </c>
      <c r="AP331" s="56" t="s">
        <v>14</v>
      </c>
      <c r="AQ331" s="56" t="s">
        <v>63</v>
      </c>
    </row>
    <row r="332" spans="1:43" x14ac:dyDescent="0.25">
      <c r="A332" s="8"/>
      <c r="B332" s="8"/>
      <c r="C332" s="8">
        <v>1.45</v>
      </c>
      <c r="D332" s="27"/>
      <c r="E332" s="28">
        <v>362</v>
      </c>
      <c r="F332" s="29" t="s">
        <v>700</v>
      </c>
      <c r="G332" s="10" t="s">
        <v>701</v>
      </c>
      <c r="H332" s="30">
        <f t="shared" si="81"/>
        <v>0</v>
      </c>
      <c r="I332" s="52" t="str">
        <f>[1]!Plus_ang(I331,[1]!Min_ang(F332,F331))</f>
        <v xml:space="preserve"> 72° 6' 51"</v>
      </c>
      <c r="J332" s="10" t="str">
        <f>[1]!Plus_ang([1]!Plus_ang(J331,[1]!Min_ang(F332,F331)),[1]!DestoDeg(H332/3600))</f>
        <v xml:space="preserve"> 72° 6' 51"</v>
      </c>
      <c r="K332" s="31">
        <v>111.21899999999999</v>
      </c>
      <c r="L332" s="32">
        <f>[1]!Jarakdatar(K332,G332)</f>
        <v>111.15474000117719</v>
      </c>
      <c r="M332" s="33">
        <f>L332*[1]!dsin(J332)</f>
        <v>105.78267257133676</v>
      </c>
      <c r="N332" s="34">
        <f t="shared" si="82"/>
        <v>0</v>
      </c>
      <c r="O332" s="33">
        <f>L332*[1]!dcos(J332)</f>
        <v>34.137990690646348</v>
      </c>
      <c r="P332" s="34">
        <f t="shared" si="83"/>
        <v>0</v>
      </c>
      <c r="Q332" s="35">
        <f>L332/[1]!dTAN(G332)-C332+$B$312</f>
        <v>3.5801767512510478</v>
      </c>
      <c r="R332" s="34">
        <f t="shared" si="84"/>
        <v>0</v>
      </c>
      <c r="S332" s="36">
        <f t="shared" si="85"/>
        <v>9749.7837636110489</v>
      </c>
      <c r="T332" s="40">
        <f t="shared" si="86"/>
        <v>9681.0463170135827</v>
      </c>
      <c r="U332" s="37">
        <f t="shared" si="87"/>
        <v>25.07755720311215</v>
      </c>
      <c r="V332" s="38">
        <f t="shared" si="80"/>
        <v>362</v>
      </c>
      <c r="W332" s="70"/>
      <c r="X332" s="71"/>
      <c r="Y332" s="71"/>
      <c r="Z332" s="72" t="s">
        <v>3</v>
      </c>
      <c r="AB332" s="56"/>
      <c r="AC332" s="56"/>
      <c r="AD332" s="56"/>
      <c r="AE332" s="56"/>
      <c r="AF332" s="56"/>
      <c r="AG332" s="56"/>
      <c r="AH332" s="56"/>
      <c r="AI332" s="56">
        <v>42</v>
      </c>
      <c r="AJ332" s="56">
        <v>320</v>
      </c>
      <c r="AK332" s="56">
        <v>362</v>
      </c>
      <c r="AL332" s="56">
        <v>1.45</v>
      </c>
      <c r="AM332" s="56" t="s">
        <v>700</v>
      </c>
      <c r="AN332" s="56">
        <v>111.21899999999999</v>
      </c>
      <c r="AO332" s="56" t="s">
        <v>701</v>
      </c>
      <c r="AP332" s="56" t="s">
        <v>3</v>
      </c>
      <c r="AQ332" s="56" t="s">
        <v>63</v>
      </c>
    </row>
    <row r="333" spans="1:43" x14ac:dyDescent="0.25">
      <c r="A333" s="8"/>
      <c r="B333" s="8"/>
      <c r="C333" s="8">
        <v>1.45</v>
      </c>
      <c r="D333" s="27"/>
      <c r="E333" s="28">
        <v>363</v>
      </c>
      <c r="F333" s="29" t="s">
        <v>702</v>
      </c>
      <c r="G333" s="10" t="s">
        <v>703</v>
      </c>
      <c r="H333" s="30">
        <f t="shared" si="81"/>
        <v>0</v>
      </c>
      <c r="I333" s="52" t="str">
        <f>[1]!Plus_ang(I332,[1]!Min_ang(F333,F332))</f>
        <v xml:space="preserve"> 74° 7' 51"</v>
      </c>
      <c r="J333" s="10" t="str">
        <f>[1]!Plus_ang([1]!Plus_ang(J332,[1]!Min_ang(F333,F332)),[1]!DestoDeg(H333/3600))</f>
        <v xml:space="preserve"> 74° 7' 51"</v>
      </c>
      <c r="K333" s="31">
        <v>112.911</v>
      </c>
      <c r="L333" s="32">
        <f>[1]!Jarakdatar(K333,G333)</f>
        <v>112.76157044468027</v>
      </c>
      <c r="M333" s="33">
        <f>L333*[1]!dsin(J333)</f>
        <v>108.46406908030977</v>
      </c>
      <c r="N333" s="34">
        <f t="shared" si="82"/>
        <v>0</v>
      </c>
      <c r="O333" s="33">
        <f>L333*[1]!dcos(J333)</f>
        <v>30.83370700535994</v>
      </c>
      <c r="P333" s="34">
        <f t="shared" si="83"/>
        <v>0</v>
      </c>
      <c r="Q333" s="35">
        <f>L333/[1]!dTAN(G333)-C333+$B$312</f>
        <v>5.6070777375036336</v>
      </c>
      <c r="R333" s="34">
        <f t="shared" si="84"/>
        <v>0</v>
      </c>
      <c r="S333" s="36">
        <f t="shared" si="85"/>
        <v>9752.4651601200221</v>
      </c>
      <c r="T333" s="40">
        <f t="shared" si="86"/>
        <v>9677.7420333282971</v>
      </c>
      <c r="U333" s="37">
        <f t="shared" si="87"/>
        <v>27.104458189364735</v>
      </c>
      <c r="V333" s="38">
        <f t="shared" si="80"/>
        <v>363</v>
      </c>
      <c r="W333" s="70"/>
      <c r="X333" s="71"/>
      <c r="Y333" s="71"/>
      <c r="Z333" s="72" t="s">
        <v>3</v>
      </c>
      <c r="AB333" s="56"/>
      <c r="AC333" s="56"/>
      <c r="AD333" s="56"/>
      <c r="AE333" s="56"/>
      <c r="AF333" s="56"/>
      <c r="AG333" s="56"/>
      <c r="AH333" s="56"/>
      <c r="AI333" s="56">
        <v>44</v>
      </c>
      <c r="AJ333" s="56">
        <v>320</v>
      </c>
      <c r="AK333" s="56">
        <v>363</v>
      </c>
      <c r="AL333" s="56">
        <v>1.45</v>
      </c>
      <c r="AM333" s="56" t="s">
        <v>702</v>
      </c>
      <c r="AN333" s="56">
        <v>112.911</v>
      </c>
      <c r="AO333" s="56" t="s">
        <v>703</v>
      </c>
      <c r="AP333" s="56" t="s">
        <v>3</v>
      </c>
      <c r="AQ333" s="56" t="s">
        <v>63</v>
      </c>
    </row>
    <row r="334" spans="1:43" x14ac:dyDescent="0.25">
      <c r="A334" s="8"/>
      <c r="B334" s="8"/>
      <c r="C334" s="8">
        <v>1.45</v>
      </c>
      <c r="D334" s="27"/>
      <c r="E334" s="28">
        <v>364</v>
      </c>
      <c r="F334" s="29" t="s">
        <v>704</v>
      </c>
      <c r="G334" s="10" t="s">
        <v>705</v>
      </c>
      <c r="H334" s="30">
        <f t="shared" si="81"/>
        <v>0</v>
      </c>
      <c r="I334" s="52" t="str">
        <f>[1]!Plus_ang(I333,[1]!Min_ang(F334,F333))</f>
        <v xml:space="preserve"> 75° 59' 51"</v>
      </c>
      <c r="J334" s="10" t="str">
        <f>[1]!Plus_ang([1]!Plus_ang(J333,[1]!Min_ang(F334,F333)),[1]!DestoDeg(H334/3600))</f>
        <v xml:space="preserve"> 75° 59' 51"</v>
      </c>
      <c r="K334" s="31">
        <v>115.039</v>
      </c>
      <c r="L334" s="32">
        <f>[1]!Jarakdatar(K334,G334)</f>
        <v>114.89515427004109</v>
      </c>
      <c r="M334" s="33">
        <f>L334*[1]!dsin(J334)</f>
        <v>111.4810642377403</v>
      </c>
      <c r="N334" s="34">
        <f t="shared" si="82"/>
        <v>0</v>
      </c>
      <c r="O334" s="33">
        <f>L334*[1]!dcos(J334)</f>
        <v>27.800517821748617</v>
      </c>
      <c r="P334" s="34">
        <f t="shared" si="83"/>
        <v>0</v>
      </c>
      <c r="Q334" s="35">
        <f>L334/[1]!dTAN(G334)-C334+$B$312</f>
        <v>5.5510908759521316</v>
      </c>
      <c r="R334" s="34">
        <f t="shared" si="84"/>
        <v>0</v>
      </c>
      <c r="S334" s="36">
        <f t="shared" si="85"/>
        <v>9755.482155277452</v>
      </c>
      <c r="T334" s="40">
        <f t="shared" si="86"/>
        <v>9674.7088441446849</v>
      </c>
      <c r="U334" s="37">
        <f t="shared" si="87"/>
        <v>27.048471327813232</v>
      </c>
      <c r="V334" s="38">
        <f t="shared" si="80"/>
        <v>364</v>
      </c>
      <c r="W334" s="70"/>
      <c r="X334" s="71"/>
      <c r="Y334" s="71"/>
      <c r="Z334" s="72" t="s">
        <v>3</v>
      </c>
      <c r="AB334" s="56"/>
      <c r="AC334" s="56"/>
      <c r="AD334" s="56"/>
      <c r="AE334" s="56"/>
      <c r="AF334" s="56"/>
      <c r="AG334" s="56"/>
      <c r="AH334" s="56"/>
      <c r="AI334" s="56">
        <v>46</v>
      </c>
      <c r="AJ334" s="56">
        <v>320</v>
      </c>
      <c r="AK334" s="56">
        <v>364</v>
      </c>
      <c r="AL334" s="56">
        <v>1.45</v>
      </c>
      <c r="AM334" s="56" t="s">
        <v>704</v>
      </c>
      <c r="AN334" s="56">
        <v>115.039</v>
      </c>
      <c r="AO334" s="56" t="s">
        <v>705</v>
      </c>
      <c r="AP334" s="56" t="s">
        <v>3</v>
      </c>
      <c r="AQ334" s="56" t="s">
        <v>63</v>
      </c>
    </row>
    <row r="335" spans="1:43" x14ac:dyDescent="0.25">
      <c r="A335" s="8"/>
      <c r="B335" s="8"/>
      <c r="C335" s="8">
        <v>2.5</v>
      </c>
      <c r="D335" s="27"/>
      <c r="E335" s="28">
        <v>365</v>
      </c>
      <c r="F335" s="29" t="s">
        <v>706</v>
      </c>
      <c r="G335" s="10" t="s">
        <v>707</v>
      </c>
      <c r="H335" s="30">
        <f t="shared" si="81"/>
        <v>0</v>
      </c>
      <c r="I335" s="52" t="str">
        <f>[1]!Plus_ang(I334,[1]!Min_ang(F335,F334))</f>
        <v xml:space="preserve"> 79° 7' 56"</v>
      </c>
      <c r="J335" s="10" t="str">
        <f>[1]!Plus_ang([1]!Plus_ang(J334,[1]!Min_ang(F335,F334)),[1]!DestoDeg(H335/3600))</f>
        <v xml:space="preserve"> 79° 7' 56"</v>
      </c>
      <c r="K335" s="31">
        <v>59.148000000000003</v>
      </c>
      <c r="L335" s="32">
        <f>[1]!Jarakdatar(K335,G335)</f>
        <v>59.109454353520086</v>
      </c>
      <c r="M335" s="33">
        <f>L335*[1]!dsin(J335)</f>
        <v>58.049320475275174</v>
      </c>
      <c r="N335" s="34">
        <f t="shared" si="82"/>
        <v>0</v>
      </c>
      <c r="O335" s="33">
        <f>L335*[1]!dcos(J335)</f>
        <v>11.144684218481583</v>
      </c>
      <c r="P335" s="34">
        <f t="shared" si="83"/>
        <v>0</v>
      </c>
      <c r="Q335" s="35">
        <f>L335/[1]!dTAN(G335)-C335+$B$312</f>
        <v>-3.385019913051444</v>
      </c>
      <c r="R335" s="34">
        <f t="shared" si="84"/>
        <v>0</v>
      </c>
      <c r="S335" s="36">
        <f t="shared" si="85"/>
        <v>9702.050411514987</v>
      </c>
      <c r="T335" s="40">
        <f t="shared" si="86"/>
        <v>9658.0530105414182</v>
      </c>
      <c r="U335" s="37">
        <f t="shared" si="87"/>
        <v>18.112360538809657</v>
      </c>
      <c r="V335" s="38">
        <f t="shared" si="80"/>
        <v>365</v>
      </c>
      <c r="W335" s="70"/>
      <c r="X335" s="71"/>
      <c r="Y335" s="71"/>
      <c r="Z335" s="72" t="s">
        <v>65</v>
      </c>
      <c r="AB335" s="56"/>
      <c r="AC335" s="56"/>
      <c r="AD335" s="56"/>
      <c r="AE335" s="56"/>
      <c r="AF335" s="56"/>
      <c r="AG335" s="56"/>
      <c r="AH335" s="56"/>
      <c r="AI335" s="56">
        <v>48</v>
      </c>
      <c r="AJ335" s="56">
        <v>320</v>
      </c>
      <c r="AK335" s="56">
        <v>365</v>
      </c>
      <c r="AL335" s="56">
        <v>2.5</v>
      </c>
      <c r="AM335" s="56" t="s">
        <v>706</v>
      </c>
      <c r="AN335" s="56">
        <v>59.148000000000003</v>
      </c>
      <c r="AO335" s="56" t="s">
        <v>707</v>
      </c>
      <c r="AP335" s="56" t="s">
        <v>65</v>
      </c>
      <c r="AQ335" s="56" t="s">
        <v>63</v>
      </c>
    </row>
    <row r="336" spans="1:43" x14ac:dyDescent="0.25">
      <c r="A336" s="8"/>
      <c r="B336" s="8"/>
      <c r="C336" s="8">
        <v>2.5</v>
      </c>
      <c r="D336" s="27"/>
      <c r="E336" s="28">
        <v>366</v>
      </c>
      <c r="F336" s="29" t="s">
        <v>708</v>
      </c>
      <c r="G336" s="10" t="s">
        <v>709</v>
      </c>
      <c r="H336" s="30">
        <f t="shared" si="81"/>
        <v>0</v>
      </c>
      <c r="I336" s="52" t="str">
        <f>[1]!Plus_ang(I335,[1]!Min_ang(F336,F335))</f>
        <v xml:space="preserve"> 67° 1' 55"</v>
      </c>
      <c r="J336" s="10" t="str">
        <f>[1]!Plus_ang([1]!Plus_ang(J335,[1]!Min_ang(F336,F335)),[1]!DestoDeg(H336/3600))</f>
        <v xml:space="preserve"> 67° 1' 55"</v>
      </c>
      <c r="K336" s="31">
        <v>52.34</v>
      </c>
      <c r="L336" s="32">
        <f>[1]!Jarakdatar(K336,G336)</f>
        <v>52.264148553085597</v>
      </c>
      <c r="M336" s="33">
        <f>L336*[1]!dsin(J336)</f>
        <v>48.120780492074587</v>
      </c>
      <c r="N336" s="34">
        <f t="shared" si="82"/>
        <v>0</v>
      </c>
      <c r="O336" s="33">
        <f>L336*[1]!dcos(J336)</f>
        <v>20.394403860190977</v>
      </c>
      <c r="P336" s="34">
        <f t="shared" si="83"/>
        <v>0</v>
      </c>
      <c r="Q336" s="35">
        <f>L336/[1]!dTAN(G336)-C336+$B$312</f>
        <v>-4.066802446214691</v>
      </c>
      <c r="R336" s="34">
        <f t="shared" si="84"/>
        <v>0</v>
      </c>
      <c r="S336" s="36">
        <f t="shared" si="85"/>
        <v>9692.1218715317864</v>
      </c>
      <c r="T336" s="40">
        <f t="shared" si="86"/>
        <v>9667.302730183128</v>
      </c>
      <c r="U336" s="37">
        <f t="shared" si="87"/>
        <v>17.43057800564641</v>
      </c>
      <c r="V336" s="38">
        <f t="shared" si="80"/>
        <v>366</v>
      </c>
      <c r="W336" s="70"/>
      <c r="X336" s="71"/>
      <c r="Y336" s="71"/>
      <c r="Z336" s="72" t="s">
        <v>65</v>
      </c>
      <c r="AB336" s="56"/>
      <c r="AC336" s="56"/>
      <c r="AD336" s="56"/>
      <c r="AE336" s="56"/>
      <c r="AF336" s="56"/>
      <c r="AG336" s="56"/>
      <c r="AH336" s="56"/>
      <c r="AI336" s="56">
        <v>50</v>
      </c>
      <c r="AJ336" s="56">
        <v>320</v>
      </c>
      <c r="AK336" s="56">
        <v>366</v>
      </c>
      <c r="AL336" s="56">
        <v>2.5</v>
      </c>
      <c r="AM336" s="56" t="s">
        <v>708</v>
      </c>
      <c r="AN336" s="56">
        <v>52.34</v>
      </c>
      <c r="AO336" s="56" t="s">
        <v>709</v>
      </c>
      <c r="AP336" s="56" t="s">
        <v>65</v>
      </c>
      <c r="AQ336" s="56" t="s">
        <v>63</v>
      </c>
    </row>
    <row r="337" spans="1:43" x14ac:dyDescent="0.25">
      <c r="A337" s="8"/>
      <c r="B337" s="8"/>
      <c r="C337" s="8">
        <v>2.5</v>
      </c>
      <c r="D337" s="27"/>
      <c r="E337" s="28">
        <v>367</v>
      </c>
      <c r="F337" s="29" t="s">
        <v>710</v>
      </c>
      <c r="G337" s="10" t="s">
        <v>711</v>
      </c>
      <c r="H337" s="30">
        <f t="shared" si="81"/>
        <v>0</v>
      </c>
      <c r="I337" s="52" t="str">
        <f>[1]!Plus_ang(I336,[1]!Min_ang(F337,F336))</f>
        <v xml:space="preserve"> 56° 0' 52"</v>
      </c>
      <c r="J337" s="10" t="str">
        <f>[1]!Plus_ang([1]!Plus_ang(J336,[1]!Min_ang(F337,F336)),[1]!DestoDeg(H337/3600))</f>
        <v xml:space="preserve"> 56° 0' 52"</v>
      </c>
      <c r="K337" s="31">
        <v>49.058</v>
      </c>
      <c r="L337" s="32">
        <f>[1]!Jarakdatar(K337,G337)</f>
        <v>48.984621225038474</v>
      </c>
      <c r="M337" s="33">
        <f>L337*[1]!dsin(J337)</f>
        <v>40.616995753689366</v>
      </c>
      <c r="N337" s="34">
        <f t="shared" si="82"/>
        <v>0</v>
      </c>
      <c r="O337" s="33">
        <f>L337*[1]!dcos(J337)</f>
        <v>27.381613767367131</v>
      </c>
      <c r="P337" s="34">
        <f t="shared" si="83"/>
        <v>0</v>
      </c>
      <c r="Q337" s="35">
        <f>L337/[1]!dTAN(G337)-C337+$B$312</f>
        <v>-3.9322094324474097</v>
      </c>
      <c r="R337" s="34">
        <f t="shared" si="84"/>
        <v>0</v>
      </c>
      <c r="S337" s="36">
        <f t="shared" si="85"/>
        <v>9684.6180867934017</v>
      </c>
      <c r="T337" s="40">
        <f t="shared" si="86"/>
        <v>9674.2899400903043</v>
      </c>
      <c r="U337" s="37">
        <f t="shared" si="87"/>
        <v>17.56517101941369</v>
      </c>
      <c r="V337" s="38">
        <f t="shared" si="80"/>
        <v>367</v>
      </c>
      <c r="W337" s="70"/>
      <c r="X337" s="71"/>
      <c r="Y337" s="71"/>
      <c r="Z337" s="72" t="s">
        <v>65</v>
      </c>
      <c r="AB337" s="56"/>
      <c r="AC337" s="56"/>
      <c r="AD337" s="56"/>
      <c r="AE337" s="56"/>
      <c r="AF337" s="56"/>
      <c r="AG337" s="56"/>
      <c r="AH337" s="56"/>
      <c r="AI337" s="56">
        <v>52</v>
      </c>
      <c r="AJ337" s="56">
        <v>320</v>
      </c>
      <c r="AK337" s="56">
        <v>367</v>
      </c>
      <c r="AL337" s="56">
        <v>2.5</v>
      </c>
      <c r="AM337" s="56" t="s">
        <v>710</v>
      </c>
      <c r="AN337" s="56">
        <v>49.058</v>
      </c>
      <c r="AO337" s="56" t="s">
        <v>711</v>
      </c>
      <c r="AP337" s="56" t="s">
        <v>65</v>
      </c>
      <c r="AQ337" s="56" t="s">
        <v>63</v>
      </c>
    </row>
    <row r="338" spans="1:43" x14ac:dyDescent="0.25">
      <c r="A338" s="8"/>
      <c r="B338" s="8"/>
      <c r="C338" s="8">
        <v>1.45</v>
      </c>
      <c r="D338" s="27"/>
      <c r="E338" s="28">
        <v>368</v>
      </c>
      <c r="F338" s="29" t="s">
        <v>712</v>
      </c>
      <c r="G338" s="10" t="s">
        <v>713</v>
      </c>
      <c r="H338" s="30">
        <f t="shared" si="81"/>
        <v>0</v>
      </c>
      <c r="I338" s="52" t="str">
        <f>[1]!Plus_ang(I337,[1]!Min_ang(F338,F337))</f>
        <v xml:space="preserve"> 97° 2' 55"</v>
      </c>
      <c r="J338" s="10" t="str">
        <f>[1]!Plus_ang([1]!Plus_ang(J337,[1]!Min_ang(F338,F337)),[1]!DestoDeg(H338/3600))</f>
        <v xml:space="preserve"> 97° 2' 55"</v>
      </c>
      <c r="K338" s="31">
        <v>81.918000000000006</v>
      </c>
      <c r="L338" s="32">
        <f>[1]!Jarakdatar(K338,G338)</f>
        <v>81.805796574996052</v>
      </c>
      <c r="M338" s="33">
        <f>L338*[1]!dsin(J338)</f>
        <v>81.187540886879617</v>
      </c>
      <c r="N338" s="34">
        <f t="shared" si="82"/>
        <v>0</v>
      </c>
      <c r="O338" s="33">
        <f>L338*[1]!dcos(J338)</f>
        <v>-10.038503773515544</v>
      </c>
      <c r="P338" s="34">
        <f t="shared" si="83"/>
        <v>0</v>
      </c>
      <c r="Q338" s="35">
        <f>L338/[1]!dTAN(G338)-C338+$B$312</f>
        <v>4.0860670468816487</v>
      </c>
      <c r="R338" s="34">
        <f t="shared" si="84"/>
        <v>0</v>
      </c>
      <c r="S338" s="36">
        <f t="shared" si="85"/>
        <v>9725.1886319265923</v>
      </c>
      <c r="T338" s="40">
        <f t="shared" si="86"/>
        <v>9636.8698225494209</v>
      </c>
      <c r="U338" s="37">
        <f t="shared" si="87"/>
        <v>25.58344749874275</v>
      </c>
      <c r="V338" s="38">
        <f t="shared" si="80"/>
        <v>368</v>
      </c>
      <c r="W338" s="70"/>
      <c r="X338" s="71"/>
      <c r="Y338" s="71"/>
      <c r="Z338" s="72" t="s">
        <v>3</v>
      </c>
      <c r="AB338" s="56"/>
      <c r="AC338" s="56"/>
      <c r="AD338" s="56"/>
      <c r="AE338" s="56"/>
      <c r="AF338" s="56"/>
      <c r="AG338" s="56"/>
      <c r="AH338" s="56"/>
      <c r="AI338" s="56">
        <v>54</v>
      </c>
      <c r="AJ338" s="56">
        <v>320</v>
      </c>
      <c r="AK338" s="56">
        <v>368</v>
      </c>
      <c r="AL338" s="56">
        <v>1.45</v>
      </c>
      <c r="AM338" s="56" t="s">
        <v>712</v>
      </c>
      <c r="AN338" s="56">
        <v>81.918000000000006</v>
      </c>
      <c r="AO338" s="56" t="s">
        <v>713</v>
      </c>
      <c r="AP338" s="56" t="s">
        <v>3</v>
      </c>
      <c r="AQ338" s="56" t="s">
        <v>63</v>
      </c>
    </row>
    <row r="339" spans="1:43" x14ac:dyDescent="0.25">
      <c r="A339" s="8"/>
      <c r="B339" s="8"/>
      <c r="C339" s="8">
        <v>1.45</v>
      </c>
      <c r="D339" s="27"/>
      <c r="E339" s="28">
        <v>369</v>
      </c>
      <c r="F339" s="29" t="s">
        <v>714</v>
      </c>
      <c r="G339" s="10" t="s">
        <v>715</v>
      </c>
      <c r="H339" s="30">
        <f t="shared" si="81"/>
        <v>0</v>
      </c>
      <c r="I339" s="52" t="str">
        <f>[1]!Plus_ang(I338,[1]!Min_ang(F339,F338))</f>
        <v xml:space="preserve"> 91° 59' 53"</v>
      </c>
      <c r="J339" s="10" t="str">
        <f>[1]!Plus_ang([1]!Plus_ang(J338,[1]!Min_ang(F339,F338)),[1]!DestoDeg(H339/3600))</f>
        <v xml:space="preserve"> 91° 59' 53"</v>
      </c>
      <c r="K339" s="31">
        <v>73.7</v>
      </c>
      <c r="L339" s="32">
        <f>[1]!Jarakdatar(K339,G339)</f>
        <v>73.526549648064801</v>
      </c>
      <c r="M339" s="33">
        <f>L339*[1]!dsin(J339)</f>
        <v>73.481846301901498</v>
      </c>
      <c r="N339" s="34">
        <f t="shared" si="82"/>
        <v>0</v>
      </c>
      <c r="O339" s="33">
        <f>L339*[1]!dcos(J339)</f>
        <v>-2.5635458281575922</v>
      </c>
      <c r="P339" s="34">
        <f t="shared" si="83"/>
        <v>0</v>
      </c>
      <c r="Q339" s="35">
        <f>L339/[1]!dTAN(G339)-C339+$B$312</f>
        <v>4.8533649037707258</v>
      </c>
      <c r="R339" s="34">
        <f t="shared" si="84"/>
        <v>0</v>
      </c>
      <c r="S339" s="36">
        <f t="shared" si="85"/>
        <v>9717.4829373416142</v>
      </c>
      <c r="T339" s="40">
        <f t="shared" si="86"/>
        <v>9644.3447804947791</v>
      </c>
      <c r="U339" s="37">
        <f t="shared" si="87"/>
        <v>26.350745355631826</v>
      </c>
      <c r="V339" s="38">
        <f t="shared" si="80"/>
        <v>369</v>
      </c>
      <c r="W339" s="70"/>
      <c r="X339" s="71"/>
      <c r="Y339" s="71"/>
      <c r="Z339" s="72" t="s">
        <v>3</v>
      </c>
      <c r="AB339" s="56"/>
      <c r="AC339" s="56"/>
      <c r="AD339" s="56"/>
      <c r="AE339" s="56"/>
      <c r="AF339" s="56"/>
      <c r="AG339" s="56"/>
      <c r="AH339" s="56"/>
      <c r="AI339" s="56">
        <v>56</v>
      </c>
      <c r="AJ339" s="56">
        <v>320</v>
      </c>
      <c r="AK339" s="56">
        <v>369</v>
      </c>
      <c r="AL339" s="56">
        <v>1.45</v>
      </c>
      <c r="AM339" s="56" t="s">
        <v>714</v>
      </c>
      <c r="AN339" s="56">
        <v>73.7</v>
      </c>
      <c r="AO339" s="56" t="s">
        <v>715</v>
      </c>
      <c r="AP339" s="56" t="s">
        <v>3</v>
      </c>
      <c r="AQ339" s="56" t="s">
        <v>63</v>
      </c>
    </row>
    <row r="340" spans="1:43" x14ac:dyDescent="0.25">
      <c r="A340" s="8"/>
      <c r="B340" s="8"/>
      <c r="C340" s="8">
        <v>1.45</v>
      </c>
      <c r="D340" s="27"/>
      <c r="E340" s="28">
        <v>370</v>
      </c>
      <c r="F340" s="29" t="s">
        <v>716</v>
      </c>
      <c r="G340" s="10" t="s">
        <v>717</v>
      </c>
      <c r="H340" s="30">
        <f t="shared" si="81"/>
        <v>0</v>
      </c>
      <c r="I340" s="52" t="str">
        <f>[1]!Plus_ang(I339,[1]!Min_ang(F340,F339))</f>
        <v xml:space="preserve"> 91° 2' 57"</v>
      </c>
      <c r="J340" s="10" t="str">
        <f>[1]!Plus_ang([1]!Plus_ang(J339,[1]!Min_ang(F340,F339)),[1]!DestoDeg(H340/3600))</f>
        <v xml:space="preserve"> 91° 2' 57"</v>
      </c>
      <c r="K340" s="31">
        <v>71.822999999999993</v>
      </c>
      <c r="L340" s="32">
        <f>[1]!Jarakdatar(K340,G340)</f>
        <v>71.733157099771702</v>
      </c>
      <c r="M340" s="33">
        <f>L340*[1]!dsin(J340)</f>
        <v>71.721131090960355</v>
      </c>
      <c r="N340" s="34">
        <f t="shared" si="82"/>
        <v>0</v>
      </c>
      <c r="O340" s="33">
        <f>L340*[1]!dcos(J340)</f>
        <v>-1.3134620412508038</v>
      </c>
      <c r="P340" s="34">
        <f t="shared" si="83"/>
        <v>0</v>
      </c>
      <c r="Q340" s="35">
        <f>L340/[1]!dTAN(G340)-C340+$B$312</f>
        <v>3.3913091623348999</v>
      </c>
      <c r="R340" s="34">
        <f t="shared" si="84"/>
        <v>0</v>
      </c>
      <c r="S340" s="36">
        <f t="shared" si="85"/>
        <v>9715.7222221306729</v>
      </c>
      <c r="T340" s="40">
        <f t="shared" si="86"/>
        <v>9645.5948642816857</v>
      </c>
      <c r="U340" s="37">
        <f t="shared" si="87"/>
        <v>24.888689614196</v>
      </c>
      <c r="V340" s="38">
        <f t="shared" si="80"/>
        <v>370</v>
      </c>
      <c r="W340" s="70"/>
      <c r="X340" s="71"/>
      <c r="Y340" s="71"/>
      <c r="Z340" s="72" t="s">
        <v>3</v>
      </c>
      <c r="AB340" s="56"/>
      <c r="AC340" s="56"/>
      <c r="AD340" s="56"/>
      <c r="AE340" s="56"/>
      <c r="AF340" s="56"/>
      <c r="AG340" s="56"/>
      <c r="AH340" s="56"/>
      <c r="AI340" s="56">
        <v>58</v>
      </c>
      <c r="AJ340" s="56">
        <v>320</v>
      </c>
      <c r="AK340" s="56">
        <v>370</v>
      </c>
      <c r="AL340" s="56">
        <v>1.45</v>
      </c>
      <c r="AM340" s="56" t="s">
        <v>716</v>
      </c>
      <c r="AN340" s="56">
        <v>71.822999999999993</v>
      </c>
      <c r="AO340" s="56" t="s">
        <v>717</v>
      </c>
      <c r="AP340" s="56" t="s">
        <v>3</v>
      </c>
      <c r="AQ340" s="56" t="s">
        <v>63</v>
      </c>
    </row>
    <row r="341" spans="1:43" x14ac:dyDescent="0.25">
      <c r="A341" s="8"/>
      <c r="B341" s="8"/>
      <c r="C341" s="8">
        <v>1.45</v>
      </c>
      <c r="D341" s="27"/>
      <c r="E341" s="28">
        <v>371</v>
      </c>
      <c r="F341" s="29" t="s">
        <v>718</v>
      </c>
      <c r="G341" s="10" t="s">
        <v>719</v>
      </c>
      <c r="H341" s="30">
        <f t="shared" si="81"/>
        <v>0</v>
      </c>
      <c r="I341" s="52" t="str">
        <f>[1]!Plus_ang(I340,[1]!Min_ang(F341,F340))</f>
        <v xml:space="preserve"> 88° 6' 56"</v>
      </c>
      <c r="J341" s="10" t="str">
        <f>[1]!Plus_ang([1]!Plus_ang(J340,[1]!Min_ang(F341,F340)),[1]!DestoDeg(H341/3600))</f>
        <v xml:space="preserve"> 88° 6' 56"</v>
      </c>
      <c r="K341" s="31">
        <v>67.863</v>
      </c>
      <c r="L341" s="32">
        <f>[1]!Jarakdatar(K341,G341)</f>
        <v>67.854648568745716</v>
      </c>
      <c r="M341" s="33">
        <f>L341*[1]!dsin(J341)</f>
        <v>67.817951458015699</v>
      </c>
      <c r="N341" s="34">
        <f t="shared" si="82"/>
        <v>0</v>
      </c>
      <c r="O341" s="33">
        <f>L341*[1]!dcos(J341)</f>
        <v>2.2313207806615902</v>
      </c>
      <c r="P341" s="34">
        <f t="shared" si="83"/>
        <v>0</v>
      </c>
      <c r="Q341" s="35">
        <f>L341/[1]!dTAN(G341)-C341+$B$312</f>
        <v>0.86462980045424342</v>
      </c>
      <c r="R341" s="34">
        <f t="shared" si="84"/>
        <v>0</v>
      </c>
      <c r="S341" s="36">
        <f t="shared" si="85"/>
        <v>9711.8190424977274</v>
      </c>
      <c r="T341" s="40">
        <f t="shared" si="86"/>
        <v>9649.1396471035987</v>
      </c>
      <c r="U341" s="37">
        <f t="shared" si="87"/>
        <v>22.362010252315343</v>
      </c>
      <c r="V341" s="38">
        <f t="shared" si="80"/>
        <v>371</v>
      </c>
      <c r="W341" s="70"/>
      <c r="X341" s="71"/>
      <c r="Y341" s="71"/>
      <c r="Z341" s="72" t="s">
        <v>14</v>
      </c>
      <c r="AB341" s="56"/>
      <c r="AC341" s="56"/>
      <c r="AD341" s="56"/>
      <c r="AE341" s="56"/>
      <c r="AF341" s="56"/>
      <c r="AG341" s="56"/>
      <c r="AH341" s="56"/>
      <c r="AI341" s="56">
        <v>60</v>
      </c>
      <c r="AJ341" s="56">
        <v>320</v>
      </c>
      <c r="AK341" s="56">
        <v>371</v>
      </c>
      <c r="AL341" s="56">
        <v>1.45</v>
      </c>
      <c r="AM341" s="56" t="s">
        <v>718</v>
      </c>
      <c r="AN341" s="56">
        <v>67.863</v>
      </c>
      <c r="AO341" s="56" t="s">
        <v>719</v>
      </c>
      <c r="AP341" s="56" t="s">
        <v>14</v>
      </c>
      <c r="AQ341" s="56" t="s">
        <v>63</v>
      </c>
    </row>
    <row r="342" spans="1:43" x14ac:dyDescent="0.25">
      <c r="A342" s="8"/>
      <c r="B342" s="8"/>
      <c r="C342" s="8">
        <v>1.45</v>
      </c>
      <c r="D342" s="27"/>
      <c r="E342" s="28">
        <v>372</v>
      </c>
      <c r="F342" s="29" t="s">
        <v>720</v>
      </c>
      <c r="G342" s="10" t="s">
        <v>721</v>
      </c>
      <c r="H342" s="30">
        <f t="shared" si="81"/>
        <v>0</v>
      </c>
      <c r="I342" s="52" t="str">
        <f>[1]!Plus_ang(I341,[1]!Min_ang(F342,F341))</f>
        <v xml:space="preserve"> 88° 2' 55"</v>
      </c>
      <c r="J342" s="10" t="str">
        <f>[1]!Plus_ang([1]!Plus_ang(J341,[1]!Min_ang(F342,F341)),[1]!DestoDeg(H342/3600))</f>
        <v xml:space="preserve"> 88° 2' 55"</v>
      </c>
      <c r="K342" s="31">
        <v>67.491</v>
      </c>
      <c r="L342" s="32">
        <f>[1]!Jarakdatar(K342,G342)</f>
        <v>67.490996439465462</v>
      </c>
      <c r="M342" s="33">
        <f>L342*[1]!dsin(J342)</f>
        <v>67.451856851033753</v>
      </c>
      <c r="N342" s="34">
        <f t="shared" si="82"/>
        <v>0</v>
      </c>
      <c r="O342" s="33">
        <f>L342*[1]!dcos(J342)</f>
        <v>2.2981748714121677</v>
      </c>
      <c r="P342" s="34">
        <f t="shared" si="83"/>
        <v>0</v>
      </c>
      <c r="Q342" s="35">
        <f>L342/[1]!dTAN(G342)-C342+$B$312</f>
        <v>-0.22192277491616563</v>
      </c>
      <c r="R342" s="34">
        <f t="shared" si="84"/>
        <v>0</v>
      </c>
      <c r="S342" s="36">
        <f t="shared" si="85"/>
        <v>9711.4529478907461</v>
      </c>
      <c r="T342" s="40">
        <f t="shared" si="86"/>
        <v>9649.2065011943487</v>
      </c>
      <c r="U342" s="37">
        <f t="shared" si="87"/>
        <v>21.275457676944935</v>
      </c>
      <c r="V342" s="38">
        <f t="shared" si="80"/>
        <v>372</v>
      </c>
      <c r="W342" s="70"/>
      <c r="X342" s="71"/>
      <c r="Y342" s="71"/>
      <c r="Z342" s="72" t="s">
        <v>15</v>
      </c>
      <c r="AB342" s="56"/>
      <c r="AC342" s="56"/>
      <c r="AD342" s="56"/>
      <c r="AE342" s="56"/>
      <c r="AF342" s="56"/>
      <c r="AG342" s="56"/>
      <c r="AH342" s="56"/>
      <c r="AI342" s="56">
        <v>62</v>
      </c>
      <c r="AJ342" s="56">
        <v>320</v>
      </c>
      <c r="AK342" s="56">
        <v>372</v>
      </c>
      <c r="AL342" s="56">
        <v>1.45</v>
      </c>
      <c r="AM342" s="56" t="s">
        <v>720</v>
      </c>
      <c r="AN342" s="56">
        <v>67.491</v>
      </c>
      <c r="AO342" s="56" t="s">
        <v>721</v>
      </c>
      <c r="AP342" s="56" t="s">
        <v>15</v>
      </c>
      <c r="AQ342" s="56" t="s">
        <v>63</v>
      </c>
    </row>
    <row r="343" spans="1:43" x14ac:dyDescent="0.25">
      <c r="A343" s="8"/>
      <c r="B343" s="8"/>
      <c r="C343" s="8">
        <v>1.45</v>
      </c>
      <c r="D343" s="27"/>
      <c r="E343" s="28">
        <v>373</v>
      </c>
      <c r="F343" s="29" t="s">
        <v>722</v>
      </c>
      <c r="G343" s="10" t="s">
        <v>721</v>
      </c>
      <c r="H343" s="30">
        <f t="shared" si="81"/>
        <v>0</v>
      </c>
      <c r="I343" s="52" t="str">
        <f>[1]!Plus_ang(I342,[1]!Min_ang(F343,F342))</f>
        <v xml:space="preserve"> 88° 3' 55"</v>
      </c>
      <c r="J343" s="10" t="str">
        <f>[1]!Plus_ang([1]!Plus_ang(J342,[1]!Min_ang(F343,F342)),[1]!DestoDeg(H343/3600))</f>
        <v xml:space="preserve"> 88° 3' 55"</v>
      </c>
      <c r="K343" s="31">
        <v>67.332999999999998</v>
      </c>
      <c r="L343" s="32">
        <f>[1]!Jarakdatar(K343,G343)</f>
        <v>67.332996447800866</v>
      </c>
      <c r="M343" s="33">
        <f>L343*[1]!dsin(J343)</f>
        <v>67.294612587085012</v>
      </c>
      <c r="N343" s="34">
        <f t="shared" si="82"/>
        <v>0</v>
      </c>
      <c r="O343" s="33">
        <f>L343*[1]!dcos(J343)</f>
        <v>2.2732196096511803</v>
      </c>
      <c r="P343" s="34">
        <f t="shared" si="83"/>
        <v>0</v>
      </c>
      <c r="Q343" s="35">
        <f>L343/[1]!dTAN(G343)-C343+$B$312</f>
        <v>-0.22187145254078589</v>
      </c>
      <c r="R343" s="34">
        <f t="shared" si="84"/>
        <v>0</v>
      </c>
      <c r="S343" s="36">
        <f t="shared" si="85"/>
        <v>9711.2957036267981</v>
      </c>
      <c r="T343" s="40">
        <f t="shared" si="86"/>
        <v>9649.1815459325881</v>
      </c>
      <c r="U343" s="37">
        <f t="shared" si="87"/>
        <v>21.275508999320316</v>
      </c>
      <c r="V343" s="38">
        <f t="shared" si="80"/>
        <v>373</v>
      </c>
      <c r="W343" s="70"/>
      <c r="X343" s="71"/>
      <c r="Y343" s="71"/>
      <c r="Z343" s="72" t="s">
        <v>15</v>
      </c>
      <c r="AB343" s="56"/>
      <c r="AC343" s="56"/>
      <c r="AD343" s="56"/>
      <c r="AE343" s="56"/>
      <c r="AF343" s="56"/>
      <c r="AG343" s="56"/>
      <c r="AH343" s="56"/>
      <c r="AI343" s="56">
        <v>64</v>
      </c>
      <c r="AJ343" s="56">
        <v>320</v>
      </c>
      <c r="AK343" s="56">
        <v>373</v>
      </c>
      <c r="AL343" s="56">
        <v>1.45</v>
      </c>
      <c r="AM343" s="56" t="s">
        <v>722</v>
      </c>
      <c r="AN343" s="56">
        <v>67.332999999999998</v>
      </c>
      <c r="AO343" s="56" t="s">
        <v>721</v>
      </c>
      <c r="AP343" s="56" t="s">
        <v>15</v>
      </c>
      <c r="AQ343" s="56" t="s">
        <v>63</v>
      </c>
    </row>
    <row r="344" spans="1:43" x14ac:dyDescent="0.25">
      <c r="A344" s="8"/>
      <c r="B344" s="8"/>
      <c r="C344" s="8">
        <v>1.45</v>
      </c>
      <c r="D344" s="27"/>
      <c r="E344" s="28">
        <v>374</v>
      </c>
      <c r="F344" s="29" t="s">
        <v>723</v>
      </c>
      <c r="G344" s="10" t="s">
        <v>724</v>
      </c>
      <c r="H344" s="30">
        <f t="shared" si="81"/>
        <v>0</v>
      </c>
      <c r="I344" s="52" t="str">
        <f>[1]!Plus_ang(I343,[1]!Min_ang(F344,F343))</f>
        <v xml:space="preserve"> 88° 0' 54"</v>
      </c>
      <c r="J344" s="10" t="str">
        <f>[1]!Plus_ang([1]!Plus_ang(J343,[1]!Min_ang(F344,F343)),[1]!DestoDeg(H344/3600))</f>
        <v xml:space="preserve"> 88° 0' 54"</v>
      </c>
      <c r="K344" s="31">
        <v>67.221999999999994</v>
      </c>
      <c r="L344" s="32">
        <f>[1]!Jarakdatar(K344,G344)</f>
        <v>67.221762757752828</v>
      </c>
      <c r="M344" s="33">
        <f>L344*[1]!dsin(J344)</f>
        <v>67.181424956747691</v>
      </c>
      <c r="N344" s="34">
        <f t="shared" si="82"/>
        <v>0</v>
      </c>
      <c r="O344" s="33">
        <f>L344*[1]!dcos(J344)</f>
        <v>2.3284177117698825</v>
      </c>
      <c r="P344" s="34">
        <f t="shared" si="83"/>
        <v>0</v>
      </c>
      <c r="Q344" s="35">
        <f>L344/[1]!dTAN(G344)-C344+$B$312</f>
        <v>-0.37859378598794513</v>
      </c>
      <c r="R344" s="34">
        <f t="shared" si="84"/>
        <v>0</v>
      </c>
      <c r="S344" s="36">
        <f t="shared" si="85"/>
        <v>9711.1825159964592</v>
      </c>
      <c r="T344" s="40">
        <f t="shared" si="86"/>
        <v>9649.2367440347061</v>
      </c>
      <c r="U344" s="37">
        <f t="shared" si="87"/>
        <v>21.118786665873156</v>
      </c>
      <c r="V344" s="38">
        <f t="shared" ref="V344:V375" si="88">IF(A344&lt;&gt;"",D344,E344)</f>
        <v>374</v>
      </c>
      <c r="W344" s="70"/>
      <c r="X344" s="71"/>
      <c r="Y344" s="71"/>
      <c r="Z344" s="72" t="s">
        <v>14</v>
      </c>
      <c r="AB344" s="56"/>
      <c r="AC344" s="56"/>
      <c r="AD344" s="56"/>
      <c r="AE344" s="56"/>
      <c r="AF344" s="56"/>
      <c r="AG344" s="56"/>
      <c r="AH344" s="56"/>
      <c r="AI344" s="56">
        <v>66</v>
      </c>
      <c r="AJ344" s="56">
        <v>320</v>
      </c>
      <c r="AK344" s="56">
        <v>374</v>
      </c>
      <c r="AL344" s="56">
        <v>1.45</v>
      </c>
      <c r="AM344" s="56" t="s">
        <v>723</v>
      </c>
      <c r="AN344" s="56">
        <v>67.221999999999994</v>
      </c>
      <c r="AO344" s="56" t="s">
        <v>724</v>
      </c>
      <c r="AP344" s="56" t="s">
        <v>14</v>
      </c>
      <c r="AQ344" s="56" t="s">
        <v>63</v>
      </c>
    </row>
    <row r="345" spans="1:43" x14ac:dyDescent="0.25">
      <c r="A345" s="8"/>
      <c r="B345" s="8"/>
      <c r="C345" s="8">
        <v>1.45</v>
      </c>
      <c r="D345" s="27"/>
      <c r="E345" s="28">
        <v>375</v>
      </c>
      <c r="F345" s="29" t="s">
        <v>725</v>
      </c>
      <c r="G345" s="10" t="s">
        <v>726</v>
      </c>
      <c r="H345" s="30">
        <f t="shared" ref="H345:H376" si="89">IF($Y$7="y",$C$416,0)</f>
        <v>0</v>
      </c>
      <c r="I345" s="52" t="str">
        <f>[1]!Plus_ang(I344,[1]!Min_ang(F345,F344))</f>
        <v xml:space="preserve"> 88° 4' 55"</v>
      </c>
      <c r="J345" s="10" t="str">
        <f>[1]!Plus_ang([1]!Plus_ang(J344,[1]!Min_ang(F345,F344)),[1]!DestoDeg(H345/3600))</f>
        <v xml:space="preserve"> 88° 4' 55"</v>
      </c>
      <c r="K345" s="31">
        <v>67.134</v>
      </c>
      <c r="L345" s="32">
        <f>[1]!Jarakdatar(K345,G345)</f>
        <v>67.126612505849977</v>
      </c>
      <c r="M345" s="33">
        <f>L345*[1]!dsin(J345)</f>
        <v>67.089002683980638</v>
      </c>
      <c r="N345" s="34">
        <f t="shared" ref="N345:N376" si="90">IF($Y$8="Y",($Y$4*L345/$L$413),0)</f>
        <v>0</v>
      </c>
      <c r="O345" s="33">
        <f>L345*[1]!dcos(J345)</f>
        <v>2.2467366065860501</v>
      </c>
      <c r="P345" s="34">
        <f t="shared" ref="P345:P376" si="91">IF($Y$8="Y",($Y$5*L345/$L$413),0)</f>
        <v>0</v>
      </c>
      <c r="Q345" s="35">
        <f>L345/[1]!dTAN(G345)-C345+$B$312</f>
        <v>0.79591640686680953</v>
      </c>
      <c r="R345" s="34">
        <f t="shared" ref="R345:R376" si="92">IF(AND($Y$8="Y",W345="P"),($Y$6*L345/$L$413),0)</f>
        <v>0</v>
      </c>
      <c r="S345" s="36">
        <f t="shared" ref="S345:S376" si="93">$S$312+M345+N345</f>
        <v>9711.0900937236929</v>
      </c>
      <c r="T345" s="40">
        <f t="shared" ref="T345:T376" si="94">$T$312+O345+P345</f>
        <v>9649.1550629295234</v>
      </c>
      <c r="U345" s="37">
        <f t="shared" ref="U345:U376" si="95">$U$312+Q345+R345</f>
        <v>22.29329685872791</v>
      </c>
      <c r="V345" s="38">
        <f t="shared" si="88"/>
        <v>375</v>
      </c>
      <c r="W345" s="70"/>
      <c r="X345" s="71"/>
      <c r="Y345" s="71"/>
      <c r="Z345" s="72" t="s">
        <v>14</v>
      </c>
      <c r="AB345" s="56"/>
      <c r="AC345" s="56"/>
      <c r="AD345" s="56"/>
      <c r="AE345" s="56"/>
      <c r="AF345" s="56"/>
      <c r="AG345" s="56"/>
      <c r="AH345" s="56"/>
      <c r="AI345" s="56">
        <v>68</v>
      </c>
      <c r="AJ345" s="56">
        <v>320</v>
      </c>
      <c r="AK345" s="56">
        <v>375</v>
      </c>
      <c r="AL345" s="56">
        <v>1.45</v>
      </c>
      <c r="AM345" s="56" t="s">
        <v>725</v>
      </c>
      <c r="AN345" s="56">
        <v>67.134</v>
      </c>
      <c r="AO345" s="56" t="s">
        <v>726</v>
      </c>
      <c r="AP345" s="56" t="s">
        <v>14</v>
      </c>
      <c r="AQ345" s="56" t="s">
        <v>63</v>
      </c>
    </row>
    <row r="346" spans="1:43" x14ac:dyDescent="0.25">
      <c r="A346" s="8"/>
      <c r="B346" s="8"/>
      <c r="C346" s="8">
        <v>1.45</v>
      </c>
      <c r="D346" s="27"/>
      <c r="E346" s="28">
        <v>376</v>
      </c>
      <c r="F346" s="29" t="s">
        <v>727</v>
      </c>
      <c r="G346" s="10" t="s">
        <v>728</v>
      </c>
      <c r="H346" s="30">
        <f t="shared" si="89"/>
        <v>0</v>
      </c>
      <c r="I346" s="52" t="str">
        <f>[1]!Plus_ang(I345,[1]!Min_ang(F346,F345))</f>
        <v xml:space="preserve"> 88° 8' 58"</v>
      </c>
      <c r="J346" s="10" t="str">
        <f>[1]!Plus_ang([1]!Plus_ang(J345,[1]!Min_ang(F346,F345)),[1]!DestoDeg(H346/3600))</f>
        <v xml:space="preserve"> 88° 8' 58"</v>
      </c>
      <c r="K346" s="31">
        <v>67.034000000000006</v>
      </c>
      <c r="L346" s="32">
        <f>[1]!Jarakdatar(K346,G346)</f>
        <v>67.026628330311638</v>
      </c>
      <c r="M346" s="33">
        <f>L346*[1]!dsin(J346)</f>
        <v>66.991670971369899</v>
      </c>
      <c r="N346" s="34">
        <f t="shared" si="90"/>
        <v>0</v>
      </c>
      <c r="O346" s="33">
        <f>L346*[1]!dcos(J346)</f>
        <v>2.1644689402829811</v>
      </c>
      <c r="P346" s="34">
        <f t="shared" si="91"/>
        <v>0</v>
      </c>
      <c r="Q346" s="35">
        <f>L346/[1]!dTAN(G346)-C346+$B$312</f>
        <v>0.79410797716694648</v>
      </c>
      <c r="R346" s="34">
        <f t="shared" si="92"/>
        <v>0</v>
      </c>
      <c r="S346" s="36">
        <f t="shared" si="93"/>
        <v>9710.992762011083</v>
      </c>
      <c r="T346" s="40">
        <f t="shared" si="94"/>
        <v>9649.0727952632205</v>
      </c>
      <c r="U346" s="37">
        <f t="shared" si="95"/>
        <v>22.291488429028046</v>
      </c>
      <c r="V346" s="38">
        <f t="shared" si="88"/>
        <v>376</v>
      </c>
      <c r="W346" s="70"/>
      <c r="X346" s="71"/>
      <c r="Y346" s="71"/>
      <c r="Z346" s="72" t="s">
        <v>14</v>
      </c>
      <c r="AB346" s="56"/>
      <c r="AC346" s="56"/>
      <c r="AD346" s="56"/>
      <c r="AE346" s="56"/>
      <c r="AF346" s="56"/>
      <c r="AG346" s="56"/>
      <c r="AH346" s="56"/>
      <c r="AI346" s="56">
        <v>70</v>
      </c>
      <c r="AJ346" s="56">
        <v>320</v>
      </c>
      <c r="AK346" s="56">
        <v>376</v>
      </c>
      <c r="AL346" s="56">
        <v>1.45</v>
      </c>
      <c r="AM346" s="56" t="s">
        <v>727</v>
      </c>
      <c r="AN346" s="56">
        <v>67.034000000000006</v>
      </c>
      <c r="AO346" s="56" t="s">
        <v>728</v>
      </c>
      <c r="AP346" s="56" t="s">
        <v>14</v>
      </c>
      <c r="AQ346" s="56" t="s">
        <v>63</v>
      </c>
    </row>
    <row r="347" spans="1:43" x14ac:dyDescent="0.25">
      <c r="A347" s="8"/>
      <c r="B347" s="8"/>
      <c r="C347" s="8">
        <v>1.45</v>
      </c>
      <c r="D347" s="27"/>
      <c r="E347" s="28">
        <v>377</v>
      </c>
      <c r="F347" s="29" t="s">
        <v>729</v>
      </c>
      <c r="G347" s="10" t="s">
        <v>730</v>
      </c>
      <c r="H347" s="30">
        <f t="shared" si="89"/>
        <v>0</v>
      </c>
      <c r="I347" s="52" t="str">
        <f>[1]!Plus_ang(I346,[1]!Min_ang(F347,F346))</f>
        <v xml:space="preserve"> 88° 1' 52"</v>
      </c>
      <c r="J347" s="10" t="str">
        <f>[1]!Plus_ang([1]!Plus_ang(J346,[1]!Min_ang(F347,F346)),[1]!DestoDeg(H347/3600))</f>
        <v xml:space="preserve"> 88° 1' 52"</v>
      </c>
      <c r="K347" s="31">
        <v>66.826999999999998</v>
      </c>
      <c r="L347" s="32">
        <f>[1]!Jarakdatar(K347,G347)</f>
        <v>66.819655897821974</v>
      </c>
      <c r="M347" s="33">
        <f>L347*[1]!dsin(J347)</f>
        <v>66.780207565011821</v>
      </c>
      <c r="N347" s="34">
        <f t="shared" si="90"/>
        <v>0</v>
      </c>
      <c r="O347" s="33">
        <f>L347*[1]!dcos(J347)</f>
        <v>2.2957116276380365</v>
      </c>
      <c r="P347" s="34">
        <f t="shared" si="91"/>
        <v>0</v>
      </c>
      <c r="Q347" s="35">
        <f>L347/[1]!dTAN(G347)-C347+$B$312</f>
        <v>0.79071423562290244</v>
      </c>
      <c r="R347" s="34">
        <f t="shared" si="92"/>
        <v>0</v>
      </c>
      <c r="S347" s="36">
        <f t="shared" si="93"/>
        <v>9710.7812986047247</v>
      </c>
      <c r="T347" s="40">
        <f t="shared" si="94"/>
        <v>9649.2040379505743</v>
      </c>
      <c r="U347" s="37">
        <f t="shared" si="95"/>
        <v>22.288094687484005</v>
      </c>
      <c r="V347" s="38">
        <f t="shared" si="88"/>
        <v>377</v>
      </c>
      <c r="W347" s="70"/>
      <c r="X347" s="71"/>
      <c r="Y347" s="71"/>
      <c r="Z347" s="72" t="s">
        <v>66</v>
      </c>
      <c r="AB347" s="56"/>
      <c r="AC347" s="56"/>
      <c r="AD347" s="56"/>
      <c r="AE347" s="56"/>
      <c r="AF347" s="56"/>
      <c r="AG347" s="56"/>
      <c r="AH347" s="56"/>
      <c r="AI347" s="56">
        <v>72</v>
      </c>
      <c r="AJ347" s="56">
        <v>320</v>
      </c>
      <c r="AK347" s="56">
        <v>377</v>
      </c>
      <c r="AL347" s="56">
        <v>1.45</v>
      </c>
      <c r="AM347" s="56" t="s">
        <v>729</v>
      </c>
      <c r="AN347" s="56">
        <v>66.826999999999998</v>
      </c>
      <c r="AO347" s="56" t="s">
        <v>730</v>
      </c>
      <c r="AP347" s="56" t="s">
        <v>66</v>
      </c>
      <c r="AQ347" s="56" t="s">
        <v>63</v>
      </c>
    </row>
    <row r="348" spans="1:43" x14ac:dyDescent="0.25">
      <c r="A348" s="8"/>
      <c r="B348" s="8"/>
      <c r="C348" s="8">
        <v>1.45</v>
      </c>
      <c r="D348" s="27"/>
      <c r="E348" s="28">
        <v>378</v>
      </c>
      <c r="F348" s="29" t="s">
        <v>731</v>
      </c>
      <c r="G348" s="10" t="s">
        <v>732</v>
      </c>
      <c r="H348" s="30">
        <f t="shared" si="89"/>
        <v>0</v>
      </c>
      <c r="I348" s="52" t="str">
        <f>[1]!Plus_ang(I347,[1]!Min_ang(F348,F347))</f>
        <v xml:space="preserve"> 85° 4' 55"</v>
      </c>
      <c r="J348" s="10" t="str">
        <f>[1]!Plus_ang([1]!Plus_ang(J347,[1]!Min_ang(F348,F347)),[1]!DestoDeg(H348/3600))</f>
        <v xml:space="preserve"> 85° 4' 55"</v>
      </c>
      <c r="K348" s="31">
        <v>64.215999999999994</v>
      </c>
      <c r="L348" s="32">
        <f>[1]!Jarakdatar(K348,G348)</f>
        <v>64.208382914479174</v>
      </c>
      <c r="M348" s="33">
        <f>L348*[1]!dsin(J348)</f>
        <v>63.97198879750043</v>
      </c>
      <c r="N348" s="34">
        <f t="shared" si="90"/>
        <v>0</v>
      </c>
      <c r="O348" s="33">
        <f>L348*[1]!dcos(J348)</f>
        <v>5.5046422031646021</v>
      </c>
      <c r="P348" s="34">
        <f t="shared" si="91"/>
        <v>0</v>
      </c>
      <c r="Q348" s="35">
        <f>L348/[1]!dTAN(G348)-C348+$B$312</f>
        <v>0.78904980037289008</v>
      </c>
      <c r="R348" s="34">
        <f t="shared" si="92"/>
        <v>0</v>
      </c>
      <c r="S348" s="36">
        <f t="shared" si="93"/>
        <v>9707.9730798372129</v>
      </c>
      <c r="T348" s="40">
        <f t="shared" si="94"/>
        <v>9652.4129685261014</v>
      </c>
      <c r="U348" s="37">
        <f t="shared" si="95"/>
        <v>22.286430252233991</v>
      </c>
      <c r="V348" s="38">
        <f t="shared" si="88"/>
        <v>378</v>
      </c>
      <c r="W348" s="70"/>
      <c r="X348" s="71"/>
      <c r="Y348" s="71"/>
      <c r="Z348" s="72" t="s">
        <v>66</v>
      </c>
      <c r="AB348" s="56"/>
      <c r="AC348" s="56"/>
      <c r="AD348" s="56"/>
      <c r="AE348" s="56"/>
      <c r="AF348" s="56"/>
      <c r="AG348" s="56"/>
      <c r="AH348" s="56"/>
      <c r="AI348" s="56">
        <v>74</v>
      </c>
      <c r="AJ348" s="56">
        <v>320</v>
      </c>
      <c r="AK348" s="56">
        <v>378</v>
      </c>
      <c r="AL348" s="56">
        <v>1.45</v>
      </c>
      <c r="AM348" s="56" t="s">
        <v>731</v>
      </c>
      <c r="AN348" s="56">
        <v>64.215999999999994</v>
      </c>
      <c r="AO348" s="56" t="s">
        <v>732</v>
      </c>
      <c r="AP348" s="56" t="s">
        <v>66</v>
      </c>
      <c r="AQ348" s="56" t="s">
        <v>63</v>
      </c>
    </row>
    <row r="349" spans="1:43" x14ac:dyDescent="0.25">
      <c r="A349" s="8"/>
      <c r="B349" s="8"/>
      <c r="C349" s="8">
        <v>1.45</v>
      </c>
      <c r="D349" s="27"/>
      <c r="E349" s="28">
        <v>379</v>
      </c>
      <c r="F349" s="29" t="s">
        <v>733</v>
      </c>
      <c r="G349" s="10" t="s">
        <v>734</v>
      </c>
      <c r="H349" s="30">
        <f t="shared" si="89"/>
        <v>0</v>
      </c>
      <c r="I349" s="52" t="str">
        <f>[1]!Plus_ang(I348,[1]!Min_ang(F349,F348))</f>
        <v xml:space="preserve"> 85° 0' 51"</v>
      </c>
      <c r="J349" s="10" t="str">
        <f>[1]!Plus_ang([1]!Plus_ang(J348,[1]!Min_ang(F349,F348)),[1]!DestoDeg(H349/3600))</f>
        <v xml:space="preserve"> 85° 0' 51"</v>
      </c>
      <c r="K349" s="31">
        <v>63.706000000000003</v>
      </c>
      <c r="L349" s="32">
        <f>[1]!Jarakdatar(K349,G349)</f>
        <v>63.697856855799209</v>
      </c>
      <c r="M349" s="33">
        <f>L349*[1]!dsin(J349)</f>
        <v>63.456838009009758</v>
      </c>
      <c r="N349" s="34">
        <f t="shared" si="90"/>
        <v>0</v>
      </c>
      <c r="O349" s="33">
        <f>L349*[1]!dcos(J349)</f>
        <v>5.5359441760354731</v>
      </c>
      <c r="P349" s="34">
        <f t="shared" si="91"/>
        <v>0</v>
      </c>
      <c r="Q349" s="35">
        <f>L349/[1]!dTAN(G349)-C349+$B$312</f>
        <v>0.81856172032650076</v>
      </c>
      <c r="R349" s="34">
        <f t="shared" si="92"/>
        <v>0</v>
      </c>
      <c r="S349" s="36">
        <f t="shared" si="93"/>
        <v>9707.4579290487218</v>
      </c>
      <c r="T349" s="40">
        <f t="shared" si="94"/>
        <v>9652.4442704989724</v>
      </c>
      <c r="U349" s="37">
        <f t="shared" si="95"/>
        <v>22.315942172187601</v>
      </c>
      <c r="V349" s="38">
        <f t="shared" si="88"/>
        <v>379</v>
      </c>
      <c r="W349" s="70"/>
      <c r="X349" s="71"/>
      <c r="Y349" s="71"/>
      <c r="Z349" s="72" t="s">
        <v>3</v>
      </c>
      <c r="AB349" s="56"/>
      <c r="AC349" s="56"/>
      <c r="AD349" s="56"/>
      <c r="AE349" s="56"/>
      <c r="AF349" s="56"/>
      <c r="AG349" s="56"/>
      <c r="AH349" s="56"/>
      <c r="AI349" s="56">
        <v>76</v>
      </c>
      <c r="AJ349" s="56">
        <v>320</v>
      </c>
      <c r="AK349" s="56">
        <v>379</v>
      </c>
      <c r="AL349" s="56">
        <v>1.45</v>
      </c>
      <c r="AM349" s="56" t="s">
        <v>733</v>
      </c>
      <c r="AN349" s="56">
        <v>63.706000000000003</v>
      </c>
      <c r="AO349" s="56" t="s">
        <v>734</v>
      </c>
      <c r="AP349" s="56" t="s">
        <v>3</v>
      </c>
      <c r="AQ349" s="56" t="s">
        <v>63</v>
      </c>
    </row>
    <row r="350" spans="1:43" x14ac:dyDescent="0.25">
      <c r="A350" s="8"/>
      <c r="B350" s="8"/>
      <c r="C350" s="8">
        <v>1.45</v>
      </c>
      <c r="D350" s="27"/>
      <c r="E350" s="28">
        <v>380</v>
      </c>
      <c r="F350" s="29" t="s">
        <v>735</v>
      </c>
      <c r="G350" s="10" t="s">
        <v>736</v>
      </c>
      <c r="H350" s="30">
        <f t="shared" si="89"/>
        <v>0</v>
      </c>
      <c r="I350" s="52" t="str">
        <f>[1]!Plus_ang(I349,[1]!Min_ang(F350,F349))</f>
        <v xml:space="preserve"> 84° 3' 52"</v>
      </c>
      <c r="J350" s="10" t="str">
        <f>[1]!Plus_ang([1]!Plus_ang(J349,[1]!Min_ang(F350,F349)),[1]!DestoDeg(H350/3600))</f>
        <v xml:space="preserve"> 84° 3' 52"</v>
      </c>
      <c r="K350" s="31">
        <v>63.106000000000002</v>
      </c>
      <c r="L350" s="32">
        <f>[1]!Jarakdatar(K350,G350)</f>
        <v>63.097029033054277</v>
      </c>
      <c r="M350" s="33">
        <f>L350*[1]!dsin(J350)</f>
        <v>62.758755544101277</v>
      </c>
      <c r="N350" s="34">
        <f t="shared" si="90"/>
        <v>0</v>
      </c>
      <c r="O350" s="33">
        <f>L350*[1]!dcos(J350)</f>
        <v>6.5248506001157844</v>
      </c>
      <c r="P350" s="34">
        <f t="shared" si="91"/>
        <v>0</v>
      </c>
      <c r="Q350" s="35">
        <f>L350/[1]!dTAN(G350)-C350+$B$312</f>
        <v>0.86403157937423636</v>
      </c>
      <c r="R350" s="34">
        <f t="shared" si="92"/>
        <v>0</v>
      </c>
      <c r="S350" s="36">
        <f t="shared" si="93"/>
        <v>9706.7598465838128</v>
      </c>
      <c r="T350" s="40">
        <f t="shared" si="94"/>
        <v>9653.4331769230521</v>
      </c>
      <c r="U350" s="37">
        <f t="shared" si="95"/>
        <v>22.361412031235339</v>
      </c>
      <c r="V350" s="38">
        <f t="shared" si="88"/>
        <v>380</v>
      </c>
      <c r="W350" s="70"/>
      <c r="X350" s="71"/>
      <c r="Y350" s="71"/>
      <c r="Z350" s="72" t="s">
        <v>14</v>
      </c>
      <c r="AB350" s="56"/>
      <c r="AC350" s="56"/>
      <c r="AD350" s="56"/>
      <c r="AE350" s="56"/>
      <c r="AF350" s="56"/>
      <c r="AG350" s="56"/>
      <c r="AH350" s="56"/>
      <c r="AI350" s="56">
        <v>78</v>
      </c>
      <c r="AJ350" s="56">
        <v>320</v>
      </c>
      <c r="AK350" s="56">
        <v>380</v>
      </c>
      <c r="AL350" s="56">
        <v>1.45</v>
      </c>
      <c r="AM350" s="56" t="s">
        <v>735</v>
      </c>
      <c r="AN350" s="56">
        <v>63.106000000000002</v>
      </c>
      <c r="AO350" s="56" t="s">
        <v>736</v>
      </c>
      <c r="AP350" s="56" t="s">
        <v>14</v>
      </c>
      <c r="AQ350" s="56" t="s">
        <v>63</v>
      </c>
    </row>
    <row r="351" spans="1:43" x14ac:dyDescent="0.25">
      <c r="A351" s="8"/>
      <c r="B351" s="8"/>
      <c r="C351" s="8">
        <v>1.45</v>
      </c>
      <c r="D351" s="27"/>
      <c r="E351" s="28">
        <v>381</v>
      </c>
      <c r="F351" s="29" t="s">
        <v>737</v>
      </c>
      <c r="G351" s="10" t="s">
        <v>738</v>
      </c>
      <c r="H351" s="30">
        <f t="shared" si="89"/>
        <v>0</v>
      </c>
      <c r="I351" s="52" t="str">
        <f>[1]!Plus_ang(I350,[1]!Min_ang(F351,F350))</f>
        <v xml:space="preserve"> 83° 0' 50"</v>
      </c>
      <c r="J351" s="10" t="str">
        <f>[1]!Plus_ang([1]!Plus_ang(J350,[1]!Min_ang(F351,F350)),[1]!DestoDeg(H351/3600))</f>
        <v xml:space="preserve"> 83° 0' 50"</v>
      </c>
      <c r="K351" s="31">
        <v>62.253999999999998</v>
      </c>
      <c r="L351" s="32">
        <f>[1]!Jarakdatar(K351,G351)</f>
        <v>62.253988750574173</v>
      </c>
      <c r="M351" s="33">
        <f>L351*[1]!dsin(J351)</f>
        <v>61.791794248265212</v>
      </c>
      <c r="N351" s="34">
        <f t="shared" si="90"/>
        <v>0</v>
      </c>
      <c r="O351" s="33">
        <f>L351*[1]!dcos(J351)</f>
        <v>7.5718742023804202</v>
      </c>
      <c r="P351" s="34">
        <f t="shared" si="91"/>
        <v>0</v>
      </c>
      <c r="Q351" s="35">
        <f>L351/[1]!dTAN(G351)-C351+$B$312</f>
        <v>-0.23742517046643941</v>
      </c>
      <c r="R351" s="34">
        <f t="shared" si="92"/>
        <v>0</v>
      </c>
      <c r="S351" s="36">
        <f t="shared" si="93"/>
        <v>9705.7928852879777</v>
      </c>
      <c r="T351" s="40">
        <f t="shared" si="94"/>
        <v>9654.4802005253168</v>
      </c>
      <c r="U351" s="37">
        <f t="shared" si="95"/>
        <v>21.25995528139466</v>
      </c>
      <c r="V351" s="38">
        <f t="shared" si="88"/>
        <v>381</v>
      </c>
      <c r="W351" s="70"/>
      <c r="X351" s="71"/>
      <c r="Y351" s="71"/>
      <c r="Z351" s="72" t="s">
        <v>64</v>
      </c>
      <c r="AB351" s="56"/>
      <c r="AC351" s="56"/>
      <c r="AD351" s="56"/>
      <c r="AE351" s="56"/>
      <c r="AF351" s="56"/>
      <c r="AG351" s="56"/>
      <c r="AH351" s="56"/>
      <c r="AI351" s="56">
        <v>80</v>
      </c>
      <c r="AJ351" s="56">
        <v>320</v>
      </c>
      <c r="AK351" s="56">
        <v>381</v>
      </c>
      <c r="AL351" s="56">
        <v>1.45</v>
      </c>
      <c r="AM351" s="56" t="s">
        <v>737</v>
      </c>
      <c r="AN351" s="56">
        <v>62.253999999999998</v>
      </c>
      <c r="AO351" s="56" t="s">
        <v>738</v>
      </c>
      <c r="AP351" s="56" t="s">
        <v>64</v>
      </c>
      <c r="AQ351" s="56" t="s">
        <v>63</v>
      </c>
    </row>
    <row r="352" spans="1:43" x14ac:dyDescent="0.25">
      <c r="A352" s="8"/>
      <c r="B352" s="8"/>
      <c r="C352" s="8">
        <v>1.45</v>
      </c>
      <c r="D352" s="27"/>
      <c r="E352" s="28">
        <v>382</v>
      </c>
      <c r="F352" s="29" t="s">
        <v>739</v>
      </c>
      <c r="G352" s="10" t="s">
        <v>740</v>
      </c>
      <c r="H352" s="30">
        <f t="shared" si="89"/>
        <v>0</v>
      </c>
      <c r="I352" s="52" t="str">
        <f>[1]!Plus_ang(I351,[1]!Min_ang(F352,F351))</f>
        <v xml:space="preserve"> 49° 8' 51"</v>
      </c>
      <c r="J352" s="10" t="str">
        <f>[1]!Plus_ang([1]!Plus_ang(J351,[1]!Min_ang(F352,F351)),[1]!DestoDeg(H352/3600))</f>
        <v xml:space="preserve"> 49° 8' 51"</v>
      </c>
      <c r="K352" s="31">
        <v>48.432000000000002</v>
      </c>
      <c r="L352" s="32">
        <f>[1]!Jarakdatar(K352,G352)</f>
        <v>48.43192291894259</v>
      </c>
      <c r="M352" s="33">
        <f>L352*[1]!dsin(J352)</f>
        <v>36.633713254889827</v>
      </c>
      <c r="N352" s="34">
        <f t="shared" si="90"/>
        <v>0</v>
      </c>
      <c r="O352" s="33">
        <f>L352*[1]!dcos(J352)</f>
        <v>31.679997013650524</v>
      </c>
      <c r="P352" s="34">
        <f t="shared" si="91"/>
        <v>0</v>
      </c>
      <c r="Q352" s="35">
        <f>L352/[1]!dTAN(G352)-C352+$B$312</f>
        <v>-0.28640818018839198</v>
      </c>
      <c r="R352" s="34">
        <f t="shared" si="92"/>
        <v>0</v>
      </c>
      <c r="S352" s="36">
        <f t="shared" si="93"/>
        <v>9680.6348042946029</v>
      </c>
      <c r="T352" s="40">
        <f t="shared" si="94"/>
        <v>9678.5883233365876</v>
      </c>
      <c r="U352" s="37">
        <f t="shared" si="95"/>
        <v>21.210972271672709</v>
      </c>
      <c r="V352" s="38">
        <f t="shared" si="88"/>
        <v>382</v>
      </c>
      <c r="W352" s="70"/>
      <c r="X352" s="71"/>
      <c r="Y352" s="71"/>
      <c r="Z352" s="72" t="s">
        <v>64</v>
      </c>
      <c r="AB352" s="56"/>
      <c r="AC352" s="56"/>
      <c r="AD352" s="56"/>
      <c r="AE352" s="56"/>
      <c r="AF352" s="56"/>
      <c r="AG352" s="56"/>
      <c r="AH352" s="56"/>
      <c r="AI352" s="56">
        <v>82</v>
      </c>
      <c r="AJ352" s="56">
        <v>320</v>
      </c>
      <c r="AK352" s="56">
        <v>382</v>
      </c>
      <c r="AL352" s="56">
        <v>1.45</v>
      </c>
      <c r="AM352" s="56" t="s">
        <v>739</v>
      </c>
      <c r="AN352" s="56">
        <v>48.432000000000002</v>
      </c>
      <c r="AO352" s="56" t="s">
        <v>740</v>
      </c>
      <c r="AP352" s="56" t="s">
        <v>64</v>
      </c>
      <c r="AQ352" s="56" t="s">
        <v>63</v>
      </c>
    </row>
    <row r="353" spans="1:43" x14ac:dyDescent="0.25">
      <c r="A353" s="8"/>
      <c r="B353" s="8"/>
      <c r="C353" s="8">
        <v>1.45</v>
      </c>
      <c r="D353" s="27"/>
      <c r="E353" s="28">
        <v>383</v>
      </c>
      <c r="F353" s="29" t="s">
        <v>741</v>
      </c>
      <c r="G353" s="10" t="s">
        <v>742</v>
      </c>
      <c r="H353" s="30">
        <f t="shared" si="89"/>
        <v>0</v>
      </c>
      <c r="I353" s="52" t="str">
        <f>[1]!Plus_ang(I352,[1]!Min_ang(F353,F352))</f>
        <v xml:space="preserve"> 49° 8' 50"</v>
      </c>
      <c r="J353" s="10" t="str">
        <f>[1]!Plus_ang([1]!Plus_ang(J352,[1]!Min_ang(F353,F352)),[1]!DestoDeg(H353/3600))</f>
        <v xml:space="preserve"> 49° 8' 50"</v>
      </c>
      <c r="K353" s="31">
        <v>48.337000000000003</v>
      </c>
      <c r="L353" s="32">
        <f>[1]!Jarakdatar(K353,G353)</f>
        <v>48.336866926997857</v>
      </c>
      <c r="M353" s="33">
        <f>L353*[1]!dsin(J353)</f>
        <v>36.561659993906986</v>
      </c>
      <c r="N353" s="34">
        <f t="shared" si="90"/>
        <v>0</v>
      </c>
      <c r="O353" s="33">
        <f>L353*[1]!dcos(J353)</f>
        <v>31.617996818398225</v>
      </c>
      <c r="P353" s="34">
        <f t="shared" si="91"/>
        <v>0</v>
      </c>
      <c r="Q353" s="35">
        <f>L353/[1]!dTAN(G353)-C353+$B$312</f>
        <v>-0.31342258020914326</v>
      </c>
      <c r="R353" s="34">
        <f t="shared" si="92"/>
        <v>0</v>
      </c>
      <c r="S353" s="36">
        <f t="shared" si="93"/>
        <v>9680.5627510336199</v>
      </c>
      <c r="T353" s="40">
        <f t="shared" si="94"/>
        <v>9678.5263231413355</v>
      </c>
      <c r="U353" s="37">
        <f t="shared" si="95"/>
        <v>21.183957871651959</v>
      </c>
      <c r="V353" s="38">
        <f t="shared" si="88"/>
        <v>383</v>
      </c>
      <c r="W353" s="70"/>
      <c r="X353" s="71"/>
      <c r="Y353" s="71"/>
      <c r="Z353" s="72" t="s">
        <v>14</v>
      </c>
      <c r="AB353" s="56"/>
      <c r="AC353" s="56"/>
      <c r="AD353" s="56"/>
      <c r="AE353" s="56"/>
      <c r="AF353" s="56"/>
      <c r="AG353" s="56"/>
      <c r="AH353" s="56"/>
      <c r="AI353" s="56">
        <v>84</v>
      </c>
      <c r="AJ353" s="56">
        <v>320</v>
      </c>
      <c r="AK353" s="56">
        <v>383</v>
      </c>
      <c r="AL353" s="56">
        <v>1.45</v>
      </c>
      <c r="AM353" s="56" t="s">
        <v>741</v>
      </c>
      <c r="AN353" s="56">
        <v>48.337000000000003</v>
      </c>
      <c r="AO353" s="56" t="s">
        <v>742</v>
      </c>
      <c r="AP353" s="56" t="s">
        <v>14</v>
      </c>
      <c r="AQ353" s="56" t="s">
        <v>63</v>
      </c>
    </row>
    <row r="354" spans="1:43" x14ac:dyDescent="0.25">
      <c r="A354" s="8"/>
      <c r="B354" s="8"/>
      <c r="C354" s="8">
        <v>1.45</v>
      </c>
      <c r="D354" s="27"/>
      <c r="E354" s="28">
        <v>384</v>
      </c>
      <c r="F354" s="29" t="s">
        <v>743</v>
      </c>
      <c r="G354" s="10" t="s">
        <v>744</v>
      </c>
      <c r="H354" s="30">
        <f t="shared" si="89"/>
        <v>0</v>
      </c>
      <c r="I354" s="52" t="str">
        <f>[1]!Plus_ang(I353,[1]!Min_ang(F354,F353))</f>
        <v xml:space="preserve"> 45° 7' 58"</v>
      </c>
      <c r="J354" s="10" t="str">
        <f>[1]!Plus_ang([1]!Plus_ang(J353,[1]!Min_ang(F354,F353)),[1]!DestoDeg(H354/3600))</f>
        <v xml:space="preserve"> 45° 7' 58"</v>
      </c>
      <c r="K354" s="31">
        <v>48.003</v>
      </c>
      <c r="L354" s="32">
        <f>[1]!Jarakdatar(K354,G354)</f>
        <v>48.002965582289875</v>
      </c>
      <c r="M354" s="33">
        <f>L354*[1]!dsin(J354)</f>
        <v>34.021791608524047</v>
      </c>
      <c r="N354" s="34">
        <f t="shared" si="90"/>
        <v>0</v>
      </c>
      <c r="O354" s="33">
        <f>L354*[1]!dcos(J354)</f>
        <v>33.86447106394354</v>
      </c>
      <c r="P354" s="34">
        <f t="shared" si="91"/>
        <v>0</v>
      </c>
      <c r="Q354" s="35">
        <f>L354/[1]!dTAN(G354)-C354+$B$312</f>
        <v>-0.25748308876343562</v>
      </c>
      <c r="R354" s="34">
        <f t="shared" si="92"/>
        <v>0</v>
      </c>
      <c r="S354" s="36">
        <f t="shared" si="93"/>
        <v>9678.0228826482362</v>
      </c>
      <c r="T354" s="40">
        <f t="shared" si="94"/>
        <v>9680.7727973868805</v>
      </c>
      <c r="U354" s="37">
        <f t="shared" si="95"/>
        <v>21.239897363097665</v>
      </c>
      <c r="V354" s="38">
        <f t="shared" si="88"/>
        <v>384</v>
      </c>
      <c r="W354" s="70"/>
      <c r="X354" s="71"/>
      <c r="Y354" s="71"/>
      <c r="Z354" s="72" t="s">
        <v>3</v>
      </c>
      <c r="AB354" s="56"/>
      <c r="AC354" s="56"/>
      <c r="AD354" s="56"/>
      <c r="AE354" s="56"/>
      <c r="AF354" s="56"/>
      <c r="AG354" s="56"/>
      <c r="AH354" s="56"/>
      <c r="AI354" s="56">
        <v>86</v>
      </c>
      <c r="AJ354" s="56">
        <v>320</v>
      </c>
      <c r="AK354" s="56">
        <v>384</v>
      </c>
      <c r="AL354" s="56">
        <v>1.45</v>
      </c>
      <c r="AM354" s="56" t="s">
        <v>743</v>
      </c>
      <c r="AN354" s="56">
        <v>48.003</v>
      </c>
      <c r="AO354" s="56" t="s">
        <v>744</v>
      </c>
      <c r="AP354" s="56" t="s">
        <v>3</v>
      </c>
      <c r="AQ354" s="56" t="s">
        <v>63</v>
      </c>
    </row>
    <row r="355" spans="1:43" x14ac:dyDescent="0.25">
      <c r="A355" s="8"/>
      <c r="B355" s="8"/>
      <c r="C355" s="8">
        <v>1.45</v>
      </c>
      <c r="D355" s="27"/>
      <c r="E355" s="28">
        <v>385</v>
      </c>
      <c r="F355" s="29" t="s">
        <v>745</v>
      </c>
      <c r="G355" s="10" t="s">
        <v>746</v>
      </c>
      <c r="H355" s="30">
        <f t="shared" si="89"/>
        <v>0</v>
      </c>
      <c r="I355" s="52" t="str">
        <f>[1]!Plus_ang(I354,[1]!Min_ang(F355,F354))</f>
        <v xml:space="preserve"> 43° 3' 54"</v>
      </c>
      <c r="J355" s="10" t="str">
        <f>[1]!Plus_ang([1]!Plus_ang(J354,[1]!Min_ang(F355,F354)),[1]!DestoDeg(H355/3600))</f>
        <v xml:space="preserve"> 43° 3' 54"</v>
      </c>
      <c r="K355" s="31">
        <v>47.975999999999999</v>
      </c>
      <c r="L355" s="32">
        <f>[1]!Jarakdatar(K355,G355)</f>
        <v>47.975923644680989</v>
      </c>
      <c r="M355" s="33">
        <f>L355*[1]!dsin(J355)</f>
        <v>32.759285542342283</v>
      </c>
      <c r="N355" s="34">
        <f t="shared" si="90"/>
        <v>0</v>
      </c>
      <c r="O355" s="33">
        <f>L355*[1]!dcos(J355)</f>
        <v>35.050227678512229</v>
      </c>
      <c r="P355" s="34">
        <f t="shared" si="91"/>
        <v>0</v>
      </c>
      <c r="Q355" s="35">
        <f>L355/[1]!dTAN(G355)-C355+$B$312</f>
        <v>-0.28559462447799588</v>
      </c>
      <c r="R355" s="34">
        <f t="shared" si="92"/>
        <v>0</v>
      </c>
      <c r="S355" s="36">
        <f t="shared" si="93"/>
        <v>9676.760376582055</v>
      </c>
      <c r="T355" s="40">
        <f t="shared" si="94"/>
        <v>9681.9585540014486</v>
      </c>
      <c r="U355" s="37">
        <f t="shared" si="95"/>
        <v>21.211785827383107</v>
      </c>
      <c r="V355" s="38">
        <f t="shared" si="88"/>
        <v>385</v>
      </c>
      <c r="W355" s="70"/>
      <c r="X355" s="71"/>
      <c r="Y355" s="71"/>
      <c r="Z355" s="72" t="s">
        <v>3</v>
      </c>
      <c r="AB355" s="56"/>
      <c r="AC355" s="56"/>
      <c r="AD355" s="56"/>
      <c r="AE355" s="56"/>
      <c r="AF355" s="56"/>
      <c r="AG355" s="56"/>
      <c r="AH355" s="56"/>
      <c r="AI355" s="56">
        <v>88</v>
      </c>
      <c r="AJ355" s="56">
        <v>320</v>
      </c>
      <c r="AK355" s="56">
        <v>385</v>
      </c>
      <c r="AL355" s="56">
        <v>1.45</v>
      </c>
      <c r="AM355" s="56" t="s">
        <v>745</v>
      </c>
      <c r="AN355" s="56">
        <v>47.975999999999999</v>
      </c>
      <c r="AO355" s="56" t="s">
        <v>746</v>
      </c>
      <c r="AP355" s="56" t="s">
        <v>3</v>
      </c>
      <c r="AQ355" s="56" t="s">
        <v>63</v>
      </c>
    </row>
    <row r="356" spans="1:43" x14ac:dyDescent="0.25">
      <c r="A356" s="8"/>
      <c r="B356" s="8"/>
      <c r="C356" s="8">
        <v>1.45</v>
      </c>
      <c r="D356" s="27"/>
      <c r="E356" s="28">
        <v>386</v>
      </c>
      <c r="F356" s="29" t="s">
        <v>747</v>
      </c>
      <c r="G356" s="10" t="s">
        <v>748</v>
      </c>
      <c r="H356" s="30">
        <f t="shared" si="89"/>
        <v>0</v>
      </c>
      <c r="I356" s="52" t="str">
        <f>[1]!Plus_ang(I355,[1]!Min_ang(F356,F355))</f>
        <v xml:space="preserve"> 36° 59' 49"</v>
      </c>
      <c r="J356" s="10" t="str">
        <f>[1]!Plus_ang([1]!Plus_ang(J355,[1]!Min_ang(F356,F355)),[1]!DestoDeg(H356/3600))</f>
        <v xml:space="preserve"> 36° 59' 49"</v>
      </c>
      <c r="K356" s="31">
        <v>47.765000000000001</v>
      </c>
      <c r="L356" s="32">
        <f>[1]!Jarakdatar(K356,G356)</f>
        <v>47.655332585580879</v>
      </c>
      <c r="M356" s="33">
        <f>L356*[1]!dsin(J356)</f>
        <v>28.677665362055812</v>
      </c>
      <c r="N356" s="34">
        <f t="shared" si="90"/>
        <v>0</v>
      </c>
      <c r="O356" s="33">
        <f>L356*[1]!dcos(J356)</f>
        <v>38.060770265777215</v>
      </c>
      <c r="P356" s="34">
        <f t="shared" si="91"/>
        <v>0</v>
      </c>
      <c r="Q356" s="35">
        <f>L356/[1]!dTAN(G356)-C356+$B$312</f>
        <v>3.0348881213534575</v>
      </c>
      <c r="R356" s="34">
        <f t="shared" si="92"/>
        <v>0</v>
      </c>
      <c r="S356" s="36">
        <f t="shared" si="93"/>
        <v>9672.6787564017686</v>
      </c>
      <c r="T356" s="40">
        <f t="shared" si="94"/>
        <v>9684.9690965887148</v>
      </c>
      <c r="U356" s="37">
        <f t="shared" si="95"/>
        <v>24.532268573214559</v>
      </c>
      <c r="V356" s="38">
        <f t="shared" si="88"/>
        <v>386</v>
      </c>
      <c r="W356" s="70"/>
      <c r="X356" s="71"/>
      <c r="Y356" s="71"/>
      <c r="Z356" s="72" t="s">
        <v>3</v>
      </c>
      <c r="AB356" s="56"/>
      <c r="AC356" s="56"/>
      <c r="AD356" s="56"/>
      <c r="AE356" s="56"/>
      <c r="AF356" s="56"/>
      <c r="AG356" s="56"/>
      <c r="AH356" s="56"/>
      <c r="AI356" s="56">
        <v>90</v>
      </c>
      <c r="AJ356" s="56">
        <v>320</v>
      </c>
      <c r="AK356" s="56">
        <v>386</v>
      </c>
      <c r="AL356" s="56">
        <v>1.45</v>
      </c>
      <c r="AM356" s="56" t="s">
        <v>747</v>
      </c>
      <c r="AN356" s="56">
        <v>47.765000000000001</v>
      </c>
      <c r="AO356" s="56" t="s">
        <v>748</v>
      </c>
      <c r="AP356" s="56" t="s">
        <v>3</v>
      </c>
      <c r="AQ356" s="56" t="s">
        <v>63</v>
      </c>
    </row>
    <row r="357" spans="1:43" x14ac:dyDescent="0.25">
      <c r="A357" s="8"/>
      <c r="B357" s="8"/>
      <c r="C357" s="8">
        <v>1.45</v>
      </c>
      <c r="D357" s="27"/>
      <c r="E357" s="28">
        <v>387</v>
      </c>
      <c r="F357" s="29" t="s">
        <v>749</v>
      </c>
      <c r="G357" s="10" t="s">
        <v>750</v>
      </c>
      <c r="H357" s="30">
        <f t="shared" si="89"/>
        <v>0</v>
      </c>
      <c r="I357" s="52" t="str">
        <f>[1]!Plus_ang(I356,[1]!Min_ang(F357,F356))</f>
        <v xml:space="preserve"> 33° 7' 51"</v>
      </c>
      <c r="J357" s="10" t="str">
        <f>[1]!Plus_ang([1]!Plus_ang(J356,[1]!Min_ang(F357,F356)),[1]!DestoDeg(H357/3600))</f>
        <v xml:space="preserve"> 33° 7' 51"</v>
      </c>
      <c r="K357" s="31">
        <v>47.813000000000002</v>
      </c>
      <c r="L357" s="32">
        <f>[1]!Jarakdatar(K357,G357)</f>
        <v>47.700394305833484</v>
      </c>
      <c r="M357" s="33">
        <f>L357*[1]!dsin(J357)</f>
        <v>26.070779038320655</v>
      </c>
      <c r="N357" s="34">
        <f t="shared" si="90"/>
        <v>0</v>
      </c>
      <c r="O357" s="33">
        <f>L357*[1]!dcos(J357)</f>
        <v>39.945489072823371</v>
      </c>
      <c r="P357" s="34">
        <f t="shared" si="91"/>
        <v>0</v>
      </c>
      <c r="Q357" s="35">
        <f>L357/[1]!dTAN(G357)-C357+$B$312</f>
        <v>3.0795353433083728</v>
      </c>
      <c r="R357" s="34">
        <f t="shared" si="92"/>
        <v>0</v>
      </c>
      <c r="S357" s="36">
        <f t="shared" si="93"/>
        <v>9670.0718700780326</v>
      </c>
      <c r="T357" s="40">
        <f t="shared" si="94"/>
        <v>9686.8538153957597</v>
      </c>
      <c r="U357" s="37">
        <f t="shared" si="95"/>
        <v>24.576915795169473</v>
      </c>
      <c r="V357" s="38">
        <f t="shared" si="88"/>
        <v>387</v>
      </c>
      <c r="W357" s="70"/>
      <c r="X357" s="71"/>
      <c r="Y357" s="71"/>
      <c r="Z357" s="72" t="s">
        <v>3</v>
      </c>
      <c r="AB357" s="56"/>
      <c r="AC357" s="56"/>
      <c r="AD357" s="56"/>
      <c r="AE357" s="56"/>
      <c r="AF357" s="56"/>
      <c r="AG357" s="56"/>
      <c r="AH357" s="56"/>
      <c r="AI357" s="56">
        <v>92</v>
      </c>
      <c r="AJ357" s="56">
        <v>320</v>
      </c>
      <c r="AK357" s="56">
        <v>387</v>
      </c>
      <c r="AL357" s="56">
        <v>1.45</v>
      </c>
      <c r="AM357" s="56" t="s">
        <v>749</v>
      </c>
      <c r="AN357" s="56">
        <v>47.813000000000002</v>
      </c>
      <c r="AO357" s="56" t="s">
        <v>750</v>
      </c>
      <c r="AP357" s="56" t="s">
        <v>3</v>
      </c>
      <c r="AQ357" s="56" t="s">
        <v>63</v>
      </c>
    </row>
    <row r="358" spans="1:43" x14ac:dyDescent="0.25">
      <c r="A358" s="8"/>
      <c r="B358" s="8"/>
      <c r="C358" s="8">
        <v>2.5</v>
      </c>
      <c r="D358" s="27"/>
      <c r="E358" s="28">
        <v>388</v>
      </c>
      <c r="F358" s="29" t="s">
        <v>751</v>
      </c>
      <c r="G358" s="10" t="s">
        <v>752</v>
      </c>
      <c r="H358" s="30">
        <f t="shared" si="89"/>
        <v>0</v>
      </c>
      <c r="I358" s="52" t="str">
        <f>[1]!Plus_ang(I357,[1]!Min_ang(F358,F357))</f>
        <v xml:space="preserve"> 136° 3' 56"</v>
      </c>
      <c r="J358" s="10" t="str">
        <f>[1]!Plus_ang([1]!Plus_ang(J357,[1]!Min_ang(F358,F357)),[1]!DestoDeg(H358/3600))</f>
        <v xml:space="preserve"> 136° 3' 56"</v>
      </c>
      <c r="K358" s="31">
        <v>9.3350000000000009</v>
      </c>
      <c r="L358" s="32">
        <f>[1]!Jarakdatar(K358,G358)</f>
        <v>8.919902357351928</v>
      </c>
      <c r="M358" s="33">
        <f>L358*[1]!dsin(J358)</f>
        <v>6.1889393452989436</v>
      </c>
      <c r="N358" s="34">
        <f t="shared" si="90"/>
        <v>0</v>
      </c>
      <c r="O358" s="33">
        <f>L358*[1]!dcos(J358)</f>
        <v>-6.423526122380383</v>
      </c>
      <c r="P358" s="34">
        <f t="shared" si="91"/>
        <v>0</v>
      </c>
      <c r="Q358" s="35">
        <f>L358/[1]!dTAN(G358)-C358+$B$312</f>
        <v>-4.0027380796776733</v>
      </c>
      <c r="R358" s="34">
        <f t="shared" si="92"/>
        <v>0</v>
      </c>
      <c r="S358" s="36">
        <f t="shared" si="93"/>
        <v>9650.1900303850107</v>
      </c>
      <c r="T358" s="40">
        <f t="shared" si="94"/>
        <v>9640.4848002005565</v>
      </c>
      <c r="U358" s="37">
        <f t="shared" si="95"/>
        <v>17.494642372183428</v>
      </c>
      <c r="V358" s="38">
        <f t="shared" si="88"/>
        <v>388</v>
      </c>
      <c r="W358" s="70"/>
      <c r="X358" s="71"/>
      <c r="Y358" s="71"/>
      <c r="Z358" s="72" t="s">
        <v>65</v>
      </c>
      <c r="AB358" s="56"/>
      <c r="AC358" s="56"/>
      <c r="AD358" s="56"/>
      <c r="AE358" s="56"/>
      <c r="AF358" s="56"/>
      <c r="AG358" s="56"/>
      <c r="AH358" s="56"/>
      <c r="AI358" s="56">
        <v>94</v>
      </c>
      <c r="AJ358" s="56">
        <v>320</v>
      </c>
      <c r="AK358" s="56">
        <v>388</v>
      </c>
      <c r="AL358" s="56">
        <v>2.5</v>
      </c>
      <c r="AM358" s="56" t="s">
        <v>751</v>
      </c>
      <c r="AN358" s="56">
        <v>9.3350000000000009</v>
      </c>
      <c r="AO358" s="56" t="s">
        <v>752</v>
      </c>
      <c r="AP358" s="56" t="s">
        <v>65</v>
      </c>
      <c r="AQ358" s="56" t="s">
        <v>63</v>
      </c>
    </row>
    <row r="359" spans="1:43" x14ac:dyDescent="0.25">
      <c r="A359" s="8"/>
      <c r="B359" s="8"/>
      <c r="C359" s="8">
        <v>2.5</v>
      </c>
      <c r="D359" s="27"/>
      <c r="E359" s="28">
        <v>389</v>
      </c>
      <c r="F359" s="29" t="s">
        <v>753</v>
      </c>
      <c r="G359" s="10" t="s">
        <v>754</v>
      </c>
      <c r="H359" s="30">
        <f t="shared" si="89"/>
        <v>0</v>
      </c>
      <c r="I359" s="52" t="str">
        <f>[1]!Plus_ang(I358,[1]!Min_ang(F359,F358))</f>
        <v xml:space="preserve"> 136° 3' 56"</v>
      </c>
      <c r="J359" s="10" t="str">
        <f>[1]!Plus_ang([1]!Plus_ang(J358,[1]!Min_ang(F359,F358)),[1]!DestoDeg(H359/3600))</f>
        <v xml:space="preserve"> 136° 3' 56"</v>
      </c>
      <c r="K359" s="31">
        <v>19.3</v>
      </c>
      <c r="L359" s="32">
        <f>[1]!Jarakdatar(K359,G359)</f>
        <v>19.108996047103641</v>
      </c>
      <c r="M359" s="33">
        <f>L359*[1]!dsin(J359)</f>
        <v>13.258487901227557</v>
      </c>
      <c r="N359" s="34">
        <f t="shared" si="90"/>
        <v>0</v>
      </c>
      <c r="O359" s="33">
        <f>L359*[1]!dcos(J359)</f>
        <v>-13.761040240520519</v>
      </c>
      <c r="P359" s="34">
        <f t="shared" si="91"/>
        <v>0</v>
      </c>
      <c r="Q359" s="35">
        <f>L359/[1]!dTAN(G359)-C359+$B$312</f>
        <v>-3.9585549785406737</v>
      </c>
      <c r="R359" s="34">
        <f t="shared" si="92"/>
        <v>0</v>
      </c>
      <c r="S359" s="36">
        <f t="shared" si="93"/>
        <v>9657.2595789409406</v>
      </c>
      <c r="T359" s="40">
        <f t="shared" si="94"/>
        <v>9633.147286082416</v>
      </c>
      <c r="U359" s="37">
        <f t="shared" si="95"/>
        <v>17.538825473320429</v>
      </c>
      <c r="V359" s="38">
        <f t="shared" si="88"/>
        <v>389</v>
      </c>
      <c r="W359" s="70"/>
      <c r="X359" s="71"/>
      <c r="Y359" s="71"/>
      <c r="Z359" s="72" t="s">
        <v>65</v>
      </c>
      <c r="AB359" s="56"/>
      <c r="AC359" s="56"/>
      <c r="AD359" s="56"/>
      <c r="AE359" s="56"/>
      <c r="AF359" s="56"/>
      <c r="AG359" s="56"/>
      <c r="AH359" s="56"/>
      <c r="AI359" s="56">
        <v>96</v>
      </c>
      <c r="AJ359" s="56">
        <v>320</v>
      </c>
      <c r="AK359" s="56">
        <v>389</v>
      </c>
      <c r="AL359" s="56">
        <v>2.5</v>
      </c>
      <c r="AM359" s="56" t="s">
        <v>753</v>
      </c>
      <c r="AN359" s="56">
        <v>19.3</v>
      </c>
      <c r="AO359" s="56" t="s">
        <v>754</v>
      </c>
      <c r="AP359" s="56" t="s">
        <v>65</v>
      </c>
      <c r="AQ359" s="56" t="s">
        <v>63</v>
      </c>
    </row>
    <row r="360" spans="1:43" x14ac:dyDescent="0.25">
      <c r="A360" s="8"/>
      <c r="B360" s="8"/>
      <c r="C360" s="8">
        <v>2.5</v>
      </c>
      <c r="D360" s="27"/>
      <c r="E360" s="28">
        <v>390</v>
      </c>
      <c r="F360" s="29" t="s">
        <v>755</v>
      </c>
      <c r="G360" s="10" t="s">
        <v>756</v>
      </c>
      <c r="H360" s="30">
        <f t="shared" si="89"/>
        <v>0</v>
      </c>
      <c r="I360" s="52" t="str">
        <f>[1]!Plus_ang(I359,[1]!Min_ang(F360,F359))</f>
        <v xml:space="preserve"> 136° 3' 53"</v>
      </c>
      <c r="J360" s="10" t="str">
        <f>[1]!Plus_ang([1]!Plus_ang(J359,[1]!Min_ang(F360,F359)),[1]!DestoDeg(H360/3600))</f>
        <v xml:space="preserve"> 136° 3' 53"</v>
      </c>
      <c r="K360" s="31">
        <v>29.655000000000001</v>
      </c>
      <c r="L360" s="32">
        <f>[1]!Jarakdatar(K360,G360)</f>
        <v>29.541400691355509</v>
      </c>
      <c r="M360" s="33">
        <f>L360*[1]!dsin(J360)</f>
        <v>20.497163495368067</v>
      </c>
      <c r="N360" s="34">
        <f t="shared" si="90"/>
        <v>0</v>
      </c>
      <c r="O360" s="33">
        <f>L360*[1]!dcos(J360)</f>
        <v>-21.273472764251974</v>
      </c>
      <c r="P360" s="34">
        <f t="shared" si="91"/>
        <v>0</v>
      </c>
      <c r="Q360" s="35">
        <f>L360/[1]!dTAN(G360)-C360+$B$312</f>
        <v>-3.8431969059021078</v>
      </c>
      <c r="R360" s="34">
        <f t="shared" si="92"/>
        <v>0</v>
      </c>
      <c r="S360" s="36">
        <f t="shared" si="93"/>
        <v>9664.4982545350795</v>
      </c>
      <c r="T360" s="40">
        <f t="shared" si="94"/>
        <v>9625.634853558684</v>
      </c>
      <c r="U360" s="37">
        <f t="shared" si="95"/>
        <v>17.654183545958993</v>
      </c>
      <c r="V360" s="38">
        <f t="shared" si="88"/>
        <v>390</v>
      </c>
      <c r="W360" s="70"/>
      <c r="X360" s="71"/>
      <c r="Y360" s="71"/>
      <c r="Z360" s="72" t="s">
        <v>65</v>
      </c>
      <c r="AB360" s="56"/>
      <c r="AC360" s="56"/>
      <c r="AD360" s="56"/>
      <c r="AE360" s="56"/>
      <c r="AF360" s="56"/>
      <c r="AG360" s="56"/>
      <c r="AH360" s="56"/>
      <c r="AI360" s="56">
        <v>98</v>
      </c>
      <c r="AJ360" s="56">
        <v>320</v>
      </c>
      <c r="AK360" s="56">
        <v>390</v>
      </c>
      <c r="AL360" s="56">
        <v>2.5</v>
      </c>
      <c r="AM360" s="56" t="s">
        <v>755</v>
      </c>
      <c r="AN360" s="56">
        <v>29.655000000000001</v>
      </c>
      <c r="AO360" s="56" t="s">
        <v>756</v>
      </c>
      <c r="AP360" s="56" t="s">
        <v>65</v>
      </c>
      <c r="AQ360" s="56" t="s">
        <v>63</v>
      </c>
    </row>
    <row r="361" spans="1:43" x14ac:dyDescent="0.25">
      <c r="A361" s="8"/>
      <c r="B361" s="8"/>
      <c r="C361" s="8">
        <v>2.5</v>
      </c>
      <c r="D361" s="27"/>
      <c r="E361" s="28">
        <v>391</v>
      </c>
      <c r="F361" s="29" t="s">
        <v>757</v>
      </c>
      <c r="G361" s="10" t="s">
        <v>758</v>
      </c>
      <c r="H361" s="30">
        <f t="shared" si="89"/>
        <v>0</v>
      </c>
      <c r="I361" s="52" t="str">
        <f>[1]!Plus_ang(I360,[1]!Min_ang(F361,F360))</f>
        <v xml:space="preserve"> 136° 3' 53"</v>
      </c>
      <c r="J361" s="10" t="str">
        <f>[1]!Plus_ang([1]!Plus_ang(J360,[1]!Min_ang(F361,F360)),[1]!DestoDeg(H361/3600))</f>
        <v xml:space="preserve"> 136° 3' 53"</v>
      </c>
      <c r="K361" s="31">
        <v>36.359000000000002</v>
      </c>
      <c r="L361" s="32">
        <f>[1]!Jarakdatar(K361,G361)</f>
        <v>36.335673125261259</v>
      </c>
      <c r="M361" s="33">
        <f>L361*[1]!dsin(J361)</f>
        <v>25.21133782869919</v>
      </c>
      <c r="N361" s="34">
        <f t="shared" si="90"/>
        <v>0</v>
      </c>
      <c r="O361" s="33">
        <f>L361*[1]!dcos(J361)</f>
        <v>-26.166191666978104</v>
      </c>
      <c r="P361" s="34">
        <f t="shared" si="91"/>
        <v>0</v>
      </c>
      <c r="Q361" s="35">
        <f>L361/[1]!dTAN(G361)-C361+$B$312</f>
        <v>-2.5522056420423986</v>
      </c>
      <c r="R361" s="34">
        <f t="shared" si="92"/>
        <v>0</v>
      </c>
      <c r="S361" s="36">
        <f t="shared" si="93"/>
        <v>9669.2124288684117</v>
      </c>
      <c r="T361" s="40">
        <f t="shared" si="94"/>
        <v>9620.7421346559586</v>
      </c>
      <c r="U361" s="37">
        <f t="shared" si="95"/>
        <v>18.945174809818702</v>
      </c>
      <c r="V361" s="38">
        <f t="shared" si="88"/>
        <v>391</v>
      </c>
      <c r="W361" s="70"/>
      <c r="X361" s="71"/>
      <c r="Y361" s="71"/>
      <c r="Z361" s="72" t="s">
        <v>64</v>
      </c>
      <c r="AB361" s="56"/>
      <c r="AC361" s="56"/>
      <c r="AD361" s="56"/>
      <c r="AE361" s="56"/>
      <c r="AF361" s="56"/>
      <c r="AG361" s="56"/>
      <c r="AH361" s="56"/>
      <c r="AI361" s="56">
        <v>100</v>
      </c>
      <c r="AJ361" s="56">
        <v>320</v>
      </c>
      <c r="AK361" s="56">
        <v>391</v>
      </c>
      <c r="AL361" s="56">
        <v>2.5</v>
      </c>
      <c r="AM361" s="56" t="s">
        <v>757</v>
      </c>
      <c r="AN361" s="56">
        <v>36.359000000000002</v>
      </c>
      <c r="AO361" s="56" t="s">
        <v>758</v>
      </c>
      <c r="AP361" s="56" t="s">
        <v>64</v>
      </c>
      <c r="AQ361" s="56" t="s">
        <v>63</v>
      </c>
    </row>
    <row r="362" spans="1:43" x14ac:dyDescent="0.25">
      <c r="A362" s="8"/>
      <c r="B362" s="8"/>
      <c r="C362" s="8">
        <v>2.5</v>
      </c>
      <c r="D362" s="27"/>
      <c r="E362" s="28">
        <v>392</v>
      </c>
      <c r="F362" s="29" t="s">
        <v>759</v>
      </c>
      <c r="G362" s="10" t="s">
        <v>760</v>
      </c>
      <c r="H362" s="30">
        <f t="shared" si="89"/>
        <v>0</v>
      </c>
      <c r="I362" s="52" t="str">
        <f>[1]!Plus_ang(I361,[1]!Min_ang(F362,F361))</f>
        <v xml:space="preserve"> 136° 3' 55"</v>
      </c>
      <c r="J362" s="10" t="str">
        <f>[1]!Plus_ang([1]!Plus_ang(J361,[1]!Min_ang(F362,F361)),[1]!DestoDeg(H362/3600))</f>
        <v xml:space="preserve"> 136° 3' 55"</v>
      </c>
      <c r="K362" s="31">
        <v>7.6319999999999997</v>
      </c>
      <c r="L362" s="32">
        <f>[1]!Jarakdatar(K362,G362)</f>
        <v>7.4619060750433563</v>
      </c>
      <c r="M362" s="33">
        <f>L362*[1]!dsin(J362)</f>
        <v>5.1773567274343044</v>
      </c>
      <c r="N362" s="34">
        <f t="shared" si="90"/>
        <v>0</v>
      </c>
      <c r="O362" s="33">
        <f>L362*[1]!dcos(J362)</f>
        <v>-5.373548137837763</v>
      </c>
      <c r="P362" s="34">
        <f t="shared" si="91"/>
        <v>0</v>
      </c>
      <c r="Q362" s="35">
        <f>L362/[1]!dTAN(G362)-C362+$B$312</f>
        <v>-2.8523051292531756</v>
      </c>
      <c r="R362" s="34">
        <f t="shared" si="92"/>
        <v>0</v>
      </c>
      <c r="S362" s="36">
        <f t="shared" si="93"/>
        <v>9649.1784477671463</v>
      </c>
      <c r="T362" s="40">
        <f t="shared" si="94"/>
        <v>9641.5347781850996</v>
      </c>
      <c r="U362" s="37">
        <f t="shared" si="95"/>
        <v>18.645075322607926</v>
      </c>
      <c r="V362" s="38">
        <f t="shared" si="88"/>
        <v>392</v>
      </c>
      <c r="W362" s="70"/>
      <c r="X362" s="71"/>
      <c r="Y362" s="71"/>
      <c r="Z362" s="72" t="s">
        <v>64</v>
      </c>
      <c r="AB362" s="56"/>
      <c r="AC362" s="56"/>
      <c r="AD362" s="56"/>
      <c r="AE362" s="56"/>
      <c r="AF362" s="56"/>
      <c r="AG362" s="56"/>
      <c r="AH362" s="56"/>
      <c r="AI362" s="56">
        <v>102</v>
      </c>
      <c r="AJ362" s="56">
        <v>320</v>
      </c>
      <c r="AK362" s="56">
        <v>392</v>
      </c>
      <c r="AL362" s="56">
        <v>2.5</v>
      </c>
      <c r="AM362" s="56" t="s">
        <v>759</v>
      </c>
      <c r="AN362" s="56">
        <v>7.6319999999999997</v>
      </c>
      <c r="AO362" s="56" t="s">
        <v>760</v>
      </c>
      <c r="AP362" s="56" t="s">
        <v>64</v>
      </c>
      <c r="AQ362" s="56" t="s">
        <v>63</v>
      </c>
    </row>
    <row r="363" spans="1:43" x14ac:dyDescent="0.25">
      <c r="A363" s="8"/>
      <c r="B363" s="8"/>
      <c r="C363" s="8">
        <v>2.5</v>
      </c>
      <c r="D363" s="27"/>
      <c r="E363" s="28">
        <v>393</v>
      </c>
      <c r="F363" s="29" t="s">
        <v>761</v>
      </c>
      <c r="G363" s="10" t="s">
        <v>762</v>
      </c>
      <c r="H363" s="30">
        <f t="shared" si="89"/>
        <v>0</v>
      </c>
      <c r="I363" s="52" t="str">
        <f>[1]!Plus_ang(I362,[1]!Min_ang(F363,F362))</f>
        <v xml:space="preserve"> 136° 3' 54"</v>
      </c>
      <c r="J363" s="10" t="str">
        <f>[1]!Plus_ang([1]!Plus_ang(J362,[1]!Min_ang(F363,F362)),[1]!DestoDeg(H363/3600))</f>
        <v xml:space="preserve"> 136° 3' 54"</v>
      </c>
      <c r="K363" s="31">
        <v>6.149</v>
      </c>
      <c r="L363" s="32">
        <f>[1]!Jarakdatar(K363,G363)</f>
        <v>5.9885116722415574</v>
      </c>
      <c r="M363" s="33">
        <f>L363*[1]!dsin(J363)</f>
        <v>4.1550800683246223</v>
      </c>
      <c r="N363" s="34">
        <f t="shared" si="90"/>
        <v>0</v>
      </c>
      <c r="O363" s="33">
        <f>L363*[1]!dcos(J363)</f>
        <v>-4.3124913535431952</v>
      </c>
      <c r="P363" s="34">
        <f t="shared" si="91"/>
        <v>0</v>
      </c>
      <c r="Q363" s="35">
        <f>L363/[1]!dTAN(G363)-C363+$B$312</f>
        <v>-2.6456822530313353</v>
      </c>
      <c r="R363" s="34">
        <f t="shared" si="92"/>
        <v>0</v>
      </c>
      <c r="S363" s="36">
        <f t="shared" si="93"/>
        <v>9648.1561711080376</v>
      </c>
      <c r="T363" s="40">
        <f t="shared" si="94"/>
        <v>9642.5958349693938</v>
      </c>
      <c r="U363" s="37">
        <f t="shared" si="95"/>
        <v>18.851698198829766</v>
      </c>
      <c r="V363" s="38">
        <f t="shared" si="88"/>
        <v>393</v>
      </c>
      <c r="W363" s="70"/>
      <c r="X363" s="71"/>
      <c r="Y363" s="71"/>
      <c r="Z363" s="72" t="s">
        <v>64</v>
      </c>
      <c r="AB363" s="56"/>
      <c r="AC363" s="56"/>
      <c r="AD363" s="56"/>
      <c r="AE363" s="56"/>
      <c r="AF363" s="56"/>
      <c r="AG363" s="56"/>
      <c r="AH363" s="56"/>
      <c r="AI363" s="56">
        <v>104</v>
      </c>
      <c r="AJ363" s="56">
        <v>320</v>
      </c>
      <c r="AK363" s="56">
        <v>393</v>
      </c>
      <c r="AL363" s="56">
        <v>2.5</v>
      </c>
      <c r="AM363" s="56" t="s">
        <v>761</v>
      </c>
      <c r="AN363" s="56">
        <v>6.149</v>
      </c>
      <c r="AO363" s="56" t="s">
        <v>762</v>
      </c>
      <c r="AP363" s="56" t="s">
        <v>64</v>
      </c>
      <c r="AQ363" s="56" t="s">
        <v>63</v>
      </c>
    </row>
    <row r="364" spans="1:43" x14ac:dyDescent="0.25">
      <c r="A364" s="8"/>
      <c r="B364" s="8"/>
      <c r="C364" s="8">
        <v>1.45</v>
      </c>
      <c r="D364" s="27"/>
      <c r="E364" s="28">
        <v>394</v>
      </c>
      <c r="F364" s="29" t="s">
        <v>425</v>
      </c>
      <c r="G364" s="10" t="s">
        <v>763</v>
      </c>
      <c r="H364" s="30">
        <f t="shared" si="89"/>
        <v>0</v>
      </c>
      <c r="I364" s="52" t="str">
        <f>[1]!Plus_ang(I363,[1]!Min_ang(F364,F363))</f>
        <v xml:space="preserve"> 136° 3' 58"</v>
      </c>
      <c r="J364" s="10" t="str">
        <f>[1]!Plus_ang([1]!Plus_ang(J363,[1]!Min_ang(F364,F363)),[1]!DestoDeg(H364/3600))</f>
        <v xml:space="preserve"> 136° 3' 58"</v>
      </c>
      <c r="K364" s="31">
        <v>3.6789999999999998</v>
      </c>
      <c r="L364" s="32">
        <f>[1]!Jarakdatar(K364,G364)</f>
        <v>3.5696791386578974</v>
      </c>
      <c r="M364" s="33">
        <f>L364*[1]!dsin(J364)</f>
        <v>2.4767429564110763</v>
      </c>
      <c r="N364" s="34">
        <f t="shared" si="90"/>
        <v>0</v>
      </c>
      <c r="O364" s="33">
        <f>L364*[1]!dcos(J364)</f>
        <v>-2.5706717956280434</v>
      </c>
      <c r="P364" s="34">
        <f t="shared" si="91"/>
        <v>0</v>
      </c>
      <c r="Q364" s="35">
        <f>L364/[1]!dTAN(G364)-C364+$B$312</f>
        <v>-1.0901864113940456</v>
      </c>
      <c r="R364" s="34">
        <f t="shared" si="92"/>
        <v>0</v>
      </c>
      <c r="S364" s="36">
        <f t="shared" si="93"/>
        <v>9646.4778339961231</v>
      </c>
      <c r="T364" s="40">
        <f t="shared" si="94"/>
        <v>9644.3376545273095</v>
      </c>
      <c r="U364" s="37">
        <f t="shared" si="95"/>
        <v>20.407194040467054</v>
      </c>
      <c r="V364" s="38">
        <f t="shared" si="88"/>
        <v>394</v>
      </c>
      <c r="W364" s="70"/>
      <c r="X364" s="71"/>
      <c r="Y364" s="71"/>
      <c r="Z364" s="72" t="s">
        <v>64</v>
      </c>
      <c r="AB364" s="56"/>
      <c r="AC364" s="56"/>
      <c r="AD364" s="56"/>
      <c r="AE364" s="56"/>
      <c r="AF364" s="56"/>
      <c r="AG364" s="56"/>
      <c r="AH364" s="56"/>
      <c r="AI364" s="56">
        <v>106</v>
      </c>
      <c r="AJ364" s="56">
        <v>320</v>
      </c>
      <c r="AK364" s="56">
        <v>394</v>
      </c>
      <c r="AL364" s="56">
        <v>1.45</v>
      </c>
      <c r="AM364" s="56" t="s">
        <v>425</v>
      </c>
      <c r="AN364" s="56">
        <v>3.6789999999999998</v>
      </c>
      <c r="AO364" s="56" t="s">
        <v>763</v>
      </c>
      <c r="AP364" s="56" t="s">
        <v>64</v>
      </c>
      <c r="AQ364" s="56" t="s">
        <v>63</v>
      </c>
    </row>
    <row r="365" spans="1:43" x14ac:dyDescent="0.25">
      <c r="A365" s="8"/>
      <c r="B365" s="8"/>
      <c r="C365" s="8">
        <v>1.45</v>
      </c>
      <c r="D365" s="27"/>
      <c r="E365" s="28">
        <v>395</v>
      </c>
      <c r="F365" s="29" t="s">
        <v>764</v>
      </c>
      <c r="G365" s="10" t="s">
        <v>765</v>
      </c>
      <c r="H365" s="30">
        <f t="shared" si="89"/>
        <v>0</v>
      </c>
      <c r="I365" s="52" t="str">
        <f>[1]!Plus_ang(I364,[1]!Min_ang(F365,F364))</f>
        <v xml:space="preserve"> 136° 3' 57"</v>
      </c>
      <c r="J365" s="10" t="str">
        <f>[1]!Plus_ang([1]!Plus_ang(J364,[1]!Min_ang(F365,F364)),[1]!DestoDeg(H365/3600))</f>
        <v xml:space="preserve"> 136° 3' 57"</v>
      </c>
      <c r="K365" s="31">
        <v>2.65</v>
      </c>
      <c r="L365" s="32">
        <f>[1]!Jarakdatar(K365,G365)</f>
        <v>2.6461989138882842</v>
      </c>
      <c r="M365" s="33">
        <f>L365*[1]!dsin(J365)</f>
        <v>1.8360158563484836</v>
      </c>
      <c r="N365" s="34">
        <f t="shared" si="90"/>
        <v>0</v>
      </c>
      <c r="O365" s="33">
        <f>L365*[1]!dcos(J365)</f>
        <v>-1.9056270535182058</v>
      </c>
      <c r="P365" s="34">
        <f t="shared" si="91"/>
        <v>0</v>
      </c>
      <c r="Q365" s="35">
        <f>L365/[1]!dTAN(G365)-C365+$B$312</f>
        <v>-0.3418848411087827</v>
      </c>
      <c r="R365" s="34">
        <f t="shared" si="92"/>
        <v>0</v>
      </c>
      <c r="S365" s="36">
        <f t="shared" si="93"/>
        <v>9645.8371068960605</v>
      </c>
      <c r="T365" s="40">
        <f t="shared" si="94"/>
        <v>9645.0026992694184</v>
      </c>
      <c r="U365" s="37">
        <f t="shared" si="95"/>
        <v>21.155495610752318</v>
      </c>
      <c r="V365" s="38">
        <f t="shared" si="88"/>
        <v>395</v>
      </c>
      <c r="W365" s="70"/>
      <c r="X365" s="71"/>
      <c r="Y365" s="71"/>
      <c r="Z365" s="72" t="s">
        <v>14</v>
      </c>
      <c r="AB365" s="56"/>
      <c r="AC365" s="56"/>
      <c r="AD365" s="56"/>
      <c r="AE365" s="56"/>
      <c r="AF365" s="56"/>
      <c r="AG365" s="56"/>
      <c r="AH365" s="56"/>
      <c r="AI365" s="56">
        <v>108</v>
      </c>
      <c r="AJ365" s="56">
        <v>320</v>
      </c>
      <c r="AK365" s="56">
        <v>395</v>
      </c>
      <c r="AL365" s="56">
        <v>1.45</v>
      </c>
      <c r="AM365" s="56" t="s">
        <v>764</v>
      </c>
      <c r="AN365" s="56">
        <v>2.65</v>
      </c>
      <c r="AO365" s="56" t="s">
        <v>765</v>
      </c>
      <c r="AP365" s="56" t="s">
        <v>14</v>
      </c>
      <c r="AQ365" s="56" t="s">
        <v>63</v>
      </c>
    </row>
    <row r="366" spans="1:43" x14ac:dyDescent="0.25">
      <c r="A366" s="8"/>
      <c r="B366" s="8"/>
      <c r="C366" s="8">
        <v>1.45</v>
      </c>
      <c r="D366" s="27"/>
      <c r="E366" s="28">
        <v>396</v>
      </c>
      <c r="F366" s="29" t="s">
        <v>766</v>
      </c>
      <c r="G366" s="10" t="s">
        <v>767</v>
      </c>
      <c r="H366" s="30">
        <f t="shared" si="89"/>
        <v>0</v>
      </c>
      <c r="I366" s="52" t="str">
        <f>[1]!Plus_ang(I365,[1]!Min_ang(F366,F365))</f>
        <v xml:space="preserve"> 313° 4' 53"</v>
      </c>
      <c r="J366" s="10" t="str">
        <f>[1]!Plus_ang([1]!Plus_ang(J365,[1]!Min_ang(F366,F365)),[1]!DestoDeg(H366/3600))</f>
        <v xml:space="preserve"> 313° 4' 53"</v>
      </c>
      <c r="K366" s="31">
        <v>1.5680000000000001</v>
      </c>
      <c r="L366" s="32">
        <f>[1]!Jarakdatar(K366,G366)</f>
        <v>1.5618678458496082</v>
      </c>
      <c r="M366" s="33">
        <f>L366*[1]!dsin(J366)</f>
        <v>-1.1407635699416827</v>
      </c>
      <c r="N366" s="34">
        <f t="shared" si="90"/>
        <v>0</v>
      </c>
      <c r="O366" s="33">
        <f>L366*[1]!dcos(J366)</f>
        <v>1.0668128445949661</v>
      </c>
      <c r="P366" s="34">
        <f t="shared" si="91"/>
        <v>0</v>
      </c>
      <c r="Q366" s="35">
        <f>L366/[1]!dTAN(G366)-C366+$B$312</f>
        <v>-0.33853819726380285</v>
      </c>
      <c r="R366" s="34">
        <f t="shared" si="92"/>
        <v>0</v>
      </c>
      <c r="S366" s="36">
        <f t="shared" si="93"/>
        <v>9642.8603274697707</v>
      </c>
      <c r="T366" s="40">
        <f t="shared" si="94"/>
        <v>9647.9751391675309</v>
      </c>
      <c r="U366" s="37">
        <f t="shared" si="95"/>
        <v>21.1588422545973</v>
      </c>
      <c r="V366" s="38">
        <f t="shared" si="88"/>
        <v>396</v>
      </c>
      <c r="W366" s="70"/>
      <c r="X366" s="71"/>
      <c r="Y366" s="71"/>
      <c r="Z366" s="72" t="s">
        <v>14</v>
      </c>
      <c r="AB366" s="56"/>
      <c r="AC366" s="56"/>
      <c r="AD366" s="56"/>
      <c r="AE366" s="56"/>
      <c r="AF366" s="56"/>
      <c r="AG366" s="56"/>
      <c r="AH366" s="56"/>
      <c r="AI366" s="56">
        <v>110</v>
      </c>
      <c r="AJ366" s="56">
        <v>320</v>
      </c>
      <c r="AK366" s="56">
        <v>396</v>
      </c>
      <c r="AL366" s="56">
        <v>1.45</v>
      </c>
      <c r="AM366" s="56" t="s">
        <v>766</v>
      </c>
      <c r="AN366" s="56">
        <v>1.5680000000000001</v>
      </c>
      <c r="AO366" s="56" t="s">
        <v>767</v>
      </c>
      <c r="AP366" s="56" t="s">
        <v>14</v>
      </c>
      <c r="AQ366" s="56" t="s">
        <v>63</v>
      </c>
    </row>
    <row r="367" spans="1:43" x14ac:dyDescent="0.25">
      <c r="A367" s="8"/>
      <c r="B367" s="8"/>
      <c r="C367" s="8">
        <v>1.45</v>
      </c>
      <c r="D367" s="27"/>
      <c r="E367" s="28">
        <v>397</v>
      </c>
      <c r="F367" s="29" t="s">
        <v>768</v>
      </c>
      <c r="G367" s="10" t="s">
        <v>769</v>
      </c>
      <c r="H367" s="30">
        <f t="shared" si="89"/>
        <v>0</v>
      </c>
      <c r="I367" s="52" t="str">
        <f>[1]!Plus_ang(I366,[1]!Min_ang(F367,F366))</f>
        <v xml:space="preserve"> 313° 4' 58"</v>
      </c>
      <c r="J367" s="10" t="str">
        <f>[1]!Plus_ang([1]!Plus_ang(J366,[1]!Min_ang(F367,F366)),[1]!DestoDeg(H367/3600))</f>
        <v xml:space="preserve"> 313° 4' 58"</v>
      </c>
      <c r="K367" s="31">
        <v>1.6639999999999999</v>
      </c>
      <c r="L367" s="32">
        <f>[1]!Jarakdatar(K367,G367)</f>
        <v>1.6206923525481269</v>
      </c>
      <c r="M367" s="33">
        <f>L367*[1]!dsin(J367)</f>
        <v>-1.18370122459</v>
      </c>
      <c r="N367" s="34">
        <f t="shared" si="90"/>
        <v>0</v>
      </c>
      <c r="O367" s="33">
        <f>L367*[1]!dcos(J367)</f>
        <v>1.1070208274969882</v>
      </c>
      <c r="P367" s="34">
        <f t="shared" si="91"/>
        <v>0</v>
      </c>
      <c r="Q367" s="35">
        <f>L367/[1]!dTAN(G367)-C367+$B$312</f>
        <v>-0.57716349026916425</v>
      </c>
      <c r="R367" s="34">
        <f t="shared" si="92"/>
        <v>0</v>
      </c>
      <c r="S367" s="36">
        <f t="shared" si="93"/>
        <v>9642.8173898151217</v>
      </c>
      <c r="T367" s="40">
        <f t="shared" si="94"/>
        <v>9648.0153471504345</v>
      </c>
      <c r="U367" s="37">
        <f t="shared" si="95"/>
        <v>20.920216961591937</v>
      </c>
      <c r="V367" s="38">
        <f t="shared" si="88"/>
        <v>397</v>
      </c>
      <c r="W367" s="70"/>
      <c r="X367" s="71"/>
      <c r="Y367" s="71"/>
      <c r="Z367" s="72" t="s">
        <v>15</v>
      </c>
      <c r="AB367" s="56"/>
      <c r="AC367" s="56"/>
      <c r="AD367" s="56"/>
      <c r="AE367" s="56"/>
      <c r="AF367" s="56"/>
      <c r="AG367" s="56"/>
      <c r="AH367" s="56"/>
      <c r="AI367" s="56">
        <v>112</v>
      </c>
      <c r="AJ367" s="56">
        <v>320</v>
      </c>
      <c r="AK367" s="56">
        <v>397</v>
      </c>
      <c r="AL367" s="56">
        <v>1.45</v>
      </c>
      <c r="AM367" s="56" t="s">
        <v>768</v>
      </c>
      <c r="AN367" s="56">
        <v>1.6639999999999999</v>
      </c>
      <c r="AO367" s="56" t="s">
        <v>769</v>
      </c>
      <c r="AP367" s="56" t="s">
        <v>15</v>
      </c>
      <c r="AQ367" s="56" t="s">
        <v>63</v>
      </c>
    </row>
    <row r="368" spans="1:43" x14ac:dyDescent="0.25">
      <c r="A368" s="8"/>
      <c r="B368" s="8"/>
      <c r="C368" s="8">
        <v>1.45</v>
      </c>
      <c r="D368" s="27"/>
      <c r="E368" s="28">
        <v>398</v>
      </c>
      <c r="F368" s="29" t="s">
        <v>770</v>
      </c>
      <c r="G368" s="10" t="s">
        <v>771</v>
      </c>
      <c r="H368" s="30">
        <f t="shared" si="89"/>
        <v>0</v>
      </c>
      <c r="I368" s="52" t="str">
        <f>[1]!Plus_ang(I367,[1]!Min_ang(F368,F367))</f>
        <v xml:space="preserve"> 313° 4' 49"</v>
      </c>
      <c r="J368" s="10" t="str">
        <f>[1]!Plus_ang([1]!Plus_ang(J367,[1]!Min_ang(F368,F367)),[1]!DestoDeg(H368/3600))</f>
        <v xml:space="preserve"> 313° 4' 49"</v>
      </c>
      <c r="K368" s="31">
        <v>1.901</v>
      </c>
      <c r="L368" s="32">
        <f>[1]!Jarakdatar(K368,G368)</f>
        <v>1.8585279777666754</v>
      </c>
      <c r="M368" s="33">
        <f>L368*[1]!dsin(J368)</f>
        <v>-1.3574640553756363</v>
      </c>
      <c r="N368" s="34">
        <f t="shared" si="90"/>
        <v>0</v>
      </c>
      <c r="O368" s="33">
        <f>L368*[1]!dcos(J368)</f>
        <v>1.2694162368997095</v>
      </c>
      <c r="P368" s="34">
        <f t="shared" si="91"/>
        <v>0</v>
      </c>
      <c r="Q368" s="35">
        <f>L368/[1]!dTAN(G368)-C368+$B$312</f>
        <v>-0.599593238003989</v>
      </c>
      <c r="R368" s="34">
        <f t="shared" si="92"/>
        <v>0</v>
      </c>
      <c r="S368" s="36">
        <f t="shared" si="93"/>
        <v>9642.6436269843362</v>
      </c>
      <c r="T368" s="40">
        <f t="shared" si="94"/>
        <v>9648.1777425598357</v>
      </c>
      <c r="U368" s="37">
        <f t="shared" si="95"/>
        <v>20.897787213857111</v>
      </c>
      <c r="V368" s="38">
        <f t="shared" si="88"/>
        <v>398</v>
      </c>
      <c r="W368" s="70"/>
      <c r="X368" s="71"/>
      <c r="Y368" s="71"/>
      <c r="Z368" s="72" t="s">
        <v>15</v>
      </c>
      <c r="AB368" s="56"/>
      <c r="AC368" s="56"/>
      <c r="AD368" s="56"/>
      <c r="AE368" s="56"/>
      <c r="AF368" s="56"/>
      <c r="AG368" s="56"/>
      <c r="AH368" s="56"/>
      <c r="AI368" s="56">
        <v>114</v>
      </c>
      <c r="AJ368" s="56">
        <v>320</v>
      </c>
      <c r="AK368" s="56">
        <v>398</v>
      </c>
      <c r="AL368" s="56">
        <v>1.45</v>
      </c>
      <c r="AM368" s="56" t="s">
        <v>770</v>
      </c>
      <c r="AN368" s="56">
        <v>1.901</v>
      </c>
      <c r="AO368" s="56" t="s">
        <v>771</v>
      </c>
      <c r="AP368" s="56" t="s">
        <v>15</v>
      </c>
      <c r="AQ368" s="56" t="s">
        <v>63</v>
      </c>
    </row>
    <row r="369" spans="1:43" x14ac:dyDescent="0.25">
      <c r="A369" s="8"/>
      <c r="B369" s="8"/>
      <c r="C369" s="8">
        <v>1.45</v>
      </c>
      <c r="D369" s="27"/>
      <c r="E369" s="28">
        <v>399</v>
      </c>
      <c r="F369" s="29" t="s">
        <v>770</v>
      </c>
      <c r="G369" s="10" t="s">
        <v>772</v>
      </c>
      <c r="H369" s="30">
        <f t="shared" si="89"/>
        <v>0</v>
      </c>
      <c r="I369" s="52" t="str">
        <f>[1]!Plus_ang(I368,[1]!Min_ang(F369,F368))</f>
        <v xml:space="preserve"> 313° 4' 49"</v>
      </c>
      <c r="J369" s="10" t="str">
        <f>[1]!Plus_ang([1]!Plus_ang(J368,[1]!Min_ang(F369,F368)),[1]!DestoDeg(H369/3600))</f>
        <v xml:space="preserve"> 313° 4' 49"</v>
      </c>
      <c r="K369" s="31">
        <v>2.1</v>
      </c>
      <c r="L369" s="32">
        <f>[1]!Jarakdatar(K369,G369)</f>
        <v>2.0946641548581377</v>
      </c>
      <c r="M369" s="33">
        <f>L369*[1]!dsin(J369)</f>
        <v>-1.5299373118507229</v>
      </c>
      <c r="N369" s="34">
        <f t="shared" si="90"/>
        <v>0</v>
      </c>
      <c r="O369" s="33">
        <f>L369*[1]!dcos(J369)</f>
        <v>1.4307025349297946</v>
      </c>
      <c r="P369" s="34">
        <f t="shared" si="91"/>
        <v>0</v>
      </c>
      <c r="Q369" s="35">
        <f>L369/[1]!dTAN(G369)-C369+$B$312</f>
        <v>-0.34960641146837501</v>
      </c>
      <c r="R369" s="34">
        <f t="shared" si="92"/>
        <v>0</v>
      </c>
      <c r="S369" s="36">
        <f t="shared" si="93"/>
        <v>9642.4711537278617</v>
      </c>
      <c r="T369" s="40">
        <f t="shared" si="94"/>
        <v>9648.3390288578667</v>
      </c>
      <c r="U369" s="37">
        <f t="shared" si="95"/>
        <v>21.147774040392726</v>
      </c>
      <c r="V369" s="38">
        <f t="shared" si="88"/>
        <v>399</v>
      </c>
      <c r="W369" s="70"/>
      <c r="X369" s="71"/>
      <c r="Y369" s="71"/>
      <c r="Z369" s="72" t="s">
        <v>14</v>
      </c>
      <c r="AB369" s="56"/>
      <c r="AC369" s="56"/>
      <c r="AD369" s="56"/>
      <c r="AE369" s="56"/>
      <c r="AF369" s="56"/>
      <c r="AG369" s="56"/>
      <c r="AH369" s="56"/>
      <c r="AI369" s="56">
        <v>116</v>
      </c>
      <c r="AJ369" s="56">
        <v>320</v>
      </c>
      <c r="AK369" s="56">
        <v>399</v>
      </c>
      <c r="AL369" s="56">
        <v>1.45</v>
      </c>
      <c r="AM369" s="56" t="s">
        <v>770</v>
      </c>
      <c r="AN369" s="56">
        <v>2.1</v>
      </c>
      <c r="AO369" s="56" t="s">
        <v>772</v>
      </c>
      <c r="AP369" s="56" t="s">
        <v>14</v>
      </c>
      <c r="AQ369" s="56" t="s">
        <v>63</v>
      </c>
    </row>
    <row r="370" spans="1:43" x14ac:dyDescent="0.25">
      <c r="A370" s="8"/>
      <c r="B370" s="8"/>
      <c r="C370" s="8">
        <v>1.45</v>
      </c>
      <c r="D370" s="27"/>
      <c r="E370" s="28">
        <v>400</v>
      </c>
      <c r="F370" s="29" t="s">
        <v>773</v>
      </c>
      <c r="G370" s="10" t="s">
        <v>774</v>
      </c>
      <c r="H370" s="30">
        <f t="shared" si="89"/>
        <v>0</v>
      </c>
      <c r="I370" s="52" t="str">
        <f>[1]!Plus_ang(I369,[1]!Min_ang(F370,F369))</f>
        <v xml:space="preserve"> 313° 4' 52"</v>
      </c>
      <c r="J370" s="10" t="str">
        <f>[1]!Plus_ang([1]!Plus_ang(J369,[1]!Min_ang(F370,F369)),[1]!DestoDeg(H370/3600))</f>
        <v xml:space="preserve"> 313° 4' 52"</v>
      </c>
      <c r="K370" s="31">
        <v>7.7640000000000002</v>
      </c>
      <c r="L370" s="32">
        <f>[1]!Jarakdatar(K370,G370)</f>
        <v>7.1485633708024796</v>
      </c>
      <c r="M370" s="33">
        <f>L370*[1]!dsin(J370)</f>
        <v>-5.2212212865291319</v>
      </c>
      <c r="N370" s="34">
        <f t="shared" si="90"/>
        <v>0</v>
      </c>
      <c r="O370" s="33">
        <f>L370*[1]!dcos(J370)</f>
        <v>4.882704838864826</v>
      </c>
      <c r="P370" s="34">
        <f t="shared" si="91"/>
        <v>0</v>
      </c>
      <c r="Q370" s="35">
        <f>L370/[1]!dTAN(G370)-C370+$B$312</f>
        <v>2.8294781289227195</v>
      </c>
      <c r="R370" s="34">
        <f t="shared" si="92"/>
        <v>0</v>
      </c>
      <c r="S370" s="36">
        <f t="shared" si="93"/>
        <v>9638.7798697531834</v>
      </c>
      <c r="T370" s="40">
        <f t="shared" si="94"/>
        <v>9651.7910311618016</v>
      </c>
      <c r="U370" s="37">
        <f t="shared" si="95"/>
        <v>24.326858580783821</v>
      </c>
      <c r="V370" s="38">
        <f t="shared" si="88"/>
        <v>400</v>
      </c>
      <c r="W370" s="70"/>
      <c r="X370" s="71"/>
      <c r="Y370" s="71"/>
      <c r="Z370" s="72" t="s">
        <v>3</v>
      </c>
      <c r="AB370" s="56"/>
      <c r="AC370" s="56"/>
      <c r="AD370" s="56"/>
      <c r="AE370" s="56"/>
      <c r="AF370" s="56"/>
      <c r="AG370" s="56"/>
      <c r="AH370" s="56"/>
      <c r="AI370" s="56">
        <v>118</v>
      </c>
      <c r="AJ370" s="56">
        <v>320</v>
      </c>
      <c r="AK370" s="56">
        <v>400</v>
      </c>
      <c r="AL370" s="56">
        <v>1.45</v>
      </c>
      <c r="AM370" s="56" t="s">
        <v>773</v>
      </c>
      <c r="AN370" s="56">
        <v>7.7640000000000002</v>
      </c>
      <c r="AO370" s="56" t="s">
        <v>774</v>
      </c>
      <c r="AP370" s="56" t="s">
        <v>3</v>
      </c>
      <c r="AQ370" s="56" t="s">
        <v>63</v>
      </c>
    </row>
    <row r="371" spans="1:43" x14ac:dyDescent="0.25">
      <c r="A371" s="8"/>
      <c r="B371" s="8"/>
      <c r="C371" s="8">
        <v>1.45</v>
      </c>
      <c r="D371" s="27"/>
      <c r="E371" s="28">
        <v>401</v>
      </c>
      <c r="F371" s="29" t="s">
        <v>775</v>
      </c>
      <c r="G371" s="10" t="s">
        <v>776</v>
      </c>
      <c r="H371" s="30">
        <f t="shared" si="89"/>
        <v>0</v>
      </c>
      <c r="I371" s="52" t="str">
        <f>[1]!Plus_ang(I370,[1]!Min_ang(F371,F370))</f>
        <v xml:space="preserve"> 313° 0' 50"</v>
      </c>
      <c r="J371" s="10" t="str">
        <f>[1]!Plus_ang([1]!Plus_ang(J370,[1]!Min_ang(F371,F370)),[1]!DestoDeg(H371/3600))</f>
        <v xml:space="preserve"> 313° 0' 50"</v>
      </c>
      <c r="K371" s="31">
        <v>12.734</v>
      </c>
      <c r="L371" s="32">
        <f>[1]!Jarakdatar(K371,G371)</f>
        <v>12.414370830520484</v>
      </c>
      <c r="M371" s="33">
        <f>L371*[1]!dsin(J371)</f>
        <v>-9.0772434363988523</v>
      </c>
      <c r="N371" s="34">
        <f t="shared" si="90"/>
        <v>0</v>
      </c>
      <c r="O371" s="33">
        <f>L371*[1]!dcos(J371)</f>
        <v>8.4687811823208552</v>
      </c>
      <c r="P371" s="34">
        <f t="shared" si="91"/>
        <v>0</v>
      </c>
      <c r="Q371" s="35">
        <f>L371/[1]!dTAN(G371)-C371+$B$312</f>
        <v>2.6351636429529348</v>
      </c>
      <c r="R371" s="34">
        <f t="shared" si="92"/>
        <v>0</v>
      </c>
      <c r="S371" s="36">
        <f t="shared" si="93"/>
        <v>9634.9238476033133</v>
      </c>
      <c r="T371" s="40">
        <f t="shared" si="94"/>
        <v>9655.3771075052573</v>
      </c>
      <c r="U371" s="37">
        <f t="shared" si="95"/>
        <v>24.132544094814037</v>
      </c>
      <c r="V371" s="38">
        <f t="shared" si="88"/>
        <v>401</v>
      </c>
      <c r="W371" s="70"/>
      <c r="X371" s="71"/>
      <c r="Y371" s="71"/>
      <c r="Z371" s="72" t="s">
        <v>3</v>
      </c>
      <c r="AB371" s="56"/>
      <c r="AC371" s="56"/>
      <c r="AD371" s="56"/>
      <c r="AE371" s="56"/>
      <c r="AF371" s="56"/>
      <c r="AG371" s="56"/>
      <c r="AH371" s="56"/>
      <c r="AI371" s="56">
        <v>120</v>
      </c>
      <c r="AJ371" s="56">
        <v>320</v>
      </c>
      <c r="AK371" s="56">
        <v>401</v>
      </c>
      <c r="AL371" s="56">
        <v>1.45</v>
      </c>
      <c r="AM371" s="56" t="s">
        <v>775</v>
      </c>
      <c r="AN371" s="56">
        <v>12.734</v>
      </c>
      <c r="AO371" s="56" t="s">
        <v>776</v>
      </c>
      <c r="AP371" s="56" t="s">
        <v>3</v>
      </c>
      <c r="AQ371" s="56" t="s">
        <v>63</v>
      </c>
    </row>
    <row r="372" spans="1:43" x14ac:dyDescent="0.25">
      <c r="A372" s="8"/>
      <c r="B372" s="8"/>
      <c r="C372" s="8">
        <v>1.45</v>
      </c>
      <c r="D372" s="27"/>
      <c r="E372" s="28">
        <v>402</v>
      </c>
      <c r="F372" s="29" t="s">
        <v>777</v>
      </c>
      <c r="G372" s="10" t="s">
        <v>778</v>
      </c>
      <c r="H372" s="30">
        <f t="shared" si="89"/>
        <v>0</v>
      </c>
      <c r="I372" s="52" t="str">
        <f>[1]!Plus_ang(I371,[1]!Min_ang(F372,F371))</f>
        <v xml:space="preserve"> 137° 4' 54"</v>
      </c>
      <c r="J372" s="10" t="str">
        <f>[1]!Plus_ang([1]!Plus_ang(J371,[1]!Min_ang(F372,F371)),[1]!DestoDeg(H372/3600))</f>
        <v xml:space="preserve"> 137° 4' 54"</v>
      </c>
      <c r="K372" s="31">
        <v>39.607999999999997</v>
      </c>
      <c r="L372" s="32">
        <f>[1]!Jarakdatar(K372,G372)</f>
        <v>39.602369440959869</v>
      </c>
      <c r="M372" s="33">
        <f>L372*[1]!dsin(J372)</f>
        <v>26.967440631123967</v>
      </c>
      <c r="N372" s="34">
        <f t="shared" si="90"/>
        <v>0</v>
      </c>
      <c r="O372" s="33">
        <f>L372*[1]!dcos(J372)</f>
        <v>-29.001807032408792</v>
      </c>
      <c r="P372" s="34">
        <f t="shared" si="91"/>
        <v>0</v>
      </c>
      <c r="Q372" s="35">
        <f>L372/[1]!dTAN(G372)-C372+$B$312</f>
        <v>0.46783131232933073</v>
      </c>
      <c r="R372" s="34">
        <f t="shared" si="92"/>
        <v>0</v>
      </c>
      <c r="S372" s="36">
        <f t="shared" si="93"/>
        <v>9670.9685316708365</v>
      </c>
      <c r="T372" s="40">
        <f t="shared" si="94"/>
        <v>9617.9065192905273</v>
      </c>
      <c r="U372" s="37">
        <f t="shared" si="95"/>
        <v>21.965211764190432</v>
      </c>
      <c r="V372" s="38">
        <f t="shared" si="88"/>
        <v>402</v>
      </c>
      <c r="W372" s="70"/>
      <c r="X372" s="71"/>
      <c r="Y372" s="71"/>
      <c r="Z372" s="72" t="s">
        <v>14</v>
      </c>
      <c r="AB372" s="56"/>
      <c r="AC372" s="56"/>
      <c r="AD372" s="56"/>
      <c r="AE372" s="56"/>
      <c r="AF372" s="56"/>
      <c r="AG372" s="56"/>
      <c r="AH372" s="56"/>
      <c r="AI372" s="56">
        <v>122</v>
      </c>
      <c r="AJ372" s="56">
        <v>320</v>
      </c>
      <c r="AK372" s="56">
        <v>402</v>
      </c>
      <c r="AL372" s="56">
        <v>1.45</v>
      </c>
      <c r="AM372" s="56" t="s">
        <v>777</v>
      </c>
      <c r="AN372" s="56">
        <v>39.607999999999997</v>
      </c>
      <c r="AO372" s="56" t="s">
        <v>778</v>
      </c>
      <c r="AP372" s="56" t="s">
        <v>14</v>
      </c>
      <c r="AQ372" s="56" t="s">
        <v>63</v>
      </c>
    </row>
    <row r="373" spans="1:43" x14ac:dyDescent="0.25">
      <c r="A373" s="8"/>
      <c r="B373" s="8"/>
      <c r="C373" s="8">
        <v>1.45</v>
      </c>
      <c r="D373" s="27"/>
      <c r="E373" s="28">
        <v>403</v>
      </c>
      <c r="F373" s="29" t="s">
        <v>777</v>
      </c>
      <c r="G373" s="10" t="s">
        <v>779</v>
      </c>
      <c r="H373" s="30">
        <f t="shared" si="89"/>
        <v>0</v>
      </c>
      <c r="I373" s="52" t="str">
        <f>[1]!Plus_ang(I372,[1]!Min_ang(F373,F372))</f>
        <v xml:space="preserve"> 137° 4' 54"</v>
      </c>
      <c r="J373" s="10" t="str">
        <f>[1]!Plus_ang([1]!Plus_ang(J372,[1]!Min_ang(F373,F372)),[1]!DestoDeg(H373/3600))</f>
        <v xml:space="preserve"> 137° 4' 54"</v>
      </c>
      <c r="K373" s="31">
        <v>40.597000000000001</v>
      </c>
      <c r="L373" s="32">
        <f>[1]!Jarakdatar(K373,G373)</f>
        <v>40.591997829972215</v>
      </c>
      <c r="M373" s="33">
        <f>L373*[1]!dsin(J373)</f>
        <v>27.641333259375717</v>
      </c>
      <c r="N373" s="34">
        <f t="shared" si="90"/>
        <v>0</v>
      </c>
      <c r="O373" s="33">
        <f>L373*[1]!dcos(J373)</f>
        <v>-29.726536688161278</v>
      </c>
      <c r="P373" s="34">
        <f t="shared" si="91"/>
        <v>0</v>
      </c>
      <c r="Q373" s="35">
        <f>L373/[1]!dTAN(G373)-C373+$B$312</f>
        <v>0.43727636982011386</v>
      </c>
      <c r="R373" s="34">
        <f t="shared" si="92"/>
        <v>0</v>
      </c>
      <c r="S373" s="36">
        <f t="shared" si="93"/>
        <v>9671.6424242990888</v>
      </c>
      <c r="T373" s="40">
        <f t="shared" si="94"/>
        <v>9617.1817896347748</v>
      </c>
      <c r="U373" s="37">
        <f t="shared" si="95"/>
        <v>21.934656821681216</v>
      </c>
      <c r="V373" s="38">
        <f t="shared" si="88"/>
        <v>403</v>
      </c>
      <c r="W373" s="70"/>
      <c r="X373" s="71"/>
      <c r="Y373" s="71"/>
      <c r="Z373" s="72" t="s">
        <v>14</v>
      </c>
      <c r="AB373" s="56"/>
      <c r="AC373" s="56"/>
      <c r="AD373" s="56"/>
      <c r="AE373" s="56"/>
      <c r="AF373" s="56"/>
      <c r="AG373" s="56"/>
      <c r="AH373" s="56"/>
      <c r="AI373" s="56">
        <v>124</v>
      </c>
      <c r="AJ373" s="56">
        <v>320</v>
      </c>
      <c r="AK373" s="56">
        <v>403</v>
      </c>
      <c r="AL373" s="56">
        <v>1.45</v>
      </c>
      <c r="AM373" s="56" t="s">
        <v>777</v>
      </c>
      <c r="AN373" s="56">
        <v>40.597000000000001</v>
      </c>
      <c r="AO373" s="56" t="s">
        <v>779</v>
      </c>
      <c r="AP373" s="56" t="s">
        <v>14</v>
      </c>
      <c r="AQ373" s="56" t="s">
        <v>63</v>
      </c>
    </row>
    <row r="374" spans="1:43" x14ac:dyDescent="0.25">
      <c r="A374" s="8"/>
      <c r="B374" s="8"/>
      <c r="C374" s="8">
        <v>1.45</v>
      </c>
      <c r="D374" s="27"/>
      <c r="E374" s="28">
        <v>404</v>
      </c>
      <c r="F374" s="29" t="s">
        <v>780</v>
      </c>
      <c r="G374" s="10" t="s">
        <v>781</v>
      </c>
      <c r="H374" s="30">
        <f t="shared" si="89"/>
        <v>0</v>
      </c>
      <c r="I374" s="52" t="str">
        <f>[1]!Plus_ang(I373,[1]!Min_ang(F374,F373))</f>
        <v xml:space="preserve"> 137° 4' 56"</v>
      </c>
      <c r="J374" s="10" t="str">
        <f>[1]!Plus_ang([1]!Plus_ang(J373,[1]!Min_ang(F374,F373)),[1]!DestoDeg(H374/3600))</f>
        <v xml:space="preserve"> 137° 4' 56"</v>
      </c>
      <c r="K374" s="31">
        <v>40.960999999999999</v>
      </c>
      <c r="L374" s="32">
        <f>[1]!Jarakdatar(K374,G374)</f>
        <v>40.955187143064229</v>
      </c>
      <c r="M374" s="33">
        <f>L374*[1]!dsin(J374)</f>
        <v>27.888358105083881</v>
      </c>
      <c r="N374" s="34">
        <f t="shared" si="90"/>
        <v>0</v>
      </c>
      <c r="O374" s="33">
        <f>L374*[1]!dcos(J374)</f>
        <v>-29.992779733229394</v>
      </c>
      <c r="P374" s="34">
        <f t="shared" si="91"/>
        <v>0</v>
      </c>
      <c r="Q374" s="35">
        <f>L374/[1]!dTAN(G374)-C374+$B$312</f>
        <v>0.49004860451005117</v>
      </c>
      <c r="R374" s="34">
        <f t="shared" si="92"/>
        <v>0</v>
      </c>
      <c r="S374" s="36">
        <f t="shared" si="93"/>
        <v>9671.8894491447954</v>
      </c>
      <c r="T374" s="40">
        <f t="shared" si="94"/>
        <v>9616.9155465897074</v>
      </c>
      <c r="U374" s="37">
        <f t="shared" si="95"/>
        <v>21.987429056371152</v>
      </c>
      <c r="V374" s="38">
        <f t="shared" si="88"/>
        <v>404</v>
      </c>
      <c r="W374" s="70"/>
      <c r="X374" s="71"/>
      <c r="Y374" s="71"/>
      <c r="Z374" s="72" t="s">
        <v>66</v>
      </c>
      <c r="AB374" s="56"/>
      <c r="AC374" s="56"/>
      <c r="AD374" s="56"/>
      <c r="AE374" s="56"/>
      <c r="AF374" s="56"/>
      <c r="AG374" s="56"/>
      <c r="AH374" s="56"/>
      <c r="AI374" s="56">
        <v>126</v>
      </c>
      <c r="AJ374" s="56">
        <v>320</v>
      </c>
      <c r="AK374" s="56">
        <v>404</v>
      </c>
      <c r="AL374" s="56">
        <v>1.45</v>
      </c>
      <c r="AM374" s="56" t="s">
        <v>780</v>
      </c>
      <c r="AN374" s="56">
        <v>40.960999999999999</v>
      </c>
      <c r="AO374" s="56" t="s">
        <v>781</v>
      </c>
      <c r="AP374" s="56" t="s">
        <v>66</v>
      </c>
      <c r="AQ374" s="56" t="s">
        <v>63</v>
      </c>
    </row>
    <row r="375" spans="1:43" x14ac:dyDescent="0.25">
      <c r="A375" s="8"/>
      <c r="B375" s="8"/>
      <c r="C375" s="8">
        <v>1.45</v>
      </c>
      <c r="D375" s="27"/>
      <c r="E375" s="28">
        <v>405</v>
      </c>
      <c r="F375" s="29" t="s">
        <v>782</v>
      </c>
      <c r="G375" s="10" t="s">
        <v>783</v>
      </c>
      <c r="H375" s="30">
        <f t="shared" si="89"/>
        <v>0</v>
      </c>
      <c r="I375" s="52" t="str">
        <f>[1]!Plus_ang(I374,[1]!Min_ang(F375,F374))</f>
        <v xml:space="preserve"> 137° 8' 51"</v>
      </c>
      <c r="J375" s="10" t="str">
        <f>[1]!Plus_ang([1]!Plus_ang(J374,[1]!Min_ang(F375,F374)),[1]!DestoDeg(H375/3600))</f>
        <v xml:space="preserve"> 137° 8' 51"</v>
      </c>
      <c r="K375" s="31">
        <v>45.168999999999997</v>
      </c>
      <c r="L375" s="32">
        <f>[1]!Jarakdatar(K375,G375)</f>
        <v>45.163229826641448</v>
      </c>
      <c r="M375" s="33">
        <f>L375*[1]!dsin(J375)</f>
        <v>30.716114813415373</v>
      </c>
      <c r="N375" s="34">
        <f t="shared" si="90"/>
        <v>0</v>
      </c>
      <c r="O375" s="33">
        <f>L375*[1]!dcos(J375)</f>
        <v>-33.109479294351949</v>
      </c>
      <c r="P375" s="34">
        <f t="shared" si="91"/>
        <v>0</v>
      </c>
      <c r="Q375" s="35">
        <f>L375/[1]!dTAN(G375)-C375+$B$312</f>
        <v>0.52196442153624889</v>
      </c>
      <c r="R375" s="34">
        <f t="shared" si="92"/>
        <v>0</v>
      </c>
      <c r="S375" s="36">
        <f t="shared" si="93"/>
        <v>9674.7172058531269</v>
      </c>
      <c r="T375" s="40">
        <f t="shared" si="94"/>
        <v>9613.7988470285854</v>
      </c>
      <c r="U375" s="37">
        <f t="shared" si="95"/>
        <v>22.019344873397351</v>
      </c>
      <c r="V375" s="38">
        <f t="shared" si="88"/>
        <v>405</v>
      </c>
      <c r="W375" s="70"/>
      <c r="X375" s="71"/>
      <c r="Y375" s="71"/>
      <c r="Z375" s="72" t="s">
        <v>66</v>
      </c>
      <c r="AB375" s="56"/>
      <c r="AC375" s="56"/>
      <c r="AD375" s="56"/>
      <c r="AE375" s="56"/>
      <c r="AF375" s="56"/>
      <c r="AG375" s="56"/>
      <c r="AH375" s="56"/>
      <c r="AI375" s="56">
        <v>128</v>
      </c>
      <c r="AJ375" s="56">
        <v>320</v>
      </c>
      <c r="AK375" s="56">
        <v>405</v>
      </c>
      <c r="AL375" s="56">
        <v>1.45</v>
      </c>
      <c r="AM375" s="56" t="s">
        <v>782</v>
      </c>
      <c r="AN375" s="56">
        <v>45.168999999999997</v>
      </c>
      <c r="AO375" s="56" t="s">
        <v>783</v>
      </c>
      <c r="AP375" s="56" t="s">
        <v>66</v>
      </c>
      <c r="AQ375" s="56" t="s">
        <v>63</v>
      </c>
    </row>
    <row r="376" spans="1:43" x14ac:dyDescent="0.25">
      <c r="A376" s="8"/>
      <c r="B376" s="8"/>
      <c r="C376" s="8">
        <v>1.45</v>
      </c>
      <c r="D376" s="27"/>
      <c r="E376" s="28">
        <v>406</v>
      </c>
      <c r="F376" s="29" t="s">
        <v>784</v>
      </c>
      <c r="G376" s="10" t="s">
        <v>785</v>
      </c>
      <c r="H376" s="30">
        <f t="shared" si="89"/>
        <v>0</v>
      </c>
      <c r="I376" s="52" t="str">
        <f>[1]!Plus_ang(I375,[1]!Min_ang(F376,F375))</f>
        <v xml:space="preserve"> 136° 8' 57"</v>
      </c>
      <c r="J376" s="10" t="str">
        <f>[1]!Plus_ang([1]!Plus_ang(J375,[1]!Min_ang(F376,F375)),[1]!DestoDeg(H376/3600))</f>
        <v xml:space="preserve"> 136° 8' 57"</v>
      </c>
      <c r="K376" s="31">
        <v>45.320999999999998</v>
      </c>
      <c r="L376" s="32">
        <f>[1]!Jarakdatar(K376,G376)</f>
        <v>45.314557297357666</v>
      </c>
      <c r="M376" s="33">
        <f>L376*[1]!dsin(J376)</f>
        <v>31.393166438827514</v>
      </c>
      <c r="N376" s="34">
        <f t="shared" si="90"/>
        <v>0</v>
      </c>
      <c r="O376" s="33">
        <f>L376*[1]!dcos(J376)</f>
        <v>-32.678405775061684</v>
      </c>
      <c r="P376" s="34">
        <f t="shared" si="91"/>
        <v>0</v>
      </c>
      <c r="Q376" s="35">
        <f>L376/[1]!dTAN(G376)-C376+$B$312</f>
        <v>0.56415832422938805</v>
      </c>
      <c r="R376" s="34">
        <f t="shared" si="92"/>
        <v>0</v>
      </c>
      <c r="S376" s="36">
        <f t="shared" si="93"/>
        <v>9675.3942574785397</v>
      </c>
      <c r="T376" s="40">
        <f t="shared" si="94"/>
        <v>9614.2299205478757</v>
      </c>
      <c r="U376" s="37">
        <f t="shared" si="95"/>
        <v>22.06153877609049</v>
      </c>
      <c r="V376" s="38">
        <f t="shared" ref="V376:V410" si="96">IF(A376&lt;&gt;"",D376,E376)</f>
        <v>406</v>
      </c>
      <c r="W376" s="70"/>
      <c r="X376" s="71"/>
      <c r="Y376" s="71"/>
      <c r="Z376" s="72" t="s">
        <v>14</v>
      </c>
      <c r="AB376" s="56"/>
      <c r="AC376" s="56"/>
      <c r="AD376" s="56"/>
      <c r="AE376" s="56"/>
      <c r="AF376" s="56"/>
      <c r="AG376" s="56"/>
      <c r="AH376" s="56"/>
      <c r="AI376" s="56">
        <v>130</v>
      </c>
      <c r="AJ376" s="56">
        <v>320</v>
      </c>
      <c r="AK376" s="56">
        <v>406</v>
      </c>
      <c r="AL376" s="56">
        <v>1.45</v>
      </c>
      <c r="AM376" s="56" t="s">
        <v>784</v>
      </c>
      <c r="AN376" s="56">
        <v>45.320999999999998</v>
      </c>
      <c r="AO376" s="56" t="s">
        <v>785</v>
      </c>
      <c r="AP376" s="56" t="s">
        <v>14</v>
      </c>
      <c r="AQ376" s="56" t="s">
        <v>63</v>
      </c>
    </row>
    <row r="377" spans="1:43" x14ac:dyDescent="0.25">
      <c r="A377" s="8"/>
      <c r="B377" s="8"/>
      <c r="C377" s="8">
        <v>1.45</v>
      </c>
      <c r="D377" s="27"/>
      <c r="E377" s="28">
        <v>407</v>
      </c>
      <c r="F377" s="29" t="s">
        <v>786</v>
      </c>
      <c r="G377" s="10" t="s">
        <v>787</v>
      </c>
      <c r="H377" s="30">
        <f t="shared" ref="H377:H410" si="97">IF($Y$7="y",$C$416,0)</f>
        <v>0</v>
      </c>
      <c r="I377" s="52" t="str">
        <f>[1]!Plus_ang(I376,[1]!Min_ang(F377,F376))</f>
        <v xml:space="preserve"> 135° 59' 57"</v>
      </c>
      <c r="J377" s="10" t="str">
        <f>[1]!Plus_ang([1]!Plus_ang(J376,[1]!Min_ang(F377,F376)),[1]!DestoDeg(H377/3600))</f>
        <v xml:space="preserve"> 135° 59' 57"</v>
      </c>
      <c r="K377" s="31">
        <v>45.567999999999998</v>
      </c>
      <c r="L377" s="32">
        <f>[1]!Jarakdatar(K377,G377)</f>
        <v>45.561525908949633</v>
      </c>
      <c r="M377" s="33">
        <f>L377*[1]!dsin(J377)</f>
        <v>31.650172021880774</v>
      </c>
      <c r="N377" s="34">
        <f t="shared" ref="N377:N410" si="98">IF($Y$8="Y",($Y$4*L377/$L$413),0)</f>
        <v>0</v>
      </c>
      <c r="O377" s="33">
        <f>L377*[1]!dcos(J377)</f>
        <v>-32.773758620842436</v>
      </c>
      <c r="P377" s="34">
        <f t="shared" ref="P377:P410" si="99">IF($Y$8="Y",($Y$5*L377/$L$413),0)</f>
        <v>0</v>
      </c>
      <c r="Q377" s="35">
        <f>L377/[1]!dTAN(G377)-C377+$B$312</f>
        <v>0.56810210786809756</v>
      </c>
      <c r="R377" s="34">
        <f t="shared" ref="R377:R410" si="100">IF(AND($Y$8="Y",W377="P"),($Y$6*L377/$L$413),0)</f>
        <v>0</v>
      </c>
      <c r="S377" s="36">
        <f t="shared" ref="S377:S410" si="101">$S$312+M377+N377</f>
        <v>9675.6512630615925</v>
      </c>
      <c r="T377" s="40">
        <f t="shared" ref="T377:T410" si="102">$T$312+O377+P377</f>
        <v>9614.1345677020945</v>
      </c>
      <c r="U377" s="37">
        <f t="shared" ref="U377:U410" si="103">$U$312+Q377+R377</f>
        <v>22.065482559729197</v>
      </c>
      <c r="V377" s="38">
        <f t="shared" si="96"/>
        <v>407</v>
      </c>
      <c r="W377" s="70"/>
      <c r="X377" s="71"/>
      <c r="Y377" s="71"/>
      <c r="Z377" s="72" t="s">
        <v>14</v>
      </c>
      <c r="AB377" s="56"/>
      <c r="AC377" s="56"/>
      <c r="AD377" s="56"/>
      <c r="AE377" s="56"/>
      <c r="AF377" s="56"/>
      <c r="AG377" s="56"/>
      <c r="AH377" s="56"/>
      <c r="AI377" s="56">
        <v>132</v>
      </c>
      <c r="AJ377" s="56">
        <v>320</v>
      </c>
      <c r="AK377" s="56">
        <v>407</v>
      </c>
      <c r="AL377" s="56">
        <v>1.45</v>
      </c>
      <c r="AM377" s="56" t="s">
        <v>786</v>
      </c>
      <c r="AN377" s="56">
        <v>45.567999999999998</v>
      </c>
      <c r="AO377" s="56" t="s">
        <v>787</v>
      </c>
      <c r="AP377" s="56" t="s">
        <v>14</v>
      </c>
      <c r="AQ377" s="56" t="s">
        <v>63</v>
      </c>
    </row>
    <row r="378" spans="1:43" x14ac:dyDescent="0.25">
      <c r="A378" s="8"/>
      <c r="B378" s="8"/>
      <c r="C378" s="8">
        <v>1.45</v>
      </c>
      <c r="D378" s="27"/>
      <c r="E378" s="28">
        <v>408</v>
      </c>
      <c r="F378" s="29" t="s">
        <v>788</v>
      </c>
      <c r="G378" s="10" t="s">
        <v>789</v>
      </c>
      <c r="H378" s="30">
        <f t="shared" si="97"/>
        <v>0</v>
      </c>
      <c r="I378" s="52" t="str">
        <f>[1]!Plus_ang(I377,[1]!Min_ang(F378,F377))</f>
        <v xml:space="preserve"> 136° 3' 56"</v>
      </c>
      <c r="J378" s="10" t="str">
        <f>[1]!Plus_ang([1]!Plus_ang(J377,[1]!Min_ang(F378,F377)),[1]!DestoDeg(H378/3600))</f>
        <v xml:space="preserve"> 136° 3' 56"</v>
      </c>
      <c r="K378" s="31">
        <v>45.536000000000001</v>
      </c>
      <c r="L378" s="32">
        <f>[1]!Jarakdatar(K378,G378)</f>
        <v>45.535999997859406</v>
      </c>
      <c r="M378" s="33">
        <f>L378*[1]!dsin(J378)</f>
        <v>31.594464908240216</v>
      </c>
      <c r="N378" s="34">
        <f t="shared" si="98"/>
        <v>0</v>
      </c>
      <c r="O378" s="33">
        <f>L378*[1]!dcos(J378)</f>
        <v>-32.792027734908814</v>
      </c>
      <c r="P378" s="34">
        <f t="shared" si="99"/>
        <v>0</v>
      </c>
      <c r="Q378" s="35">
        <f>L378/[1]!dTAN(G378)-C378+$B$312</f>
        <v>-0.20044152951565253</v>
      </c>
      <c r="R378" s="34">
        <f t="shared" si="100"/>
        <v>0</v>
      </c>
      <c r="S378" s="36">
        <f t="shared" si="101"/>
        <v>9675.5955559479517</v>
      </c>
      <c r="T378" s="40">
        <f t="shared" si="102"/>
        <v>9614.1162985880273</v>
      </c>
      <c r="U378" s="37">
        <f t="shared" si="103"/>
        <v>21.296938922345447</v>
      </c>
      <c r="V378" s="38">
        <f t="shared" si="96"/>
        <v>408</v>
      </c>
      <c r="W378" s="70"/>
      <c r="X378" s="71"/>
      <c r="Y378" s="71"/>
      <c r="Z378" s="72" t="s">
        <v>14</v>
      </c>
      <c r="AB378" s="56"/>
      <c r="AC378" s="56"/>
      <c r="AD378" s="56"/>
      <c r="AE378" s="56"/>
      <c r="AF378" s="56"/>
      <c r="AG378" s="56"/>
      <c r="AH378" s="56"/>
      <c r="AI378" s="56">
        <v>134</v>
      </c>
      <c r="AJ378" s="56">
        <v>320</v>
      </c>
      <c r="AK378" s="56">
        <v>408</v>
      </c>
      <c r="AL378" s="56">
        <v>1.45</v>
      </c>
      <c r="AM378" s="56" t="s">
        <v>788</v>
      </c>
      <c r="AN378" s="56">
        <v>45.536000000000001</v>
      </c>
      <c r="AO378" s="56" t="s">
        <v>789</v>
      </c>
      <c r="AP378" s="56" t="s">
        <v>14</v>
      </c>
      <c r="AQ378" s="56" t="s">
        <v>63</v>
      </c>
    </row>
    <row r="379" spans="1:43" x14ac:dyDescent="0.25">
      <c r="A379" s="8"/>
      <c r="B379" s="8"/>
      <c r="C379" s="8">
        <v>1.45</v>
      </c>
      <c r="D379" s="27"/>
      <c r="E379" s="28">
        <v>409</v>
      </c>
      <c r="F379" s="29" t="s">
        <v>790</v>
      </c>
      <c r="G379" s="10" t="s">
        <v>791</v>
      </c>
      <c r="H379" s="30">
        <f t="shared" si="97"/>
        <v>0</v>
      </c>
      <c r="I379" s="52" t="str">
        <f>[1]!Plus_ang(I378,[1]!Min_ang(F379,F378))</f>
        <v xml:space="preserve"> 136° 6' 54"</v>
      </c>
      <c r="J379" s="10" t="str">
        <f>[1]!Plus_ang([1]!Plus_ang(J378,[1]!Min_ang(F379,F378)),[1]!DestoDeg(H379/3600))</f>
        <v xml:space="preserve"> 136° 6' 54"</v>
      </c>
      <c r="K379" s="31">
        <v>45.758000000000003</v>
      </c>
      <c r="L379" s="32">
        <f>[1]!Jarakdatar(K379,G379)</f>
        <v>45.757902409888146</v>
      </c>
      <c r="M379" s="33">
        <f>L379*[1]!dsin(J379)</f>
        <v>31.719980338473352</v>
      </c>
      <c r="N379" s="34">
        <f t="shared" si="98"/>
        <v>0</v>
      </c>
      <c r="O379" s="33">
        <f>L379*[1]!dcos(J379)</f>
        <v>-32.979212851123521</v>
      </c>
      <c r="P379" s="34">
        <f t="shared" si="99"/>
        <v>0</v>
      </c>
      <c r="Q379" s="35">
        <f>L379/[1]!dTAN(G379)-C379+$B$312</f>
        <v>-0.29450421764560009</v>
      </c>
      <c r="R379" s="34">
        <f t="shared" si="100"/>
        <v>0</v>
      </c>
      <c r="S379" s="36">
        <f t="shared" si="101"/>
        <v>9675.721071378186</v>
      </c>
      <c r="T379" s="40">
        <f t="shared" si="102"/>
        <v>9613.9291134718133</v>
      </c>
      <c r="U379" s="37">
        <f t="shared" si="103"/>
        <v>21.202876234215502</v>
      </c>
      <c r="V379" s="38">
        <f t="shared" si="96"/>
        <v>409</v>
      </c>
      <c r="W379" s="70"/>
      <c r="X379" s="71"/>
      <c r="Y379" s="71"/>
      <c r="Z379" s="72" t="s">
        <v>15</v>
      </c>
      <c r="AB379" s="56"/>
      <c r="AC379" s="56"/>
      <c r="AD379" s="56"/>
      <c r="AE379" s="56"/>
      <c r="AF379" s="56"/>
      <c r="AG379" s="56"/>
      <c r="AH379" s="56"/>
      <c r="AI379" s="56">
        <v>136</v>
      </c>
      <c r="AJ379" s="56">
        <v>320</v>
      </c>
      <c r="AK379" s="56">
        <v>409</v>
      </c>
      <c r="AL379" s="56">
        <v>1.45</v>
      </c>
      <c r="AM379" s="56" t="s">
        <v>790</v>
      </c>
      <c r="AN379" s="56">
        <v>45.758000000000003</v>
      </c>
      <c r="AO379" s="56" t="s">
        <v>791</v>
      </c>
      <c r="AP379" s="56" t="s">
        <v>15</v>
      </c>
      <c r="AQ379" s="56" t="s">
        <v>63</v>
      </c>
    </row>
    <row r="380" spans="1:43" x14ac:dyDescent="0.25">
      <c r="A380" s="8"/>
      <c r="B380" s="8"/>
      <c r="C380" s="8">
        <v>1.45</v>
      </c>
      <c r="D380" s="27"/>
      <c r="E380" s="28">
        <v>410</v>
      </c>
      <c r="F380" s="29" t="s">
        <v>790</v>
      </c>
      <c r="G380" s="10" t="s">
        <v>792</v>
      </c>
      <c r="H380" s="30">
        <f t="shared" si="97"/>
        <v>0</v>
      </c>
      <c r="I380" s="52" t="str">
        <f>[1]!Plus_ang(I379,[1]!Min_ang(F380,F379))</f>
        <v xml:space="preserve"> 136° 6' 54"</v>
      </c>
      <c r="J380" s="10" t="str">
        <f>[1]!Plus_ang([1]!Plus_ang(J379,[1]!Min_ang(F380,F379)),[1]!DestoDeg(H380/3600))</f>
        <v xml:space="preserve"> 136° 6' 54"</v>
      </c>
      <c r="K380" s="31">
        <v>45.994</v>
      </c>
      <c r="L380" s="32">
        <f>[1]!Jarakdatar(K380,G380)</f>
        <v>45.993900520098478</v>
      </c>
      <c r="M380" s="33">
        <f>L380*[1]!dsin(J380)</f>
        <v>31.883577335309706</v>
      </c>
      <c r="N380" s="34">
        <f t="shared" si="98"/>
        <v>0</v>
      </c>
      <c r="O380" s="33">
        <f>L380*[1]!dcos(J380)</f>
        <v>-33.149304387212105</v>
      </c>
      <c r="P380" s="34">
        <f t="shared" si="99"/>
        <v>0</v>
      </c>
      <c r="Q380" s="35">
        <f>L380/[1]!dTAN(G380)-C380+$B$312</f>
        <v>-0.29566058375821136</v>
      </c>
      <c r="R380" s="34">
        <f t="shared" si="100"/>
        <v>0</v>
      </c>
      <c r="S380" s="36">
        <f t="shared" si="101"/>
        <v>9675.8846683750216</v>
      </c>
      <c r="T380" s="40">
        <f t="shared" si="102"/>
        <v>9613.7590219357244</v>
      </c>
      <c r="U380" s="37">
        <f t="shared" si="103"/>
        <v>21.201719868102892</v>
      </c>
      <c r="V380" s="38">
        <f t="shared" si="96"/>
        <v>410</v>
      </c>
      <c r="W380" s="70"/>
      <c r="X380" s="71"/>
      <c r="Y380" s="71"/>
      <c r="Z380" s="72" t="s">
        <v>15</v>
      </c>
      <c r="AB380" s="56"/>
      <c r="AC380" s="56"/>
      <c r="AD380" s="56"/>
      <c r="AE380" s="56"/>
      <c r="AF380" s="56"/>
      <c r="AG380" s="56"/>
      <c r="AH380" s="56"/>
      <c r="AI380" s="56">
        <v>138</v>
      </c>
      <c r="AJ380" s="56">
        <v>320</v>
      </c>
      <c r="AK380" s="56">
        <v>410</v>
      </c>
      <c r="AL380" s="56">
        <v>1.45</v>
      </c>
      <c r="AM380" s="56" t="s">
        <v>790</v>
      </c>
      <c r="AN380" s="56">
        <v>45.994</v>
      </c>
      <c r="AO380" s="56" t="s">
        <v>792</v>
      </c>
      <c r="AP380" s="56" t="s">
        <v>15</v>
      </c>
      <c r="AQ380" s="56" t="s">
        <v>63</v>
      </c>
    </row>
    <row r="381" spans="1:43" x14ac:dyDescent="0.25">
      <c r="A381" s="8"/>
      <c r="B381" s="8"/>
      <c r="C381" s="8">
        <v>1.45</v>
      </c>
      <c r="D381" s="27"/>
      <c r="E381" s="28">
        <v>411</v>
      </c>
      <c r="F381" s="29" t="s">
        <v>793</v>
      </c>
      <c r="G381" s="10" t="s">
        <v>794</v>
      </c>
      <c r="H381" s="30">
        <f t="shared" si="97"/>
        <v>0</v>
      </c>
      <c r="I381" s="52" t="str">
        <f>[1]!Plus_ang(I380,[1]!Min_ang(F381,F380))</f>
        <v xml:space="preserve"> 136° 2' 53"</v>
      </c>
      <c r="J381" s="10" t="str">
        <f>[1]!Plus_ang([1]!Plus_ang(J380,[1]!Min_ang(F381,F380)),[1]!DestoDeg(H381/3600))</f>
        <v xml:space="preserve"> 136° 2' 53"</v>
      </c>
      <c r="K381" s="31">
        <v>46.274999999999999</v>
      </c>
      <c r="L381" s="32">
        <f>[1]!Jarakdatar(K381,G381)</f>
        <v>46.269500644397255</v>
      </c>
      <c r="M381" s="33">
        <f>L381*[1]!dsin(J381)</f>
        <v>32.113568830892447</v>
      </c>
      <c r="N381" s="34">
        <f t="shared" si="98"/>
        <v>0</v>
      </c>
      <c r="O381" s="33">
        <f>L381*[1]!dcos(J381)</f>
        <v>-33.3104396072074</v>
      </c>
      <c r="P381" s="34">
        <f t="shared" si="99"/>
        <v>0</v>
      </c>
      <c r="Q381" s="35">
        <f>L381/[1]!dTAN(G381)-C381+$B$312</f>
        <v>0.51339688681838724</v>
      </c>
      <c r="R381" s="34">
        <f t="shared" si="100"/>
        <v>0</v>
      </c>
      <c r="S381" s="36">
        <f t="shared" si="101"/>
        <v>9676.1146598706055</v>
      </c>
      <c r="T381" s="40">
        <f t="shared" si="102"/>
        <v>9613.5978867157301</v>
      </c>
      <c r="U381" s="37">
        <f t="shared" si="103"/>
        <v>22.010777338679489</v>
      </c>
      <c r="V381" s="38">
        <f t="shared" si="96"/>
        <v>411</v>
      </c>
      <c r="W381" s="70"/>
      <c r="X381" s="71"/>
      <c r="Y381" s="71"/>
      <c r="Z381" s="72" t="s">
        <v>14</v>
      </c>
      <c r="AB381" s="56"/>
      <c r="AC381" s="56"/>
      <c r="AD381" s="56"/>
      <c r="AE381" s="56"/>
      <c r="AF381" s="56"/>
      <c r="AG381" s="56"/>
      <c r="AH381" s="56"/>
      <c r="AI381" s="56">
        <v>140</v>
      </c>
      <c r="AJ381" s="56">
        <v>320</v>
      </c>
      <c r="AK381" s="56">
        <v>411</v>
      </c>
      <c r="AL381" s="56">
        <v>1.45</v>
      </c>
      <c r="AM381" s="56" t="s">
        <v>793</v>
      </c>
      <c r="AN381" s="56">
        <v>46.274999999999999</v>
      </c>
      <c r="AO381" s="56" t="s">
        <v>794</v>
      </c>
      <c r="AP381" s="56" t="s">
        <v>14</v>
      </c>
      <c r="AQ381" s="56" t="s">
        <v>63</v>
      </c>
    </row>
    <row r="382" spans="1:43" x14ac:dyDescent="0.25">
      <c r="A382" s="8"/>
      <c r="B382" s="8"/>
      <c r="C382" s="8">
        <v>1.45</v>
      </c>
      <c r="D382" s="27"/>
      <c r="E382" s="28">
        <v>412</v>
      </c>
      <c r="F382" s="29" t="s">
        <v>795</v>
      </c>
      <c r="G382" s="10" t="s">
        <v>796</v>
      </c>
      <c r="H382" s="30">
        <f t="shared" si="97"/>
        <v>0</v>
      </c>
      <c r="I382" s="52" t="str">
        <f>[1]!Plus_ang(I381,[1]!Min_ang(F382,F381))</f>
        <v xml:space="preserve"> 136° 0' 51"</v>
      </c>
      <c r="J382" s="10" t="str">
        <f>[1]!Plus_ang([1]!Plus_ang(J381,[1]!Min_ang(F382,F381)),[1]!DestoDeg(H382/3600))</f>
        <v xml:space="preserve"> 136° 0' 51"</v>
      </c>
      <c r="K382" s="31">
        <v>51.143999999999998</v>
      </c>
      <c r="L382" s="32">
        <f>[1]!Jarakdatar(K382,G382)</f>
        <v>51.02670877689313</v>
      </c>
      <c r="M382" s="33">
        <f>L382*[1]!dsin(J382)</f>
        <v>35.437053657353964</v>
      </c>
      <c r="N382" s="34">
        <f t="shared" si="98"/>
        <v>0</v>
      </c>
      <c r="O382" s="33">
        <f>L382*[1]!dcos(J382)</f>
        <v>-36.714305613584436</v>
      </c>
      <c r="P382" s="34">
        <f t="shared" si="99"/>
        <v>0</v>
      </c>
      <c r="Q382" s="35">
        <f>L382/[1]!dTAN(G382)-C382+$B$312</f>
        <v>3.261752070575958</v>
      </c>
      <c r="R382" s="34">
        <f t="shared" si="100"/>
        <v>0</v>
      </c>
      <c r="S382" s="36">
        <f t="shared" si="101"/>
        <v>9679.4381446970656</v>
      </c>
      <c r="T382" s="40">
        <f t="shared" si="102"/>
        <v>9610.1940207093521</v>
      </c>
      <c r="U382" s="37">
        <f t="shared" si="103"/>
        <v>24.75913252243706</v>
      </c>
      <c r="V382" s="38">
        <f t="shared" si="96"/>
        <v>412</v>
      </c>
      <c r="W382" s="70"/>
      <c r="X382" s="71"/>
      <c r="Y382" s="71"/>
      <c r="Z382" s="72" t="s">
        <v>3</v>
      </c>
      <c r="AB382" s="56"/>
      <c r="AC382" s="56"/>
      <c r="AD382" s="56"/>
      <c r="AE382" s="56"/>
      <c r="AF382" s="56"/>
      <c r="AG382" s="56"/>
      <c r="AH382" s="56"/>
      <c r="AI382" s="56">
        <v>142</v>
      </c>
      <c r="AJ382" s="56">
        <v>320</v>
      </c>
      <c r="AK382" s="56">
        <v>412</v>
      </c>
      <c r="AL382" s="56">
        <v>1.45</v>
      </c>
      <c r="AM382" s="56" t="s">
        <v>795</v>
      </c>
      <c r="AN382" s="56">
        <v>51.143999999999998</v>
      </c>
      <c r="AO382" s="56" t="s">
        <v>796</v>
      </c>
      <c r="AP382" s="56" t="s">
        <v>3</v>
      </c>
      <c r="AQ382" s="56" t="s">
        <v>63</v>
      </c>
    </row>
    <row r="383" spans="1:43" x14ac:dyDescent="0.25">
      <c r="A383" s="8"/>
      <c r="B383" s="8"/>
      <c r="C383" s="8">
        <v>1.45</v>
      </c>
      <c r="D383" s="27"/>
      <c r="E383" s="28">
        <v>413</v>
      </c>
      <c r="F383" s="29" t="s">
        <v>797</v>
      </c>
      <c r="G383" s="10" t="s">
        <v>798</v>
      </c>
      <c r="H383" s="30">
        <f t="shared" si="97"/>
        <v>0</v>
      </c>
      <c r="I383" s="52" t="str">
        <f>[1]!Plus_ang(I382,[1]!Min_ang(F383,F382))</f>
        <v xml:space="preserve"> 136° 3' 57"</v>
      </c>
      <c r="J383" s="10" t="str">
        <f>[1]!Plus_ang([1]!Plus_ang(J382,[1]!Min_ang(F383,F382)),[1]!DestoDeg(H383/3600))</f>
        <v xml:space="preserve"> 136° 3' 57"</v>
      </c>
      <c r="K383" s="31">
        <v>61.798000000000002</v>
      </c>
      <c r="L383" s="32">
        <f>[1]!Jarakdatar(K383,G383)</f>
        <v>61.647630326784004</v>
      </c>
      <c r="M383" s="33">
        <f>L383*[1]!dsin(J383)</f>
        <v>42.773060706903273</v>
      </c>
      <c r="N383" s="34">
        <f t="shared" si="98"/>
        <v>0</v>
      </c>
      <c r="O383" s="33">
        <f>L383*[1]!dcos(J383)</f>
        <v>-44.394769992324392</v>
      </c>
      <c r="P383" s="34">
        <f t="shared" si="99"/>
        <v>0</v>
      </c>
      <c r="Q383" s="35">
        <f>L383/[1]!dTAN(G383)-C383+$B$312</f>
        <v>4.1084195585133756</v>
      </c>
      <c r="R383" s="34">
        <f t="shared" si="100"/>
        <v>0</v>
      </c>
      <c r="S383" s="36">
        <f t="shared" si="101"/>
        <v>9686.7741517466147</v>
      </c>
      <c r="T383" s="40">
        <f t="shared" si="102"/>
        <v>9602.5135563306121</v>
      </c>
      <c r="U383" s="37">
        <f t="shared" si="103"/>
        <v>25.605800010374477</v>
      </c>
      <c r="V383" s="38">
        <f t="shared" si="96"/>
        <v>413</v>
      </c>
      <c r="W383" s="70"/>
      <c r="X383" s="71"/>
      <c r="Y383" s="71"/>
      <c r="Z383" s="72" t="s">
        <v>3</v>
      </c>
      <c r="AB383" s="56"/>
      <c r="AC383" s="56"/>
      <c r="AD383" s="56"/>
      <c r="AE383" s="56"/>
      <c r="AF383" s="56"/>
      <c r="AG383" s="56"/>
      <c r="AH383" s="56"/>
      <c r="AI383" s="56">
        <v>144</v>
      </c>
      <c r="AJ383" s="56">
        <v>320</v>
      </c>
      <c r="AK383" s="56">
        <v>413</v>
      </c>
      <c r="AL383" s="56">
        <v>1.45</v>
      </c>
      <c r="AM383" s="56" t="s">
        <v>797</v>
      </c>
      <c r="AN383" s="56">
        <v>61.798000000000002</v>
      </c>
      <c r="AO383" s="56" t="s">
        <v>798</v>
      </c>
      <c r="AP383" s="56" t="s">
        <v>3</v>
      </c>
      <c r="AQ383" s="56" t="s">
        <v>63</v>
      </c>
    </row>
    <row r="384" spans="1:43" x14ac:dyDescent="0.25">
      <c r="A384" s="8"/>
      <c r="B384" s="8"/>
      <c r="C384" s="8">
        <v>1.45</v>
      </c>
      <c r="D384" s="27"/>
      <c r="E384" s="28">
        <v>414</v>
      </c>
      <c r="F384" s="29" t="s">
        <v>799</v>
      </c>
      <c r="G384" s="10" t="s">
        <v>800</v>
      </c>
      <c r="H384" s="30">
        <f t="shared" si="97"/>
        <v>0</v>
      </c>
      <c r="I384" s="52" t="str">
        <f>[1]!Plus_ang(I383,[1]!Min_ang(F384,F383))</f>
        <v xml:space="preserve"> 57° 4' 56"</v>
      </c>
      <c r="J384" s="10" t="str">
        <f>[1]!Plus_ang([1]!Plus_ang(J383,[1]!Min_ang(F384,F383)),[1]!DestoDeg(H384/3600))</f>
        <v xml:space="preserve"> 57° 4' 56"</v>
      </c>
      <c r="K384" s="31">
        <v>19.478999999999999</v>
      </c>
      <c r="L384" s="32">
        <f>[1]!Jarakdatar(K384,G384)</f>
        <v>19.45226020697822</v>
      </c>
      <c r="M384" s="33">
        <f>L384*[1]!dsin(J384)</f>
        <v>16.329224876337285</v>
      </c>
      <c r="N384" s="34">
        <f t="shared" si="98"/>
        <v>0</v>
      </c>
      <c r="O384" s="33">
        <f>L384*[1]!dcos(J384)</f>
        <v>10.571037891238298</v>
      </c>
      <c r="P384" s="34">
        <f t="shared" si="99"/>
        <v>0</v>
      </c>
      <c r="Q384" s="35">
        <f>L384/[1]!dTAN(G384)-C384+$B$312</f>
        <v>-1.2203008575962042</v>
      </c>
      <c r="R384" s="34">
        <f t="shared" si="100"/>
        <v>0</v>
      </c>
      <c r="S384" s="36">
        <f t="shared" si="101"/>
        <v>9660.3303159160496</v>
      </c>
      <c r="T384" s="40">
        <f t="shared" si="102"/>
        <v>9657.4793642141758</v>
      </c>
      <c r="U384" s="37">
        <f t="shared" si="103"/>
        <v>20.277079594264897</v>
      </c>
      <c r="V384" s="38">
        <f t="shared" si="96"/>
        <v>414</v>
      </c>
      <c r="W384" s="70"/>
      <c r="X384" s="71"/>
      <c r="Y384" s="71"/>
      <c r="Z384" s="72" t="s">
        <v>76</v>
      </c>
      <c r="AB384" s="56"/>
      <c r="AC384" s="56"/>
      <c r="AD384" s="56"/>
      <c r="AE384" s="56"/>
      <c r="AF384" s="56"/>
      <c r="AG384" s="56"/>
      <c r="AH384" s="56"/>
      <c r="AI384" s="56">
        <v>146</v>
      </c>
      <c r="AJ384" s="56">
        <v>320</v>
      </c>
      <c r="AK384" s="56">
        <v>414</v>
      </c>
      <c r="AL384" s="56">
        <v>1.45</v>
      </c>
      <c r="AM384" s="56" t="s">
        <v>799</v>
      </c>
      <c r="AN384" s="56">
        <v>19.478999999999999</v>
      </c>
      <c r="AO384" s="56" t="s">
        <v>800</v>
      </c>
      <c r="AP384" s="56" t="s">
        <v>76</v>
      </c>
      <c r="AQ384" s="56" t="s">
        <v>63</v>
      </c>
    </row>
    <row r="385" spans="1:43" x14ac:dyDescent="0.25">
      <c r="A385" s="8"/>
      <c r="B385" s="8"/>
      <c r="C385" s="8">
        <v>1.45</v>
      </c>
      <c r="D385" s="27"/>
      <c r="E385" s="28">
        <v>415</v>
      </c>
      <c r="F385" s="29" t="s">
        <v>801</v>
      </c>
      <c r="G385" s="10" t="s">
        <v>802</v>
      </c>
      <c r="H385" s="30">
        <f t="shared" si="97"/>
        <v>0</v>
      </c>
      <c r="I385" s="52" t="str">
        <f>[1]!Plus_ang(I384,[1]!Min_ang(F385,F384))</f>
        <v xml:space="preserve"> 56° 3' 56"</v>
      </c>
      <c r="J385" s="10" t="str">
        <f>[1]!Plus_ang([1]!Plus_ang(J384,[1]!Min_ang(F385,F384)),[1]!DestoDeg(H385/3600))</f>
        <v xml:space="preserve"> 56° 3' 56"</v>
      </c>
      <c r="K385" s="31">
        <v>19.018000000000001</v>
      </c>
      <c r="L385" s="32">
        <f>[1]!Jarakdatar(K385,G385)</f>
        <v>19.014903824753048</v>
      </c>
      <c r="M385" s="33">
        <f>L385*[1]!dsin(J385)</f>
        <v>15.776225243705129</v>
      </c>
      <c r="N385" s="34">
        <f t="shared" si="98"/>
        <v>0</v>
      </c>
      <c r="O385" s="33">
        <f>L385*[1]!dcos(J385)</f>
        <v>10.614955700542945</v>
      </c>
      <c r="P385" s="34">
        <f t="shared" si="99"/>
        <v>0</v>
      </c>
      <c r="Q385" s="35">
        <f>L385/[1]!dTAN(G385)-C385+$B$312</f>
        <v>-0.54315672132690929</v>
      </c>
      <c r="R385" s="34">
        <f t="shared" si="100"/>
        <v>0</v>
      </c>
      <c r="S385" s="36">
        <f t="shared" si="101"/>
        <v>9659.7773162834183</v>
      </c>
      <c r="T385" s="40">
        <f t="shared" si="102"/>
        <v>9657.5232820234796</v>
      </c>
      <c r="U385" s="37">
        <f t="shared" si="103"/>
        <v>20.954223730534192</v>
      </c>
      <c r="V385" s="38">
        <f t="shared" si="96"/>
        <v>415</v>
      </c>
      <c r="W385" s="70"/>
      <c r="X385" s="71"/>
      <c r="Y385" s="71"/>
      <c r="Z385" s="72" t="s">
        <v>77</v>
      </c>
      <c r="AB385" s="56"/>
      <c r="AC385" s="56"/>
      <c r="AD385" s="56"/>
      <c r="AE385" s="56"/>
      <c r="AF385" s="56"/>
      <c r="AG385" s="56"/>
      <c r="AH385" s="56"/>
      <c r="AI385" s="56">
        <v>148</v>
      </c>
      <c r="AJ385" s="56">
        <v>320</v>
      </c>
      <c r="AK385" s="56">
        <v>415</v>
      </c>
      <c r="AL385" s="56">
        <v>1.45</v>
      </c>
      <c r="AM385" s="56" t="s">
        <v>801</v>
      </c>
      <c r="AN385" s="56">
        <v>19.018000000000001</v>
      </c>
      <c r="AO385" s="56" t="s">
        <v>802</v>
      </c>
      <c r="AP385" s="56" t="s">
        <v>77</v>
      </c>
      <c r="AQ385" s="56" t="s">
        <v>63</v>
      </c>
    </row>
    <row r="386" spans="1:43" x14ac:dyDescent="0.25">
      <c r="A386" s="8"/>
      <c r="B386" s="8"/>
      <c r="C386" s="8">
        <v>1.45</v>
      </c>
      <c r="D386" s="27"/>
      <c r="E386" s="28">
        <v>416</v>
      </c>
      <c r="F386" s="29" t="s">
        <v>803</v>
      </c>
      <c r="G386" s="10" t="s">
        <v>804</v>
      </c>
      <c r="H386" s="30">
        <f t="shared" si="97"/>
        <v>0</v>
      </c>
      <c r="I386" s="52" t="str">
        <f>[1]!Plus_ang(I385,[1]!Min_ang(F386,F385))</f>
        <v xml:space="preserve"> 40° 3' 52"</v>
      </c>
      <c r="J386" s="10" t="str">
        <f>[1]!Plus_ang([1]!Plus_ang(J385,[1]!Min_ang(F386,F385)),[1]!DestoDeg(H386/3600))</f>
        <v xml:space="preserve"> 40° 3' 52"</v>
      </c>
      <c r="K386" s="31">
        <v>19.193999999999999</v>
      </c>
      <c r="L386" s="32">
        <f>[1]!Jarakdatar(K386,G386)</f>
        <v>19.182102041676508</v>
      </c>
      <c r="M386" s="33">
        <f>L386*[1]!dsin(J386)</f>
        <v>12.346537439886111</v>
      </c>
      <c r="N386" s="34">
        <f t="shared" si="98"/>
        <v>0</v>
      </c>
      <c r="O386" s="33">
        <f>L386*[1]!dcos(J386)</f>
        <v>14.680464978425602</v>
      </c>
      <c r="P386" s="34">
        <f t="shared" si="99"/>
        <v>0</v>
      </c>
      <c r="Q386" s="35">
        <f>L386/[1]!dTAN(G386)-C386+$B$312</f>
        <v>-0.87571981080176364</v>
      </c>
      <c r="R386" s="34">
        <f t="shared" si="100"/>
        <v>0</v>
      </c>
      <c r="S386" s="36">
        <f t="shared" si="101"/>
        <v>9656.3476284795979</v>
      </c>
      <c r="T386" s="40">
        <f t="shared" si="102"/>
        <v>9661.588791301363</v>
      </c>
      <c r="U386" s="37">
        <f t="shared" si="103"/>
        <v>20.621660641059336</v>
      </c>
      <c r="V386" s="38">
        <f t="shared" si="96"/>
        <v>416</v>
      </c>
      <c r="W386" s="70"/>
      <c r="X386" s="71"/>
      <c r="Y386" s="71"/>
      <c r="Z386" s="72" t="s">
        <v>76</v>
      </c>
      <c r="AB386" s="56"/>
      <c r="AC386" s="56"/>
      <c r="AD386" s="56"/>
      <c r="AE386" s="56"/>
      <c r="AF386" s="56"/>
      <c r="AG386" s="56"/>
      <c r="AH386" s="56"/>
      <c r="AI386" s="56">
        <v>150</v>
      </c>
      <c r="AJ386" s="56">
        <v>320</v>
      </c>
      <c r="AK386" s="56">
        <v>416</v>
      </c>
      <c r="AL386" s="56">
        <v>1.45</v>
      </c>
      <c r="AM386" s="56" t="s">
        <v>803</v>
      </c>
      <c r="AN386" s="56">
        <v>19.193999999999999</v>
      </c>
      <c r="AO386" s="56" t="s">
        <v>804</v>
      </c>
      <c r="AP386" s="56" t="s">
        <v>76</v>
      </c>
      <c r="AQ386" s="56" t="s">
        <v>63</v>
      </c>
    </row>
    <row r="387" spans="1:43" x14ac:dyDescent="0.25">
      <c r="A387" s="8"/>
      <c r="B387" s="8"/>
      <c r="C387" s="8">
        <v>1.45</v>
      </c>
      <c r="D387" s="27"/>
      <c r="E387" s="28">
        <v>417</v>
      </c>
      <c r="F387" s="29" t="s">
        <v>805</v>
      </c>
      <c r="G387" s="10" t="s">
        <v>806</v>
      </c>
      <c r="H387" s="30">
        <f t="shared" si="97"/>
        <v>0</v>
      </c>
      <c r="I387" s="52" t="str">
        <f>[1]!Plus_ang(I386,[1]!Min_ang(F387,F386))</f>
        <v xml:space="preserve"> 41° 6' 51"</v>
      </c>
      <c r="J387" s="10" t="str">
        <f>[1]!Plus_ang([1]!Plus_ang(J386,[1]!Min_ang(F387,F386)),[1]!DestoDeg(H387/3600))</f>
        <v xml:space="preserve"> 41° 6' 51"</v>
      </c>
      <c r="K387" s="31">
        <v>18.635000000000002</v>
      </c>
      <c r="L387" s="32">
        <f>[1]!Jarakdatar(K387,G387)</f>
        <v>18.634948485153252</v>
      </c>
      <c r="M387" s="33">
        <f>L387*[1]!dsin(J387)</f>
        <v>12.253625572748785</v>
      </c>
      <c r="N387" s="34">
        <f t="shared" si="98"/>
        <v>0</v>
      </c>
      <c r="O387" s="33">
        <f>L387*[1]!dcos(J387)</f>
        <v>14.039585655110784</v>
      </c>
      <c r="P387" s="34">
        <f t="shared" si="99"/>
        <v>0</v>
      </c>
      <c r="Q387" s="35">
        <f>L387/[1]!dTAN(G387)-C387+$B$312</f>
        <v>-0.2438172989188363</v>
      </c>
      <c r="R387" s="34">
        <f t="shared" si="100"/>
        <v>0</v>
      </c>
      <c r="S387" s="36">
        <f t="shared" si="101"/>
        <v>9656.2547166124605</v>
      </c>
      <c r="T387" s="40">
        <f t="shared" si="102"/>
        <v>9660.9479119780481</v>
      </c>
      <c r="U387" s="37">
        <f t="shared" si="103"/>
        <v>21.253563152942263</v>
      </c>
      <c r="V387" s="38">
        <f t="shared" si="96"/>
        <v>417</v>
      </c>
      <c r="W387" s="70"/>
      <c r="X387" s="71"/>
      <c r="Y387" s="71"/>
      <c r="Z387" s="72" t="s">
        <v>77</v>
      </c>
      <c r="AB387" s="56"/>
      <c r="AC387" s="56"/>
      <c r="AD387" s="56"/>
      <c r="AE387" s="56"/>
      <c r="AF387" s="56"/>
      <c r="AG387" s="56"/>
      <c r="AH387" s="56"/>
      <c r="AI387" s="56">
        <v>152</v>
      </c>
      <c r="AJ387" s="56">
        <v>320</v>
      </c>
      <c r="AK387" s="56">
        <v>417</v>
      </c>
      <c r="AL387" s="56">
        <v>1.45</v>
      </c>
      <c r="AM387" s="56" t="s">
        <v>805</v>
      </c>
      <c r="AN387" s="56">
        <v>18.635000000000002</v>
      </c>
      <c r="AO387" s="56" t="s">
        <v>806</v>
      </c>
      <c r="AP387" s="56" t="s">
        <v>77</v>
      </c>
      <c r="AQ387" s="56" t="s">
        <v>63</v>
      </c>
    </row>
    <row r="388" spans="1:43" x14ac:dyDescent="0.25">
      <c r="A388" s="8"/>
      <c r="B388" s="8"/>
      <c r="C388" s="8">
        <v>1.45</v>
      </c>
      <c r="D388" s="27"/>
      <c r="E388" s="28">
        <v>418</v>
      </c>
      <c r="F388" s="29" t="s">
        <v>807</v>
      </c>
      <c r="G388" s="10" t="s">
        <v>808</v>
      </c>
      <c r="H388" s="30">
        <f t="shared" si="97"/>
        <v>0</v>
      </c>
      <c r="I388" s="52" t="str">
        <f>[1]!Plus_ang(I387,[1]!Min_ang(F388,F387))</f>
        <v xml:space="preserve"> 234° 8' 51"</v>
      </c>
      <c r="J388" s="10" t="str">
        <f>[1]!Plus_ang([1]!Plus_ang(J387,[1]!Min_ang(F388,F387)),[1]!DestoDeg(H388/3600))</f>
        <v xml:space="preserve"> 234° 8' 51"</v>
      </c>
      <c r="K388" s="31">
        <v>46.435000000000002</v>
      </c>
      <c r="L388" s="32">
        <f>[1]!Jarakdatar(K388,G388)</f>
        <v>46.321980877034356</v>
      </c>
      <c r="M388" s="33">
        <f>L388*[1]!dsin(J388)</f>
        <v>-37.545238573156773</v>
      </c>
      <c r="N388" s="34">
        <f t="shared" si="98"/>
        <v>0</v>
      </c>
      <c r="O388" s="33">
        <f>L388*[1]!dcos(J388)</f>
        <v>-27.130812241012567</v>
      </c>
      <c r="P388" s="34">
        <f t="shared" si="99"/>
        <v>0</v>
      </c>
      <c r="Q388" s="35">
        <f>L388/[1]!dTAN(G388)-C388+$B$312</f>
        <v>3.0377944078745776</v>
      </c>
      <c r="R388" s="34">
        <f t="shared" si="100"/>
        <v>0</v>
      </c>
      <c r="S388" s="36">
        <f t="shared" si="101"/>
        <v>9606.4558524665554</v>
      </c>
      <c r="T388" s="40">
        <f t="shared" si="102"/>
        <v>9619.7775140819249</v>
      </c>
      <c r="U388" s="37">
        <f t="shared" si="103"/>
        <v>24.53517485973568</v>
      </c>
      <c r="V388" s="38">
        <f t="shared" si="96"/>
        <v>418</v>
      </c>
      <c r="W388" s="70"/>
      <c r="X388" s="71"/>
      <c r="Y388" s="71"/>
      <c r="Z388" s="72" t="s">
        <v>3</v>
      </c>
      <c r="AB388" s="56"/>
      <c r="AC388" s="56"/>
      <c r="AD388" s="56"/>
      <c r="AE388" s="56"/>
      <c r="AF388" s="56"/>
      <c r="AG388" s="56"/>
      <c r="AH388" s="56"/>
      <c r="AI388" s="56">
        <v>154</v>
      </c>
      <c r="AJ388" s="56">
        <v>320</v>
      </c>
      <c r="AK388" s="56">
        <v>418</v>
      </c>
      <c r="AL388" s="56">
        <v>1.45</v>
      </c>
      <c r="AM388" s="56" t="s">
        <v>807</v>
      </c>
      <c r="AN388" s="56">
        <v>46.435000000000002</v>
      </c>
      <c r="AO388" s="56" t="s">
        <v>808</v>
      </c>
      <c r="AP388" s="56" t="s">
        <v>3</v>
      </c>
      <c r="AQ388" s="56" t="s">
        <v>63</v>
      </c>
    </row>
    <row r="389" spans="1:43" x14ac:dyDescent="0.25">
      <c r="A389" s="8"/>
      <c r="B389" s="8"/>
      <c r="C389" s="8">
        <v>1.45</v>
      </c>
      <c r="D389" s="27"/>
      <c r="E389" s="28">
        <v>419</v>
      </c>
      <c r="F389" s="29" t="s">
        <v>809</v>
      </c>
      <c r="G389" s="10" t="s">
        <v>810</v>
      </c>
      <c r="H389" s="30">
        <f t="shared" si="97"/>
        <v>0</v>
      </c>
      <c r="I389" s="52" t="str">
        <f>[1]!Plus_ang(I388,[1]!Min_ang(F389,F388))</f>
        <v xml:space="preserve"> 228° 2' 56"</v>
      </c>
      <c r="J389" s="10" t="str">
        <f>[1]!Plus_ang([1]!Plus_ang(J388,[1]!Min_ang(F389,F388)),[1]!DestoDeg(H389/3600))</f>
        <v xml:space="preserve"> 228° 2' 56"</v>
      </c>
      <c r="K389" s="31">
        <v>46.024999999999999</v>
      </c>
      <c r="L389" s="32">
        <f>[1]!Jarakdatar(K389,G389)</f>
        <v>46.024991548504822</v>
      </c>
      <c r="M389" s="33">
        <f>L389*[1]!dsin(J389)</f>
        <v>-34.229499847749047</v>
      </c>
      <c r="N389" s="34">
        <f t="shared" si="98"/>
        <v>0</v>
      </c>
      <c r="O389" s="33">
        <f>L389*[1]!dcos(J389)</f>
        <v>-30.767534630075389</v>
      </c>
      <c r="P389" s="34">
        <f t="shared" si="99"/>
        <v>0</v>
      </c>
      <c r="Q389" s="35">
        <f>L389/[1]!dTAN(G389)-C389+$B$312</f>
        <v>-0.22789193538408736</v>
      </c>
      <c r="R389" s="34">
        <f t="shared" si="100"/>
        <v>0</v>
      </c>
      <c r="S389" s="36">
        <f t="shared" si="101"/>
        <v>9609.771591191964</v>
      </c>
      <c r="T389" s="40">
        <f t="shared" si="102"/>
        <v>9616.140791692862</v>
      </c>
      <c r="U389" s="37">
        <f t="shared" si="103"/>
        <v>21.269488516477015</v>
      </c>
      <c r="V389" s="38">
        <f t="shared" si="96"/>
        <v>419</v>
      </c>
      <c r="W389" s="70"/>
      <c r="X389" s="71"/>
      <c r="Y389" s="71"/>
      <c r="Z389" s="72" t="s">
        <v>14</v>
      </c>
      <c r="AB389" s="56"/>
      <c r="AC389" s="56"/>
      <c r="AD389" s="56"/>
      <c r="AE389" s="56"/>
      <c r="AF389" s="56"/>
      <c r="AG389" s="56"/>
      <c r="AH389" s="56"/>
      <c r="AI389" s="56">
        <v>156</v>
      </c>
      <c r="AJ389" s="56">
        <v>320</v>
      </c>
      <c r="AK389" s="56">
        <v>419</v>
      </c>
      <c r="AL389" s="56">
        <v>1.45</v>
      </c>
      <c r="AM389" s="56" t="s">
        <v>809</v>
      </c>
      <c r="AN389" s="56">
        <v>46.024999999999999</v>
      </c>
      <c r="AO389" s="56" t="s">
        <v>810</v>
      </c>
      <c r="AP389" s="56" t="s">
        <v>14</v>
      </c>
      <c r="AQ389" s="56" t="s">
        <v>63</v>
      </c>
    </row>
    <row r="390" spans="1:43" x14ac:dyDescent="0.25">
      <c r="A390" s="8"/>
      <c r="B390" s="8"/>
      <c r="C390" s="8">
        <v>1.45</v>
      </c>
      <c r="D390" s="27"/>
      <c r="E390" s="28" t="s">
        <v>79</v>
      </c>
      <c r="F390" s="29" t="s">
        <v>811</v>
      </c>
      <c r="G390" s="10" t="s">
        <v>812</v>
      </c>
      <c r="H390" s="30">
        <f t="shared" si="97"/>
        <v>0</v>
      </c>
      <c r="I390" s="52" t="str">
        <f>[1]!Plus_ang(I389,[1]!Min_ang(F390,F389))</f>
        <v xml:space="preserve"> 226° 3' 51"</v>
      </c>
      <c r="J390" s="10" t="str">
        <f>[1]!Plus_ang([1]!Plus_ang(J389,[1]!Min_ang(F390,F389)),[1]!DestoDeg(H390/3600))</f>
        <v xml:space="preserve"> 226° 3' 51"</v>
      </c>
      <c r="K390" s="31">
        <v>45.737000000000002</v>
      </c>
      <c r="L390" s="32">
        <f>[1]!Jarakdatar(K390,G390)</f>
        <v>45.730935460590388</v>
      </c>
      <c r="M390" s="33">
        <f>L390*[1]!dsin(J390)</f>
        <v>-32.931638254994617</v>
      </c>
      <c r="N390" s="34">
        <f t="shared" si="98"/>
        <v>0</v>
      </c>
      <c r="O390" s="33">
        <f>L390*[1]!dcos(J390)</f>
        <v>-31.730516225596752</v>
      </c>
      <c r="P390" s="34">
        <f t="shared" si="99"/>
        <v>0</v>
      </c>
      <c r="Q390" s="35">
        <f>L390/[1]!dTAN(G390)-C390+$B$312</f>
        <v>0.54478916433913405</v>
      </c>
      <c r="R390" s="34">
        <f t="shared" si="100"/>
        <v>0</v>
      </c>
      <c r="S390" s="36">
        <f t="shared" si="101"/>
        <v>9611.0694527847172</v>
      </c>
      <c r="T390" s="40">
        <f t="shared" si="102"/>
        <v>9615.1778100973406</v>
      </c>
      <c r="U390" s="37">
        <f t="shared" si="103"/>
        <v>22.042169616200233</v>
      </c>
      <c r="V390" s="38" t="str">
        <f t="shared" si="96"/>
        <v>K53</v>
      </c>
      <c r="W390" s="70"/>
      <c r="X390" s="71"/>
      <c r="Y390" s="71"/>
      <c r="Z390" s="72" t="s">
        <v>79</v>
      </c>
      <c r="AB390" s="56"/>
      <c r="AC390" s="56"/>
      <c r="AD390" s="56"/>
      <c r="AE390" s="56"/>
      <c r="AF390" s="56"/>
      <c r="AG390" s="56"/>
      <c r="AH390" s="56"/>
      <c r="AI390" s="56">
        <v>158</v>
      </c>
      <c r="AJ390" s="56">
        <v>320</v>
      </c>
      <c r="AK390" s="56" t="s">
        <v>79</v>
      </c>
      <c r="AL390" s="56">
        <v>1.45</v>
      </c>
      <c r="AM390" s="56" t="s">
        <v>811</v>
      </c>
      <c r="AN390" s="56">
        <v>45.737000000000002</v>
      </c>
      <c r="AO390" s="56" t="s">
        <v>812</v>
      </c>
      <c r="AP390" s="56" t="s">
        <v>79</v>
      </c>
      <c r="AQ390" s="56" t="s">
        <v>63</v>
      </c>
    </row>
    <row r="391" spans="1:43" x14ac:dyDescent="0.25">
      <c r="A391" s="8"/>
      <c r="B391" s="8"/>
      <c r="C391" s="8">
        <v>1.45</v>
      </c>
      <c r="D391" s="27"/>
      <c r="E391" s="28">
        <v>421</v>
      </c>
      <c r="F391" s="29" t="s">
        <v>813</v>
      </c>
      <c r="G391" s="10" t="s">
        <v>814</v>
      </c>
      <c r="H391" s="30">
        <f t="shared" si="97"/>
        <v>0</v>
      </c>
      <c r="I391" s="52" t="str">
        <f>[1]!Plus_ang(I390,[1]!Min_ang(F391,F390))</f>
        <v xml:space="preserve"> 221° 6' 50"</v>
      </c>
      <c r="J391" s="10" t="str">
        <f>[1]!Plus_ang([1]!Plus_ang(J390,[1]!Min_ang(F391,F390)),[1]!DestoDeg(H391/3600))</f>
        <v xml:space="preserve"> 221° 6' 50"</v>
      </c>
      <c r="K391" s="31">
        <v>45.765999999999998</v>
      </c>
      <c r="L391" s="32">
        <f>[1]!Jarakdatar(K391,G391)</f>
        <v>45.765901474175827</v>
      </c>
      <c r="M391" s="33">
        <f>L391*[1]!dsin(J391)</f>
        <v>-30.093729854413247</v>
      </c>
      <c r="N391" s="34">
        <f t="shared" si="98"/>
        <v>0</v>
      </c>
      <c r="O391" s="33">
        <f>L391*[1]!dcos(J391)</f>
        <v>-34.48021405376663</v>
      </c>
      <c r="P391" s="34">
        <f t="shared" si="99"/>
        <v>0</v>
      </c>
      <c r="Q391" s="35">
        <f>L391/[1]!dTAN(G391)-C391+$B$312</f>
        <v>-0.29496449879181541</v>
      </c>
      <c r="R391" s="34">
        <f t="shared" si="100"/>
        <v>0</v>
      </c>
      <c r="S391" s="36">
        <f t="shared" si="101"/>
        <v>9613.9073611852982</v>
      </c>
      <c r="T391" s="40">
        <f t="shared" si="102"/>
        <v>9612.42811226917</v>
      </c>
      <c r="U391" s="37">
        <f t="shared" si="103"/>
        <v>21.202415953069284</v>
      </c>
      <c r="V391" s="38">
        <f t="shared" si="96"/>
        <v>421</v>
      </c>
      <c r="W391" s="70"/>
      <c r="X391" s="71"/>
      <c r="Y391" s="71"/>
      <c r="Z391" s="72" t="s">
        <v>3</v>
      </c>
      <c r="AB391" s="56"/>
      <c r="AC391" s="56"/>
      <c r="AD391" s="56"/>
      <c r="AE391" s="56"/>
      <c r="AF391" s="56"/>
      <c r="AG391" s="56"/>
      <c r="AH391" s="56"/>
      <c r="AI391" s="56">
        <v>160</v>
      </c>
      <c r="AJ391" s="56">
        <v>320</v>
      </c>
      <c r="AK391" s="56">
        <v>421</v>
      </c>
      <c r="AL391" s="56">
        <v>1.45</v>
      </c>
      <c r="AM391" s="56" t="s">
        <v>813</v>
      </c>
      <c r="AN391" s="56">
        <v>45.765999999999998</v>
      </c>
      <c r="AO391" s="56" t="s">
        <v>814</v>
      </c>
      <c r="AP391" s="56" t="s">
        <v>3</v>
      </c>
      <c r="AQ391" s="56" t="s">
        <v>63</v>
      </c>
    </row>
    <row r="392" spans="1:43" x14ac:dyDescent="0.25">
      <c r="A392" s="8"/>
      <c r="B392" s="8"/>
      <c r="C392" s="8">
        <v>1.45</v>
      </c>
      <c r="D392" s="27"/>
      <c r="E392" s="28">
        <v>422</v>
      </c>
      <c r="F392" s="29" t="s">
        <v>815</v>
      </c>
      <c r="G392" s="10" t="s">
        <v>816</v>
      </c>
      <c r="H392" s="30">
        <f t="shared" si="97"/>
        <v>0</v>
      </c>
      <c r="I392" s="52" t="str">
        <f>[1]!Plus_ang(I391,[1]!Min_ang(F392,F391))</f>
        <v xml:space="preserve"> 221° 5' 53"</v>
      </c>
      <c r="J392" s="10" t="str">
        <f>[1]!Plus_ang([1]!Plus_ang(J391,[1]!Min_ang(F392,F391)),[1]!DestoDeg(H392/3600))</f>
        <v xml:space="preserve"> 221° 5' 53"</v>
      </c>
      <c r="K392" s="31">
        <v>45.88</v>
      </c>
      <c r="L392" s="32">
        <f>[1]!Jarakdatar(K392,G392)</f>
        <v>45.879838669104167</v>
      </c>
      <c r="M392" s="33">
        <f>L392*[1]!dsin(J392)</f>
        <v>-30.159096889839883</v>
      </c>
      <c r="N392" s="34">
        <f t="shared" si="98"/>
        <v>0</v>
      </c>
      <c r="O392" s="33">
        <f>L392*[1]!dcos(J392)</f>
        <v>-34.57439039364651</v>
      </c>
      <c r="P392" s="34">
        <f t="shared" si="99"/>
        <v>0</v>
      </c>
      <c r="Q392" s="35">
        <f>L392/[1]!dTAN(G392)-C392+$B$312</f>
        <v>-0.32167044412767276</v>
      </c>
      <c r="R392" s="34">
        <f t="shared" si="100"/>
        <v>0</v>
      </c>
      <c r="S392" s="36">
        <f t="shared" si="101"/>
        <v>9613.8419941498723</v>
      </c>
      <c r="T392" s="40">
        <f t="shared" si="102"/>
        <v>9612.3339359292895</v>
      </c>
      <c r="U392" s="37">
        <f t="shared" si="103"/>
        <v>21.175710007733429</v>
      </c>
      <c r="V392" s="38">
        <f t="shared" si="96"/>
        <v>422</v>
      </c>
      <c r="W392" s="70"/>
      <c r="X392" s="71"/>
      <c r="Y392" s="71"/>
      <c r="Z392" s="72" t="s">
        <v>64</v>
      </c>
      <c r="AB392" s="56"/>
      <c r="AC392" s="56"/>
      <c r="AD392" s="56"/>
      <c r="AE392" s="56"/>
      <c r="AF392" s="56"/>
      <c r="AG392" s="56"/>
      <c r="AH392" s="56"/>
      <c r="AI392" s="56">
        <v>162</v>
      </c>
      <c r="AJ392" s="56">
        <v>320</v>
      </c>
      <c r="AK392" s="56">
        <v>422</v>
      </c>
      <c r="AL392" s="56">
        <v>1.45</v>
      </c>
      <c r="AM392" s="56" t="s">
        <v>815</v>
      </c>
      <c r="AN392" s="56">
        <v>45.88</v>
      </c>
      <c r="AO392" s="56" t="s">
        <v>816</v>
      </c>
      <c r="AP392" s="56" t="s">
        <v>64</v>
      </c>
      <c r="AQ392" s="56" t="s">
        <v>63</v>
      </c>
    </row>
    <row r="393" spans="1:43" x14ac:dyDescent="0.25">
      <c r="A393" s="8"/>
      <c r="B393" s="8"/>
      <c r="C393" s="8">
        <v>1.45</v>
      </c>
      <c r="D393" s="27"/>
      <c r="E393" s="28">
        <v>423</v>
      </c>
      <c r="F393" s="29" t="s">
        <v>817</v>
      </c>
      <c r="G393" s="10" t="s">
        <v>818</v>
      </c>
      <c r="H393" s="30">
        <f t="shared" si="97"/>
        <v>0</v>
      </c>
      <c r="I393" s="52" t="str">
        <f>[1]!Plus_ang(I392,[1]!Min_ang(F393,F392))</f>
        <v xml:space="preserve"> 202° 1' 49"</v>
      </c>
      <c r="J393" s="10" t="str">
        <f>[1]!Plus_ang([1]!Plus_ang(J392,[1]!Min_ang(F393,F392)),[1]!DestoDeg(H393/3600))</f>
        <v xml:space="preserve"> 202° 1' 49"</v>
      </c>
      <c r="K393" s="31">
        <v>50.854999999999997</v>
      </c>
      <c r="L393" s="32">
        <f>[1]!Jarakdatar(K393,G393)</f>
        <v>50.728908587377752</v>
      </c>
      <c r="M393" s="33">
        <f>L393*[1]!dsin(J393)</f>
        <v>-19.028236492799639</v>
      </c>
      <c r="N393" s="34">
        <f t="shared" si="98"/>
        <v>0</v>
      </c>
      <c r="O393" s="33">
        <f>L393*[1]!dcos(J393)</f>
        <v>-47.024976155662387</v>
      </c>
      <c r="P393" s="34">
        <f t="shared" si="99"/>
        <v>0</v>
      </c>
      <c r="Q393" s="35">
        <f>L393/[1]!dTAN(G393)-C393+$B$312</f>
        <v>-3.7789465675630041</v>
      </c>
      <c r="R393" s="34">
        <f t="shared" si="100"/>
        <v>0</v>
      </c>
      <c r="S393" s="36">
        <f t="shared" si="101"/>
        <v>9624.9728545469134</v>
      </c>
      <c r="T393" s="40">
        <f t="shared" si="102"/>
        <v>9599.8833501672743</v>
      </c>
      <c r="U393" s="37">
        <f t="shared" si="103"/>
        <v>17.718433884298097</v>
      </c>
      <c r="V393" s="38">
        <f t="shared" si="96"/>
        <v>423</v>
      </c>
      <c r="W393" s="70"/>
      <c r="X393" s="71"/>
      <c r="Y393" s="71"/>
      <c r="Z393" s="72" t="s">
        <v>65</v>
      </c>
      <c r="AB393" s="56"/>
      <c r="AC393" s="56"/>
      <c r="AD393" s="56"/>
      <c r="AE393" s="56"/>
      <c r="AF393" s="56"/>
      <c r="AG393" s="56"/>
      <c r="AH393" s="56"/>
      <c r="AI393" s="56">
        <v>164</v>
      </c>
      <c r="AJ393" s="56">
        <v>320</v>
      </c>
      <c r="AK393" s="56">
        <v>423</v>
      </c>
      <c r="AL393" s="56">
        <v>1.45</v>
      </c>
      <c r="AM393" s="56" t="s">
        <v>817</v>
      </c>
      <c r="AN393" s="56">
        <v>50.854999999999997</v>
      </c>
      <c r="AO393" s="56" t="s">
        <v>818</v>
      </c>
      <c r="AP393" s="56" t="s">
        <v>65</v>
      </c>
      <c r="AQ393" s="56" t="s">
        <v>63</v>
      </c>
    </row>
    <row r="394" spans="1:43" x14ac:dyDescent="0.25">
      <c r="A394" s="8"/>
      <c r="B394" s="8"/>
      <c r="C394" s="8">
        <v>1.45</v>
      </c>
      <c r="D394" s="27"/>
      <c r="E394" s="28">
        <v>424</v>
      </c>
      <c r="F394" s="29" t="s">
        <v>819</v>
      </c>
      <c r="G394" s="10" t="s">
        <v>820</v>
      </c>
      <c r="H394" s="30">
        <f t="shared" si="97"/>
        <v>0</v>
      </c>
      <c r="I394" s="52" t="str">
        <f>[1]!Plus_ang(I393,[1]!Min_ang(F394,F393))</f>
        <v xml:space="preserve"> 192° 0' 54"</v>
      </c>
      <c r="J394" s="10" t="str">
        <f>[1]!Plus_ang([1]!Plus_ang(J393,[1]!Min_ang(F394,F393)),[1]!DestoDeg(H394/3600))</f>
        <v xml:space="preserve"> 192° 0' 54"</v>
      </c>
      <c r="K394" s="31">
        <v>56.301000000000002</v>
      </c>
      <c r="L394" s="32">
        <f>[1]!Jarakdatar(K394,G394)</f>
        <v>56.162536665341982</v>
      </c>
      <c r="M394" s="33">
        <f>L394*[1]!dsin(J394)</f>
        <v>-11.691229573329043</v>
      </c>
      <c r="N394" s="34">
        <f t="shared" si="98"/>
        <v>0</v>
      </c>
      <c r="O394" s="33">
        <f>L394*[1]!dcos(J394)</f>
        <v>-54.932191616115212</v>
      </c>
      <c r="P394" s="34">
        <f t="shared" si="99"/>
        <v>0</v>
      </c>
      <c r="Q394" s="35">
        <f>L394/[1]!dTAN(G394)-C394+$B$312</f>
        <v>-4.1461470213509903</v>
      </c>
      <c r="R394" s="34">
        <f t="shared" si="100"/>
        <v>0</v>
      </c>
      <c r="S394" s="36">
        <f t="shared" si="101"/>
        <v>9632.3098614663832</v>
      </c>
      <c r="T394" s="40">
        <f t="shared" si="102"/>
        <v>9591.9761347068215</v>
      </c>
      <c r="U394" s="37">
        <f t="shared" si="103"/>
        <v>17.35123343051011</v>
      </c>
      <c r="V394" s="38">
        <f t="shared" si="96"/>
        <v>424</v>
      </c>
      <c r="W394" s="70"/>
      <c r="X394" s="71"/>
      <c r="Y394" s="71"/>
      <c r="Z394" s="72" t="s">
        <v>65</v>
      </c>
      <c r="AB394" s="56"/>
      <c r="AC394" s="56"/>
      <c r="AD394" s="56"/>
      <c r="AE394" s="56"/>
      <c r="AF394" s="56"/>
      <c r="AG394" s="56"/>
      <c r="AH394" s="56"/>
      <c r="AI394" s="56">
        <v>166</v>
      </c>
      <c r="AJ394" s="56">
        <v>320</v>
      </c>
      <c r="AK394" s="56">
        <v>424</v>
      </c>
      <c r="AL394" s="56">
        <v>1.45</v>
      </c>
      <c r="AM394" s="56" t="s">
        <v>819</v>
      </c>
      <c r="AN394" s="56">
        <v>56.301000000000002</v>
      </c>
      <c r="AO394" s="56" t="s">
        <v>820</v>
      </c>
      <c r="AP394" s="56" t="s">
        <v>65</v>
      </c>
      <c r="AQ394" s="56" t="s">
        <v>63</v>
      </c>
    </row>
    <row r="395" spans="1:43" x14ac:dyDescent="0.25">
      <c r="A395" s="8"/>
      <c r="B395" s="8"/>
      <c r="C395" s="8">
        <v>1.45</v>
      </c>
      <c r="D395" s="27"/>
      <c r="E395" s="28">
        <v>425</v>
      </c>
      <c r="F395" s="29" t="s">
        <v>821</v>
      </c>
      <c r="G395" s="10" t="s">
        <v>822</v>
      </c>
      <c r="H395" s="30">
        <f t="shared" si="97"/>
        <v>0</v>
      </c>
      <c r="I395" s="52" t="str">
        <f>[1]!Plus_ang(I394,[1]!Min_ang(F395,F394))</f>
        <v xml:space="preserve"> 187° 4' 50"</v>
      </c>
      <c r="J395" s="10" t="str">
        <f>[1]!Plus_ang([1]!Plus_ang(J394,[1]!Min_ang(F395,F394)),[1]!DestoDeg(H395/3600))</f>
        <v xml:space="preserve"> 187° 4' 50"</v>
      </c>
      <c r="K395" s="31">
        <v>59.137999999999998</v>
      </c>
      <c r="L395" s="32">
        <f>[1]!Jarakdatar(K395,G395)</f>
        <v>59.127736048840219</v>
      </c>
      <c r="M395" s="33">
        <f>L395*[1]!dsin(J395)</f>
        <v>-7.2883627852500696</v>
      </c>
      <c r="N395" s="34">
        <f t="shared" si="98"/>
        <v>0</v>
      </c>
      <c r="O395" s="33">
        <f>L395*[1]!dcos(J395)</f>
        <v>-58.676817723628304</v>
      </c>
      <c r="P395" s="34">
        <f t="shared" si="99"/>
        <v>0</v>
      </c>
      <c r="Q395" s="35">
        <f>L395/[1]!dTAN(G395)-C395+$B$312</f>
        <v>-1.3017593832957814</v>
      </c>
      <c r="R395" s="34">
        <f t="shared" si="100"/>
        <v>0</v>
      </c>
      <c r="S395" s="36">
        <f t="shared" si="101"/>
        <v>9636.7127282544625</v>
      </c>
      <c r="T395" s="40">
        <f t="shared" si="102"/>
        <v>9588.2315085993087</v>
      </c>
      <c r="U395" s="37">
        <f t="shared" si="103"/>
        <v>20.19562106856532</v>
      </c>
      <c r="V395" s="38">
        <f t="shared" si="96"/>
        <v>425</v>
      </c>
      <c r="W395" s="70"/>
      <c r="X395" s="71"/>
      <c r="Y395" s="71"/>
      <c r="Z395" s="72" t="s">
        <v>64</v>
      </c>
      <c r="AB395" s="56"/>
      <c r="AC395" s="56"/>
      <c r="AD395" s="56"/>
      <c r="AE395" s="56"/>
      <c r="AF395" s="56"/>
      <c r="AG395" s="56"/>
      <c r="AH395" s="56"/>
      <c r="AI395" s="56">
        <v>168</v>
      </c>
      <c r="AJ395" s="56">
        <v>320</v>
      </c>
      <c r="AK395" s="56">
        <v>425</v>
      </c>
      <c r="AL395" s="56">
        <v>1.45</v>
      </c>
      <c r="AM395" s="56" t="s">
        <v>821</v>
      </c>
      <c r="AN395" s="56">
        <v>59.137999999999998</v>
      </c>
      <c r="AO395" s="56" t="s">
        <v>822</v>
      </c>
      <c r="AP395" s="56" t="s">
        <v>64</v>
      </c>
      <c r="AQ395" s="56" t="s">
        <v>63</v>
      </c>
    </row>
    <row r="396" spans="1:43" x14ac:dyDescent="0.25">
      <c r="A396" s="8"/>
      <c r="B396" s="8"/>
      <c r="C396" s="8">
        <v>1.45</v>
      </c>
      <c r="D396" s="27"/>
      <c r="E396" s="28">
        <v>426</v>
      </c>
      <c r="F396" s="29" t="s">
        <v>823</v>
      </c>
      <c r="G396" s="10" t="s">
        <v>824</v>
      </c>
      <c r="H396" s="30">
        <f t="shared" si="97"/>
        <v>0</v>
      </c>
      <c r="I396" s="52" t="str">
        <f>[1]!Plus_ang(I395,[1]!Min_ang(F396,F395))</f>
        <v xml:space="preserve"> 185° 6' 54"</v>
      </c>
      <c r="J396" s="10" t="str">
        <f>[1]!Plus_ang([1]!Plus_ang(J395,[1]!Min_ang(F396,F395)),[1]!DestoDeg(H396/3600))</f>
        <v xml:space="preserve"> 185° 6' 54"</v>
      </c>
      <c r="K396" s="31">
        <v>60.901000000000003</v>
      </c>
      <c r="L396" s="32">
        <f>[1]!Jarakdatar(K396,G396)</f>
        <v>60.894302770896985</v>
      </c>
      <c r="M396" s="33">
        <f>L396*[1]!dsin(J396)</f>
        <v>-5.4290350197934245</v>
      </c>
      <c r="N396" s="34">
        <f t="shared" si="98"/>
        <v>0</v>
      </c>
      <c r="O396" s="33">
        <f>L396*[1]!dcos(J396)</f>
        <v>-60.651806969846568</v>
      </c>
      <c r="P396" s="34">
        <f t="shared" si="99"/>
        <v>0</v>
      </c>
      <c r="Q396" s="35">
        <f>L396/[1]!dTAN(G396)-C396+$B$312</f>
        <v>0.7031561583292687</v>
      </c>
      <c r="R396" s="34">
        <f t="shared" si="100"/>
        <v>0</v>
      </c>
      <c r="S396" s="36">
        <f t="shared" si="101"/>
        <v>9638.5720560199188</v>
      </c>
      <c r="T396" s="40">
        <f t="shared" si="102"/>
        <v>9586.25651935309</v>
      </c>
      <c r="U396" s="37">
        <f t="shared" si="103"/>
        <v>22.200536610190369</v>
      </c>
      <c r="V396" s="38">
        <f t="shared" si="96"/>
        <v>426</v>
      </c>
      <c r="W396" s="70"/>
      <c r="X396" s="71"/>
      <c r="Y396" s="71"/>
      <c r="Z396" s="72" t="s">
        <v>64</v>
      </c>
      <c r="AB396" s="56"/>
      <c r="AC396" s="56"/>
      <c r="AD396" s="56"/>
      <c r="AE396" s="56"/>
      <c r="AF396" s="56"/>
      <c r="AG396" s="56"/>
      <c r="AH396" s="56"/>
      <c r="AI396" s="56">
        <v>170</v>
      </c>
      <c r="AJ396" s="56">
        <v>320</v>
      </c>
      <c r="AK396" s="56">
        <v>426</v>
      </c>
      <c r="AL396" s="56">
        <v>1.45</v>
      </c>
      <c r="AM396" s="56" t="s">
        <v>823</v>
      </c>
      <c r="AN396" s="56">
        <v>60.901000000000003</v>
      </c>
      <c r="AO396" s="56" t="s">
        <v>824</v>
      </c>
      <c r="AP396" s="56" t="s">
        <v>64</v>
      </c>
      <c r="AQ396" s="56" t="s">
        <v>63</v>
      </c>
    </row>
    <row r="397" spans="1:43" x14ac:dyDescent="0.25">
      <c r="A397" s="8"/>
      <c r="B397" s="8"/>
      <c r="C397" s="8">
        <v>1.45</v>
      </c>
      <c r="D397" s="27"/>
      <c r="E397" s="28">
        <v>427</v>
      </c>
      <c r="F397" s="29" t="s">
        <v>825</v>
      </c>
      <c r="G397" s="10" t="s">
        <v>826</v>
      </c>
      <c r="H397" s="30">
        <f t="shared" si="97"/>
        <v>0</v>
      </c>
      <c r="I397" s="52" t="str">
        <f>[1]!Plus_ang(I396,[1]!Min_ang(F397,F396))</f>
        <v xml:space="preserve"> 184° 0' 52"</v>
      </c>
      <c r="J397" s="10" t="str">
        <f>[1]!Plus_ang([1]!Plus_ang(J396,[1]!Min_ang(F397,F396)),[1]!DestoDeg(H397/3600))</f>
        <v xml:space="preserve"> 184° 0' 52"</v>
      </c>
      <c r="K397" s="31">
        <v>61.664999999999999</v>
      </c>
      <c r="L397" s="32">
        <f>[1]!Jarakdatar(K397,G397)</f>
        <v>61.655923697851556</v>
      </c>
      <c r="M397" s="33">
        <f>L397*[1]!dsin(J397)</f>
        <v>-4.3164054725813719</v>
      </c>
      <c r="N397" s="34">
        <f t="shared" si="98"/>
        <v>0</v>
      </c>
      <c r="O397" s="33">
        <f>L397*[1]!dcos(J397)</f>
        <v>-61.504646741783361</v>
      </c>
      <c r="P397" s="34">
        <f t="shared" si="99"/>
        <v>0</v>
      </c>
      <c r="Q397" s="35">
        <f>L397/[1]!dTAN(G397)-C397+$B$312</f>
        <v>0.85796879193444053</v>
      </c>
      <c r="R397" s="34">
        <f t="shared" si="100"/>
        <v>0</v>
      </c>
      <c r="S397" s="36">
        <f t="shared" si="101"/>
        <v>9639.6846855671301</v>
      </c>
      <c r="T397" s="40">
        <f t="shared" si="102"/>
        <v>9585.4036795811535</v>
      </c>
      <c r="U397" s="37">
        <f t="shared" si="103"/>
        <v>22.355349243795541</v>
      </c>
      <c r="V397" s="38">
        <f t="shared" si="96"/>
        <v>427</v>
      </c>
      <c r="W397" s="70"/>
      <c r="X397" s="71"/>
      <c r="Y397" s="71"/>
      <c r="Z397" s="72" t="s">
        <v>80</v>
      </c>
      <c r="AB397" s="56"/>
      <c r="AC397" s="56"/>
      <c r="AD397" s="56"/>
      <c r="AE397" s="56"/>
      <c r="AF397" s="56"/>
      <c r="AG397" s="56"/>
      <c r="AH397" s="56"/>
      <c r="AI397" s="56">
        <v>172</v>
      </c>
      <c r="AJ397" s="56">
        <v>320</v>
      </c>
      <c r="AK397" s="56">
        <v>427</v>
      </c>
      <c r="AL397" s="56">
        <v>1.45</v>
      </c>
      <c r="AM397" s="56" t="s">
        <v>825</v>
      </c>
      <c r="AN397" s="56">
        <v>61.664999999999999</v>
      </c>
      <c r="AO397" s="56" t="s">
        <v>826</v>
      </c>
      <c r="AP397" s="56" t="s">
        <v>80</v>
      </c>
      <c r="AQ397" s="56" t="s">
        <v>63</v>
      </c>
    </row>
    <row r="398" spans="1:43" x14ac:dyDescent="0.25">
      <c r="A398" s="8"/>
      <c r="B398" s="8"/>
      <c r="C398" s="8">
        <v>1.45</v>
      </c>
      <c r="D398" s="27"/>
      <c r="E398" s="28">
        <v>428</v>
      </c>
      <c r="F398" s="29" t="s">
        <v>827</v>
      </c>
      <c r="G398" s="10" t="s">
        <v>828</v>
      </c>
      <c r="H398" s="30">
        <f t="shared" si="97"/>
        <v>0</v>
      </c>
      <c r="I398" s="52" t="str">
        <f>[1]!Plus_ang(I397,[1]!Min_ang(F398,F397))</f>
        <v xml:space="preserve"> 184° 2' 56"</v>
      </c>
      <c r="J398" s="10" t="str">
        <f>[1]!Plus_ang([1]!Plus_ang(J397,[1]!Min_ang(F398,F397)),[1]!DestoDeg(H398/3600))</f>
        <v xml:space="preserve"> 184° 2' 56"</v>
      </c>
      <c r="K398" s="31">
        <v>61.872</v>
      </c>
      <c r="L398" s="32">
        <f>[1]!Jarakdatar(K398,G398)</f>
        <v>61.864115246333526</v>
      </c>
      <c r="M398" s="33">
        <f>L398*[1]!dsin(J398)</f>
        <v>-4.3680792894497866</v>
      </c>
      <c r="N398" s="34">
        <f t="shared" si="98"/>
        <v>0</v>
      </c>
      <c r="O398" s="33">
        <f>L398*[1]!dcos(J398)</f>
        <v>-61.709712675823702</v>
      </c>
      <c r="P398" s="34">
        <f t="shared" si="99"/>
        <v>0</v>
      </c>
      <c r="Q398" s="35">
        <f>L398/[1]!dTAN(G398)-C398+$B$312</f>
        <v>0.78773923095309306</v>
      </c>
      <c r="R398" s="34">
        <f t="shared" si="100"/>
        <v>0</v>
      </c>
      <c r="S398" s="36">
        <f t="shared" si="101"/>
        <v>9639.6330117502621</v>
      </c>
      <c r="T398" s="40">
        <f t="shared" si="102"/>
        <v>9585.1986136471132</v>
      </c>
      <c r="U398" s="37">
        <f t="shared" si="103"/>
        <v>22.285119682814194</v>
      </c>
      <c r="V398" s="38">
        <f t="shared" si="96"/>
        <v>428</v>
      </c>
      <c r="W398" s="70"/>
      <c r="X398" s="71"/>
      <c r="Y398" s="71"/>
      <c r="Z398" s="72" t="s">
        <v>14</v>
      </c>
      <c r="AB398" s="56"/>
      <c r="AC398" s="56"/>
      <c r="AD398" s="56"/>
      <c r="AE398" s="56"/>
      <c r="AF398" s="56"/>
      <c r="AG398" s="56"/>
      <c r="AH398" s="56"/>
      <c r="AI398" s="56">
        <v>174</v>
      </c>
      <c r="AJ398" s="56">
        <v>320</v>
      </c>
      <c r="AK398" s="56">
        <v>428</v>
      </c>
      <c r="AL398" s="56">
        <v>1.45</v>
      </c>
      <c r="AM398" s="56" t="s">
        <v>827</v>
      </c>
      <c r="AN398" s="56">
        <v>61.872</v>
      </c>
      <c r="AO398" s="56" t="s">
        <v>828</v>
      </c>
      <c r="AP398" s="56" t="s">
        <v>14</v>
      </c>
      <c r="AQ398" s="56" t="s">
        <v>63</v>
      </c>
    </row>
    <row r="399" spans="1:43" x14ac:dyDescent="0.25">
      <c r="A399" s="8"/>
      <c r="B399" s="8"/>
      <c r="C399" s="8">
        <v>1.45</v>
      </c>
      <c r="D399" s="27"/>
      <c r="E399" s="28">
        <v>429</v>
      </c>
      <c r="F399" s="29" t="s">
        <v>829</v>
      </c>
      <c r="G399" s="10" t="s">
        <v>830</v>
      </c>
      <c r="H399" s="30">
        <f t="shared" si="97"/>
        <v>0</v>
      </c>
      <c r="I399" s="52" t="str">
        <f>[1]!Plus_ang(I398,[1]!Min_ang(F399,F398))</f>
        <v xml:space="preserve"> 181° 4' 57"</v>
      </c>
      <c r="J399" s="10" t="str">
        <f>[1]!Plus_ang([1]!Plus_ang(J398,[1]!Min_ang(F399,F398)),[1]!DestoDeg(H399/3600))</f>
        <v xml:space="preserve"> 181° 4' 57"</v>
      </c>
      <c r="K399" s="31">
        <v>64.605999999999995</v>
      </c>
      <c r="L399" s="32">
        <f>[1]!Jarakdatar(K399,G399)</f>
        <v>64.598918541367283</v>
      </c>
      <c r="M399" s="33">
        <f>L399*[1]!dsin(J399)</f>
        <v>-1.2204069794738652</v>
      </c>
      <c r="N399" s="34">
        <f t="shared" si="98"/>
        <v>0</v>
      </c>
      <c r="O399" s="33">
        <f>L399*[1]!dcos(J399)</f>
        <v>-64.587389508468732</v>
      </c>
      <c r="P399" s="34">
        <f t="shared" si="99"/>
        <v>0</v>
      </c>
      <c r="Q399" s="35">
        <f>L399/[1]!dTAN(G399)-C399+$B$312</f>
        <v>0.75653504159150931</v>
      </c>
      <c r="R399" s="34">
        <f t="shared" si="100"/>
        <v>0</v>
      </c>
      <c r="S399" s="36">
        <f t="shared" si="101"/>
        <v>9642.7806840602389</v>
      </c>
      <c r="T399" s="40">
        <f t="shared" si="102"/>
        <v>9582.3209368144671</v>
      </c>
      <c r="U399" s="37">
        <f t="shared" si="103"/>
        <v>22.25391549345261</v>
      </c>
      <c r="V399" s="38">
        <f t="shared" si="96"/>
        <v>429</v>
      </c>
      <c r="W399" s="70"/>
      <c r="X399" s="71"/>
      <c r="Y399" s="71"/>
      <c r="Z399" s="72" t="s">
        <v>66</v>
      </c>
      <c r="AB399" s="56"/>
      <c r="AC399" s="56"/>
      <c r="AD399" s="56"/>
      <c r="AE399" s="56"/>
      <c r="AF399" s="56"/>
      <c r="AG399" s="56"/>
      <c r="AH399" s="56"/>
      <c r="AI399" s="56">
        <v>176</v>
      </c>
      <c r="AJ399" s="56">
        <v>320</v>
      </c>
      <c r="AK399" s="56">
        <v>429</v>
      </c>
      <c r="AL399" s="56">
        <v>1.45</v>
      </c>
      <c r="AM399" s="56" t="s">
        <v>829</v>
      </c>
      <c r="AN399" s="56">
        <v>64.605999999999995</v>
      </c>
      <c r="AO399" s="56" t="s">
        <v>830</v>
      </c>
      <c r="AP399" s="56" t="s">
        <v>66</v>
      </c>
      <c r="AQ399" s="56" t="s">
        <v>63</v>
      </c>
    </row>
    <row r="400" spans="1:43" x14ac:dyDescent="0.25">
      <c r="A400" s="8"/>
      <c r="B400" s="8"/>
      <c r="C400" s="8">
        <v>1.45</v>
      </c>
      <c r="D400" s="27"/>
      <c r="E400" s="28">
        <v>430</v>
      </c>
      <c r="F400" s="29" t="s">
        <v>831</v>
      </c>
      <c r="G400" s="10" t="s">
        <v>832</v>
      </c>
      <c r="H400" s="30">
        <f t="shared" si="97"/>
        <v>0</v>
      </c>
      <c r="I400" s="52" t="str">
        <f>[1]!Plus_ang(I399,[1]!Min_ang(F400,F399))</f>
        <v xml:space="preserve"> 181° 2' 57"</v>
      </c>
      <c r="J400" s="10" t="str">
        <f>[1]!Plus_ang([1]!Plus_ang(J399,[1]!Min_ang(F400,F399)),[1]!DestoDeg(H400/3600))</f>
        <v xml:space="preserve"> 181° 2' 57"</v>
      </c>
      <c r="K400" s="31">
        <v>64.799000000000007</v>
      </c>
      <c r="L400" s="32">
        <f>[1]!Jarakdatar(K400,G400)</f>
        <v>64.791601334693581</v>
      </c>
      <c r="M400" s="33">
        <f>L400*[1]!dsin(J400)</f>
        <v>-1.1863594519701761</v>
      </c>
      <c r="N400" s="34">
        <f t="shared" si="98"/>
        <v>0</v>
      </c>
      <c r="O400" s="33">
        <f>L400*[1]!dcos(J400)</f>
        <v>-64.780739072386226</v>
      </c>
      <c r="P400" s="34">
        <f t="shared" si="99"/>
        <v>0</v>
      </c>
      <c r="Q400" s="35">
        <f>L400/[1]!dTAN(G400)-C400+$B$312</f>
        <v>0.77918204953624748</v>
      </c>
      <c r="R400" s="34">
        <f t="shared" si="100"/>
        <v>0</v>
      </c>
      <c r="S400" s="36">
        <f t="shared" si="101"/>
        <v>9642.8147315877413</v>
      </c>
      <c r="T400" s="40">
        <f t="shared" si="102"/>
        <v>9582.1275872505503</v>
      </c>
      <c r="U400" s="37">
        <f t="shared" si="103"/>
        <v>22.276562501397347</v>
      </c>
      <c r="V400" s="38">
        <f t="shared" si="96"/>
        <v>430</v>
      </c>
      <c r="W400" s="70"/>
      <c r="X400" s="71"/>
      <c r="Y400" s="71"/>
      <c r="Z400" s="72" t="s">
        <v>80</v>
      </c>
      <c r="AB400" s="56"/>
      <c r="AC400" s="56"/>
      <c r="AD400" s="56"/>
      <c r="AE400" s="56"/>
      <c r="AF400" s="56"/>
      <c r="AG400" s="56"/>
      <c r="AH400" s="56"/>
      <c r="AI400" s="56">
        <v>178</v>
      </c>
      <c r="AJ400" s="56">
        <v>320</v>
      </c>
      <c r="AK400" s="56">
        <v>430</v>
      </c>
      <c r="AL400" s="56">
        <v>1.45</v>
      </c>
      <c r="AM400" s="56" t="s">
        <v>831</v>
      </c>
      <c r="AN400" s="56">
        <v>64.799000000000007</v>
      </c>
      <c r="AO400" s="56" t="s">
        <v>832</v>
      </c>
      <c r="AP400" s="56" t="s">
        <v>80</v>
      </c>
      <c r="AQ400" s="56" t="s">
        <v>63</v>
      </c>
    </row>
    <row r="401" spans="1:43" x14ac:dyDescent="0.25">
      <c r="A401" s="8"/>
      <c r="B401" s="8"/>
      <c r="C401" s="8">
        <v>1.45</v>
      </c>
      <c r="D401" s="27"/>
      <c r="E401" s="28">
        <v>431</v>
      </c>
      <c r="F401" s="29" t="s">
        <v>833</v>
      </c>
      <c r="G401" s="10" t="s">
        <v>834</v>
      </c>
      <c r="H401" s="30">
        <f t="shared" si="97"/>
        <v>0</v>
      </c>
      <c r="I401" s="52" t="str">
        <f>[1]!Plus_ang(I400,[1]!Min_ang(F401,F400))</f>
        <v xml:space="preserve"> 181° 1' 52"</v>
      </c>
      <c r="J401" s="10" t="str">
        <f>[1]!Plus_ang([1]!Plus_ang(J400,[1]!Min_ang(F401,F400)),[1]!DestoDeg(H401/3600))</f>
        <v xml:space="preserve"> 181° 1' 52"</v>
      </c>
      <c r="K401" s="31">
        <v>64.798000000000002</v>
      </c>
      <c r="L401" s="32">
        <f>[1]!Jarakdatar(K401,G401)</f>
        <v>64.790606195246113</v>
      </c>
      <c r="M401" s="33">
        <f>L401*[1]!dsin(J401)</f>
        <v>-1.165927202982761</v>
      </c>
      <c r="N401" s="34">
        <f t="shared" si="98"/>
        <v>0</v>
      </c>
      <c r="O401" s="33">
        <f>L401*[1]!dcos(J401)</f>
        <v>-64.780114733649626</v>
      </c>
      <c r="P401" s="34">
        <f t="shared" si="99"/>
        <v>0</v>
      </c>
      <c r="Q401" s="35">
        <f>L401/[1]!dTAN(G401)-C401+$B$312</f>
        <v>0.77885282475756357</v>
      </c>
      <c r="R401" s="34">
        <f t="shared" si="100"/>
        <v>0</v>
      </c>
      <c r="S401" s="36">
        <f t="shared" si="101"/>
        <v>9642.8351638367294</v>
      </c>
      <c r="T401" s="40">
        <f t="shared" si="102"/>
        <v>9582.1282115892864</v>
      </c>
      <c r="U401" s="37">
        <f t="shared" si="103"/>
        <v>22.276233276618665</v>
      </c>
      <c r="V401" s="38">
        <f t="shared" si="96"/>
        <v>431</v>
      </c>
      <c r="W401" s="70"/>
      <c r="X401" s="71"/>
      <c r="Y401" s="71"/>
      <c r="Z401" s="72" t="s">
        <v>14</v>
      </c>
      <c r="AB401" s="56"/>
      <c r="AC401" s="56"/>
      <c r="AD401" s="56"/>
      <c r="AE401" s="56"/>
      <c r="AF401" s="56"/>
      <c r="AG401" s="56"/>
      <c r="AH401" s="56"/>
      <c r="AI401" s="56">
        <v>180</v>
      </c>
      <c r="AJ401" s="56">
        <v>320</v>
      </c>
      <c r="AK401" s="56">
        <v>431</v>
      </c>
      <c r="AL401" s="56">
        <v>1.45</v>
      </c>
      <c r="AM401" s="56" t="s">
        <v>833</v>
      </c>
      <c r="AN401" s="56">
        <v>64.798000000000002</v>
      </c>
      <c r="AO401" s="56" t="s">
        <v>834</v>
      </c>
      <c r="AP401" s="56" t="s">
        <v>14</v>
      </c>
      <c r="AQ401" s="56" t="s">
        <v>63</v>
      </c>
    </row>
    <row r="402" spans="1:43" x14ac:dyDescent="0.25">
      <c r="A402" s="8"/>
      <c r="B402" s="8"/>
      <c r="C402" s="8">
        <v>1.45</v>
      </c>
      <c r="D402" s="27"/>
      <c r="E402" s="28">
        <v>432</v>
      </c>
      <c r="F402" s="29" t="s">
        <v>835</v>
      </c>
      <c r="G402" s="10" t="s">
        <v>832</v>
      </c>
      <c r="H402" s="30">
        <f t="shared" si="97"/>
        <v>0</v>
      </c>
      <c r="I402" s="52" t="str">
        <f>[1]!Plus_ang(I401,[1]!Min_ang(F402,F401))</f>
        <v xml:space="preserve"> 181° 6' 57"</v>
      </c>
      <c r="J402" s="10" t="str">
        <f>[1]!Plus_ang([1]!Plus_ang(J401,[1]!Min_ang(F402,F401)),[1]!DestoDeg(H402/3600))</f>
        <v xml:space="preserve"> 181° 6' 57"</v>
      </c>
      <c r="K402" s="31">
        <v>65.009</v>
      </c>
      <c r="L402" s="32">
        <f>[1]!Jarakdatar(K402,G402)</f>
        <v>65.001577357167463</v>
      </c>
      <c r="M402" s="33">
        <f>L402*[1]!dsin(J402)</f>
        <v>-1.2658234617823423</v>
      </c>
      <c r="N402" s="34">
        <f t="shared" si="98"/>
        <v>0</v>
      </c>
      <c r="O402" s="33">
        <f>L402*[1]!dcos(J402)</f>
        <v>-64.989251033408806</v>
      </c>
      <c r="P402" s="34">
        <f t="shared" si="99"/>
        <v>0</v>
      </c>
      <c r="Q402" s="35">
        <f>L402/[1]!dTAN(G402)-C402+$B$312</f>
        <v>0.78235537366783281</v>
      </c>
      <c r="R402" s="34">
        <f t="shared" si="100"/>
        <v>0</v>
      </c>
      <c r="S402" s="36">
        <f t="shared" si="101"/>
        <v>9642.7352675779293</v>
      </c>
      <c r="T402" s="40">
        <f t="shared" si="102"/>
        <v>9581.9190752895283</v>
      </c>
      <c r="U402" s="37">
        <f t="shared" si="103"/>
        <v>22.279735825528935</v>
      </c>
      <c r="V402" s="38">
        <f t="shared" si="96"/>
        <v>432</v>
      </c>
      <c r="W402" s="70"/>
      <c r="X402" s="71"/>
      <c r="Y402" s="71"/>
      <c r="Z402" s="72" t="s">
        <v>14</v>
      </c>
      <c r="AB402" s="56"/>
      <c r="AC402" s="56"/>
      <c r="AD402" s="56"/>
      <c r="AE402" s="56"/>
      <c r="AF402" s="56"/>
      <c r="AG402" s="56"/>
      <c r="AH402" s="56"/>
      <c r="AI402" s="56">
        <v>182</v>
      </c>
      <c r="AJ402" s="56">
        <v>320</v>
      </c>
      <c r="AK402" s="56">
        <v>432</v>
      </c>
      <c r="AL402" s="56">
        <v>1.45</v>
      </c>
      <c r="AM402" s="56" t="s">
        <v>835</v>
      </c>
      <c r="AN402" s="56">
        <v>65.009</v>
      </c>
      <c r="AO402" s="56" t="s">
        <v>832</v>
      </c>
      <c r="AP402" s="56" t="s">
        <v>14</v>
      </c>
      <c r="AQ402" s="56" t="s">
        <v>63</v>
      </c>
    </row>
    <row r="403" spans="1:43" x14ac:dyDescent="0.25">
      <c r="A403" s="8"/>
      <c r="B403" s="8"/>
      <c r="C403" s="8">
        <v>1.45</v>
      </c>
      <c r="D403" s="27"/>
      <c r="E403" s="28">
        <v>433</v>
      </c>
      <c r="F403" s="29" t="s">
        <v>836</v>
      </c>
      <c r="G403" s="10" t="s">
        <v>837</v>
      </c>
      <c r="H403" s="30">
        <f t="shared" si="97"/>
        <v>0</v>
      </c>
      <c r="I403" s="52" t="str">
        <f>[1]!Plus_ang(I402,[1]!Min_ang(F403,F402))</f>
        <v xml:space="preserve"> 181° 5' 49"</v>
      </c>
      <c r="J403" s="10" t="str">
        <f>[1]!Plus_ang([1]!Plus_ang(J402,[1]!Min_ang(F403,F402)),[1]!DestoDeg(H403/3600))</f>
        <v xml:space="preserve"> 181° 5' 49"</v>
      </c>
      <c r="K403" s="31">
        <v>64.951999999999998</v>
      </c>
      <c r="L403" s="32">
        <f>[1]!Jarakdatar(K403,G403)</f>
        <v>64.95199999313003</v>
      </c>
      <c r="M403" s="33">
        <f>L403*[1]!dsin(J403)</f>
        <v>-1.2434490571849626</v>
      </c>
      <c r="N403" s="34">
        <f t="shared" si="98"/>
        <v>0</v>
      </c>
      <c r="O403" s="33">
        <f>L403*[1]!dcos(J403)</f>
        <v>-64.940096531724905</v>
      </c>
      <c r="P403" s="34">
        <f t="shared" si="99"/>
        <v>0</v>
      </c>
      <c r="Q403" s="35">
        <f>L403/[1]!dTAN(G403)-C403+$B$312</f>
        <v>-0.20094468854643033</v>
      </c>
      <c r="R403" s="34">
        <f t="shared" si="100"/>
        <v>0</v>
      </c>
      <c r="S403" s="36">
        <f t="shared" si="101"/>
        <v>9642.7576419825273</v>
      </c>
      <c r="T403" s="40">
        <f t="shared" si="102"/>
        <v>9581.9682297912113</v>
      </c>
      <c r="U403" s="37">
        <f t="shared" si="103"/>
        <v>21.296435763314669</v>
      </c>
      <c r="V403" s="38">
        <f t="shared" si="96"/>
        <v>433</v>
      </c>
      <c r="W403" s="70"/>
      <c r="X403" s="71"/>
      <c r="Y403" s="71"/>
      <c r="Z403" s="72" t="s">
        <v>14</v>
      </c>
      <c r="AB403" s="56"/>
      <c r="AC403" s="56"/>
      <c r="AD403" s="56"/>
      <c r="AE403" s="56"/>
      <c r="AF403" s="56"/>
      <c r="AG403" s="56"/>
      <c r="AH403" s="56"/>
      <c r="AI403" s="56">
        <v>184</v>
      </c>
      <c r="AJ403" s="56">
        <v>320</v>
      </c>
      <c r="AK403" s="56">
        <v>433</v>
      </c>
      <c r="AL403" s="56">
        <v>1.45</v>
      </c>
      <c r="AM403" s="56" t="s">
        <v>836</v>
      </c>
      <c r="AN403" s="56">
        <v>64.951999999999998</v>
      </c>
      <c r="AO403" s="56" t="s">
        <v>837</v>
      </c>
      <c r="AP403" s="56" t="s">
        <v>14</v>
      </c>
      <c r="AQ403" s="56" t="s">
        <v>63</v>
      </c>
    </row>
    <row r="404" spans="1:43" x14ac:dyDescent="0.25">
      <c r="A404" s="8"/>
      <c r="B404" s="8"/>
      <c r="C404" s="8">
        <v>1.45</v>
      </c>
      <c r="D404" s="27"/>
      <c r="E404" s="28">
        <v>434</v>
      </c>
      <c r="F404" s="29" t="s">
        <v>838</v>
      </c>
      <c r="G404" s="10" t="s">
        <v>839</v>
      </c>
      <c r="H404" s="30">
        <f t="shared" si="97"/>
        <v>0</v>
      </c>
      <c r="I404" s="52" t="str">
        <f>[1]!Plus_ang(I403,[1]!Min_ang(F404,F403))</f>
        <v xml:space="preserve"> 180° 59' 51"</v>
      </c>
      <c r="J404" s="10" t="str">
        <f>[1]!Plus_ang([1]!Plus_ang(J403,[1]!Min_ang(F404,F403)),[1]!DestoDeg(H404/3600))</f>
        <v xml:space="preserve"> 180° 59' 51"</v>
      </c>
      <c r="K404" s="31">
        <v>65.131</v>
      </c>
      <c r="L404" s="32">
        <f>[1]!Jarakdatar(K404,G404)</f>
        <v>65.130770137383593</v>
      </c>
      <c r="M404" s="33">
        <f>L404*[1]!dsin(J404)</f>
        <v>-1.133847237801562</v>
      </c>
      <c r="N404" s="34">
        <f t="shared" si="98"/>
        <v>0</v>
      </c>
      <c r="O404" s="33">
        <f>L404*[1]!dcos(J404)</f>
        <v>-65.120899941032974</v>
      </c>
      <c r="P404" s="34">
        <f t="shared" si="99"/>
        <v>0</v>
      </c>
      <c r="Q404" s="35">
        <f>L404/[1]!dTAN(G404)-C404+$B$312</f>
        <v>-0.3730384676918399</v>
      </c>
      <c r="R404" s="34">
        <f t="shared" si="100"/>
        <v>0</v>
      </c>
      <c r="S404" s="36">
        <f t="shared" si="101"/>
        <v>9642.8672438019112</v>
      </c>
      <c r="T404" s="40">
        <f t="shared" si="102"/>
        <v>9581.7874263819031</v>
      </c>
      <c r="U404" s="37">
        <f t="shared" si="103"/>
        <v>21.124341984169263</v>
      </c>
      <c r="V404" s="38">
        <f t="shared" si="96"/>
        <v>434</v>
      </c>
      <c r="W404" s="70"/>
      <c r="X404" s="71"/>
      <c r="Y404" s="71"/>
      <c r="Z404" s="72" t="s">
        <v>15</v>
      </c>
      <c r="AB404" s="56"/>
      <c r="AC404" s="56"/>
      <c r="AD404" s="56"/>
      <c r="AE404" s="56"/>
      <c r="AF404" s="56"/>
      <c r="AG404" s="56"/>
      <c r="AH404" s="56"/>
      <c r="AI404" s="56">
        <v>186</v>
      </c>
      <c r="AJ404" s="56">
        <v>320</v>
      </c>
      <c r="AK404" s="56">
        <v>434</v>
      </c>
      <c r="AL404" s="56">
        <v>1.45</v>
      </c>
      <c r="AM404" s="56" t="s">
        <v>838</v>
      </c>
      <c r="AN404" s="56">
        <v>65.131</v>
      </c>
      <c r="AO404" s="56" t="s">
        <v>839</v>
      </c>
      <c r="AP404" s="56" t="s">
        <v>15</v>
      </c>
      <c r="AQ404" s="56" t="s">
        <v>63</v>
      </c>
    </row>
    <row r="405" spans="1:43" x14ac:dyDescent="0.25">
      <c r="A405" s="8"/>
      <c r="B405" s="8"/>
      <c r="C405" s="8">
        <v>1.45</v>
      </c>
      <c r="D405" s="27"/>
      <c r="E405" s="28">
        <v>435</v>
      </c>
      <c r="F405" s="29" t="s">
        <v>840</v>
      </c>
      <c r="G405" s="10" t="s">
        <v>841</v>
      </c>
      <c r="H405" s="30">
        <f t="shared" si="97"/>
        <v>0</v>
      </c>
      <c r="I405" s="52" t="str">
        <f>[1]!Plus_ang(I404,[1]!Min_ang(F405,F404))</f>
        <v xml:space="preserve"> 181° 1' 53"</v>
      </c>
      <c r="J405" s="10" t="str">
        <f>[1]!Plus_ang([1]!Plus_ang(J404,[1]!Min_ang(F405,F404)),[1]!DestoDeg(H405/3600))</f>
        <v xml:space="preserve"> 181° 1' 53"</v>
      </c>
      <c r="K405" s="31">
        <v>65.322000000000003</v>
      </c>
      <c r="L405" s="32">
        <f>[1]!Jarakdatar(K405,G405)</f>
        <v>65.321997049045009</v>
      </c>
      <c r="M405" s="33">
        <f>L405*[1]!dsin(J405)</f>
        <v>-1.1758063861189472</v>
      </c>
      <c r="N405" s="34">
        <f t="shared" si="98"/>
        <v>0</v>
      </c>
      <c r="O405" s="33">
        <f>L405*[1]!dcos(J405)</f>
        <v>-65.311413840291394</v>
      </c>
      <c r="P405" s="34">
        <f t="shared" si="99"/>
        <v>0</v>
      </c>
      <c r="Q405" s="35">
        <f>L405/[1]!dTAN(G405)-C405+$B$312</f>
        <v>-0.21963477925633379</v>
      </c>
      <c r="R405" s="34">
        <f t="shared" si="100"/>
        <v>0</v>
      </c>
      <c r="S405" s="36">
        <f t="shared" si="101"/>
        <v>9642.8252846535925</v>
      </c>
      <c r="T405" s="40">
        <f t="shared" si="102"/>
        <v>9581.5969124826461</v>
      </c>
      <c r="U405" s="37">
        <f t="shared" si="103"/>
        <v>21.277745672604766</v>
      </c>
      <c r="V405" s="38">
        <f t="shared" si="96"/>
        <v>435</v>
      </c>
      <c r="W405" s="70"/>
      <c r="X405" s="71"/>
      <c r="Y405" s="71"/>
      <c r="Z405" s="72" t="s">
        <v>15</v>
      </c>
      <c r="AB405" s="56"/>
      <c r="AC405" s="56"/>
      <c r="AD405" s="56"/>
      <c r="AE405" s="56"/>
      <c r="AF405" s="56"/>
      <c r="AG405" s="56"/>
      <c r="AH405" s="56"/>
      <c r="AI405" s="56">
        <v>188</v>
      </c>
      <c r="AJ405" s="56">
        <v>320</v>
      </c>
      <c r="AK405" s="56">
        <v>435</v>
      </c>
      <c r="AL405" s="56">
        <v>1.45</v>
      </c>
      <c r="AM405" s="56" t="s">
        <v>840</v>
      </c>
      <c r="AN405" s="56">
        <v>65.322000000000003</v>
      </c>
      <c r="AO405" s="56" t="s">
        <v>841</v>
      </c>
      <c r="AP405" s="56" t="s">
        <v>15</v>
      </c>
      <c r="AQ405" s="56" t="s">
        <v>63</v>
      </c>
    </row>
    <row r="406" spans="1:43" x14ac:dyDescent="0.25">
      <c r="A406" s="8"/>
      <c r="B406" s="8"/>
      <c r="C406" s="8">
        <v>1.45</v>
      </c>
      <c r="D406" s="27"/>
      <c r="E406" s="28">
        <v>436</v>
      </c>
      <c r="F406" s="29" t="s">
        <v>842</v>
      </c>
      <c r="G406" s="10" t="s">
        <v>843</v>
      </c>
      <c r="H406" s="30">
        <f t="shared" si="97"/>
        <v>0</v>
      </c>
      <c r="I406" s="52" t="str">
        <f>[1]!Plus_ang(I405,[1]!Min_ang(F406,F405))</f>
        <v xml:space="preserve"> 180° 5' 53"</v>
      </c>
      <c r="J406" s="10" t="str">
        <f>[1]!Plus_ang([1]!Plus_ang(J405,[1]!Min_ang(F406,F405)),[1]!DestoDeg(H406/3600))</f>
        <v xml:space="preserve"> 180° 5' 53"</v>
      </c>
      <c r="K406" s="31">
        <v>65.563999999999993</v>
      </c>
      <c r="L406" s="32">
        <f>[1]!Jarakdatar(K406,G406)</f>
        <v>65.555649824297532</v>
      </c>
      <c r="M406" s="33">
        <f>L406*[1]!dsin(J406)</f>
        <v>-0.11219137919266746</v>
      </c>
      <c r="N406" s="34">
        <f t="shared" si="98"/>
        <v>0</v>
      </c>
      <c r="O406" s="33">
        <f>L406*[1]!dcos(J406)</f>
        <v>-65.555553822543175</v>
      </c>
      <c r="P406" s="34">
        <f t="shared" si="99"/>
        <v>0</v>
      </c>
      <c r="Q406" s="35">
        <f>L406/[1]!dTAN(G406)-C406+$B$312</f>
        <v>0.84636136878100254</v>
      </c>
      <c r="R406" s="34">
        <f t="shared" si="100"/>
        <v>0</v>
      </c>
      <c r="S406" s="36">
        <f t="shared" si="101"/>
        <v>9643.8888996605201</v>
      </c>
      <c r="T406" s="40">
        <f t="shared" si="102"/>
        <v>9581.3527725003933</v>
      </c>
      <c r="U406" s="37">
        <f t="shared" si="103"/>
        <v>22.343741820642105</v>
      </c>
      <c r="V406" s="38">
        <f t="shared" si="96"/>
        <v>436</v>
      </c>
      <c r="W406" s="70"/>
      <c r="X406" s="71"/>
      <c r="Y406" s="71"/>
      <c r="Z406" s="72" t="s">
        <v>14</v>
      </c>
      <c r="AB406" s="56"/>
      <c r="AC406" s="56"/>
      <c r="AD406" s="56"/>
      <c r="AE406" s="56"/>
      <c r="AF406" s="56"/>
      <c r="AG406" s="56"/>
      <c r="AH406" s="56"/>
      <c r="AI406" s="56">
        <v>190</v>
      </c>
      <c r="AJ406" s="56">
        <v>320</v>
      </c>
      <c r="AK406" s="56">
        <v>436</v>
      </c>
      <c r="AL406" s="56">
        <v>1.45</v>
      </c>
      <c r="AM406" s="56" t="s">
        <v>842</v>
      </c>
      <c r="AN406" s="56">
        <v>65.563999999999993</v>
      </c>
      <c r="AO406" s="56" t="s">
        <v>843</v>
      </c>
      <c r="AP406" s="56" t="s">
        <v>14</v>
      </c>
      <c r="AQ406" s="56" t="s">
        <v>63</v>
      </c>
    </row>
    <row r="407" spans="1:43" x14ac:dyDescent="0.25">
      <c r="A407" s="8"/>
      <c r="B407" s="8"/>
      <c r="C407" s="8">
        <v>1.45</v>
      </c>
      <c r="D407" s="27"/>
      <c r="E407" s="28">
        <v>437</v>
      </c>
      <c r="F407" s="29" t="s">
        <v>844</v>
      </c>
      <c r="G407" s="10" t="s">
        <v>845</v>
      </c>
      <c r="H407" s="30">
        <f t="shared" si="97"/>
        <v>0</v>
      </c>
      <c r="I407" s="52" t="str">
        <f>[1]!Plus_ang(I406,[1]!Min_ang(F407,F406))</f>
        <v xml:space="preserve"> 176° 4' 51"</v>
      </c>
      <c r="J407" s="10" t="str">
        <f>[1]!Plus_ang([1]!Plus_ang(J406,[1]!Min_ang(F407,F406)),[1]!DestoDeg(H407/3600))</f>
        <v xml:space="preserve"> 176° 4' 51"</v>
      </c>
      <c r="K407" s="31">
        <v>70</v>
      </c>
      <c r="L407" s="32">
        <f>[1]!Jarakdatar(K407,G407)</f>
        <v>69.907255301211009</v>
      </c>
      <c r="M407" s="33">
        <f>L407*[1]!dsin(J407)</f>
        <v>4.7780933439129143</v>
      </c>
      <c r="N407" s="34">
        <f t="shared" si="98"/>
        <v>0</v>
      </c>
      <c r="O407" s="33">
        <f>L407*[1]!dcos(J407)</f>
        <v>-69.743775118253737</v>
      </c>
      <c r="P407" s="34">
        <f t="shared" si="99"/>
        <v>0</v>
      </c>
      <c r="Q407" s="35">
        <f>L407/[1]!dTAN(G407)-C407+$B$312</f>
        <v>3.4021738230276259</v>
      </c>
      <c r="R407" s="34">
        <f t="shared" si="100"/>
        <v>0</v>
      </c>
      <c r="S407" s="36">
        <f t="shared" si="101"/>
        <v>9648.7791843836258</v>
      </c>
      <c r="T407" s="40">
        <f t="shared" si="102"/>
        <v>9577.1645512046834</v>
      </c>
      <c r="U407" s="37">
        <f t="shared" si="103"/>
        <v>24.899554274888729</v>
      </c>
      <c r="V407" s="38">
        <f t="shared" si="96"/>
        <v>437</v>
      </c>
      <c r="W407" s="70"/>
      <c r="X407" s="71"/>
      <c r="Y407" s="71"/>
      <c r="Z407" s="72" t="s">
        <v>3</v>
      </c>
      <c r="AB407" s="56"/>
      <c r="AC407" s="56"/>
      <c r="AD407" s="56"/>
      <c r="AE407" s="56"/>
      <c r="AF407" s="56"/>
      <c r="AG407" s="56"/>
      <c r="AH407" s="56"/>
      <c r="AI407" s="56">
        <v>192</v>
      </c>
      <c r="AJ407" s="56">
        <v>320</v>
      </c>
      <c r="AK407" s="56">
        <v>437</v>
      </c>
      <c r="AL407" s="56">
        <v>1.45</v>
      </c>
      <c r="AM407" s="56" t="s">
        <v>844</v>
      </c>
      <c r="AN407" s="56">
        <v>70</v>
      </c>
      <c r="AO407" s="56" t="s">
        <v>845</v>
      </c>
      <c r="AP407" s="56" t="s">
        <v>3</v>
      </c>
      <c r="AQ407" s="56" t="s">
        <v>63</v>
      </c>
    </row>
    <row r="408" spans="1:43" x14ac:dyDescent="0.25">
      <c r="A408" s="8"/>
      <c r="B408" s="8"/>
      <c r="C408" s="8">
        <v>1.45</v>
      </c>
      <c r="D408" s="27"/>
      <c r="E408" s="28">
        <v>438</v>
      </c>
      <c r="F408" s="29" t="s">
        <v>846</v>
      </c>
      <c r="G408" s="10" t="s">
        <v>847</v>
      </c>
      <c r="H408" s="30">
        <f t="shared" si="97"/>
        <v>0</v>
      </c>
      <c r="I408" s="52" t="str">
        <f>[1]!Plus_ang(I407,[1]!Min_ang(F408,F407))</f>
        <v xml:space="preserve"> 172° 59' 51"</v>
      </c>
      <c r="J408" s="10" t="str">
        <f>[1]!Plus_ang([1]!Plus_ang(J407,[1]!Min_ang(F408,F407)),[1]!DestoDeg(H408/3600))</f>
        <v xml:space="preserve"> 172° 59' 51"</v>
      </c>
      <c r="K408" s="31">
        <v>77.344999999999999</v>
      </c>
      <c r="L408" s="32">
        <f>[1]!Jarakdatar(K408,G408)</f>
        <v>77.244845292308995</v>
      </c>
      <c r="M408" s="33">
        <f>L408*[1]!dsin(J408)</f>
        <v>9.4171238876798586</v>
      </c>
      <c r="N408" s="34">
        <f t="shared" si="98"/>
        <v>0</v>
      </c>
      <c r="O408" s="33">
        <f>L408*[1]!dcos(J408)</f>
        <v>-76.668663102449102</v>
      </c>
      <c r="P408" s="34">
        <f t="shared" si="99"/>
        <v>0</v>
      </c>
      <c r="Q408" s="35">
        <f>L408/[1]!dTAN(G408)-C408+$B$312</f>
        <v>3.7348317330284431</v>
      </c>
      <c r="R408" s="34">
        <f t="shared" si="100"/>
        <v>0</v>
      </c>
      <c r="S408" s="36">
        <f t="shared" si="101"/>
        <v>9653.4182149273929</v>
      </c>
      <c r="T408" s="40">
        <f t="shared" si="102"/>
        <v>9570.2396632204873</v>
      </c>
      <c r="U408" s="37">
        <f t="shared" si="103"/>
        <v>25.232212184889544</v>
      </c>
      <c r="V408" s="38">
        <f t="shared" si="96"/>
        <v>438</v>
      </c>
      <c r="W408" s="70"/>
      <c r="X408" s="71"/>
      <c r="Y408" s="71"/>
      <c r="Z408" s="72" t="s">
        <v>3</v>
      </c>
      <c r="AB408" s="56"/>
      <c r="AC408" s="56"/>
      <c r="AD408" s="56"/>
      <c r="AE408" s="56"/>
      <c r="AF408" s="56"/>
      <c r="AG408" s="56"/>
      <c r="AH408" s="56"/>
      <c r="AI408" s="56">
        <v>194</v>
      </c>
      <c r="AJ408" s="56">
        <v>320</v>
      </c>
      <c r="AK408" s="56">
        <v>438</v>
      </c>
      <c r="AL408" s="56">
        <v>1.45</v>
      </c>
      <c r="AM408" s="56" t="s">
        <v>846</v>
      </c>
      <c r="AN408" s="56">
        <v>77.344999999999999</v>
      </c>
      <c r="AO408" s="56" t="s">
        <v>847</v>
      </c>
      <c r="AP408" s="56" t="s">
        <v>3</v>
      </c>
      <c r="AQ408" s="56" t="s">
        <v>63</v>
      </c>
    </row>
    <row r="409" spans="1:43" x14ac:dyDescent="0.25">
      <c r="A409" s="8"/>
      <c r="B409" s="8"/>
      <c r="C409" s="8">
        <v>1.45</v>
      </c>
      <c r="D409" s="27"/>
      <c r="E409" s="28" t="s">
        <v>81</v>
      </c>
      <c r="F409" s="29" t="s">
        <v>848</v>
      </c>
      <c r="G409" s="10" t="s">
        <v>849</v>
      </c>
      <c r="H409" s="30">
        <f t="shared" si="97"/>
        <v>0</v>
      </c>
      <c r="I409" s="52" t="str">
        <f>[1]!Plus_ang(I408,[1]!Min_ang(F409,F408))</f>
        <v xml:space="preserve"> 225° 6' 50"</v>
      </c>
      <c r="J409" s="10" t="str">
        <f>[1]!Plus_ang([1]!Plus_ang(J408,[1]!Min_ang(F409,F408)),[1]!DestoDeg(H409/3600))</f>
        <v xml:space="preserve"> 225° 6' 50"</v>
      </c>
      <c r="K409" s="31">
        <v>99.528000000000006</v>
      </c>
      <c r="L409" s="32">
        <f>[1]!Jarakdatar(K409,G409)</f>
        <v>99.515262516595584</v>
      </c>
      <c r="M409" s="33">
        <f>L409*[1]!dsin(J409)</f>
        <v>-70.507650698120017</v>
      </c>
      <c r="N409" s="34">
        <f t="shared" si="98"/>
        <v>0</v>
      </c>
      <c r="O409" s="33">
        <f>L409*[1]!dcos(J409)</f>
        <v>-70.22790518575097</v>
      </c>
      <c r="P409" s="34">
        <f t="shared" si="99"/>
        <v>0</v>
      </c>
      <c r="Q409" s="35">
        <f>L409/[1]!dTAN(G409)-C409+$B$312</f>
        <v>1.3922657608165485</v>
      </c>
      <c r="R409" s="34">
        <f t="shared" si="100"/>
        <v>0</v>
      </c>
      <c r="S409" s="36">
        <f t="shared" si="101"/>
        <v>9573.4934403415918</v>
      </c>
      <c r="T409" s="40">
        <f t="shared" si="102"/>
        <v>9576.6804211371855</v>
      </c>
      <c r="U409" s="37">
        <f t="shared" si="103"/>
        <v>22.889646212677651</v>
      </c>
      <c r="V409" s="38" t="str">
        <f t="shared" si="96"/>
        <v>K54</v>
      </c>
      <c r="W409" s="70"/>
      <c r="X409" s="71"/>
      <c r="Y409" s="71"/>
      <c r="Z409" s="72" t="s">
        <v>81</v>
      </c>
      <c r="AB409" s="56"/>
      <c r="AC409" s="56"/>
      <c r="AD409" s="56"/>
      <c r="AE409" s="56"/>
      <c r="AF409" s="56"/>
      <c r="AG409" s="56"/>
      <c r="AH409" s="56"/>
      <c r="AI409" s="56">
        <v>196</v>
      </c>
      <c r="AJ409" s="56">
        <v>320</v>
      </c>
      <c r="AK409" s="56" t="s">
        <v>81</v>
      </c>
      <c r="AL409" s="56">
        <v>1.45</v>
      </c>
      <c r="AM409" s="56" t="s">
        <v>848</v>
      </c>
      <c r="AN409" s="56">
        <v>99.528000000000006</v>
      </c>
      <c r="AO409" s="56" t="s">
        <v>849</v>
      </c>
      <c r="AP409" s="56" t="s">
        <v>81</v>
      </c>
      <c r="AQ409" s="56" t="s">
        <v>63</v>
      </c>
    </row>
    <row r="410" spans="1:43" x14ac:dyDescent="0.25">
      <c r="A410" s="8"/>
      <c r="B410" s="8"/>
      <c r="C410" s="8">
        <v>1.45</v>
      </c>
      <c r="D410" s="27"/>
      <c r="E410" s="28" t="s">
        <v>82</v>
      </c>
      <c r="F410" s="29" t="s">
        <v>850</v>
      </c>
      <c r="G410" s="10" t="s">
        <v>851</v>
      </c>
      <c r="H410" s="30">
        <f t="shared" si="97"/>
        <v>0</v>
      </c>
      <c r="I410" s="52" t="str">
        <f>[1]!Plus_ang(I409,[1]!Min_ang(F410,F409))</f>
        <v xml:space="preserve"> 225° 3' 58"</v>
      </c>
      <c r="J410" s="10" t="str">
        <f>[1]!Plus_ang([1]!Plus_ang(J409,[1]!Min_ang(F410,F409)),[1]!DestoDeg(H410/3600))</f>
        <v xml:space="preserve"> 225° 3' 58"</v>
      </c>
      <c r="K410" s="31">
        <v>151.99700000000001</v>
      </c>
      <c r="L410" s="32">
        <f>[1]!Jarakdatar(K410,G410)</f>
        <v>151.97758294316944</v>
      </c>
      <c r="M410" s="33">
        <f>L410*[1]!dsin(J410)</f>
        <v>-107.58830640106936</v>
      </c>
      <c r="N410" s="34">
        <f t="shared" si="98"/>
        <v>0</v>
      </c>
      <c r="O410" s="33">
        <f>L410*[1]!dcos(J410)</f>
        <v>-107.34030949739974</v>
      </c>
      <c r="P410" s="34">
        <f t="shared" si="99"/>
        <v>0</v>
      </c>
      <c r="Q410" s="35">
        <f>L410/[1]!dTAN(G410)-C410+$B$312</f>
        <v>2.2294632641910432</v>
      </c>
      <c r="R410" s="34">
        <f t="shared" si="100"/>
        <v>-2.7268437160521461</v>
      </c>
      <c r="S410" s="36">
        <f t="shared" si="101"/>
        <v>9536.4127846386436</v>
      </c>
      <c r="T410" s="40">
        <f t="shared" si="102"/>
        <v>9539.5680168255367</v>
      </c>
      <c r="U410" s="37">
        <f t="shared" si="103"/>
        <v>21</v>
      </c>
      <c r="V410" s="38" t="str">
        <f t="shared" si="96"/>
        <v>K55</v>
      </c>
      <c r="W410" s="70" t="s">
        <v>92</v>
      </c>
      <c r="X410" s="71"/>
      <c r="Y410" s="71"/>
      <c r="Z410" s="72" t="s">
        <v>82</v>
      </c>
      <c r="AB410" s="56"/>
      <c r="AC410" s="56"/>
      <c r="AD410" s="56"/>
      <c r="AE410" s="56"/>
      <c r="AF410" s="56"/>
      <c r="AG410" s="56"/>
      <c r="AH410" s="56"/>
      <c r="AI410" s="56">
        <v>198</v>
      </c>
      <c r="AJ410" s="56">
        <v>320</v>
      </c>
      <c r="AK410" s="56" t="s">
        <v>82</v>
      </c>
      <c r="AL410" s="56">
        <v>1.45</v>
      </c>
      <c r="AM410" s="56" t="s">
        <v>850</v>
      </c>
      <c r="AN410" s="56">
        <v>151.99700000000001</v>
      </c>
      <c r="AO410" s="56" t="s">
        <v>851</v>
      </c>
      <c r="AP410" s="56" t="s">
        <v>82</v>
      </c>
      <c r="AQ410" s="56" t="s">
        <v>63</v>
      </c>
    </row>
    <row r="411" spans="1:43" x14ac:dyDescent="0.25">
      <c r="A411" s="8"/>
      <c r="B411" s="8"/>
      <c r="C411" s="8"/>
      <c r="D411" s="27"/>
      <c r="E411" s="28"/>
      <c r="F411" s="29"/>
      <c r="G411" s="10"/>
      <c r="H411" s="30"/>
      <c r="I411" s="52"/>
      <c r="J411" s="10"/>
      <c r="K411" s="31"/>
      <c r="L411" s="32"/>
      <c r="M411" s="33"/>
      <c r="N411" s="34"/>
      <c r="O411" s="33"/>
      <c r="P411" s="34"/>
      <c r="Q411" s="35"/>
      <c r="R411" s="34"/>
      <c r="S411" s="36"/>
      <c r="T411" s="40"/>
      <c r="U411" s="37"/>
      <c r="V411" s="38"/>
      <c r="W411" s="70"/>
      <c r="X411" s="71"/>
      <c r="Y411" s="71"/>
      <c r="Z411" s="72"/>
    </row>
    <row r="412" spans="1:43" ht="13.8" thickBot="1" x14ac:dyDescent="0.3">
      <c r="A412" s="8"/>
      <c r="B412" s="8"/>
      <c r="C412" s="8"/>
      <c r="D412" s="27"/>
      <c r="E412" s="28"/>
      <c r="F412" s="29"/>
      <c r="G412" s="10"/>
      <c r="H412" s="30"/>
      <c r="I412" s="52"/>
      <c r="J412" s="10"/>
      <c r="K412" s="31"/>
      <c r="L412" s="32"/>
      <c r="M412" s="33"/>
      <c r="N412" s="34"/>
      <c r="O412" s="33"/>
      <c r="P412" s="34"/>
      <c r="Q412" s="35"/>
      <c r="R412" s="34"/>
      <c r="S412" s="36"/>
      <c r="T412" s="40"/>
      <c r="U412" s="37"/>
      <c r="V412" s="38"/>
      <c r="W412" s="70"/>
      <c r="X412" s="71"/>
      <c r="Y412" s="71"/>
      <c r="Z412" s="72"/>
    </row>
    <row r="413" spans="1:43" ht="13.8" thickBot="1" x14ac:dyDescent="0.3">
      <c r="A413" s="61" t="s">
        <v>17</v>
      </c>
      <c r="B413" s="62"/>
      <c r="C413" s="62"/>
      <c r="D413" s="62"/>
      <c r="E413" s="62"/>
      <c r="F413" s="62"/>
      <c r="G413" s="62"/>
      <c r="H413" s="62"/>
      <c r="I413" s="62"/>
      <c r="J413" s="62"/>
      <c r="K413" s="63"/>
      <c r="L413" s="62">
        <f>SUMIFS($L$14:L410,$W$14:W410,"P")</f>
        <v>653.40158751529691</v>
      </c>
      <c r="M413" s="62">
        <f>SUMIFS($M$14:M410,$W$14:W410,"P")</f>
        <v>-463.58721536135607</v>
      </c>
      <c r="N413" s="62">
        <f>SUMIFS($N$14:N410,$W$14:W410,"P")</f>
        <v>0</v>
      </c>
      <c r="O413" s="62">
        <f>SUMIFS($O$14:O410,$W$14:W410,"P")</f>
        <v>-460.43198317446161</v>
      </c>
      <c r="P413" s="62">
        <f>SUMIFS($P$14:P410,$W$14:W410,"P")</f>
        <v>0</v>
      </c>
      <c r="Q413" s="62">
        <f>SUMIFS($Q$14:Q410,$W$14:W410,"P")</f>
        <v>2.7575975100409531</v>
      </c>
      <c r="R413" s="81">
        <f>SUM($R$14:R410)</f>
        <v>-11.723597510040953</v>
      </c>
      <c r="S413" s="62"/>
      <c r="T413" s="62"/>
      <c r="U413" s="62"/>
      <c r="V413" s="59"/>
      <c r="W413" s="60"/>
      <c r="X413" s="60"/>
      <c r="Y413" s="60"/>
      <c r="Z413" s="60"/>
    </row>
    <row r="414" spans="1:43" x14ac:dyDescent="0.25">
      <c r="A414" s="58"/>
      <c r="B414" s="77"/>
      <c r="C414" s="77"/>
      <c r="D414" s="77"/>
      <c r="E414" s="77"/>
      <c r="F414" s="77"/>
      <c r="G414" s="77"/>
      <c r="H414" s="77"/>
      <c r="I414" s="77"/>
      <c r="J414" s="77"/>
      <c r="K414" s="78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58"/>
      <c r="W414" s="77"/>
      <c r="X414" s="77"/>
      <c r="Y414" s="77"/>
      <c r="Z414" s="77"/>
    </row>
    <row r="415" spans="1:43" x14ac:dyDescent="0.25">
      <c r="A415" s="58" t="str">
        <f xml:space="preserve"> "Salah Penutup sdt =" &amp; [1]!Min_ang($S$10,J410)</f>
        <v>Salah Penutup sdt = 0° 0' 0"</v>
      </c>
      <c r="B415" s="77"/>
      <c r="C415" s="77">
        <f>([1]!degtodes(S10)-[1]!degtodes($I$410))*3600</f>
        <v>0</v>
      </c>
      <c r="D415" s="79" t="s">
        <v>91</v>
      </c>
      <c r="E415" s="77"/>
      <c r="F415" s="77"/>
      <c r="G415" s="77"/>
      <c r="H415" s="77"/>
      <c r="I415" s="77"/>
      <c r="J415" s="77"/>
      <c r="K415" s="78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58"/>
      <c r="W415" s="77"/>
      <c r="X415" s="77"/>
      <c r="Y415" s="77"/>
      <c r="Z415" s="77"/>
    </row>
    <row r="416" spans="1:43" x14ac:dyDescent="0.25">
      <c r="A416" s="58" t="s">
        <v>18</v>
      </c>
      <c r="B416" s="77"/>
      <c r="C416" s="77">
        <f>$C$415/(COUNTA(A14:$A$412))</f>
        <v>0</v>
      </c>
      <c r="D416" s="79" t="s">
        <v>91</v>
      </c>
      <c r="E416" s="77"/>
      <c r="F416" s="77"/>
      <c r="G416" s="77"/>
      <c r="H416" s="77"/>
      <c r="I416" s="77"/>
      <c r="J416" s="77"/>
      <c r="K416" s="78"/>
      <c r="L416" s="77"/>
      <c r="M416" s="77"/>
      <c r="N416" s="77"/>
      <c r="O416" s="77"/>
      <c r="P416" s="77" t="s">
        <v>20</v>
      </c>
      <c r="Q416" s="77"/>
      <c r="R416" s="77">
        <v>10</v>
      </c>
      <c r="S416" s="80" t="s">
        <v>21</v>
      </c>
      <c r="T416" s="77">
        <f>SQRT(L413/1000)*10</f>
        <v>8.0833259708816456</v>
      </c>
      <c r="U416" s="77" t="s">
        <v>22</v>
      </c>
      <c r="V416" s="58"/>
      <c r="W416" s="77"/>
      <c r="X416" s="77"/>
      <c r="Y416" s="77"/>
      <c r="Z416" s="77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</row>
    <row r="417" spans="1:43" x14ac:dyDescent="0.25">
      <c r="A417" s="58" t="s">
        <v>23</v>
      </c>
      <c r="B417" s="77"/>
      <c r="C417" s="77">
        <v>10</v>
      </c>
      <c r="D417" s="80" t="s">
        <v>24</v>
      </c>
      <c r="E417" s="77">
        <f>10*SQRT(COUNTA($A$14:A410))</f>
        <v>22.360679774997898</v>
      </c>
      <c r="F417" s="79" t="s">
        <v>91</v>
      </c>
      <c r="G417" s="77"/>
      <c r="H417" s="77"/>
      <c r="I417" s="77"/>
      <c r="J417" s="77"/>
      <c r="K417" s="78"/>
      <c r="L417" s="77"/>
      <c r="M417" s="77"/>
      <c r="N417" s="77"/>
      <c r="O417" s="77"/>
      <c r="P417" s="77" t="s">
        <v>25</v>
      </c>
      <c r="Q417" s="77"/>
      <c r="R417" s="77"/>
      <c r="S417" s="77" t="s">
        <v>19</v>
      </c>
      <c r="T417" s="77">
        <f>(SQRT(($S$9-($S$5+M413))^2+($T$9-($T$5+O413))^2))*1000</f>
        <v>1.8189894035458565E-9</v>
      </c>
      <c r="U417" s="77" t="s">
        <v>22</v>
      </c>
      <c r="V417" s="58"/>
      <c r="W417" s="77"/>
      <c r="X417" s="77"/>
      <c r="Y417" s="77"/>
      <c r="Z417" s="77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</row>
    <row r="418" spans="1:43" ht="13.8" thickBot="1" x14ac:dyDescent="0.3">
      <c r="A418" s="64" t="s">
        <v>26</v>
      </c>
      <c r="B418" s="65"/>
      <c r="C418" s="65" t="str">
        <f>IF(ABS(C415)&lt;E417,"masuk","tidak masuk")</f>
        <v>masuk</v>
      </c>
      <c r="D418" s="65"/>
      <c r="E418" s="65"/>
      <c r="F418" s="65"/>
      <c r="G418" s="65"/>
      <c r="H418" s="65"/>
      <c r="I418" s="65"/>
      <c r="J418" s="65"/>
      <c r="K418" s="66"/>
      <c r="L418" s="65"/>
      <c r="M418" s="65"/>
      <c r="N418" s="65"/>
      <c r="O418" s="65"/>
      <c r="P418" s="65" t="s">
        <v>27</v>
      </c>
      <c r="Q418" s="65"/>
      <c r="R418" s="65" t="s">
        <v>19</v>
      </c>
      <c r="S418" s="65" t="str">
        <f>IF(ABS(T417)&gt;ABS(T416),"Tidak Memenuhi","Memenuhi")</f>
        <v>Memenuhi</v>
      </c>
      <c r="T418" s="65"/>
      <c r="U418" s="65"/>
      <c r="V418" s="58"/>
      <c r="W418" s="77"/>
      <c r="X418" s="77"/>
      <c r="Y418" s="77"/>
      <c r="Z418" s="77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</row>
    <row r="419" spans="1:43" x14ac:dyDescent="0.25">
      <c r="K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</row>
    <row r="420" spans="1:43" x14ac:dyDescent="0.25">
      <c r="K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</row>
    <row r="421" spans="1:43" x14ac:dyDescent="0.25">
      <c r="K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</row>
    <row r="422" spans="1:43" x14ac:dyDescent="0.25">
      <c r="K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</row>
    <row r="423" spans="1:43" x14ac:dyDescent="0.25">
      <c r="K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</row>
    <row r="424" spans="1:43" x14ac:dyDescent="0.25">
      <c r="K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</row>
    <row r="425" spans="1:43" x14ac:dyDescent="0.25">
      <c r="K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</row>
    <row r="426" spans="1:43" x14ac:dyDescent="0.25">
      <c r="K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</row>
    <row r="427" spans="1:43" x14ac:dyDescent="0.25">
      <c r="K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</row>
    <row r="428" spans="1:43" x14ac:dyDescent="0.25">
      <c r="K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</row>
    <row r="429" spans="1:43" x14ac:dyDescent="0.25">
      <c r="K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</row>
    <row r="430" spans="1:43" x14ac:dyDescent="0.25">
      <c r="K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</row>
    <row r="431" spans="1:43" x14ac:dyDescent="0.25">
      <c r="K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</row>
    <row r="432" spans="1:43" x14ac:dyDescent="0.25">
      <c r="K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</row>
    <row r="433" spans="11:43" x14ac:dyDescent="0.25">
      <c r="K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</row>
    <row r="434" spans="11:43" x14ac:dyDescent="0.25">
      <c r="K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</row>
    <row r="435" spans="11:43" x14ac:dyDescent="0.25">
      <c r="K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</row>
    <row r="436" spans="11:43" x14ac:dyDescent="0.25">
      <c r="K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</row>
    <row r="437" spans="11:43" x14ac:dyDescent="0.25">
      <c r="K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</row>
    <row r="438" spans="11:43" x14ac:dyDescent="0.25">
      <c r="K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</row>
    <row r="439" spans="11:43" x14ac:dyDescent="0.25">
      <c r="K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</row>
    <row r="440" spans="11:43" x14ac:dyDescent="0.25">
      <c r="K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</row>
    <row r="441" spans="11:43" x14ac:dyDescent="0.25">
      <c r="K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</row>
    <row r="442" spans="11:43" x14ac:dyDescent="0.25">
      <c r="K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</row>
    <row r="443" spans="11:43" x14ac:dyDescent="0.25">
      <c r="K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</row>
    <row r="444" spans="11:43" x14ac:dyDescent="0.25">
      <c r="K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</row>
    <row r="445" spans="11:43" x14ac:dyDescent="0.25">
      <c r="K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</row>
    <row r="446" spans="11:43" x14ac:dyDescent="0.25">
      <c r="K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</row>
    <row r="447" spans="11:43" x14ac:dyDescent="0.25">
      <c r="K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</row>
    <row r="448" spans="11:43" x14ac:dyDescent="0.25">
      <c r="K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</row>
    <row r="449" spans="11:43" x14ac:dyDescent="0.25">
      <c r="K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</row>
    <row r="450" spans="11:43" x14ac:dyDescent="0.25">
      <c r="K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</row>
    <row r="451" spans="11:43" x14ac:dyDescent="0.25">
      <c r="K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</row>
    <row r="452" spans="11:43" x14ac:dyDescent="0.25">
      <c r="K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</row>
    <row r="453" spans="11:43" x14ac:dyDescent="0.25">
      <c r="K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</row>
    <row r="454" spans="11:43" x14ac:dyDescent="0.25">
      <c r="K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</row>
    <row r="455" spans="11:43" x14ac:dyDescent="0.25">
      <c r="K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</row>
    <row r="456" spans="11:43" x14ac:dyDescent="0.25">
      <c r="K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</row>
    <row r="457" spans="11:43" x14ac:dyDescent="0.25">
      <c r="K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</row>
    <row r="458" spans="11:43" x14ac:dyDescent="0.25">
      <c r="K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</row>
    <row r="459" spans="11:43" x14ac:dyDescent="0.25">
      <c r="K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</row>
    <row r="460" spans="11:43" x14ac:dyDescent="0.25">
      <c r="K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</row>
    <row r="461" spans="11:43" x14ac:dyDescent="0.25">
      <c r="K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</row>
    <row r="462" spans="11:43" x14ac:dyDescent="0.25">
      <c r="K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</row>
    <row r="463" spans="11:43" x14ac:dyDescent="0.25">
      <c r="K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</row>
    <row r="464" spans="11:43" x14ac:dyDescent="0.25">
      <c r="K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</row>
    <row r="465" spans="11:43" x14ac:dyDescent="0.25">
      <c r="K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</row>
    <row r="466" spans="11:43" x14ac:dyDescent="0.25">
      <c r="K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</row>
    <row r="467" spans="11:43" x14ac:dyDescent="0.25">
      <c r="K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</row>
    <row r="468" spans="11:43" x14ac:dyDescent="0.25">
      <c r="K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</row>
    <row r="469" spans="11:43" x14ac:dyDescent="0.25">
      <c r="K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</row>
    <row r="470" spans="11:43" x14ac:dyDescent="0.25">
      <c r="K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</row>
    <row r="471" spans="11:43" x14ac:dyDescent="0.25">
      <c r="K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</row>
    <row r="472" spans="11:43" x14ac:dyDescent="0.25">
      <c r="K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</row>
    <row r="473" spans="11:43" x14ac:dyDescent="0.25">
      <c r="K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</row>
    <row r="474" spans="11:43" x14ac:dyDescent="0.25">
      <c r="K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</row>
    <row r="475" spans="11:43" x14ac:dyDescent="0.25">
      <c r="K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</row>
    <row r="476" spans="11:43" x14ac:dyDescent="0.25">
      <c r="K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</row>
    <row r="477" spans="11:43" x14ac:dyDescent="0.25">
      <c r="K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</row>
    <row r="478" spans="11:43" x14ac:dyDescent="0.25">
      <c r="K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</row>
    <row r="479" spans="11:43" x14ac:dyDescent="0.25">
      <c r="K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</row>
    <row r="480" spans="11:43" x14ac:dyDescent="0.25">
      <c r="K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</row>
    <row r="481" spans="11:43" x14ac:dyDescent="0.25">
      <c r="K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</row>
    <row r="482" spans="11:43" x14ac:dyDescent="0.25">
      <c r="K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</row>
    <row r="483" spans="11:43" x14ac:dyDescent="0.25">
      <c r="K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</row>
    <row r="484" spans="11:43" x14ac:dyDescent="0.25">
      <c r="K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</row>
    <row r="485" spans="11:43" x14ac:dyDescent="0.25">
      <c r="K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</row>
    <row r="486" spans="11:43" x14ac:dyDescent="0.25">
      <c r="K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</row>
    <row r="487" spans="11:43" x14ac:dyDescent="0.25">
      <c r="K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</row>
    <row r="488" spans="11:43" x14ac:dyDescent="0.25">
      <c r="K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</row>
    <row r="489" spans="11:43" x14ac:dyDescent="0.25">
      <c r="K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</row>
    <row r="490" spans="11:43" x14ac:dyDescent="0.25">
      <c r="K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</row>
    <row r="491" spans="11:43" x14ac:dyDescent="0.25">
      <c r="K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</row>
    <row r="492" spans="11:43" x14ac:dyDescent="0.25">
      <c r="K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</row>
    <row r="493" spans="11:43" x14ac:dyDescent="0.25">
      <c r="K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</row>
    <row r="494" spans="11:43" x14ac:dyDescent="0.25">
      <c r="K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</row>
    <row r="495" spans="11:43" x14ac:dyDescent="0.25">
      <c r="K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</row>
    <row r="496" spans="11:43" x14ac:dyDescent="0.25">
      <c r="K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</row>
    <row r="497" spans="11:43" x14ac:dyDescent="0.25">
      <c r="K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</row>
    <row r="498" spans="11:43" x14ac:dyDescent="0.25">
      <c r="K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</row>
    <row r="499" spans="11:43" x14ac:dyDescent="0.25">
      <c r="K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</row>
    <row r="500" spans="11:43" x14ac:dyDescent="0.25">
      <c r="K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</row>
    <row r="501" spans="11:43" x14ac:dyDescent="0.25">
      <c r="K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</row>
    <row r="502" spans="11:43" x14ac:dyDescent="0.25">
      <c r="K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</row>
    <row r="503" spans="11:43" x14ac:dyDescent="0.25">
      <c r="K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</row>
    <row r="504" spans="11:43" x14ac:dyDescent="0.25">
      <c r="K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</row>
    <row r="505" spans="11:43" x14ac:dyDescent="0.25">
      <c r="K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</row>
    <row r="506" spans="11:43" x14ac:dyDescent="0.25">
      <c r="K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</row>
    <row r="507" spans="11:43" x14ac:dyDescent="0.25">
      <c r="K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</row>
    <row r="508" spans="11:43" x14ac:dyDescent="0.25">
      <c r="K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</row>
    <row r="509" spans="11:43" x14ac:dyDescent="0.25">
      <c r="K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</row>
    <row r="510" spans="11:43" x14ac:dyDescent="0.25">
      <c r="K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</row>
    <row r="511" spans="11:43" x14ac:dyDescent="0.25">
      <c r="K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</row>
    <row r="512" spans="11:43" x14ac:dyDescent="0.25">
      <c r="K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</row>
    <row r="513" spans="11:43" x14ac:dyDescent="0.25">
      <c r="K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</row>
    <row r="514" spans="11:43" x14ac:dyDescent="0.25">
      <c r="K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</row>
    <row r="515" spans="11:43" x14ac:dyDescent="0.25">
      <c r="K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</row>
    <row r="516" spans="11:43" x14ac:dyDescent="0.25">
      <c r="K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</row>
    <row r="517" spans="11:43" x14ac:dyDescent="0.25">
      <c r="K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</row>
    <row r="518" spans="11:43" x14ac:dyDescent="0.25">
      <c r="K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</row>
    <row r="519" spans="11:43" x14ac:dyDescent="0.25">
      <c r="K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</row>
    <row r="520" spans="11:43" x14ac:dyDescent="0.25">
      <c r="K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</row>
    <row r="521" spans="11:43" x14ac:dyDescent="0.25">
      <c r="K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</row>
    <row r="522" spans="11:43" x14ac:dyDescent="0.25">
      <c r="K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</row>
    <row r="523" spans="11:43" x14ac:dyDescent="0.25">
      <c r="K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</row>
    <row r="524" spans="11:43" x14ac:dyDescent="0.25">
      <c r="K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</row>
    <row r="525" spans="11:43" x14ac:dyDescent="0.25">
      <c r="K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</row>
    <row r="526" spans="11:43" x14ac:dyDescent="0.25">
      <c r="K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</row>
    <row r="527" spans="11:43" x14ac:dyDescent="0.25">
      <c r="K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</row>
    <row r="528" spans="11:43" x14ac:dyDescent="0.25">
      <c r="K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</row>
    <row r="529" spans="11:43" x14ac:dyDescent="0.25">
      <c r="K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</row>
    <row r="530" spans="11:43" x14ac:dyDescent="0.25">
      <c r="K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</row>
    <row r="531" spans="11:43" x14ac:dyDescent="0.25">
      <c r="K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</row>
    <row r="532" spans="11:43" x14ac:dyDescent="0.25">
      <c r="K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</row>
    <row r="533" spans="11:43" x14ac:dyDescent="0.25">
      <c r="K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</row>
    <row r="534" spans="11:43" x14ac:dyDescent="0.25">
      <c r="K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</row>
    <row r="535" spans="11:43" x14ac:dyDescent="0.25">
      <c r="K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</row>
    <row r="536" spans="11:43" x14ac:dyDescent="0.25">
      <c r="K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</row>
    <row r="537" spans="11:43" x14ac:dyDescent="0.25">
      <c r="K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</row>
    <row r="538" spans="11:43" x14ac:dyDescent="0.25">
      <c r="K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</row>
    <row r="539" spans="11:43" x14ac:dyDescent="0.25">
      <c r="K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</row>
    <row r="540" spans="11:43" x14ac:dyDescent="0.25">
      <c r="K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</row>
    <row r="541" spans="11:43" x14ac:dyDescent="0.25">
      <c r="K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</row>
    <row r="542" spans="11:43" x14ac:dyDescent="0.25">
      <c r="K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</row>
    <row r="543" spans="11:43" x14ac:dyDescent="0.25">
      <c r="K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</row>
    <row r="544" spans="11:43" x14ac:dyDescent="0.25">
      <c r="K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</row>
    <row r="545" spans="11:43" x14ac:dyDescent="0.25">
      <c r="K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</row>
    <row r="546" spans="11:43" x14ac:dyDescent="0.25">
      <c r="K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</row>
    <row r="547" spans="11:43" x14ac:dyDescent="0.25">
      <c r="K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</row>
    <row r="548" spans="11:43" x14ac:dyDescent="0.25">
      <c r="K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</row>
    <row r="549" spans="11:43" x14ac:dyDescent="0.25">
      <c r="K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</row>
    <row r="550" spans="11:43" x14ac:dyDescent="0.25">
      <c r="K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</row>
    <row r="551" spans="11:43" x14ac:dyDescent="0.25">
      <c r="K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</row>
    <row r="552" spans="11:43" x14ac:dyDescent="0.25">
      <c r="K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</row>
    <row r="553" spans="11:43" x14ac:dyDescent="0.25">
      <c r="K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</row>
    <row r="554" spans="11:43" x14ac:dyDescent="0.25">
      <c r="K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</row>
    <row r="555" spans="11:43" x14ac:dyDescent="0.25">
      <c r="K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</row>
    <row r="556" spans="11:43" x14ac:dyDescent="0.25">
      <c r="K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</row>
    <row r="557" spans="11:43" x14ac:dyDescent="0.25">
      <c r="K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</row>
    <row r="558" spans="11:43" x14ac:dyDescent="0.25">
      <c r="K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</row>
    <row r="559" spans="11:43" x14ac:dyDescent="0.25">
      <c r="K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</row>
    <row r="560" spans="11:43" x14ac:dyDescent="0.25">
      <c r="K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</row>
    <row r="561" spans="11:43" x14ac:dyDescent="0.25">
      <c r="K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</row>
    <row r="562" spans="11:43" x14ac:dyDescent="0.25">
      <c r="K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</row>
    <row r="563" spans="11:43" x14ac:dyDescent="0.25">
      <c r="K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</row>
    <row r="564" spans="11:43" x14ac:dyDescent="0.25">
      <c r="K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</row>
    <row r="565" spans="11:43" x14ac:dyDescent="0.25">
      <c r="K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</row>
    <row r="566" spans="11:43" x14ac:dyDescent="0.25">
      <c r="K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</row>
    <row r="567" spans="11:43" x14ac:dyDescent="0.25">
      <c r="K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</row>
    <row r="568" spans="11:43" x14ac:dyDescent="0.25">
      <c r="K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</row>
    <row r="569" spans="11:43" x14ac:dyDescent="0.25">
      <c r="K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</row>
    <row r="570" spans="11:43" x14ac:dyDescent="0.25">
      <c r="K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</row>
    <row r="571" spans="11:43" x14ac:dyDescent="0.25">
      <c r="K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</row>
    <row r="572" spans="11:43" x14ac:dyDescent="0.25">
      <c r="K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</row>
    <row r="573" spans="11:43" x14ac:dyDescent="0.25">
      <c r="K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</row>
    <row r="574" spans="11:43" x14ac:dyDescent="0.25">
      <c r="K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</row>
    <row r="575" spans="11:43" x14ac:dyDescent="0.25">
      <c r="K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</row>
    <row r="576" spans="11:43" x14ac:dyDescent="0.25">
      <c r="K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</row>
    <row r="577" spans="11:43" x14ac:dyDescent="0.25">
      <c r="K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</row>
    <row r="578" spans="11:43" x14ac:dyDescent="0.25">
      <c r="K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</row>
    <row r="579" spans="11:43" x14ac:dyDescent="0.25">
      <c r="K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</row>
    <row r="580" spans="11:43" x14ac:dyDescent="0.25">
      <c r="K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</row>
    <row r="581" spans="11:43" x14ac:dyDescent="0.25">
      <c r="K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</row>
    <row r="582" spans="11:43" x14ac:dyDescent="0.25">
      <c r="K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</row>
    <row r="583" spans="11:43" x14ac:dyDescent="0.25">
      <c r="K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</row>
    <row r="584" spans="11:43" x14ac:dyDescent="0.25">
      <c r="K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</row>
    <row r="585" spans="11:43" x14ac:dyDescent="0.25">
      <c r="K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</row>
    <row r="586" spans="11:43" x14ac:dyDescent="0.25">
      <c r="K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</row>
    <row r="587" spans="11:43" x14ac:dyDescent="0.25">
      <c r="K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</row>
    <row r="588" spans="11:43" x14ac:dyDescent="0.25">
      <c r="K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</row>
    <row r="589" spans="11:43" x14ac:dyDescent="0.25">
      <c r="K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</row>
    <row r="590" spans="11:43" x14ac:dyDescent="0.25">
      <c r="K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</row>
    <row r="591" spans="11:43" x14ac:dyDescent="0.25">
      <c r="K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</row>
    <row r="592" spans="11:43" x14ac:dyDescent="0.25">
      <c r="K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</row>
    <row r="593" spans="11:43" x14ac:dyDescent="0.25">
      <c r="K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</row>
    <row r="594" spans="11:43" x14ac:dyDescent="0.25">
      <c r="K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</row>
    <row r="595" spans="11:43" x14ac:dyDescent="0.25">
      <c r="K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</row>
    <row r="596" spans="11:43" x14ac:dyDescent="0.25">
      <c r="K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</row>
    <row r="597" spans="11:43" x14ac:dyDescent="0.25">
      <c r="K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</row>
    <row r="598" spans="11:43" x14ac:dyDescent="0.25">
      <c r="K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</row>
    <row r="599" spans="11:43" x14ac:dyDescent="0.25">
      <c r="K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</row>
    <row r="600" spans="11:43" x14ac:dyDescent="0.25">
      <c r="K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</row>
    <row r="601" spans="11:43" x14ac:dyDescent="0.25">
      <c r="K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</row>
    <row r="602" spans="11:43" x14ac:dyDescent="0.25">
      <c r="K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</row>
    <row r="603" spans="11:43" x14ac:dyDescent="0.25">
      <c r="K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</row>
    <row r="604" spans="11:43" x14ac:dyDescent="0.25">
      <c r="K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</row>
    <row r="605" spans="11:43" x14ac:dyDescent="0.25">
      <c r="K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</row>
    <row r="606" spans="11:43" x14ac:dyDescent="0.25">
      <c r="K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</row>
    <row r="607" spans="11:43" x14ac:dyDescent="0.25">
      <c r="K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</row>
    <row r="608" spans="11:43" x14ac:dyDescent="0.25">
      <c r="K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</row>
    <row r="609" spans="11:43" x14ac:dyDescent="0.25">
      <c r="K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</row>
    <row r="610" spans="11:43" x14ac:dyDescent="0.25">
      <c r="K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</row>
    <row r="611" spans="11:43" x14ac:dyDescent="0.25">
      <c r="K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</row>
    <row r="612" spans="11:43" x14ac:dyDescent="0.25">
      <c r="K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</row>
    <row r="613" spans="11:43" x14ac:dyDescent="0.25">
      <c r="K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</row>
    <row r="614" spans="11:43" x14ac:dyDescent="0.25">
      <c r="K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</row>
    <row r="615" spans="11:43" x14ac:dyDescent="0.25">
      <c r="K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</row>
    <row r="616" spans="11:43" x14ac:dyDescent="0.25">
      <c r="K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</row>
    <row r="617" spans="11:43" x14ac:dyDescent="0.25">
      <c r="K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</row>
    <row r="618" spans="11:43" x14ac:dyDescent="0.25">
      <c r="K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</row>
    <row r="619" spans="11:43" x14ac:dyDescent="0.25">
      <c r="K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</row>
    <row r="620" spans="11:43" x14ac:dyDescent="0.25">
      <c r="K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</row>
    <row r="621" spans="11:43" x14ac:dyDescent="0.25">
      <c r="K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</row>
    <row r="622" spans="11:43" x14ac:dyDescent="0.25">
      <c r="K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</row>
    <row r="623" spans="11:43" x14ac:dyDescent="0.25">
      <c r="K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</row>
    <row r="624" spans="11:43" x14ac:dyDescent="0.25">
      <c r="K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</row>
    <row r="625" spans="11:43" x14ac:dyDescent="0.25">
      <c r="K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</row>
    <row r="626" spans="11:43" x14ac:dyDescent="0.25">
      <c r="K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</row>
    <row r="627" spans="11:43" x14ac:dyDescent="0.25">
      <c r="K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</row>
    <row r="628" spans="11:43" x14ac:dyDescent="0.25">
      <c r="K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</row>
    <row r="629" spans="11:43" x14ac:dyDescent="0.25">
      <c r="K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</row>
    <row r="630" spans="11:43" x14ac:dyDescent="0.25">
      <c r="K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</row>
    <row r="631" spans="11:43" x14ac:dyDescent="0.25">
      <c r="K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</row>
    <row r="632" spans="11:43" x14ac:dyDescent="0.25">
      <c r="K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</row>
    <row r="633" spans="11:43" x14ac:dyDescent="0.25">
      <c r="K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</row>
    <row r="634" spans="11:43" x14ac:dyDescent="0.25">
      <c r="K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</row>
    <row r="635" spans="11:43" x14ac:dyDescent="0.25">
      <c r="K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</row>
    <row r="636" spans="11:43" x14ac:dyDescent="0.25">
      <c r="K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</row>
    <row r="637" spans="11:43" x14ac:dyDescent="0.25">
      <c r="K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</row>
    <row r="638" spans="11:43" x14ac:dyDescent="0.25">
      <c r="K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</row>
    <row r="639" spans="11:43" x14ac:dyDescent="0.25">
      <c r="K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</row>
    <row r="640" spans="11:43" x14ac:dyDescent="0.25">
      <c r="K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</row>
    <row r="641" spans="11:43" x14ac:dyDescent="0.25">
      <c r="K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</row>
    <row r="642" spans="11:43" x14ac:dyDescent="0.25">
      <c r="K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</row>
    <row r="643" spans="11:43" x14ac:dyDescent="0.25">
      <c r="K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</row>
    <row r="644" spans="11:43" x14ac:dyDescent="0.25">
      <c r="K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</row>
    <row r="645" spans="11:43" x14ac:dyDescent="0.25">
      <c r="K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</row>
    <row r="646" spans="11:43" x14ac:dyDescent="0.25">
      <c r="K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</row>
    <row r="647" spans="11:43" x14ac:dyDescent="0.25">
      <c r="K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</row>
    <row r="648" spans="11:43" x14ac:dyDescent="0.25">
      <c r="K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</row>
    <row r="649" spans="11:43" x14ac:dyDescent="0.25">
      <c r="K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</row>
    <row r="650" spans="11:43" x14ac:dyDescent="0.25">
      <c r="K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</row>
    <row r="651" spans="11:43" x14ac:dyDescent="0.25">
      <c r="K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</row>
    <row r="652" spans="11:43" x14ac:dyDescent="0.25">
      <c r="K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</row>
    <row r="653" spans="11:43" x14ac:dyDescent="0.25">
      <c r="K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</row>
    <row r="654" spans="11:43" x14ac:dyDescent="0.25">
      <c r="K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</row>
  </sheetData>
  <mergeCells count="21"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  <mergeCell ref="L12:L13"/>
    <mergeCell ref="M12:M13"/>
    <mergeCell ref="N12:N13"/>
    <mergeCell ref="O12:O13"/>
    <mergeCell ref="P12:P13"/>
    <mergeCell ref="R12:R13"/>
    <mergeCell ref="S12:U12"/>
    <mergeCell ref="V12:V13"/>
    <mergeCell ref="W12:Y12"/>
    <mergeCell ref="Z12:Z13"/>
  </mergeCells>
  <conditionalFormatting sqref="R14">
    <cfRule type="cellIs" dxfId="0" priority="1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 poligon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Dell</cp:lastModifiedBy>
  <cp:lastPrinted>2003-07-22T21:14:23Z</cp:lastPrinted>
  <dcterms:created xsi:type="dcterms:W3CDTF">1999-10-29T12:08:47Z</dcterms:created>
  <dcterms:modified xsi:type="dcterms:W3CDTF">2024-11-13T01:43:08Z</dcterms:modified>
</cp:coreProperties>
</file>